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apple/Downloads/"/>
    </mc:Choice>
  </mc:AlternateContent>
  <xr:revisionPtr revIDLastSave="0" documentId="13_ncr:1_{925102CF-F099-C247-8D3F-763B7AE2F71D}" xr6:coauthVersionLast="47" xr6:coauthVersionMax="47" xr10:uidLastSave="{00000000-0000-0000-0000-000000000000}"/>
  <bookViews>
    <workbookView xWindow="-20" yWindow="620" windowWidth="40960" windowHeight="23400" activeTab="1" xr2:uid="{F7541FF9-E8FD-8A48-BE81-7E691911CB19}"/>
  </bookViews>
  <sheets>
    <sheet name="Pivot Tables" sheetId="2" r:id="rId1"/>
    <sheet name="Reports" sheetId="9" r:id="rId2"/>
    <sheet name="layoffs_data 2" sheetId="1" r:id="rId3"/>
  </sheets>
  <definedNames>
    <definedName name="_xlnm._FilterDatabase" localSheetId="2" hidden="1">'layoffs_data 2'!$A$1:$A$3643</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9" l="1"/>
  <c r="B30" i="9"/>
  <c r="B31" i="9"/>
  <c r="B32" i="9"/>
  <c r="B33" i="9"/>
  <c r="B34" i="9"/>
  <c r="B35" i="9"/>
  <c r="B36" i="9"/>
  <c r="B37" i="9"/>
  <c r="B28" i="9"/>
  <c r="U20" i="2"/>
  <c r="C29" i="9"/>
  <c r="C30" i="9"/>
  <c r="C31" i="9"/>
  <c r="C32" i="9"/>
  <c r="C33" i="9"/>
  <c r="C34" i="9"/>
  <c r="C35" i="9"/>
  <c r="C36" i="9"/>
  <c r="C37" i="9"/>
  <c r="C28" i="9"/>
  <c r="D29" i="9"/>
  <c r="D30" i="9"/>
  <c r="D31" i="9"/>
  <c r="D32" i="9"/>
  <c r="D33" i="9"/>
  <c r="D34" i="9"/>
  <c r="D35" i="9"/>
  <c r="D36" i="9"/>
  <c r="D37" i="9"/>
  <c r="D28" i="9"/>
  <c r="E37" i="9"/>
  <c r="E36" i="9"/>
  <c r="E35" i="9"/>
  <c r="E34" i="9"/>
  <c r="E33" i="9"/>
  <c r="E32" i="9"/>
  <c r="E31" i="9"/>
  <c r="E30" i="9"/>
  <c r="E29" i="9"/>
  <c r="E28" i="9"/>
  <c r="U5" i="2"/>
  <c r="U6" i="2"/>
  <c r="U7" i="2"/>
  <c r="U8" i="2"/>
  <c r="U9" i="2"/>
  <c r="U10" i="2"/>
  <c r="U11" i="2"/>
  <c r="U12" i="2"/>
  <c r="U13" i="2"/>
  <c r="U14" i="2"/>
  <c r="U15" i="2"/>
  <c r="U16" i="2"/>
  <c r="U17" i="2"/>
  <c r="U18" i="2"/>
  <c r="U19"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4"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C5" i="9"/>
  <c r="B5" i="9" s="1"/>
  <c r="D5" i="9" s="1"/>
  <c r="C9" i="9"/>
  <c r="B9" i="9" s="1"/>
  <c r="D9" i="9" s="1"/>
  <c r="C8" i="9"/>
  <c r="B8" i="9" s="1"/>
  <c r="D8" i="9" s="1"/>
  <c r="C7" i="9"/>
  <c r="B7" i="9" s="1"/>
  <c r="D7" i="9" s="1"/>
  <c r="C6" i="9"/>
  <c r="B6" i="9" s="1"/>
  <c r="D6" i="9" s="1"/>
  <c r="C2" i="9"/>
  <c r="B2" i="9"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2" i="1"/>
  <c r="B1" i="9"/>
  <c r="E5" i="9" l="1"/>
  <c r="E9" i="9"/>
  <c r="E8" i="9"/>
  <c r="E7" i="9"/>
  <c r="E6" i="9"/>
  <c r="C1" i="9"/>
</calcChain>
</file>

<file path=xl/sharedStrings.xml><?xml version="1.0" encoding="utf-8"?>
<sst xmlns="http://schemas.openxmlformats.org/spreadsheetml/2006/main" count="29374" uniqueCount="2999">
  <si>
    <t>Company</t>
  </si>
  <si>
    <t>Location_HQ</t>
  </si>
  <si>
    <t>Industry</t>
  </si>
  <si>
    <t>Laid_Off_Count</t>
  </si>
  <si>
    <t>Date</t>
  </si>
  <si>
    <t>Funds_Raised</t>
  </si>
  <si>
    <t>Stage</t>
  </si>
  <si>
    <t>Country</t>
  </si>
  <si>
    <t>Percentage</t>
  </si>
  <si>
    <t>Oda</t>
  </si>
  <si>
    <t>Oslo</t>
  </si>
  <si>
    <t>Food</t>
  </si>
  <si>
    <t>Unknown</t>
  </si>
  <si>
    <t>Norway</t>
  </si>
  <si>
    <t>Pagaya</t>
  </si>
  <si>
    <t>Tel Aviv</t>
  </si>
  <si>
    <t>Finance</t>
  </si>
  <si>
    <t>Post-IPO</t>
  </si>
  <si>
    <t>Israel</t>
  </si>
  <si>
    <t>Aleph Farms</t>
  </si>
  <si>
    <t>MoonPay</t>
  </si>
  <si>
    <t>Dover</t>
  </si>
  <si>
    <t>Crypto</t>
  </si>
  <si>
    <t>United States</t>
  </si>
  <si>
    <t>Yext</t>
  </si>
  <si>
    <t>New York City</t>
  </si>
  <si>
    <t>Marketing</t>
  </si>
  <si>
    <t>Microsoft</t>
  </si>
  <si>
    <t>Seattle</t>
  </si>
  <si>
    <t>Other</t>
  </si>
  <si>
    <t>OrCam</t>
  </si>
  <si>
    <t>Jerusalem</t>
  </si>
  <si>
    <t>Healthcare</t>
  </si>
  <si>
    <t>Google</t>
  </si>
  <si>
    <t>SF Bay Area</t>
  </si>
  <si>
    <t>Consumer</t>
  </si>
  <si>
    <t>Tropic</t>
  </si>
  <si>
    <t>Series B</t>
  </si>
  <si>
    <t>Gro Intelligence</t>
  </si>
  <si>
    <t>Jasper Health</t>
  </si>
  <si>
    <t>Boise</t>
  </si>
  <si>
    <t>Series A</t>
  </si>
  <si>
    <t>FlightStats</t>
  </si>
  <si>
    <t>Portland</t>
  </si>
  <si>
    <t>Travel</t>
  </si>
  <si>
    <t>Acquired</t>
  </si>
  <si>
    <t>ICANN</t>
  </si>
  <si>
    <t>Los Angeles</t>
  </si>
  <si>
    <t>Infrastructure</t>
  </si>
  <si>
    <t>Walnut</t>
  </si>
  <si>
    <t>Sales</t>
  </si>
  <si>
    <t>Fisker</t>
  </si>
  <si>
    <t>Transportation</t>
  </si>
  <si>
    <t>Funding Circle</t>
  </si>
  <si>
    <t>London</t>
  </si>
  <si>
    <t>United Kingdom</t>
  </si>
  <si>
    <t>Lucid Motors</t>
  </si>
  <si>
    <t>Foursquare</t>
  </si>
  <si>
    <t>Series G</t>
  </si>
  <si>
    <t>Guild</t>
  </si>
  <si>
    <t>Denver</t>
  </si>
  <si>
    <t>Education</t>
  </si>
  <si>
    <t>Series F</t>
  </si>
  <si>
    <t>Cue Health</t>
  </si>
  <si>
    <t>San Diego</t>
  </si>
  <si>
    <t>Silo</t>
  </si>
  <si>
    <t>Series C</t>
  </si>
  <si>
    <t>Joonko</t>
  </si>
  <si>
    <t>HR</t>
  </si>
  <si>
    <t>Toshiba</t>
  </si>
  <si>
    <t>Tokyo</t>
  </si>
  <si>
    <t>Manufacturing</t>
  </si>
  <si>
    <t>Japan</t>
  </si>
  <si>
    <t>Wefox</t>
  </si>
  <si>
    <t>Berlin</t>
  </si>
  <si>
    <t>Series D</t>
  </si>
  <si>
    <t>Germany</t>
  </si>
  <si>
    <t>Replit</t>
  </si>
  <si>
    <t>Product</t>
  </si>
  <si>
    <t>Gopuff</t>
  </si>
  <si>
    <t>Philadelphia</t>
  </si>
  <si>
    <t>Series H</t>
  </si>
  <si>
    <t>Karhoo</t>
  </si>
  <si>
    <t>SeekOut</t>
  </si>
  <si>
    <t>Recruiting</t>
  </si>
  <si>
    <t>Atmosphere</t>
  </si>
  <si>
    <t>Austin</t>
  </si>
  <si>
    <t>Singularity 6</t>
  </si>
  <si>
    <t>Mainvest</t>
  </si>
  <si>
    <t>Boston</t>
  </si>
  <si>
    <t>Indeed</t>
  </si>
  <si>
    <t>Motional</t>
  </si>
  <si>
    <t>Pittsburgh</t>
  </si>
  <si>
    <t>Rivian</t>
  </si>
  <si>
    <t>Vacasa</t>
  </si>
  <si>
    <t>Sight Diagnostics</t>
  </si>
  <si>
    <t>PrepLadder</t>
  </si>
  <si>
    <t>New Delhi</t>
  </si>
  <si>
    <t>India</t>
  </si>
  <si>
    <t>Simpl</t>
  </si>
  <si>
    <t>Bengaluru</t>
  </si>
  <si>
    <t>Arkane Studios</t>
  </si>
  <si>
    <t>Brilliant</t>
  </si>
  <si>
    <t>Hardware</t>
  </si>
  <si>
    <t>Kinaxis</t>
  </si>
  <si>
    <t>Ottawa</t>
  </si>
  <si>
    <t>Canada</t>
  </si>
  <si>
    <t>Hopin</t>
  </si>
  <si>
    <t>Enovix</t>
  </si>
  <si>
    <t>Energy</t>
  </si>
  <si>
    <t>Luminar</t>
  </si>
  <si>
    <t>Orlando</t>
  </si>
  <si>
    <t>Sprinklr</t>
  </si>
  <si>
    <t>Support</t>
  </si>
  <si>
    <t>Bakkt</t>
  </si>
  <si>
    <t>Atlanta</t>
  </si>
  <si>
    <t>Peloton</t>
  </si>
  <si>
    <t>Fitness</t>
  </si>
  <si>
    <t>Cabify</t>
  </si>
  <si>
    <t>Madrid</t>
  </si>
  <si>
    <t>Spain</t>
  </si>
  <si>
    <t>Assurance</t>
  </si>
  <si>
    <t>Sproutt</t>
  </si>
  <si>
    <t>Hartford</t>
  </si>
  <si>
    <t>Tesla</t>
  </si>
  <si>
    <t>RiseUp</t>
  </si>
  <si>
    <t>Akili Interactive</t>
  </si>
  <si>
    <t>Getir</t>
  </si>
  <si>
    <t>Series E</t>
  </si>
  <si>
    <t>Ola</t>
  </si>
  <si>
    <t>Series J</t>
  </si>
  <si>
    <t>ComplYant</t>
  </si>
  <si>
    <t>Seed</t>
  </si>
  <si>
    <t>HealthifyMe</t>
  </si>
  <si>
    <t>True Anomaly</t>
  </si>
  <si>
    <t>Aerospace</t>
  </si>
  <si>
    <t>Grin</t>
  </si>
  <si>
    <t>Sacramento</t>
  </si>
  <si>
    <t>Expedia</t>
  </si>
  <si>
    <t>Freenome</t>
  </si>
  <si>
    <t>Heureka Group</t>
  </si>
  <si>
    <t>Prague</t>
  </si>
  <si>
    <t>Retail</t>
  </si>
  <si>
    <t>Czech Republic</t>
  </si>
  <si>
    <t>98point6</t>
  </si>
  <si>
    <t>OutSystems</t>
  </si>
  <si>
    <t>Homie</t>
  </si>
  <si>
    <t>Salt Lake City</t>
  </si>
  <si>
    <t>Real Estate</t>
  </si>
  <si>
    <t>The Good Glamm Group</t>
  </si>
  <si>
    <t>Showpad</t>
  </si>
  <si>
    <t>Ghent</t>
  </si>
  <si>
    <t>Belgium</t>
  </si>
  <si>
    <t>Stability AI</t>
  </si>
  <si>
    <t>AI</t>
  </si>
  <si>
    <t>Pax8</t>
  </si>
  <si>
    <t>ConnectWise</t>
  </si>
  <si>
    <t>Tampa Bay</t>
  </si>
  <si>
    <t>Detroit</t>
  </si>
  <si>
    <t>Take-Two</t>
  </si>
  <si>
    <t>Tome</t>
  </si>
  <si>
    <t>Criteo</t>
  </si>
  <si>
    <t>Paris</t>
  </si>
  <si>
    <t>France</t>
  </si>
  <si>
    <t>Glovo</t>
  </si>
  <si>
    <t>Barcelona</t>
  </si>
  <si>
    <t>TikTok</t>
  </si>
  <si>
    <t>Dublin</t>
  </si>
  <si>
    <t>Ireland</t>
  </si>
  <si>
    <t>Fabric</t>
  </si>
  <si>
    <t>Logistics</t>
  </si>
  <si>
    <t>Hinge Health</t>
  </si>
  <si>
    <t>Zoe</t>
  </si>
  <si>
    <t>Cornershop</t>
  </si>
  <si>
    <t>Santiago</t>
  </si>
  <si>
    <t>Chile</t>
  </si>
  <si>
    <t>Scaler</t>
  </si>
  <si>
    <t>Checkr</t>
  </si>
  <si>
    <t>Intel</t>
  </si>
  <si>
    <t>Trendsales</t>
  </si>
  <si>
    <t>Copenhagen</t>
  </si>
  <si>
    <t>Denmark</t>
  </si>
  <si>
    <t>Fission</t>
  </si>
  <si>
    <t>Vancouver</t>
  </si>
  <si>
    <t>Bolt.Earth</t>
  </si>
  <si>
    <t>Apple</t>
  </si>
  <si>
    <t>Agility Robotics</t>
  </si>
  <si>
    <t>Lightspeed Commerce</t>
  </si>
  <si>
    <t>Montreal</t>
  </si>
  <si>
    <t>Ghost Autonomy</t>
  </si>
  <si>
    <t>Vivian Health</t>
  </si>
  <si>
    <t>Amazon</t>
  </si>
  <si>
    <t>CoRover</t>
  </si>
  <si>
    <t>Kaseya</t>
  </si>
  <si>
    <t>Miami</t>
  </si>
  <si>
    <t>Security</t>
  </si>
  <si>
    <t>New Relic</t>
  </si>
  <si>
    <t>Yummly</t>
  </si>
  <si>
    <t>Byju's</t>
  </si>
  <si>
    <t>Private Equity</t>
  </si>
  <si>
    <t>Lentra</t>
  </si>
  <si>
    <t>Pune</t>
  </si>
  <si>
    <t>Thepeer</t>
  </si>
  <si>
    <t>Lagos</t>
  </si>
  <si>
    <t>Nigeria</t>
  </si>
  <si>
    <t>Osso VR</t>
  </si>
  <si>
    <t>Identiq</t>
  </si>
  <si>
    <t>Ranger Insurance</t>
  </si>
  <si>
    <t>Rezi</t>
  </si>
  <si>
    <t>ChowNow</t>
  </si>
  <si>
    <t>Synctera</t>
  </si>
  <si>
    <t>GoPro</t>
  </si>
  <si>
    <t>Dell</t>
  </si>
  <si>
    <t>Verily</t>
  </si>
  <si>
    <t>Subsidiary</t>
  </si>
  <si>
    <t>Cybereason</t>
  </si>
  <si>
    <t>ShopBack</t>
  </si>
  <si>
    <t>Singapore</t>
  </si>
  <si>
    <t>Orbotech</t>
  </si>
  <si>
    <t>Yavne</t>
  </si>
  <si>
    <t>Airmeet</t>
  </si>
  <si>
    <t>Singular Genomics</t>
  </si>
  <si>
    <t>Longi</t>
  </si>
  <si>
    <t>Xi'an</t>
  </si>
  <si>
    <t>China</t>
  </si>
  <si>
    <t>Flock Freight</t>
  </si>
  <si>
    <t>Chipper Cash</t>
  </si>
  <si>
    <t>Blueboard</t>
  </si>
  <si>
    <t>Ancestry</t>
  </si>
  <si>
    <t>Lehi</t>
  </si>
  <si>
    <t>Textio</t>
  </si>
  <si>
    <t>Stash</t>
  </si>
  <si>
    <t>Phantom Auto</t>
  </si>
  <si>
    <t>IBM</t>
  </si>
  <si>
    <t>Deadspin</t>
  </si>
  <si>
    <t>Media</t>
  </si>
  <si>
    <t>Niche</t>
  </si>
  <si>
    <t>Inscribe</t>
  </si>
  <si>
    <t>Turnitin</t>
  </si>
  <si>
    <t>Totango</t>
  </si>
  <si>
    <t>Sorare</t>
  </si>
  <si>
    <t>Meta</t>
  </si>
  <si>
    <t>PlanetScale</t>
  </si>
  <si>
    <t>Data</t>
  </si>
  <si>
    <t>MessageBird</t>
  </si>
  <si>
    <t>Amsterdam</t>
  </si>
  <si>
    <t>Netherlands</t>
  </si>
  <si>
    <t>Form Energy</t>
  </si>
  <si>
    <t>Verbit</t>
  </si>
  <si>
    <t>Edgio</t>
  </si>
  <si>
    <t>Phoenix</t>
  </si>
  <si>
    <t>Melio</t>
  </si>
  <si>
    <t>Our Next Energy</t>
  </si>
  <si>
    <t>Project Ronin</t>
  </si>
  <si>
    <t>Pristyn Care</t>
  </si>
  <si>
    <t>Gurugram</t>
  </si>
  <si>
    <t>Tonik</t>
  </si>
  <si>
    <t>Kevin</t>
  </si>
  <si>
    <t>Vilnius</t>
  </si>
  <si>
    <t>Lithuania</t>
  </si>
  <si>
    <t>Electronic Arts</t>
  </si>
  <si>
    <t>Treasury Prime</t>
  </si>
  <si>
    <t>Sony Interactive</t>
  </si>
  <si>
    <t>Bumble</t>
  </si>
  <si>
    <t>PropertyGuru</t>
  </si>
  <si>
    <t>WayCool</t>
  </si>
  <si>
    <t>Chennai</t>
  </si>
  <si>
    <t>Daraz</t>
  </si>
  <si>
    <t>Redesign Health</t>
  </si>
  <si>
    <t>Carbon Health</t>
  </si>
  <si>
    <t>Vice Media</t>
  </si>
  <si>
    <t>Affirm</t>
  </si>
  <si>
    <t>Finder</t>
  </si>
  <si>
    <t>Sydney</t>
  </si>
  <si>
    <t>Australia</t>
  </si>
  <si>
    <t>BuzzFeed</t>
  </si>
  <si>
    <t>Aptiv</t>
  </si>
  <si>
    <t>Krakow</t>
  </si>
  <si>
    <t>Poland</t>
  </si>
  <si>
    <t>Tails.com</t>
  </si>
  <si>
    <t>Auctane</t>
  </si>
  <si>
    <t>KnownOrigin</t>
  </si>
  <si>
    <t>Manchester</t>
  </si>
  <si>
    <t>Meati</t>
  </si>
  <si>
    <t>Boulder</t>
  </si>
  <si>
    <t>Farfetch</t>
  </si>
  <si>
    <t>Voi</t>
  </si>
  <si>
    <t>Stockholm</t>
  </si>
  <si>
    <t>Toast</t>
  </si>
  <si>
    <t>Sonder</t>
  </si>
  <si>
    <t>Storytel</t>
  </si>
  <si>
    <t>Sweden</t>
  </si>
  <si>
    <t>CodeSee</t>
  </si>
  <si>
    <t>May Mobility</t>
  </si>
  <si>
    <t>Ann Arbor</t>
  </si>
  <si>
    <t>Cisco</t>
  </si>
  <si>
    <t>Wint Wealth</t>
  </si>
  <si>
    <t>Nashik</t>
  </si>
  <si>
    <t>Away</t>
  </si>
  <si>
    <t>Instacart</t>
  </si>
  <si>
    <t>Mozilla</t>
  </si>
  <si>
    <t>Impinj</t>
  </si>
  <si>
    <t>Riskified</t>
  </si>
  <si>
    <t>Everybuddy</t>
  </si>
  <si>
    <t>Popcore</t>
  </si>
  <si>
    <t>Wisense</t>
  </si>
  <si>
    <t>SiriusXM</t>
  </si>
  <si>
    <t>Licious</t>
  </si>
  <si>
    <t>BlissClub</t>
  </si>
  <si>
    <t>Kandji</t>
  </si>
  <si>
    <t>Pure Storage</t>
  </si>
  <si>
    <t>Otovo</t>
  </si>
  <si>
    <t>Getaround</t>
  </si>
  <si>
    <t>Journera</t>
  </si>
  <si>
    <t>Chicago</t>
  </si>
  <si>
    <t>Grammarly</t>
  </si>
  <si>
    <t>Fireblocks</t>
  </si>
  <si>
    <t>Tenable</t>
  </si>
  <si>
    <t>Baltimore</t>
  </si>
  <si>
    <t>Workfellow</t>
  </si>
  <si>
    <t>Espoo</t>
  </si>
  <si>
    <t>Finland</t>
  </si>
  <si>
    <t>DocuSign</t>
  </si>
  <si>
    <t>Glowforge</t>
  </si>
  <si>
    <t>Snap</t>
  </si>
  <si>
    <t>Drizly</t>
  </si>
  <si>
    <t>BillGO</t>
  </si>
  <si>
    <t>Fort Collins</t>
  </si>
  <si>
    <t>Impact.com</t>
  </si>
  <si>
    <t>Astrate Medical</t>
  </si>
  <si>
    <t>Meetup</t>
  </si>
  <si>
    <t>Muvin</t>
  </si>
  <si>
    <t>Nomad Health</t>
  </si>
  <si>
    <t>Zwift</t>
  </si>
  <si>
    <t>Top Hat</t>
  </si>
  <si>
    <t>Toronto</t>
  </si>
  <si>
    <t>Cake Bikes</t>
  </si>
  <si>
    <t>Small Robot Company</t>
  </si>
  <si>
    <t>Salisbury</t>
  </si>
  <si>
    <t>Twig</t>
  </si>
  <si>
    <t>Okta</t>
  </si>
  <si>
    <t>Zoom</t>
  </si>
  <si>
    <t>Illumina</t>
  </si>
  <si>
    <t>Polygon</t>
  </si>
  <si>
    <t>Cayman Islands</t>
  </si>
  <si>
    <t>Indigo</t>
  </si>
  <si>
    <t>Proofpoint</t>
  </si>
  <si>
    <t>Trove Recommerce</t>
  </si>
  <si>
    <t>CircleCI</t>
  </si>
  <si>
    <t>Thinx</t>
  </si>
  <si>
    <t>Innoviz</t>
  </si>
  <si>
    <t>The Messenger</t>
  </si>
  <si>
    <t>Zuora</t>
  </si>
  <si>
    <t>PayPal</t>
  </si>
  <si>
    <t>Block</t>
  </si>
  <si>
    <t>Kiwi.com</t>
  </si>
  <si>
    <t>Brno</t>
  </si>
  <si>
    <t>Aurora Solar</t>
  </si>
  <si>
    <t>Wattpad</t>
  </si>
  <si>
    <t>TechCrunch</t>
  </si>
  <si>
    <t>Noom</t>
  </si>
  <si>
    <t>Procore</t>
  </si>
  <si>
    <t>Santa Barbara</t>
  </si>
  <si>
    <t>Construction</t>
  </si>
  <si>
    <t>Vipps</t>
  </si>
  <si>
    <t>iRobot</t>
  </si>
  <si>
    <t>DispatchHealth</t>
  </si>
  <si>
    <t>Loopio</t>
  </si>
  <si>
    <t>Salesforce</t>
  </si>
  <si>
    <t>Flexport</t>
  </si>
  <si>
    <t>Productboard</t>
  </si>
  <si>
    <t>Swiggy</t>
  </si>
  <si>
    <t>Veho</t>
  </si>
  <si>
    <t>Amperity</t>
  </si>
  <si>
    <t>MVPindex</t>
  </si>
  <si>
    <t>Business Insider</t>
  </si>
  <si>
    <t>Cova</t>
  </si>
  <si>
    <t>Jamf</t>
  </si>
  <si>
    <t>Minneapolis</t>
  </si>
  <si>
    <t>Cult.fit</t>
  </si>
  <si>
    <t>Personio</t>
  </si>
  <si>
    <t>Munich</t>
  </si>
  <si>
    <t>Aurora</t>
  </si>
  <si>
    <t>Desktop Metal</t>
  </si>
  <si>
    <t>HubSpot</t>
  </si>
  <si>
    <t>SAP</t>
  </si>
  <si>
    <t>Walldorf</t>
  </si>
  <si>
    <t>eBay</t>
  </si>
  <si>
    <t>Vroom</t>
  </si>
  <si>
    <t>Brex</t>
  </si>
  <si>
    <t>Cure.fit</t>
  </si>
  <si>
    <t>GoStudent</t>
  </si>
  <si>
    <t>Vienna</t>
  </si>
  <si>
    <t>Austria</t>
  </si>
  <si>
    <t>GoTo</t>
  </si>
  <si>
    <t>Seedr</t>
  </si>
  <si>
    <t>Riot Games</t>
  </si>
  <si>
    <t>Xendit</t>
  </si>
  <si>
    <t>Jakarta</t>
  </si>
  <si>
    <t>Indonesia</t>
  </si>
  <si>
    <t>2U</t>
  </si>
  <si>
    <t>Washington D.C.</t>
  </si>
  <si>
    <t>SolarEdge</t>
  </si>
  <si>
    <t>Wayfair</t>
  </si>
  <si>
    <t>Fashinza</t>
  </si>
  <si>
    <t>Stitch Fix</t>
  </si>
  <si>
    <t>Dallas</t>
  </si>
  <si>
    <t>YouTube</t>
  </si>
  <si>
    <t>Sirplus</t>
  </si>
  <si>
    <t>SonderMind</t>
  </si>
  <si>
    <t>First Mode</t>
  </si>
  <si>
    <t>ALI Technologies</t>
  </si>
  <si>
    <t>Thursday</t>
  </si>
  <si>
    <t>Veeam</t>
  </si>
  <si>
    <t>Columbus</t>
  </si>
  <si>
    <t>GrabCAD</t>
  </si>
  <si>
    <t>Tallinn</t>
  </si>
  <si>
    <t>Estonia</t>
  </si>
  <si>
    <t>Artifact</t>
  </si>
  <si>
    <t>Dastgyr</t>
  </si>
  <si>
    <t>Karachi</t>
  </si>
  <si>
    <t>Pakistan</t>
  </si>
  <si>
    <t>Hologram</t>
  </si>
  <si>
    <t>Vendr</t>
  </si>
  <si>
    <t>New Work SE</t>
  </si>
  <si>
    <t>Hamburg</t>
  </si>
  <si>
    <t>Playtika</t>
  </si>
  <si>
    <t>Discord</t>
  </si>
  <si>
    <t>Inmobi</t>
  </si>
  <si>
    <t>Audible</t>
  </si>
  <si>
    <t>7Shifts</t>
  </si>
  <si>
    <t>Saskatoon</t>
  </si>
  <si>
    <t>Sisense</t>
  </si>
  <si>
    <t>Cloudflare</t>
  </si>
  <si>
    <t>Certinia</t>
  </si>
  <si>
    <t>Chief</t>
  </si>
  <si>
    <t>Dextrous Robotics</t>
  </si>
  <si>
    <t>Memphis</t>
  </si>
  <si>
    <t>Citrix</t>
  </si>
  <si>
    <t>IAC</t>
  </si>
  <si>
    <t>FreshDirect</t>
  </si>
  <si>
    <t>Beam Benefits</t>
  </si>
  <si>
    <t>Instagram</t>
  </si>
  <si>
    <t>ChargePoint</t>
  </si>
  <si>
    <t>SoFi</t>
  </si>
  <si>
    <t>Twitch</t>
  </si>
  <si>
    <t>Branch</t>
  </si>
  <si>
    <t>Nevro</t>
  </si>
  <si>
    <t>FullStory</t>
  </si>
  <si>
    <t>Uber Freight</t>
  </si>
  <si>
    <t>Rent the Runway</t>
  </si>
  <si>
    <t>Treasure Financial</t>
  </si>
  <si>
    <t>Humane</t>
  </si>
  <si>
    <t>EVBox</t>
  </si>
  <si>
    <t>Morning Consult</t>
  </si>
  <si>
    <t>Trend Micro</t>
  </si>
  <si>
    <t>Unity</t>
  </si>
  <si>
    <t>Flipkart</t>
  </si>
  <si>
    <t>NuScale Power</t>
  </si>
  <si>
    <t>Corvallis</t>
  </si>
  <si>
    <t>Flexe</t>
  </si>
  <si>
    <t>Pitch</t>
  </si>
  <si>
    <t>BenchSci</t>
  </si>
  <si>
    <t>Here</t>
  </si>
  <si>
    <t>Ledger Investing</t>
  </si>
  <si>
    <t>Lendio</t>
  </si>
  <si>
    <t>MeridianLink</t>
  </si>
  <si>
    <t>LiveVox</t>
  </si>
  <si>
    <t>NanoString Technologies</t>
  </si>
  <si>
    <t>Lever</t>
  </si>
  <si>
    <t>Trigo</t>
  </si>
  <si>
    <t>InVision</t>
  </si>
  <si>
    <t>VideoAmp</t>
  </si>
  <si>
    <t>Xerox</t>
  </si>
  <si>
    <t>Norwalk</t>
  </si>
  <si>
    <t xml:space="preserve">Lazada Group </t>
  </si>
  <si>
    <t>Orca Security</t>
  </si>
  <si>
    <t>Frontdesk</t>
  </si>
  <si>
    <t>Milwaukee</t>
  </si>
  <si>
    <t>Strake</t>
  </si>
  <si>
    <t>Paytm</t>
  </si>
  <si>
    <t>Noida</t>
  </si>
  <si>
    <t>Hyperloop One</t>
  </si>
  <si>
    <t>Palmetto Clean Technology</t>
  </si>
  <si>
    <t>Charleston</t>
  </si>
  <si>
    <t>ShareChat</t>
  </si>
  <si>
    <t>InSightec</t>
  </si>
  <si>
    <t>Haifa</t>
  </si>
  <si>
    <t>Kaspien</t>
  </si>
  <si>
    <t>Enphase Energy</t>
  </si>
  <si>
    <t>Udaan</t>
  </si>
  <si>
    <t>Checkout.com</t>
  </si>
  <si>
    <t>Arm Holdings</t>
  </si>
  <si>
    <t>Shanghai</t>
  </si>
  <si>
    <t>Delivery Hero</t>
  </si>
  <si>
    <t>Jellysmack</t>
  </si>
  <si>
    <t>Superpedestrian</t>
  </si>
  <si>
    <t>Cruise</t>
  </si>
  <si>
    <t>Solarisbank</t>
  </si>
  <si>
    <t>Bolt</t>
  </si>
  <si>
    <t>Curalie</t>
  </si>
  <si>
    <t>Curbio</t>
  </si>
  <si>
    <t>Flyhomes</t>
  </si>
  <si>
    <t>Stellar Pizza</t>
  </si>
  <si>
    <t>Invitae</t>
  </si>
  <si>
    <t>Etsy</t>
  </si>
  <si>
    <t>Analog Devices</t>
  </si>
  <si>
    <t>ForgeRock</t>
  </si>
  <si>
    <t>Flex</t>
  </si>
  <si>
    <t>FourKites</t>
  </si>
  <si>
    <t>Sojern</t>
  </si>
  <si>
    <t>TomTom</t>
  </si>
  <si>
    <t>Lodz</t>
  </si>
  <si>
    <t>Jungle Scout</t>
  </si>
  <si>
    <t>SmileDirectClub</t>
  </si>
  <si>
    <t>Nashville</t>
  </si>
  <si>
    <t>Sunfolding</t>
  </si>
  <si>
    <t>Zulily</t>
  </si>
  <si>
    <t>D2iQ</t>
  </si>
  <si>
    <t>Simplilearn</t>
  </si>
  <si>
    <t>Navan</t>
  </si>
  <si>
    <t>Tidal</t>
  </si>
  <si>
    <t>ZestMoney</t>
  </si>
  <si>
    <t>Incredibuild</t>
  </si>
  <si>
    <t>Bill.com</t>
  </si>
  <si>
    <t>Contentful</t>
  </si>
  <si>
    <t>Course Hero</t>
  </si>
  <si>
    <t>Pivo</t>
  </si>
  <si>
    <t>Abuja</t>
  </si>
  <si>
    <t>Yahoo</t>
  </si>
  <si>
    <t>Spotify</t>
  </si>
  <si>
    <t>TuSimple</t>
  </si>
  <si>
    <t>Meow Wolf</t>
  </si>
  <si>
    <t>Santa Fe</t>
  </si>
  <si>
    <t>DwellWell</t>
  </si>
  <si>
    <t>Twilio</t>
  </si>
  <si>
    <t>Filmic</t>
  </si>
  <si>
    <t>Loco</t>
  </si>
  <si>
    <t>Mumbai</t>
  </si>
  <si>
    <t>Zepz</t>
  </si>
  <si>
    <t>Domo</t>
  </si>
  <si>
    <t>Mojo</t>
  </si>
  <si>
    <t>Pipedrive</t>
  </si>
  <si>
    <t>Vox Media</t>
  </si>
  <si>
    <t>Dataminr</t>
  </si>
  <si>
    <t>Multiverse</t>
  </si>
  <si>
    <t>Tier Mobility</t>
  </si>
  <si>
    <t>VMware</t>
  </si>
  <si>
    <t>Bytedance</t>
  </si>
  <si>
    <t>Veev</t>
  </si>
  <si>
    <t>Anar</t>
  </si>
  <si>
    <t>Alerzo</t>
  </si>
  <si>
    <t>Ibadan</t>
  </si>
  <si>
    <t>McMakler</t>
  </si>
  <si>
    <t>Tulip Retail</t>
  </si>
  <si>
    <t>Jodo</t>
  </si>
  <si>
    <t>C3.ai</t>
  </si>
  <si>
    <t>Presto</t>
  </si>
  <si>
    <t>Physics Wallah</t>
  </si>
  <si>
    <t>NextGen Healthcare</t>
  </si>
  <si>
    <t>St. Louis</t>
  </si>
  <si>
    <t>Buildertrend</t>
  </si>
  <si>
    <t>Omaha</t>
  </si>
  <si>
    <t>Jane</t>
  </si>
  <si>
    <t>Zazuu</t>
  </si>
  <si>
    <t>Sierra Space</t>
  </si>
  <si>
    <t>Paystack</t>
  </si>
  <si>
    <t>Beamery</t>
  </si>
  <si>
    <t>Sonos</t>
  </si>
  <si>
    <t>FintechOS</t>
  </si>
  <si>
    <t>Bucharest</t>
  </si>
  <si>
    <t>Romania</t>
  </si>
  <si>
    <t>FreshBooks</t>
  </si>
  <si>
    <t>Landing</t>
  </si>
  <si>
    <t>Birmingham</t>
  </si>
  <si>
    <t>Uleet</t>
  </si>
  <si>
    <t>Chewy</t>
  </si>
  <si>
    <t>Sarcos</t>
  </si>
  <si>
    <t>Cake Group</t>
  </si>
  <si>
    <t>Halodoc</t>
  </si>
  <si>
    <t>Markforged</t>
  </si>
  <si>
    <t>Ping Identity</t>
  </si>
  <si>
    <t>TripAdvisor</t>
  </si>
  <si>
    <t>Bowery Farming</t>
  </si>
  <si>
    <t>Carta</t>
  </si>
  <si>
    <t>Commure</t>
  </si>
  <si>
    <t>OSlash</t>
  </si>
  <si>
    <t>BigCommerce</t>
  </si>
  <si>
    <t>CloudKitchens</t>
  </si>
  <si>
    <t>Oportun</t>
  </si>
  <si>
    <t>Zillow</t>
  </si>
  <si>
    <t>Nextdoor</t>
  </si>
  <si>
    <t>Zeus Living</t>
  </si>
  <si>
    <t>Ava Labs</t>
  </si>
  <si>
    <t>Moore Threads</t>
  </si>
  <si>
    <t>Beijing</t>
  </si>
  <si>
    <t>Pico Interactive</t>
  </si>
  <si>
    <t>F5</t>
  </si>
  <si>
    <t>NIO</t>
  </si>
  <si>
    <t>OpenSea</t>
  </si>
  <si>
    <t>Viasat</t>
  </si>
  <si>
    <t>Beyond Meat</t>
  </si>
  <si>
    <t>OpenSpace</t>
  </si>
  <si>
    <t>Orchard</t>
  </si>
  <si>
    <t>Sportradar</t>
  </si>
  <si>
    <t>St. Gallen</t>
  </si>
  <si>
    <t>Switzerland</t>
  </si>
  <si>
    <t>Informatica</t>
  </si>
  <si>
    <t>Splunk</t>
  </si>
  <si>
    <t>Faire</t>
  </si>
  <si>
    <t>Sana Benefits</t>
  </si>
  <si>
    <t>Olive</t>
  </si>
  <si>
    <t>StepStone</t>
  </si>
  <si>
    <t>Hubilo</t>
  </si>
  <si>
    <t>Karat Financial</t>
  </si>
  <si>
    <t>Hippo Insurance</t>
  </si>
  <si>
    <t>Graphy</t>
  </si>
  <si>
    <t>Salsify</t>
  </si>
  <si>
    <t xml:space="preserve"> F-Secure </t>
  </si>
  <si>
    <t>Helsinki</t>
  </si>
  <si>
    <t>Virgio</t>
  </si>
  <si>
    <t>Exabeam</t>
  </si>
  <si>
    <t>Slync</t>
  </si>
  <si>
    <t>SiFive</t>
  </si>
  <si>
    <t>Pebble</t>
  </si>
  <si>
    <t>Shipt</t>
  </si>
  <si>
    <t>Parity Technologies</t>
  </si>
  <si>
    <t>Roblox China</t>
  </si>
  <si>
    <t>Shenzen</t>
  </si>
  <si>
    <t>Convoy</t>
  </si>
  <si>
    <t>Bullhorn</t>
  </si>
  <si>
    <t>LegalZoom</t>
  </si>
  <si>
    <t>Legal</t>
  </si>
  <si>
    <t>StellarAlgo</t>
  </si>
  <si>
    <t>Calgary</t>
  </si>
  <si>
    <t>ManoMano</t>
  </si>
  <si>
    <t>WeTransfer</t>
  </si>
  <si>
    <t>Plume</t>
  </si>
  <si>
    <t>Belora Paris</t>
  </si>
  <si>
    <t>Made Renovation</t>
  </si>
  <si>
    <t>Volta Trucks</t>
  </si>
  <si>
    <t>Waymo</t>
  </si>
  <si>
    <t>LinkedIn</t>
  </si>
  <si>
    <t>CityMall</t>
  </si>
  <si>
    <t>C2FO</t>
  </si>
  <si>
    <t>Kansas City</t>
  </si>
  <si>
    <t>Kayak / OpenTable</t>
  </si>
  <si>
    <t>Stamford</t>
  </si>
  <si>
    <t>Bandcamp</t>
  </si>
  <si>
    <t>Stack Overflow</t>
  </si>
  <si>
    <t>PokerStars</t>
  </si>
  <si>
    <t>Leeds</t>
  </si>
  <si>
    <t>Adda247</t>
  </si>
  <si>
    <t>Uno Health</t>
  </si>
  <si>
    <t>Qualcomm</t>
  </si>
  <si>
    <t>Lending Club</t>
  </si>
  <si>
    <t>MariaDB</t>
  </si>
  <si>
    <t>Deepgram</t>
  </si>
  <si>
    <t>Acronis</t>
  </si>
  <si>
    <t>Zurich</t>
  </si>
  <si>
    <t>Neon</t>
  </si>
  <si>
    <t>Sao Paulo</t>
  </si>
  <si>
    <t>Brazil</t>
  </si>
  <si>
    <t>Blue Origin</t>
  </si>
  <si>
    <t>Braid</t>
  </si>
  <si>
    <t>Product Hunt</t>
  </si>
  <si>
    <t>VTrips</t>
  </si>
  <si>
    <t>Jacksonville</t>
  </si>
  <si>
    <t>Juniper Networks</t>
  </si>
  <si>
    <t>InvestCloud</t>
  </si>
  <si>
    <t>Brave</t>
  </si>
  <si>
    <t>Dash</t>
  </si>
  <si>
    <t>Shift</t>
  </si>
  <si>
    <t>Yuga Labs</t>
  </si>
  <si>
    <t>Bizongo</t>
  </si>
  <si>
    <t>SchoolMint</t>
  </si>
  <si>
    <t>Arrival</t>
  </si>
  <si>
    <t>Ledger</t>
  </si>
  <si>
    <t>Qualtrics</t>
  </si>
  <si>
    <t>Hopper</t>
  </si>
  <si>
    <t>Bird</t>
  </si>
  <si>
    <t>Dare</t>
  </si>
  <si>
    <t>Sendoso</t>
  </si>
  <si>
    <t>Chainalysis</t>
  </si>
  <si>
    <t>Synapse</t>
  </si>
  <si>
    <t>Chia Network</t>
  </si>
  <si>
    <t>IronNet</t>
  </si>
  <si>
    <t>Sono Motors</t>
  </si>
  <si>
    <t>Cowbell</t>
  </si>
  <si>
    <t>N26</t>
  </si>
  <si>
    <t>Andgo</t>
  </si>
  <si>
    <t>Vendasta</t>
  </si>
  <si>
    <t>Epic Games</t>
  </si>
  <si>
    <t>Raleigh</t>
  </si>
  <si>
    <t>Lululemon Studio</t>
  </si>
  <si>
    <t>Fit Analytics</t>
  </si>
  <si>
    <t>Fi.Money</t>
  </si>
  <si>
    <t>Dunzo</t>
  </si>
  <si>
    <t>Talkdesk</t>
  </si>
  <si>
    <t>Lucid Software</t>
  </si>
  <si>
    <t>Eat Just</t>
  </si>
  <si>
    <t>Appsmith</t>
  </si>
  <si>
    <t>Roblox</t>
  </si>
  <si>
    <t>Foodpanda</t>
  </si>
  <si>
    <t>Recast</t>
  </si>
  <si>
    <t>Edinburgh</t>
  </si>
  <si>
    <t>DealShare</t>
  </si>
  <si>
    <t>Merative</t>
  </si>
  <si>
    <t>Robinhood</t>
  </si>
  <si>
    <t>Akudo</t>
  </si>
  <si>
    <t>Outreach</t>
  </si>
  <si>
    <t>Truss Works</t>
  </si>
  <si>
    <t>Nowadays</t>
  </si>
  <si>
    <t>Hooray Foods</t>
  </si>
  <si>
    <t>Sage Therapeutics copy</t>
  </si>
  <si>
    <t>7shifts</t>
  </si>
  <si>
    <t>Velocity</t>
  </si>
  <si>
    <t>Airtable</t>
  </si>
  <si>
    <t>Project44</t>
  </si>
  <si>
    <t>R3</t>
  </si>
  <si>
    <t>Akili Labs</t>
  </si>
  <si>
    <t>Evolve</t>
  </si>
  <si>
    <t>Binance.US</t>
  </si>
  <si>
    <t>Paper</t>
  </si>
  <si>
    <t>Homeday</t>
  </si>
  <si>
    <t>At-Bay</t>
  </si>
  <si>
    <t>Eurora</t>
  </si>
  <si>
    <t>Chargebee</t>
  </si>
  <si>
    <t>Divvy Homes</t>
  </si>
  <si>
    <t>Grabango</t>
  </si>
  <si>
    <t xml:space="preserve">Bonterra </t>
  </si>
  <si>
    <t>Mollie</t>
  </si>
  <si>
    <t>Oyster</t>
  </si>
  <si>
    <t>Charlotte</t>
  </si>
  <si>
    <t>Sensor Tower</t>
  </si>
  <si>
    <t>Drift</t>
  </si>
  <si>
    <t>Hijra</t>
  </si>
  <si>
    <t>Roku</t>
  </si>
  <si>
    <t>ForeScout</t>
  </si>
  <si>
    <t>Better.com</t>
  </si>
  <si>
    <t>iSpecimen</t>
  </si>
  <si>
    <t>MaxMilhas</t>
  </si>
  <si>
    <t>Belo Horizonte</t>
  </si>
  <si>
    <t>Absci</t>
  </si>
  <si>
    <t>Hodinkee</t>
  </si>
  <si>
    <t>Talent.com</t>
  </si>
  <si>
    <t>mPharma</t>
  </si>
  <si>
    <t>Accra</t>
  </si>
  <si>
    <t>Ghana</t>
  </si>
  <si>
    <t>Xolo</t>
  </si>
  <si>
    <t>Nexar</t>
  </si>
  <si>
    <t>Khatabook</t>
  </si>
  <si>
    <t>Clearcover</t>
  </si>
  <si>
    <t>Gated</t>
  </si>
  <si>
    <t>Lunchtime</t>
  </si>
  <si>
    <t>Pegasystems</t>
  </si>
  <si>
    <t>Biofourmis</t>
  </si>
  <si>
    <t>Malwarebytes</t>
  </si>
  <si>
    <t>SkyKick</t>
  </si>
  <si>
    <t>Omuni</t>
  </si>
  <si>
    <t>Kenko Health</t>
  </si>
  <si>
    <t>Huma</t>
  </si>
  <si>
    <t>Zeplin</t>
  </si>
  <si>
    <t>123Milhas</t>
  </si>
  <si>
    <t>Zebra Technologies</t>
  </si>
  <si>
    <t>CoinSwitch</t>
  </si>
  <si>
    <t>Clockwork</t>
  </si>
  <si>
    <t>SenseTime</t>
  </si>
  <si>
    <t>Hong Kong</t>
  </si>
  <si>
    <t>HackerRank</t>
  </si>
  <si>
    <t>Cuemath</t>
  </si>
  <si>
    <t>Fortinet</t>
  </si>
  <si>
    <t>Captiv8</t>
  </si>
  <si>
    <t>Chingari</t>
  </si>
  <si>
    <t>Atlas</t>
  </si>
  <si>
    <t>Veriff</t>
  </si>
  <si>
    <t>BlackLine</t>
  </si>
  <si>
    <t>Rivos</t>
  </si>
  <si>
    <t>Cellulant</t>
  </si>
  <si>
    <t>Nairobi</t>
  </si>
  <si>
    <t>Kenya</t>
  </si>
  <si>
    <t>JOIN</t>
  </si>
  <si>
    <t>CoinDCX</t>
  </si>
  <si>
    <t>Datagen</t>
  </si>
  <si>
    <t>Hypefast</t>
  </si>
  <si>
    <t>Tempo Automation</t>
  </si>
  <si>
    <t>Recur</t>
  </si>
  <si>
    <t>Unite Us</t>
  </si>
  <si>
    <t>Twiga</t>
  </si>
  <si>
    <t>Spartan Poker</t>
  </si>
  <si>
    <t>Kolkata</t>
  </si>
  <si>
    <t xml:space="preserve">Times Internet </t>
  </si>
  <si>
    <t>Detectify</t>
  </si>
  <si>
    <t>Embrace</t>
  </si>
  <si>
    <t>Zylo</t>
  </si>
  <si>
    <t>Indianapolis</t>
  </si>
  <si>
    <t>AppFolio</t>
  </si>
  <si>
    <t>StreamElements</t>
  </si>
  <si>
    <t>FlexCar</t>
  </si>
  <si>
    <t>Noice</t>
  </si>
  <si>
    <t>SecureWorks</t>
  </si>
  <si>
    <t>Easee</t>
  </si>
  <si>
    <t>Sandnes</t>
  </si>
  <si>
    <t>CoinDesk</t>
  </si>
  <si>
    <t>iQiyi Smart</t>
  </si>
  <si>
    <t>LingoAce</t>
  </si>
  <si>
    <t>Shutterfly</t>
  </si>
  <si>
    <t>SHINE Technologies</t>
  </si>
  <si>
    <t>Hike</t>
  </si>
  <si>
    <t>NCC Group</t>
  </si>
  <si>
    <t>Blend</t>
  </si>
  <si>
    <t>Niantic</t>
  </si>
  <si>
    <t>Babylon Health</t>
  </si>
  <si>
    <t>Dealtale</t>
  </si>
  <si>
    <t>Bukalapak</t>
  </si>
  <si>
    <t>Podium</t>
  </si>
  <si>
    <t>Quizy</t>
  </si>
  <si>
    <t>StyleSeat</t>
  </si>
  <si>
    <t>Thoughtworks</t>
  </si>
  <si>
    <t>Rapid7</t>
  </si>
  <si>
    <t>MPL</t>
  </si>
  <si>
    <t>Doximity</t>
  </si>
  <si>
    <t>23andMe</t>
  </si>
  <si>
    <t>Caliva</t>
  </si>
  <si>
    <t>Sendy</t>
  </si>
  <si>
    <t>Verse</t>
  </si>
  <si>
    <t>Qomplx</t>
  </si>
  <si>
    <t>CodeClan</t>
  </si>
  <si>
    <t>Astra</t>
  </si>
  <si>
    <t>Big Cabal Media</t>
  </si>
  <si>
    <t>Bardee</t>
  </si>
  <si>
    <t>Melbourne</t>
  </si>
  <si>
    <t>Aware</t>
  </si>
  <si>
    <t>Ayoconnect</t>
  </si>
  <si>
    <t>Finastra</t>
  </si>
  <si>
    <t>Spinny</t>
  </si>
  <si>
    <t>Tekion</t>
  </si>
  <si>
    <t>BetterUp</t>
  </si>
  <si>
    <t>Augury</t>
  </si>
  <si>
    <t>Gem</t>
  </si>
  <si>
    <t>Gupy</t>
  </si>
  <si>
    <t>FamPay</t>
  </si>
  <si>
    <t>Actyv.ai</t>
  </si>
  <si>
    <t>ConnectedH</t>
  </si>
  <si>
    <t>DICE</t>
  </si>
  <si>
    <t>HackerOne</t>
  </si>
  <si>
    <t>Silofit</t>
  </si>
  <si>
    <t>Vesttoo</t>
  </si>
  <si>
    <t>Planet</t>
  </si>
  <si>
    <t>Archipelago</t>
  </si>
  <si>
    <t>Increff</t>
  </si>
  <si>
    <t>inDrive</t>
  </si>
  <si>
    <t xml:space="preserve">Outreach </t>
  </si>
  <si>
    <t>Qoala</t>
  </si>
  <si>
    <t>Fable</t>
  </si>
  <si>
    <t>Cambricon</t>
  </si>
  <si>
    <t>Kape Technologies</t>
  </si>
  <si>
    <t>Eroad</t>
  </si>
  <si>
    <t>Auckland</t>
  </si>
  <si>
    <t>New Zealand</t>
  </si>
  <si>
    <t>Kape</t>
  </si>
  <si>
    <t>Homology</t>
  </si>
  <si>
    <t>Milkbasket</t>
  </si>
  <si>
    <t>Wish</t>
  </si>
  <si>
    <t>Point</t>
  </si>
  <si>
    <t>Akseleran</t>
  </si>
  <si>
    <t>Datree</t>
  </si>
  <si>
    <t>Degreed</t>
  </si>
  <si>
    <t>Copia</t>
  </si>
  <si>
    <t>Figure</t>
  </si>
  <si>
    <t>Calendly</t>
  </si>
  <si>
    <t>Myntra</t>
  </si>
  <si>
    <t>Kleos Space</t>
  </si>
  <si>
    <t>Luxembourg</t>
  </si>
  <si>
    <t>Ripl</t>
  </si>
  <si>
    <t>Deep Instict</t>
  </si>
  <si>
    <t>Pluralsight</t>
  </si>
  <si>
    <t>AppHarvest</t>
  </si>
  <si>
    <t>Lexington</t>
  </si>
  <si>
    <t>Arive</t>
  </si>
  <si>
    <t>Onfido</t>
  </si>
  <si>
    <t>PathAI</t>
  </si>
  <si>
    <t>Bundle Africa</t>
  </si>
  <si>
    <t>Viaplay</t>
  </si>
  <si>
    <t>Stoa</t>
  </si>
  <si>
    <t>MiQ</t>
  </si>
  <si>
    <t>Phunware</t>
  </si>
  <si>
    <t>Saarthi.ai</t>
  </si>
  <si>
    <t>AgentSync</t>
  </si>
  <si>
    <t>Inspirato</t>
  </si>
  <si>
    <t>Tilia</t>
  </si>
  <si>
    <t>Blue Apron</t>
  </si>
  <si>
    <t>Cameo</t>
  </si>
  <si>
    <t>Square Roots</t>
  </si>
  <si>
    <t>Code42</t>
  </si>
  <si>
    <t>Ezoic</t>
  </si>
  <si>
    <t>Lamudi Indonesia</t>
  </si>
  <si>
    <t>Binance</t>
  </si>
  <si>
    <t>PayScale</t>
  </si>
  <si>
    <t>Navi Technologies</t>
  </si>
  <si>
    <t>Skill Lync</t>
  </si>
  <si>
    <t>AudioCodes</t>
  </si>
  <si>
    <t>Deepwatch</t>
  </si>
  <si>
    <t>Centr</t>
  </si>
  <si>
    <t>Factorial</t>
  </si>
  <si>
    <t>Bark</t>
  </si>
  <si>
    <t>Khoros</t>
  </si>
  <si>
    <t>Netlify</t>
  </si>
  <si>
    <t>SAS</t>
  </si>
  <si>
    <t>Dapper Labs</t>
  </si>
  <si>
    <t>DeepVerge</t>
  </si>
  <si>
    <t>Freightos</t>
  </si>
  <si>
    <t>Circle</t>
  </si>
  <si>
    <t>CyberGRX</t>
  </si>
  <si>
    <t>Duck Creek Technologies</t>
  </si>
  <si>
    <t>Matterport</t>
  </si>
  <si>
    <t>Everquote</t>
  </si>
  <si>
    <t>Evansville</t>
  </si>
  <si>
    <t>Built Technologies</t>
  </si>
  <si>
    <t>Butterfly Network copy</t>
  </si>
  <si>
    <t>Dukaan</t>
  </si>
  <si>
    <t>Jasper</t>
  </si>
  <si>
    <t>FrontRow</t>
  </si>
  <si>
    <t>IntelyCare</t>
  </si>
  <si>
    <t>Latch</t>
  </si>
  <si>
    <t>Motive</t>
  </si>
  <si>
    <t>Medsaf</t>
  </si>
  <si>
    <t>Evernote</t>
  </si>
  <si>
    <t>PaulCamper</t>
  </si>
  <si>
    <t>Trellix</t>
  </si>
  <si>
    <t>Amdocs</t>
  </si>
  <si>
    <t>FNZ</t>
  </si>
  <si>
    <t>Perfect Day</t>
  </si>
  <si>
    <t>Solidigm</t>
  </si>
  <si>
    <t>TytoCare</t>
  </si>
  <si>
    <t>Circles.Life</t>
  </si>
  <si>
    <t>ConnectRN</t>
  </si>
  <si>
    <t>Crunchbase</t>
  </si>
  <si>
    <t>DayTwo</t>
  </si>
  <si>
    <t>Athennian</t>
  </si>
  <si>
    <t>Vista Group</t>
  </si>
  <si>
    <t>Highsnobiety</t>
  </si>
  <si>
    <t>Zip</t>
  </si>
  <si>
    <t>Buzzer</t>
  </si>
  <si>
    <t>Lunya</t>
  </si>
  <si>
    <t>MediaMath</t>
  </si>
  <si>
    <t>Petal</t>
  </si>
  <si>
    <t>Headspace</t>
  </si>
  <si>
    <t>Artsy</t>
  </si>
  <si>
    <t>Candy Digital</t>
  </si>
  <si>
    <t>Xiaomi India</t>
  </si>
  <si>
    <t>Torii</t>
  </si>
  <si>
    <t>Ra'anana</t>
  </si>
  <si>
    <t>Insider Intelligence</t>
  </si>
  <si>
    <t>Merama</t>
  </si>
  <si>
    <t>Mexico City</t>
  </si>
  <si>
    <t>Mexico</t>
  </si>
  <si>
    <t>Qyuki</t>
  </si>
  <si>
    <t>Stripe</t>
  </si>
  <si>
    <t>Series I</t>
  </si>
  <si>
    <t>Vowel</t>
  </si>
  <si>
    <t>ClickUp</t>
  </si>
  <si>
    <t>Ludia</t>
  </si>
  <si>
    <t>Karat</t>
  </si>
  <si>
    <t>Plex</t>
  </si>
  <si>
    <t>Starburst</t>
  </si>
  <si>
    <t>Zapier</t>
  </si>
  <si>
    <t>Selina</t>
  </si>
  <si>
    <t>Tibber</t>
  </si>
  <si>
    <t>F√∏rde</t>
  </si>
  <si>
    <t>ClearPay</t>
  </si>
  <si>
    <t>Eyowo</t>
  </si>
  <si>
    <t>Honor</t>
  </si>
  <si>
    <t>Lordstown Motors</t>
  </si>
  <si>
    <t>Waze</t>
  </si>
  <si>
    <t>Payoneer</t>
  </si>
  <si>
    <t>IRL</t>
  </si>
  <si>
    <t>Retool</t>
  </si>
  <si>
    <t>Anaplan</t>
  </si>
  <si>
    <t>Uber</t>
  </si>
  <si>
    <t>Tackle.io</t>
  </si>
  <si>
    <t>Ritual</t>
  </si>
  <si>
    <t>Friday Health Plans</t>
  </si>
  <si>
    <t>Alamosa</t>
  </si>
  <si>
    <t>Mutiny</t>
  </si>
  <si>
    <t>Grab</t>
  </si>
  <si>
    <t>OLX Group</t>
  </si>
  <si>
    <t>AvantStay</t>
  </si>
  <si>
    <t>Karakuki</t>
  </si>
  <si>
    <t>Panther</t>
  </si>
  <si>
    <t>Fuzzy</t>
  </si>
  <si>
    <t>Mojocare</t>
  </si>
  <si>
    <t>Nikola</t>
  </si>
  <si>
    <t>Pilot</t>
  </si>
  <si>
    <t>Karshare</t>
  </si>
  <si>
    <t>CareRev</t>
  </si>
  <si>
    <t>TADA</t>
  </si>
  <si>
    <t>Seoul</t>
  </si>
  <si>
    <t>South Korea</t>
  </si>
  <si>
    <t>Cerner</t>
  </si>
  <si>
    <t>Bitwise</t>
  </si>
  <si>
    <t>TrueCar</t>
  </si>
  <si>
    <t>Olo</t>
  </si>
  <si>
    <t>Mamaearth</t>
  </si>
  <si>
    <t>Western Digital</t>
  </si>
  <si>
    <t>JupiterOne</t>
  </si>
  <si>
    <t>Zalando</t>
  </si>
  <si>
    <t>Grubhub</t>
  </si>
  <si>
    <t>GoCardless</t>
  </si>
  <si>
    <t>Pendo</t>
  </si>
  <si>
    <t>Chegg</t>
  </si>
  <si>
    <t>dot.LA</t>
  </si>
  <si>
    <t>TaxBit</t>
  </si>
  <si>
    <t>Tiki</t>
  </si>
  <si>
    <t>Trybe</t>
  </si>
  <si>
    <t>Expel</t>
  </si>
  <si>
    <t>Cityblock Health</t>
  </si>
  <si>
    <t>Highspot</t>
  </si>
  <si>
    <t>Cohesity</t>
  </si>
  <si>
    <t>Freshworks</t>
  </si>
  <si>
    <t>Opora</t>
  </si>
  <si>
    <t>Nubank</t>
  </si>
  <si>
    <t>Sumo Logic</t>
  </si>
  <si>
    <t>Flatiron Health</t>
  </si>
  <si>
    <t>HashiCorp</t>
  </si>
  <si>
    <t>Ursa Major</t>
  </si>
  <si>
    <t>Coherent</t>
  </si>
  <si>
    <t>Reddit</t>
  </si>
  <si>
    <t>Linktree</t>
  </si>
  <si>
    <t>Dragos</t>
  </si>
  <si>
    <t>Mara</t>
  </si>
  <si>
    <t>Bunnii</t>
  </si>
  <si>
    <t>Azibo</t>
  </si>
  <si>
    <t>Reno</t>
  </si>
  <si>
    <t>Meati Foods</t>
  </si>
  <si>
    <t>ZoomInfo</t>
  </si>
  <si>
    <t>Staffbase</t>
  </si>
  <si>
    <t>Chemnitz</t>
  </si>
  <si>
    <t>Zume</t>
  </si>
  <si>
    <t>Haven Technologies</t>
  </si>
  <si>
    <t>Mural</t>
  </si>
  <si>
    <t>Glamyo Health</t>
  </si>
  <si>
    <t>Outbrain</t>
  </si>
  <si>
    <t>CloudTrucks</t>
  </si>
  <si>
    <t>CoachHub</t>
  </si>
  <si>
    <t>Fractal Software</t>
  </si>
  <si>
    <t>SentinelOne</t>
  </si>
  <si>
    <t>SmartAsset</t>
  </si>
  <si>
    <t>Zendesk</t>
  </si>
  <si>
    <t>ZipRecruiter</t>
  </si>
  <si>
    <t>Mux</t>
  </si>
  <si>
    <t>Taxfix</t>
  </si>
  <si>
    <t>Mensa Brands</t>
  </si>
  <si>
    <t>Coupa</t>
  </si>
  <si>
    <t>Nansen</t>
  </si>
  <si>
    <t>PacketFabric</t>
  </si>
  <si>
    <t>DHI Group</t>
  </si>
  <si>
    <t>BenevolentAI</t>
  </si>
  <si>
    <t>Circus Kitchens</t>
  </si>
  <si>
    <t>Kabam</t>
  </si>
  <si>
    <t>WillowTree</t>
  </si>
  <si>
    <t>Charlottesville</t>
  </si>
  <si>
    <t>Flink</t>
  </si>
  <si>
    <t>Kfar Saba</t>
  </si>
  <si>
    <t>Alibaba Cloud</t>
  </si>
  <si>
    <t>Hangzhou</t>
  </si>
  <si>
    <t>Brainly</t>
  </si>
  <si>
    <t>Reliance JioMart</t>
  </si>
  <si>
    <t>SoundCloud</t>
  </si>
  <si>
    <t>Tractable</t>
  </si>
  <si>
    <t>Daylight</t>
  </si>
  <si>
    <t>FemTech Health</t>
  </si>
  <si>
    <t>Houston</t>
  </si>
  <si>
    <t>Paperless Parts</t>
  </si>
  <si>
    <t>Nuance Communications</t>
  </si>
  <si>
    <t>Moss</t>
  </si>
  <si>
    <t>Pie Insurance</t>
  </si>
  <si>
    <t>Clearbit</t>
  </si>
  <si>
    <t>dbt Labs</t>
  </si>
  <si>
    <t>L1ght</t>
  </si>
  <si>
    <t>Nextbite</t>
  </si>
  <si>
    <t>Formstack</t>
  </si>
  <si>
    <t>Lemonade</t>
  </si>
  <si>
    <t>DroneUp</t>
  </si>
  <si>
    <t>Norfolk</t>
  </si>
  <si>
    <t>Quanto</t>
  </si>
  <si>
    <t>Cana</t>
  </si>
  <si>
    <t>Nuro</t>
  </si>
  <si>
    <t>Telenav</t>
  </si>
  <si>
    <t>Cluj-Napoca</t>
  </si>
  <si>
    <t>Happay</t>
  </si>
  <si>
    <t>Slickdeals</t>
  </si>
  <si>
    <t>Las Vegas</t>
  </si>
  <si>
    <t>Toothsi</t>
  </si>
  <si>
    <t>Everlaw</t>
  </si>
  <si>
    <t>Tessera</t>
  </si>
  <si>
    <t>Varo</t>
  </si>
  <si>
    <t>CS Disco</t>
  </si>
  <si>
    <t>Redbubble</t>
  </si>
  <si>
    <t>Similarweb</t>
  </si>
  <si>
    <t>Akamai</t>
  </si>
  <si>
    <t>Sonatype</t>
  </si>
  <si>
    <t>Marqeta</t>
  </si>
  <si>
    <t>Momentis Surgical</t>
  </si>
  <si>
    <t>Glean AI</t>
  </si>
  <si>
    <t>Everledger</t>
  </si>
  <si>
    <t>Brisbane</t>
  </si>
  <si>
    <t>Twist Bioscience</t>
  </si>
  <si>
    <t>Meesho</t>
  </si>
  <si>
    <t>Teachmint</t>
  </si>
  <si>
    <t>Eventus</t>
  </si>
  <si>
    <t>Shopify</t>
  </si>
  <si>
    <t>Sabre</t>
  </si>
  <si>
    <t>Scribe Media</t>
  </si>
  <si>
    <t>Autograph</t>
  </si>
  <si>
    <t>Earnix</t>
  </si>
  <si>
    <t>Karma</t>
  </si>
  <si>
    <t>Glassbox</t>
  </si>
  <si>
    <t>Upwork</t>
  </si>
  <si>
    <t>Cars24</t>
  </si>
  <si>
    <t>Brightcove</t>
  </si>
  <si>
    <t>Healthy.io</t>
  </si>
  <si>
    <t>Zymergen</t>
  </si>
  <si>
    <t>TheSkimm</t>
  </si>
  <si>
    <t>Brightline</t>
  </si>
  <si>
    <t>Bishop Fox</t>
  </si>
  <si>
    <t>Zoomo</t>
  </si>
  <si>
    <t>Vallai</t>
  </si>
  <si>
    <t>Lev</t>
  </si>
  <si>
    <t>PharmEasy</t>
  </si>
  <si>
    <t>Vah Vah!</t>
  </si>
  <si>
    <t>Cogito</t>
  </si>
  <si>
    <t>Embark Vet</t>
  </si>
  <si>
    <t>Poparazzi</t>
  </si>
  <si>
    <t>Providoor</t>
  </si>
  <si>
    <t>Dropbox</t>
  </si>
  <si>
    <t>Alteryx</t>
  </si>
  <si>
    <t>Greenhouse</t>
  </si>
  <si>
    <t>Rebellion Defense</t>
  </si>
  <si>
    <t>Poppulo</t>
  </si>
  <si>
    <t>Megaport</t>
  </si>
  <si>
    <t>Airtasker</t>
  </si>
  <si>
    <t>Tickertape</t>
  </si>
  <si>
    <t>Clubhouse</t>
  </si>
  <si>
    <t>Oddle</t>
  </si>
  <si>
    <t>Extramarks</t>
  </si>
  <si>
    <t>Teampay</t>
  </si>
  <si>
    <t>RenoRun</t>
  </si>
  <si>
    <t>Rapid</t>
  </si>
  <si>
    <t>Red Hat</t>
  </si>
  <si>
    <t>BigPanda</t>
  </si>
  <si>
    <t>Lyft</t>
  </si>
  <si>
    <t>Benchling</t>
  </si>
  <si>
    <t>Koo</t>
  </si>
  <si>
    <t>Open</t>
  </si>
  <si>
    <t>Gloat</t>
  </si>
  <si>
    <t>Insider</t>
  </si>
  <si>
    <t>Iress</t>
  </si>
  <si>
    <t>Lenovo</t>
  </si>
  <si>
    <t>WalkMe</t>
  </si>
  <si>
    <t>Opendoor</t>
  </si>
  <si>
    <t>Noon</t>
  </si>
  <si>
    <t>Riyadh</t>
  </si>
  <si>
    <t>Saudi Arabia</t>
  </si>
  <si>
    <t>Culture Amp</t>
  </si>
  <si>
    <t>TRM Labs</t>
  </si>
  <si>
    <t>CoLab</t>
  </si>
  <si>
    <t>Ten Square Games</t>
  </si>
  <si>
    <t>Wroc≈Çaw</t>
  </si>
  <si>
    <t>Ynsect</t>
  </si>
  <si>
    <t>Kumu</t>
  </si>
  <si>
    <t>Manila</t>
  </si>
  <si>
    <t>Philippines</t>
  </si>
  <si>
    <t>Utopia Music</t>
  </si>
  <si>
    <t>Zug</t>
  </si>
  <si>
    <t>Quadream</t>
  </si>
  <si>
    <t>Drip Capital</t>
  </si>
  <si>
    <t>Community Gaming</t>
  </si>
  <si>
    <t>Calibrate</t>
  </si>
  <si>
    <t>OpenClassrooms</t>
  </si>
  <si>
    <t>Sayurbox</t>
  </si>
  <si>
    <t>Snyk</t>
  </si>
  <si>
    <t>Astronomer</t>
  </si>
  <si>
    <t>Cincinnati</t>
  </si>
  <si>
    <t>Bluepad</t>
  </si>
  <si>
    <t>Heygo</t>
  </si>
  <si>
    <t>Lazerpay</t>
  </si>
  <si>
    <t>Mediafly</t>
  </si>
  <si>
    <t>Science 37</t>
  </si>
  <si>
    <t>Medtronic</t>
  </si>
  <si>
    <t>Milkrun</t>
  </si>
  <si>
    <t>Redfin</t>
  </si>
  <si>
    <t>Permutive</t>
  </si>
  <si>
    <t>Examedi</t>
  </si>
  <si>
    <t>Acxiom</t>
  </si>
  <si>
    <t>Little Rock</t>
  </si>
  <si>
    <t>Euler Motors</t>
  </si>
  <si>
    <t>Reforge</t>
  </si>
  <si>
    <t>Nori</t>
  </si>
  <si>
    <t>Practo</t>
  </si>
  <si>
    <t>Pear Therapeutics</t>
  </si>
  <si>
    <t>Workit Health</t>
  </si>
  <si>
    <t>Absolute Software</t>
  </si>
  <si>
    <t>Avocargo</t>
  </si>
  <si>
    <t>Amplitude</t>
  </si>
  <si>
    <t>1K Kirana</t>
  </si>
  <si>
    <t>Foundation Medicine</t>
  </si>
  <si>
    <t>Boost</t>
  </si>
  <si>
    <t>Cin7</t>
  </si>
  <si>
    <t>Hyland Software</t>
  </si>
  <si>
    <t>Cleveland</t>
  </si>
  <si>
    <t>View</t>
  </si>
  <si>
    <t>Guideline</t>
  </si>
  <si>
    <t>Domestika</t>
  </si>
  <si>
    <t>Airbyte</t>
  </si>
  <si>
    <t>Hulu</t>
  </si>
  <si>
    <t>LendingTree</t>
  </si>
  <si>
    <t>FanClash</t>
  </si>
  <si>
    <t>Loop</t>
  </si>
  <si>
    <t>Crossbeam</t>
  </si>
  <si>
    <t>AnswerLab</t>
  </si>
  <si>
    <t>Endowus</t>
  </si>
  <si>
    <t>GoodWorker</t>
  </si>
  <si>
    <t>Kyndryl</t>
  </si>
  <si>
    <t>Nowports</t>
  </si>
  <si>
    <t>Monterrey</t>
  </si>
  <si>
    <t>Unacademy</t>
  </si>
  <si>
    <t>CoverMyMeds</t>
  </si>
  <si>
    <t>Seagate</t>
  </si>
  <si>
    <t>iCAD</t>
  </si>
  <si>
    <t>Nashua</t>
  </si>
  <si>
    <t>Anyline</t>
  </si>
  <si>
    <t>OnePipe</t>
  </si>
  <si>
    <t>Blue Nile</t>
  </si>
  <si>
    <t>AEye</t>
  </si>
  <si>
    <t>Rackspace</t>
  </si>
  <si>
    <t>San Antonio</t>
  </si>
  <si>
    <t>Better Therapeutics</t>
  </si>
  <si>
    <t>Aspiration</t>
  </si>
  <si>
    <t>The Meet Group</t>
  </si>
  <si>
    <t>New Hope</t>
  </si>
  <si>
    <t>Cimpress</t>
  </si>
  <si>
    <t>TakeOff</t>
  </si>
  <si>
    <t>Kyiv</t>
  </si>
  <si>
    <t>Ukraine</t>
  </si>
  <si>
    <t>Slite</t>
  </si>
  <si>
    <t>Logitech</t>
  </si>
  <si>
    <t>Geneva</t>
  </si>
  <si>
    <t>Glassdoor</t>
  </si>
  <si>
    <t>Wejo</t>
  </si>
  <si>
    <t>Chester</t>
  </si>
  <si>
    <t>Copper</t>
  </si>
  <si>
    <t>Rewind</t>
  </si>
  <si>
    <t>Roofstock</t>
  </si>
  <si>
    <t>Just Eat</t>
  </si>
  <si>
    <t>Marvell</t>
  </si>
  <si>
    <t>Workhuman</t>
  </si>
  <si>
    <t>Xing</t>
  </si>
  <si>
    <t>Mr Yum</t>
  </si>
  <si>
    <t>Smallcase</t>
  </si>
  <si>
    <t>GAMURS Group</t>
  </si>
  <si>
    <t>Laybuy</t>
  </si>
  <si>
    <t>Huuuge Games</t>
  </si>
  <si>
    <t>Warsaw</t>
  </si>
  <si>
    <t>Livspace</t>
  </si>
  <si>
    <t>Symend</t>
  </si>
  <si>
    <t>Candor Technology</t>
  </si>
  <si>
    <t>Runtastic</t>
  </si>
  <si>
    <t>Linz</t>
  </si>
  <si>
    <t>Leafly</t>
  </si>
  <si>
    <t>Bonusly</t>
  </si>
  <si>
    <t>Klaviyo</t>
  </si>
  <si>
    <t>Boxed</t>
  </si>
  <si>
    <t>TradeWindow</t>
  </si>
  <si>
    <t>Hometap</t>
  </si>
  <si>
    <t>Fetch</t>
  </si>
  <si>
    <t>Madison</t>
  </si>
  <si>
    <t>Anchorage Digital</t>
  </si>
  <si>
    <t>Avidbots</t>
  </si>
  <si>
    <t>Kitchener</t>
  </si>
  <si>
    <t>Samsung</t>
  </si>
  <si>
    <t>Kaleidoscope</t>
  </si>
  <si>
    <t>GoTo Group</t>
  </si>
  <si>
    <t>Cookpad</t>
  </si>
  <si>
    <t>Xero</t>
  </si>
  <si>
    <t>Wellington</t>
  </si>
  <si>
    <t>Shopee</t>
  </si>
  <si>
    <t>Wave Financial</t>
  </si>
  <si>
    <t>Morning Brew</t>
  </si>
  <si>
    <t>Neoleukin Therapeutics</t>
  </si>
  <si>
    <t>Toucan</t>
  </si>
  <si>
    <t>Appcues</t>
  </si>
  <si>
    <t>Catch</t>
  </si>
  <si>
    <t>RDX Works</t>
  </si>
  <si>
    <t>Take-Two Interactive</t>
  </si>
  <si>
    <t>Atlassian</t>
  </si>
  <si>
    <t>UKG</t>
  </si>
  <si>
    <t>UpGrad</t>
  </si>
  <si>
    <t>HomeLane</t>
  </si>
  <si>
    <t>Ankorstore</t>
  </si>
  <si>
    <t>No Fluff Jobs</t>
  </si>
  <si>
    <t>Gydnia</t>
  </si>
  <si>
    <t>Loft</t>
  </si>
  <si>
    <t>Embark Trucks</t>
  </si>
  <si>
    <t>Lendi</t>
  </si>
  <si>
    <t>UserTesting</t>
  </si>
  <si>
    <t>Airbnb</t>
  </si>
  <si>
    <t>Accolade</t>
  </si>
  <si>
    <t>Zscaler</t>
  </si>
  <si>
    <t>MasterClass</t>
  </si>
  <si>
    <t>Ambev Tech</t>
  </si>
  <si>
    <t>Blumenau</t>
  </si>
  <si>
    <t>Fittr</t>
  </si>
  <si>
    <t>CNET</t>
  </si>
  <si>
    <t>Comparis</t>
  </si>
  <si>
    <t>Kandela</t>
  </si>
  <si>
    <t>Truckstop.com</t>
  </si>
  <si>
    <t>iFood</t>
  </si>
  <si>
    <t>Color Health</t>
  </si>
  <si>
    <t>PayFit</t>
  </si>
  <si>
    <t>Yellow.ai</t>
  </si>
  <si>
    <t>Protego Trust Bank</t>
  </si>
  <si>
    <t>Baton Rouge</t>
  </si>
  <si>
    <t>Eventbrite</t>
  </si>
  <si>
    <t>DUX Education</t>
  </si>
  <si>
    <t>Cerebral</t>
  </si>
  <si>
    <t>Amount</t>
  </si>
  <si>
    <t>Palantir</t>
  </si>
  <si>
    <t>Stytch</t>
  </si>
  <si>
    <t>BitSight</t>
  </si>
  <si>
    <t>Twitter</t>
  </si>
  <si>
    <t>Ericsson</t>
  </si>
  <si>
    <t>SAP Labs</t>
  </si>
  <si>
    <t>Velodyne Lidar</t>
  </si>
  <si>
    <t>Medallia</t>
  </si>
  <si>
    <t>Lucira Health</t>
  </si>
  <si>
    <t>Stax</t>
  </si>
  <si>
    <t>EQRx</t>
  </si>
  <si>
    <t>Poshmark</t>
  </si>
  <si>
    <t>OneFootball</t>
  </si>
  <si>
    <t>The Iconic</t>
  </si>
  <si>
    <t>EVgo</t>
  </si>
  <si>
    <t>StrongDM</t>
  </si>
  <si>
    <t>Messari</t>
  </si>
  <si>
    <t>Vibrent Health</t>
  </si>
  <si>
    <t>Synamedia</t>
  </si>
  <si>
    <t>TaskUs</t>
  </si>
  <si>
    <t>Arch Oncology</t>
  </si>
  <si>
    <t>Immutable</t>
  </si>
  <si>
    <t>Jounce Therapeutics</t>
  </si>
  <si>
    <t>Locomation</t>
  </si>
  <si>
    <t>Green Labs</t>
  </si>
  <si>
    <t>Crunchyroll</t>
  </si>
  <si>
    <t>Ethos Life</t>
  </si>
  <si>
    <t>Basis Technologies</t>
  </si>
  <si>
    <t>PeerStreet</t>
  </si>
  <si>
    <t>MyGate</t>
  </si>
  <si>
    <t>Kinde</t>
  </si>
  <si>
    <t>Fipola</t>
  </si>
  <si>
    <t>HP</t>
  </si>
  <si>
    <t>Micron</t>
  </si>
  <si>
    <t>Tencent</t>
  </si>
  <si>
    <t>Digimarc</t>
  </si>
  <si>
    <t>Reserve</t>
  </si>
  <si>
    <t>The RealReal</t>
  </si>
  <si>
    <t>Smartsheet</t>
  </si>
  <si>
    <t>Wix</t>
  </si>
  <si>
    <t>ServiceTitan</t>
  </si>
  <si>
    <t>DigitalOcean</t>
  </si>
  <si>
    <t>Betterment</t>
  </si>
  <si>
    <t>Momentive</t>
  </si>
  <si>
    <t>Observe.AI</t>
  </si>
  <si>
    <t>Religion of Sports</t>
  </si>
  <si>
    <t>Tackle</t>
  </si>
  <si>
    <t>Vicarious Surgical</t>
  </si>
  <si>
    <t>Blackbaud</t>
  </si>
  <si>
    <t>CommerceHub</t>
  </si>
  <si>
    <t>Albany</t>
  </si>
  <si>
    <t>Dropp</t>
  </si>
  <si>
    <t>HackerEarth</t>
  </si>
  <si>
    <t>PhableCare</t>
  </si>
  <si>
    <t>0.7000000000000001</t>
  </si>
  <si>
    <t>Udemy</t>
  </si>
  <si>
    <t>Electric</t>
  </si>
  <si>
    <t>EMX Digital</t>
  </si>
  <si>
    <t>PetLove</t>
  </si>
  <si>
    <t>Collective Health</t>
  </si>
  <si>
    <t>Magic Eden</t>
  </si>
  <si>
    <t>Casavo</t>
  </si>
  <si>
    <t>Milan</t>
  </si>
  <si>
    <t>Italy</t>
  </si>
  <si>
    <t>Moladin</t>
  </si>
  <si>
    <t>TripleLift</t>
  </si>
  <si>
    <t>Titan Medical</t>
  </si>
  <si>
    <t>TikTok India</t>
  </si>
  <si>
    <t>Syft Technologies</t>
  </si>
  <si>
    <t>Open Co</t>
  </si>
  <si>
    <t>Rigetti Computing</t>
  </si>
  <si>
    <t>Wonderschool</t>
  </si>
  <si>
    <t>Misfits Market</t>
  </si>
  <si>
    <t>Deliveroo</t>
  </si>
  <si>
    <t>Olive AI</t>
  </si>
  <si>
    <t>0.35000000000000003</t>
  </si>
  <si>
    <t>GitLab</t>
  </si>
  <si>
    <t>REE Automotive</t>
  </si>
  <si>
    <t>GitHub</t>
  </si>
  <si>
    <t>Quillt</t>
  </si>
  <si>
    <t>WeTrade</t>
  </si>
  <si>
    <t>GoDaddy</t>
  </si>
  <si>
    <t>Gusto</t>
  </si>
  <si>
    <t>Gong</t>
  </si>
  <si>
    <t>Equitybee</t>
  </si>
  <si>
    <t>Baraja</t>
  </si>
  <si>
    <t>Koho</t>
  </si>
  <si>
    <t>Medly</t>
  </si>
  <si>
    <t>Nearmap</t>
  </si>
  <si>
    <t>Salesloft</t>
  </si>
  <si>
    <t>Openpay</t>
  </si>
  <si>
    <t>LearnUpon</t>
  </si>
  <si>
    <t>Loggi</t>
  </si>
  <si>
    <t>Catch.com.au</t>
  </si>
  <si>
    <t>VinFast US</t>
  </si>
  <si>
    <t>Pocket Aces</t>
  </si>
  <si>
    <t>Clari</t>
  </si>
  <si>
    <t>C6 Bank</t>
  </si>
  <si>
    <t>TenureX</t>
  </si>
  <si>
    <t>Kyruus</t>
  </si>
  <si>
    <t>Lightico</t>
  </si>
  <si>
    <t>Eightfold AI</t>
  </si>
  <si>
    <t>FarEye</t>
  </si>
  <si>
    <t>Protocol Labs</t>
  </si>
  <si>
    <t>Built Technologies copy</t>
  </si>
  <si>
    <t>Autodesk</t>
  </si>
  <si>
    <t>Mindstrong</t>
  </si>
  <si>
    <t>Miro</t>
  </si>
  <si>
    <t>Bittrex</t>
  </si>
  <si>
    <t>Snowplow</t>
  </si>
  <si>
    <t>Articulate</t>
  </si>
  <si>
    <t>NCSoft</t>
  </si>
  <si>
    <t>Sharesies</t>
  </si>
  <si>
    <t>Pinterest</t>
  </si>
  <si>
    <t>DraftKings</t>
  </si>
  <si>
    <t>Cyren</t>
  </si>
  <si>
    <t>Workato</t>
  </si>
  <si>
    <t>VerticalScope</t>
  </si>
  <si>
    <t>Wheel</t>
  </si>
  <si>
    <t>Appgate</t>
  </si>
  <si>
    <t>Exterro</t>
  </si>
  <si>
    <t>Ada</t>
  </si>
  <si>
    <t>Bustle Digital Group</t>
  </si>
  <si>
    <t>Frequency Therapeutics</t>
  </si>
  <si>
    <t>Match Group</t>
  </si>
  <si>
    <t>Omnipresent</t>
  </si>
  <si>
    <t>Picnic</t>
  </si>
  <si>
    <t>NetApp</t>
  </si>
  <si>
    <t>Workday</t>
  </si>
  <si>
    <t>Upstart</t>
  </si>
  <si>
    <t>Software AG</t>
  </si>
  <si>
    <t>Frankfurt</t>
  </si>
  <si>
    <t>Tilting Point</t>
  </si>
  <si>
    <t>Gokada</t>
  </si>
  <si>
    <t>AU10TIX</t>
  </si>
  <si>
    <t>National Instruments</t>
  </si>
  <si>
    <t>OpenText</t>
  </si>
  <si>
    <t>Waterloo</t>
  </si>
  <si>
    <t>Philips</t>
  </si>
  <si>
    <t>Groupon</t>
  </si>
  <si>
    <t>Impossible Foods copy</t>
  </si>
  <si>
    <t>Chrono24</t>
  </si>
  <si>
    <t>Karlsruhe</t>
  </si>
  <si>
    <t>BM Technologies</t>
  </si>
  <si>
    <t>Olist</t>
  </si>
  <si>
    <t>Curitiba</t>
  </si>
  <si>
    <t>Prime Trust</t>
  </si>
  <si>
    <t>Quantum SI</t>
  </si>
  <si>
    <t>New Haven</t>
  </si>
  <si>
    <t>Hoxhunt</t>
  </si>
  <si>
    <t>Me Poupe</t>
  </si>
  <si>
    <t>CoinTracker</t>
  </si>
  <si>
    <t>SSense</t>
  </si>
  <si>
    <t>Ruggable</t>
  </si>
  <si>
    <t>Synopsys</t>
  </si>
  <si>
    <t>Heycar</t>
  </si>
  <si>
    <t>Matrixport</t>
  </si>
  <si>
    <t>Shakepay</t>
  </si>
  <si>
    <t>#Paid</t>
  </si>
  <si>
    <t>Decent</t>
  </si>
  <si>
    <t>Feedzai</t>
  </si>
  <si>
    <t>Coimbra</t>
  </si>
  <si>
    <t>Portugal</t>
  </si>
  <si>
    <t>Nate</t>
  </si>
  <si>
    <t>Soundwide</t>
  </si>
  <si>
    <t>Confluent</t>
  </si>
  <si>
    <t>Glisser</t>
  </si>
  <si>
    <t>DriveWealth</t>
  </si>
  <si>
    <t>Jersey City</t>
  </si>
  <si>
    <t>Mode Global</t>
  </si>
  <si>
    <t>Plus One Robotics</t>
  </si>
  <si>
    <t>Quora</t>
  </si>
  <si>
    <t>Lam Research</t>
  </si>
  <si>
    <t>Luno</t>
  </si>
  <si>
    <t>Clear Capital</t>
  </si>
  <si>
    <t>Guardant Health</t>
  </si>
  <si>
    <t>SirionLabs</t>
  </si>
  <si>
    <t>PagSeguro</t>
  </si>
  <si>
    <t>Prosus</t>
  </si>
  <si>
    <t>Innovaccer</t>
  </si>
  <si>
    <t>PartnerStack</t>
  </si>
  <si>
    <t>Gitpod</t>
  </si>
  <si>
    <t>Kiel</t>
  </si>
  <si>
    <t>OFFOR Health</t>
  </si>
  <si>
    <t>Venngage</t>
  </si>
  <si>
    <t>Corvus Insurance</t>
  </si>
  <si>
    <t>Icon</t>
  </si>
  <si>
    <t>PagerDuty</t>
  </si>
  <si>
    <t>Scoro</t>
  </si>
  <si>
    <t>Innovid</t>
  </si>
  <si>
    <t>Booktopia</t>
  </si>
  <si>
    <t>Ermetic</t>
  </si>
  <si>
    <t>Namogoo</t>
  </si>
  <si>
    <t>Camp K12</t>
  </si>
  <si>
    <t>Gemini</t>
  </si>
  <si>
    <t>BUX</t>
  </si>
  <si>
    <t>MediBuddy</t>
  </si>
  <si>
    <t>BitTorrent</t>
  </si>
  <si>
    <t>Enjoei</t>
  </si>
  <si>
    <t>Edifecs</t>
  </si>
  <si>
    <t>Citrine Informatics</t>
  </si>
  <si>
    <t>Avalara</t>
  </si>
  <si>
    <t>Cyteir Therapeutics</t>
  </si>
  <si>
    <t>Zappos</t>
  </si>
  <si>
    <t>Capital One</t>
  </si>
  <si>
    <t>Proterra</t>
  </si>
  <si>
    <t xml:space="preserve">WeWork </t>
  </si>
  <si>
    <t>Saks.com</t>
  </si>
  <si>
    <t>Hydrow</t>
  </si>
  <si>
    <t>Earth Rides</t>
  </si>
  <si>
    <t>Fandom</t>
  </si>
  <si>
    <t>IAM Robotics</t>
  </si>
  <si>
    <t>Icertis</t>
  </si>
  <si>
    <t>Magnite</t>
  </si>
  <si>
    <t>Mudafy</t>
  </si>
  <si>
    <t>Personalis</t>
  </si>
  <si>
    <t>Prisma</t>
  </si>
  <si>
    <t>Spaceship</t>
  </si>
  <si>
    <t>Wallbox</t>
  </si>
  <si>
    <t>Sophos</t>
  </si>
  <si>
    <t>Oxford</t>
  </si>
  <si>
    <t>Teladoc Health</t>
  </si>
  <si>
    <t>8x8</t>
  </si>
  <si>
    <t>Benevity</t>
  </si>
  <si>
    <t>Jumpcloud</t>
  </si>
  <si>
    <t>nCino</t>
  </si>
  <si>
    <t>Wilmington</t>
  </si>
  <si>
    <t>Starry</t>
  </si>
  <si>
    <t>Hootsuite</t>
  </si>
  <si>
    <t>Clue</t>
  </si>
  <si>
    <t>Addepar</t>
  </si>
  <si>
    <t>80 Acres Farms</t>
  </si>
  <si>
    <t>Aiven</t>
  </si>
  <si>
    <t>Bally's Interactive</t>
  </si>
  <si>
    <t>Providence</t>
  </si>
  <si>
    <t>Betterfly</t>
  </si>
  <si>
    <t>Cazoo</t>
  </si>
  <si>
    <t>Coda</t>
  </si>
  <si>
    <t>Cypress.io</t>
  </si>
  <si>
    <t>Lucid Diagnostics</t>
  </si>
  <si>
    <t>Mavenir</t>
  </si>
  <si>
    <t>Britishvolt</t>
  </si>
  <si>
    <t>Clutch</t>
  </si>
  <si>
    <t>Exotel</t>
  </si>
  <si>
    <t>Unico</t>
  </si>
  <si>
    <t>Tul</t>
  </si>
  <si>
    <t>Bogota</t>
  </si>
  <si>
    <t>Colombia</t>
  </si>
  <si>
    <t>American Robotics</t>
  </si>
  <si>
    <t>Luxury Presence</t>
  </si>
  <si>
    <t>RingCentral</t>
  </si>
  <si>
    <t>Avaya</t>
  </si>
  <si>
    <t>Durham</t>
  </si>
  <si>
    <t>Fishbrain</t>
  </si>
  <si>
    <t>GoMechanic</t>
  </si>
  <si>
    <t>Oracle</t>
  </si>
  <si>
    <t>Rappi</t>
  </si>
  <si>
    <t>Buenos Aires</t>
  </si>
  <si>
    <t>Argentina</t>
  </si>
  <si>
    <t>RateGenius</t>
  </si>
  <si>
    <t>XP</t>
  </si>
  <si>
    <t>PagBank</t>
  </si>
  <si>
    <t>Gramophone</t>
  </si>
  <si>
    <t>Indore</t>
  </si>
  <si>
    <t>ClearCo</t>
  </si>
  <si>
    <t>Ignition</t>
  </si>
  <si>
    <t>Rebel Foods</t>
  </si>
  <si>
    <t xml:space="preserve">Captain Fresh </t>
  </si>
  <si>
    <t>Snappy</t>
  </si>
  <si>
    <t>BharatAgri</t>
  </si>
  <si>
    <t>DeHaat</t>
  </si>
  <si>
    <t>Patna</t>
  </si>
  <si>
    <t>Black Shark</t>
  </si>
  <si>
    <t>Vial</t>
  </si>
  <si>
    <t>Carvana</t>
  </si>
  <si>
    <t>CoSchedule</t>
  </si>
  <si>
    <t>Bismarck</t>
  </si>
  <si>
    <t>GoCanvas</t>
  </si>
  <si>
    <t>Jellyfish</t>
  </si>
  <si>
    <t>SmartNews</t>
  </si>
  <si>
    <t>Skit.ai</t>
  </si>
  <si>
    <t>Pier</t>
  </si>
  <si>
    <t>Blockchain.com</t>
  </si>
  <si>
    <t>Lattice</t>
  </si>
  <si>
    <t>Greenlight</t>
  </si>
  <si>
    <t>Cashfree Payments</t>
  </si>
  <si>
    <t>Mapbox</t>
  </si>
  <si>
    <t>Definitive Healthcare</t>
  </si>
  <si>
    <t>Career Karma</t>
  </si>
  <si>
    <t>Crypto.com</t>
  </si>
  <si>
    <t>Life360</t>
  </si>
  <si>
    <t>Rock Content</t>
  </si>
  <si>
    <t>Tipalti</t>
  </si>
  <si>
    <t>Jumio</t>
  </si>
  <si>
    <t>Intrinsic</t>
  </si>
  <si>
    <t>Citizen</t>
  </si>
  <si>
    <t>Limeade</t>
  </si>
  <si>
    <t>Paddle</t>
  </si>
  <si>
    <t>Coinbase</t>
  </si>
  <si>
    <t>Till Payments</t>
  </si>
  <si>
    <t>ConsenSys</t>
  </si>
  <si>
    <t>Thinkific</t>
  </si>
  <si>
    <t>LEAD</t>
  </si>
  <si>
    <t>Parler</t>
  </si>
  <si>
    <t>GoBolt</t>
  </si>
  <si>
    <t>Relevel</t>
  </si>
  <si>
    <t>Cart.com</t>
  </si>
  <si>
    <t>100 Thieves</t>
  </si>
  <si>
    <t>Esper</t>
  </si>
  <si>
    <t>WHOOP</t>
  </si>
  <si>
    <t>Fate Therapeutics</t>
  </si>
  <si>
    <t>0.5700000000000001</t>
  </si>
  <si>
    <t>Century Therapeutics</t>
  </si>
  <si>
    <t>Editas Medicine</t>
  </si>
  <si>
    <t>Scale AI</t>
  </si>
  <si>
    <t>Minute Media</t>
  </si>
  <si>
    <t>Integrate</t>
  </si>
  <si>
    <t>Huobi</t>
  </si>
  <si>
    <t>Bounce</t>
  </si>
  <si>
    <t>CareerArc</t>
  </si>
  <si>
    <t>CreateMe</t>
  </si>
  <si>
    <t>Lantern</t>
  </si>
  <si>
    <t>Grand Rapids</t>
  </si>
  <si>
    <t>Mojo Vision</t>
  </si>
  <si>
    <t>SuperRare</t>
  </si>
  <si>
    <t>Cue</t>
  </si>
  <si>
    <t>SoundHound</t>
  </si>
  <si>
    <t>Socure</t>
  </si>
  <si>
    <t>Genesis</t>
  </si>
  <si>
    <t>Moglix</t>
  </si>
  <si>
    <t>Everlane</t>
  </si>
  <si>
    <t>Pecan AI</t>
  </si>
  <si>
    <t>Personetics</t>
  </si>
  <si>
    <t xml:space="preserve">Twine Solutions </t>
  </si>
  <si>
    <t>UpScalio</t>
  </si>
  <si>
    <t>Attentive</t>
  </si>
  <si>
    <t>Compass</t>
  </si>
  <si>
    <t>TCR2</t>
  </si>
  <si>
    <t>Kaltura</t>
  </si>
  <si>
    <t>Butterfly Network</t>
  </si>
  <si>
    <t>Vimeo</t>
  </si>
  <si>
    <t>Wyre</t>
  </si>
  <si>
    <t>Uniphore</t>
  </si>
  <si>
    <t>Harappa</t>
  </si>
  <si>
    <t>Graphcore</t>
  </si>
  <si>
    <t>Gousto</t>
  </si>
  <si>
    <t>Bilibili</t>
  </si>
  <si>
    <t>Octopus Network</t>
  </si>
  <si>
    <t>Beau Vallon</t>
  </si>
  <si>
    <t>Seychelles</t>
  </si>
  <si>
    <t>PayU</t>
  </si>
  <si>
    <t>Element</t>
  </si>
  <si>
    <t>Willow</t>
  </si>
  <si>
    <t>Back Market</t>
  </si>
  <si>
    <t>Zoopla</t>
  </si>
  <si>
    <t>Lendis</t>
  </si>
  <si>
    <t>Chope</t>
  </si>
  <si>
    <t>Briza</t>
  </si>
  <si>
    <t>StreetBees</t>
  </si>
  <si>
    <t>Zhihu</t>
  </si>
  <si>
    <t>Homebot</t>
  </si>
  <si>
    <t>Health IQ</t>
  </si>
  <si>
    <t>Xiaomi</t>
  </si>
  <si>
    <t>YourGrocer</t>
  </si>
  <si>
    <t>Tomorrow</t>
  </si>
  <si>
    <t>Revelate</t>
  </si>
  <si>
    <t xml:space="preserve"> E Inc.</t>
  </si>
  <si>
    <t>Improbable</t>
  </si>
  <si>
    <t>Modern Treasury</t>
  </si>
  <si>
    <t>Reach</t>
  </si>
  <si>
    <t>LeafLink</t>
  </si>
  <si>
    <t>Workmotion</t>
  </si>
  <si>
    <t>Apollo</t>
  </si>
  <si>
    <t>JD.ID</t>
  </si>
  <si>
    <t>Quanergy Systems</t>
  </si>
  <si>
    <t>Thumbtack</t>
  </si>
  <si>
    <t>Komodo Health</t>
  </si>
  <si>
    <t>Viant</t>
  </si>
  <si>
    <t>Freshly</t>
  </si>
  <si>
    <t>Balto</t>
  </si>
  <si>
    <t>Caribou</t>
  </si>
  <si>
    <t>Outschool</t>
  </si>
  <si>
    <t>Xentral</t>
  </si>
  <si>
    <t>Autobooks</t>
  </si>
  <si>
    <t>Convene</t>
  </si>
  <si>
    <t>Bol.com</t>
  </si>
  <si>
    <t>Utrecht</t>
  </si>
  <si>
    <t>Share Now</t>
  </si>
  <si>
    <t>Alice</t>
  </si>
  <si>
    <t>Primer</t>
  </si>
  <si>
    <t>Brodmann17</t>
  </si>
  <si>
    <t>Digital Surge</t>
  </si>
  <si>
    <t>N-able Technologies</t>
  </si>
  <si>
    <t>ZenLedger</t>
  </si>
  <si>
    <t>Glints</t>
  </si>
  <si>
    <t>Buser</t>
  </si>
  <si>
    <t>Otonomo</t>
  </si>
  <si>
    <t>TechTarget</t>
  </si>
  <si>
    <t>Inscripta</t>
  </si>
  <si>
    <t>CyCognito</t>
  </si>
  <si>
    <t>Armis</t>
  </si>
  <si>
    <t>FireHydrant</t>
  </si>
  <si>
    <t>Nerdy</t>
  </si>
  <si>
    <t>Vanta</t>
  </si>
  <si>
    <t>Vedantu</t>
  </si>
  <si>
    <t>Plaid</t>
  </si>
  <si>
    <t>Recur Forever</t>
  </si>
  <si>
    <t>Relativity</t>
  </si>
  <si>
    <t>Integral Ad Science</t>
  </si>
  <si>
    <t>Houzz</t>
  </si>
  <si>
    <t>Grover</t>
  </si>
  <si>
    <t>Lithic</t>
  </si>
  <si>
    <t>Zywave</t>
  </si>
  <si>
    <t>Doma</t>
  </si>
  <si>
    <t>Weedmaps</t>
  </si>
  <si>
    <t>Adobe</t>
  </si>
  <si>
    <t>Perimeter 81</t>
  </si>
  <si>
    <t>Koinly</t>
  </si>
  <si>
    <t>Bridgit</t>
  </si>
  <si>
    <t>Filevine</t>
  </si>
  <si>
    <t>Moove</t>
  </si>
  <si>
    <t>Nextiva</t>
  </si>
  <si>
    <t>OneStudyTeam</t>
  </si>
  <si>
    <t>Swyftx</t>
  </si>
  <si>
    <t>Aqua Security</t>
  </si>
  <si>
    <t>DataRails</t>
  </si>
  <si>
    <t>Elemy</t>
  </si>
  <si>
    <t>Route</t>
  </si>
  <si>
    <t>OYO</t>
  </si>
  <si>
    <t>Bybit</t>
  </si>
  <si>
    <t>Cognyte</t>
  </si>
  <si>
    <t>Polly</t>
  </si>
  <si>
    <t>Burlington</t>
  </si>
  <si>
    <t>Homebound</t>
  </si>
  <si>
    <t>Lora DiCarlo</t>
  </si>
  <si>
    <t>Bend</t>
  </si>
  <si>
    <t>Carousell</t>
  </si>
  <si>
    <t>Bizzabo</t>
  </si>
  <si>
    <t>BloomTech</t>
  </si>
  <si>
    <t>Springbig</t>
  </si>
  <si>
    <t>SQZ Biotech</t>
  </si>
  <si>
    <t>Strava</t>
  </si>
  <si>
    <t>Synlogic</t>
  </si>
  <si>
    <t>Yapily</t>
  </si>
  <si>
    <t>DoorDash</t>
  </si>
  <si>
    <t>Kraken</t>
  </si>
  <si>
    <t>Happy Money</t>
  </si>
  <si>
    <t>Ula</t>
  </si>
  <si>
    <t>Wonder</t>
  </si>
  <si>
    <t>StudySmarter</t>
  </si>
  <si>
    <t>Ual√°</t>
  </si>
  <si>
    <t>Etermax</t>
  </si>
  <si>
    <t>Thread</t>
  </si>
  <si>
    <t>Elastic</t>
  </si>
  <si>
    <t>Sana</t>
  </si>
  <si>
    <t>Venafi</t>
  </si>
  <si>
    <t>Bitso</t>
  </si>
  <si>
    <t>Lyst</t>
  </si>
  <si>
    <t>CoinJar</t>
  </si>
  <si>
    <t>Bitfront</t>
  </si>
  <si>
    <t>Codexis</t>
  </si>
  <si>
    <t>Firework</t>
  </si>
  <si>
    <t>Plerk</t>
  </si>
  <si>
    <t>Guadalajara</t>
  </si>
  <si>
    <t>Proton.ai</t>
  </si>
  <si>
    <t>Infarm</t>
  </si>
  <si>
    <t>Wildlife Studios</t>
  </si>
  <si>
    <t>Hirect</t>
  </si>
  <si>
    <t>ApplyBoard</t>
  </si>
  <si>
    <t>Ajaib</t>
  </si>
  <si>
    <t>ResearchGate</t>
  </si>
  <si>
    <t>BlockFi</t>
  </si>
  <si>
    <t>FutureLearn</t>
  </si>
  <si>
    <t>Inspectify</t>
  </si>
  <si>
    <t>Ledn</t>
  </si>
  <si>
    <t>NCX</t>
  </si>
  <si>
    <t>Spora Health</t>
  </si>
  <si>
    <t>Change Invest</t>
  </si>
  <si>
    <t>Zilch</t>
  </si>
  <si>
    <t>VerSe Innovation</t>
  </si>
  <si>
    <t>Carwow</t>
  </si>
  <si>
    <t>Vendease</t>
  </si>
  <si>
    <t>Lemon</t>
  </si>
  <si>
    <t>Quidax</t>
  </si>
  <si>
    <t>Menulog</t>
  </si>
  <si>
    <t>Assure</t>
  </si>
  <si>
    <t>GoodGood</t>
  </si>
  <si>
    <t>Muni Tienda</t>
  </si>
  <si>
    <t>SWVL</t>
  </si>
  <si>
    <t>Cairo</t>
  </si>
  <si>
    <t>Egypt</t>
  </si>
  <si>
    <t>SIRCLO</t>
  </si>
  <si>
    <t>Movidesk</t>
  </si>
  <si>
    <t>Trax</t>
  </si>
  <si>
    <t>Flash Coffee</t>
  </si>
  <si>
    <t>Natera</t>
  </si>
  <si>
    <t>Rapyd</t>
  </si>
  <si>
    <t>Reynen Court</t>
  </si>
  <si>
    <t>Jumia</t>
  </si>
  <si>
    <t>Kitopi</t>
  </si>
  <si>
    <t>Dubai</t>
  </si>
  <si>
    <t>Devo</t>
  </si>
  <si>
    <t>GloriFi</t>
  </si>
  <si>
    <t>Zomato</t>
  </si>
  <si>
    <t>Synthego</t>
  </si>
  <si>
    <t>Splyt</t>
  </si>
  <si>
    <t>Capitolis</t>
  </si>
  <si>
    <t>Kavak</t>
  </si>
  <si>
    <t>Metaplex</t>
  </si>
  <si>
    <t>Ruangguru</t>
  </si>
  <si>
    <t>StoryBlocks</t>
  </si>
  <si>
    <t>Unchained Capital</t>
  </si>
  <si>
    <t>Homepoint</t>
  </si>
  <si>
    <t>Juni</t>
  </si>
  <si>
    <t>Gothenburg</t>
  </si>
  <si>
    <t>Chili Piper</t>
  </si>
  <si>
    <t>TealBook</t>
  </si>
  <si>
    <t>&amp;Open</t>
  </si>
  <si>
    <t>Wayflyer</t>
  </si>
  <si>
    <t>Lokalise</t>
  </si>
  <si>
    <t>Yotpo</t>
  </si>
  <si>
    <t>D2L</t>
  </si>
  <si>
    <t>Dance</t>
  </si>
  <si>
    <t>Homeward</t>
  </si>
  <si>
    <t>Infogrid</t>
  </si>
  <si>
    <t>Kite</t>
  </si>
  <si>
    <t>UiPath</t>
  </si>
  <si>
    <t>Asana</t>
  </si>
  <si>
    <t>OwnBackup</t>
  </si>
  <si>
    <t>Deliveroo Australia</t>
  </si>
  <si>
    <t>Properly</t>
  </si>
  <si>
    <t>Protocol</t>
  </si>
  <si>
    <t>Jimdo</t>
  </si>
  <si>
    <t>The Zebra</t>
  </si>
  <si>
    <t>Viber</t>
  </si>
  <si>
    <t>CaptivateIQ</t>
  </si>
  <si>
    <t>Apollo Insurance</t>
  </si>
  <si>
    <t>Nirvana Money</t>
  </si>
  <si>
    <t>Oatly</t>
  </si>
  <si>
    <t>Malm√∂</t>
  </si>
  <si>
    <t>OfferUp</t>
  </si>
  <si>
    <t>Outside</t>
  </si>
  <si>
    <t>Rubicon Technologies</t>
  </si>
  <si>
    <t>Typeform</t>
  </si>
  <si>
    <t>Whispir</t>
  </si>
  <si>
    <t>Sema4</t>
  </si>
  <si>
    <t>iFit</t>
  </si>
  <si>
    <t>Logan</t>
  </si>
  <si>
    <t>Ribbon</t>
  </si>
  <si>
    <t>Intercom</t>
  </si>
  <si>
    <t xml:space="preserve">Science 37 </t>
  </si>
  <si>
    <t>Cardlytics</t>
  </si>
  <si>
    <t>Cloudinary</t>
  </si>
  <si>
    <t>Nestcoin</t>
  </si>
  <si>
    <t>Tricida</t>
  </si>
  <si>
    <t>Forto</t>
  </si>
  <si>
    <t>Chipax</t>
  </si>
  <si>
    <t>Juniper</t>
  </si>
  <si>
    <t>Offerpad</t>
  </si>
  <si>
    <t>Juul</t>
  </si>
  <si>
    <t>InfluxData</t>
  </si>
  <si>
    <t>Wistia</t>
  </si>
  <si>
    <t>Ocavu</t>
  </si>
  <si>
    <t>Avast</t>
  </si>
  <si>
    <t>SendCloud</t>
  </si>
  <si>
    <t>Eindhoven</t>
  </si>
  <si>
    <t>Voly</t>
  </si>
  <si>
    <t>Wavely</t>
  </si>
  <si>
    <t>ZenBusiness</t>
  </si>
  <si>
    <t>Root Insurance</t>
  </si>
  <si>
    <t>Liftoff</t>
  </si>
  <si>
    <t>Plum</t>
  </si>
  <si>
    <t>HighRadius</t>
  </si>
  <si>
    <t>Amobee</t>
  </si>
  <si>
    <t>CloudFactory</t>
  </si>
  <si>
    <t>Coursera</t>
  </si>
  <si>
    <t>Faze Medicines</t>
  </si>
  <si>
    <t>EverBridge</t>
  </si>
  <si>
    <t>Repertoire Immune Medicines</t>
  </si>
  <si>
    <t>Beat</t>
  </si>
  <si>
    <t>Athens</t>
  </si>
  <si>
    <t>Greece</t>
  </si>
  <si>
    <t>NanoString</t>
  </si>
  <si>
    <t>SADA</t>
  </si>
  <si>
    <t>Dock</t>
  </si>
  <si>
    <t>Domino Data Lab</t>
  </si>
  <si>
    <t>Varonis</t>
  </si>
  <si>
    <t>Practically</t>
  </si>
  <si>
    <t>Hyderabad</t>
  </si>
  <si>
    <t>Planetly</t>
  </si>
  <si>
    <t>KoinWorks</t>
  </si>
  <si>
    <t>Exodus</t>
  </si>
  <si>
    <t>Nebraska City</t>
  </si>
  <si>
    <t>Benitago Group</t>
  </si>
  <si>
    <t>Mythical Games</t>
  </si>
  <si>
    <t>Pleo</t>
  </si>
  <si>
    <t>Shippo</t>
  </si>
  <si>
    <t>LiveRamp</t>
  </si>
  <si>
    <t>Provi</t>
  </si>
  <si>
    <t>Rubius</t>
  </si>
  <si>
    <t>0.8200000000000001</t>
  </si>
  <si>
    <t>Snapdocs</t>
  </si>
  <si>
    <t>Studio</t>
  </si>
  <si>
    <t>Chime</t>
  </si>
  <si>
    <t>Checkmarx</t>
  </si>
  <si>
    <t>Smava</t>
  </si>
  <si>
    <t>Iron Ox</t>
  </si>
  <si>
    <t>Digital Currency Gruop</t>
  </si>
  <si>
    <t>BitMEX</t>
  </si>
  <si>
    <t>Non-U.S.</t>
  </si>
  <si>
    <t>Signicat</t>
  </si>
  <si>
    <t>Trondheim</t>
  </si>
  <si>
    <t>Argo AI</t>
  </si>
  <si>
    <t>Booking.com</t>
  </si>
  <si>
    <t>Drop</t>
  </si>
  <si>
    <t>Tapps Games</t>
  </si>
  <si>
    <t>Help Scout</t>
  </si>
  <si>
    <t>Kry</t>
  </si>
  <si>
    <t>Notarize</t>
  </si>
  <si>
    <t>EquityZen</t>
  </si>
  <si>
    <t>Doubtnut</t>
  </si>
  <si>
    <t>Fifth Season</t>
  </si>
  <si>
    <t>Advata</t>
  </si>
  <si>
    <t>Springlane</t>
  </si>
  <si>
    <t>D√ºsseldorf</t>
  </si>
  <si>
    <t>Recharge</t>
  </si>
  <si>
    <t>GoNuts</t>
  </si>
  <si>
    <t>Spreetail</t>
  </si>
  <si>
    <t>MindBody</t>
  </si>
  <si>
    <t>San Luis Obispo</t>
  </si>
  <si>
    <t>GoFundMe</t>
  </si>
  <si>
    <t>Carbon</t>
  </si>
  <si>
    <t>Fundbox</t>
  </si>
  <si>
    <t>Embroker</t>
  </si>
  <si>
    <t>Vee</t>
  </si>
  <si>
    <t>Callisto Media</t>
  </si>
  <si>
    <t>Antidote Health</t>
  </si>
  <si>
    <t>Elinvar</t>
  </si>
  <si>
    <t>Synapsica</t>
  </si>
  <si>
    <t>Volta</t>
  </si>
  <si>
    <t>Hotmart</t>
  </si>
  <si>
    <t>Loom</t>
  </si>
  <si>
    <t>Sales Boomerang</t>
  </si>
  <si>
    <t>AtoB</t>
  </si>
  <si>
    <t>InfoSum</t>
  </si>
  <si>
    <t>Clever Real Estate</t>
  </si>
  <si>
    <t>Collibra</t>
  </si>
  <si>
    <t>Brussels</t>
  </si>
  <si>
    <t>Side</t>
  </si>
  <si>
    <t>Ada Health</t>
  </si>
  <si>
    <t>Tiendanube</t>
  </si>
  <si>
    <t>Nuri</t>
  </si>
  <si>
    <t>Flipboard</t>
  </si>
  <si>
    <t>Huawei</t>
  </si>
  <si>
    <t>Flux Systems</t>
  </si>
  <si>
    <t>Qin1</t>
  </si>
  <si>
    <t>Playdots</t>
  </si>
  <si>
    <t>ExtraHop</t>
  </si>
  <si>
    <t>6sense</t>
  </si>
  <si>
    <t>Sinch</t>
  </si>
  <si>
    <t>MX</t>
  </si>
  <si>
    <t>Pacaso</t>
  </si>
  <si>
    <t>Sketch</t>
  </si>
  <si>
    <t>The Hague</t>
  </si>
  <si>
    <t>Udacity</t>
  </si>
  <si>
    <t>Linkfire</t>
  </si>
  <si>
    <t>Emitwise</t>
  </si>
  <si>
    <t>GSR</t>
  </si>
  <si>
    <t>VanHack</t>
  </si>
  <si>
    <t>HelloFresh</t>
  </si>
  <si>
    <t>Pavilion Data</t>
  </si>
  <si>
    <t>Nyriad</t>
  </si>
  <si>
    <t>Collage.com</t>
  </si>
  <si>
    <t>BioMarin</t>
  </si>
  <si>
    <t>Rev.com</t>
  </si>
  <si>
    <t>Impossible Foods</t>
  </si>
  <si>
    <t>Atome</t>
  </si>
  <si>
    <t>First AML</t>
  </si>
  <si>
    <t>Foresight Insurance</t>
  </si>
  <si>
    <t>Built In</t>
  </si>
  <si>
    <t>TwinStrand</t>
  </si>
  <si>
    <t>Fivetran</t>
  </si>
  <si>
    <t>ActiveCampaign</t>
  </si>
  <si>
    <t>Tempo</t>
  </si>
  <si>
    <t>WazirX</t>
  </si>
  <si>
    <t>Spin</t>
  </si>
  <si>
    <t>Carsome</t>
  </si>
  <si>
    <t>Kuala Lumpur</t>
  </si>
  <si>
    <t>Malaysia</t>
  </si>
  <si>
    <t>Pastel</t>
  </si>
  <si>
    <t>Truepill</t>
  </si>
  <si>
    <t>Westwing</t>
  </si>
  <si>
    <t>Zenjob</t>
  </si>
  <si>
    <t>Front</t>
  </si>
  <si>
    <t>Bristol</t>
  </si>
  <si>
    <t>Konfio</t>
  </si>
  <si>
    <t>Foxtrot</t>
  </si>
  <si>
    <t>Truiloo</t>
  </si>
  <si>
    <t>Pesto</t>
  </si>
  <si>
    <t>NYDIG</t>
  </si>
  <si>
    <t>Klarna</t>
  </si>
  <si>
    <t>Made.com</t>
  </si>
  <si>
    <t>Kitty Hawk</t>
  </si>
  <si>
    <t>Candidate Labs</t>
  </si>
  <si>
    <t>Curative</t>
  </si>
  <si>
    <t>Ouster</t>
  </si>
  <si>
    <t>Vesalius Therapeutics</t>
  </si>
  <si>
    <t>Clear</t>
  </si>
  <si>
    <t>TrueLayer</t>
  </si>
  <si>
    <t>LivePerson</t>
  </si>
  <si>
    <t>Acast</t>
  </si>
  <si>
    <t>WorkRamp</t>
  </si>
  <si>
    <t>NextRoll</t>
  </si>
  <si>
    <t>Netflix</t>
  </si>
  <si>
    <t>Bitrise</t>
  </si>
  <si>
    <t>Budapest</t>
  </si>
  <si>
    <t>Hungary</t>
  </si>
  <si>
    <t>Taboola</t>
  </si>
  <si>
    <t>Patreon</t>
  </si>
  <si>
    <t>Propzy</t>
  </si>
  <si>
    <t>Ho Chi Minh City</t>
  </si>
  <si>
    <t>Vietnam</t>
  </si>
  <si>
    <t>Quicko</t>
  </si>
  <si>
    <t>Mode Analytics</t>
  </si>
  <si>
    <t>Compete</t>
  </si>
  <si>
    <t>Karbon</t>
  </si>
  <si>
    <t>Sama</t>
  </si>
  <si>
    <t>SkipTheDishes</t>
  </si>
  <si>
    <t>Winnipeg</t>
  </si>
  <si>
    <t>Brighte</t>
  </si>
  <si>
    <t>Amber Group</t>
  </si>
  <si>
    <t>Capiter</t>
  </si>
  <si>
    <t>CommonBond</t>
  </si>
  <si>
    <t>DreamBox Learning</t>
  </si>
  <si>
    <t>Flowhub</t>
  </si>
  <si>
    <t>Lido Learning</t>
  </si>
  <si>
    <t>Pomelo Fashion</t>
  </si>
  <si>
    <t>Bangkok</t>
  </si>
  <si>
    <t>Thailand</t>
  </si>
  <si>
    <t>Genome Medical</t>
  </si>
  <si>
    <t>BigBear.ai</t>
  </si>
  <si>
    <t>Realtor.com</t>
  </si>
  <si>
    <t>Simple Feast</t>
  </si>
  <si>
    <t>Rupeek</t>
  </si>
  <si>
    <t>Demandbase</t>
  </si>
  <si>
    <t>Firebolt</t>
  </si>
  <si>
    <t>Xsight Labs</t>
  </si>
  <si>
    <t>Brave Care</t>
  </si>
  <si>
    <t>Lawgeex</t>
  </si>
  <si>
    <t>Juniper Square</t>
  </si>
  <si>
    <t>Medium</t>
  </si>
  <si>
    <t>Kuda</t>
  </si>
  <si>
    <t>Sea</t>
  </si>
  <si>
    <t>2TM</t>
  </si>
  <si>
    <t>Urban Sports Club</t>
  </si>
  <si>
    <t>Hedvig</t>
  </si>
  <si>
    <t>GoodRx</t>
  </si>
  <si>
    <t>Apartment List</t>
  </si>
  <si>
    <t>Artnight</t>
  </si>
  <si>
    <t>Snagajob</t>
  </si>
  <si>
    <t>Richmond</t>
  </si>
  <si>
    <t>The Wing</t>
  </si>
  <si>
    <t>Viamo</t>
  </si>
  <si>
    <t>Immersive Labs</t>
  </si>
  <si>
    <t>54gene</t>
  </si>
  <si>
    <t>Fungible</t>
  </si>
  <si>
    <t>Skillz</t>
  </si>
  <si>
    <t>Argyle</t>
  </si>
  <si>
    <t>Loja Integrada</t>
  </si>
  <si>
    <t>ShipBob</t>
  </si>
  <si>
    <t>Reali</t>
  </si>
  <si>
    <t>Pix</t>
  </si>
  <si>
    <t>Packable</t>
  </si>
  <si>
    <t>Q4</t>
  </si>
  <si>
    <t>Skedulo</t>
  </si>
  <si>
    <t>Plato</t>
  </si>
  <si>
    <t>DataRobot</t>
  </si>
  <si>
    <t>Kogan</t>
  </si>
  <si>
    <t>Skillshare</t>
  </si>
  <si>
    <t>Mr. Yum</t>
  </si>
  <si>
    <t>ShopX</t>
  </si>
  <si>
    <t>NSO</t>
  </si>
  <si>
    <t>Tufin</t>
  </si>
  <si>
    <t>Hodlnaut</t>
  </si>
  <si>
    <t>Thirty Madison</t>
  </si>
  <si>
    <t>Fluke</t>
  </si>
  <si>
    <t>Warren</t>
  </si>
  <si>
    <t>Porto Alegre</t>
  </si>
  <si>
    <t>AlayaCare</t>
  </si>
  <si>
    <t>Pliops</t>
  </si>
  <si>
    <t>Woven</t>
  </si>
  <si>
    <t>Edmodo</t>
  </si>
  <si>
    <t>Updater</t>
  </si>
  <si>
    <t>ContraFect</t>
  </si>
  <si>
    <t>ThredUp</t>
  </si>
  <si>
    <t>Anywell</t>
  </si>
  <si>
    <t>Almanac</t>
  </si>
  <si>
    <t>Core Scientific</t>
  </si>
  <si>
    <t>Orbit</t>
  </si>
  <si>
    <t>Calm</t>
  </si>
  <si>
    <t>Marketforce</t>
  </si>
  <si>
    <t>Expert360</t>
  </si>
  <si>
    <t>Guidewire</t>
  </si>
  <si>
    <t>Pollen</t>
  </si>
  <si>
    <t>Vedanta Biosciences</t>
  </si>
  <si>
    <t>GoHealth</t>
  </si>
  <si>
    <t>Nutanix</t>
  </si>
  <si>
    <t>Quanterix</t>
  </si>
  <si>
    <t>MadeiraMadeira</t>
  </si>
  <si>
    <t>Shogun</t>
  </si>
  <si>
    <t>Dooly</t>
  </si>
  <si>
    <t>Berkeley Lights</t>
  </si>
  <si>
    <t>DailyPay</t>
  </si>
  <si>
    <t>Haus</t>
  </si>
  <si>
    <t>Sweetgreen</t>
  </si>
  <si>
    <t>Warby Parker</t>
  </si>
  <si>
    <t>Labelbox</t>
  </si>
  <si>
    <t>Perion</t>
  </si>
  <si>
    <t>Daily Harvest</t>
  </si>
  <si>
    <t>Mejuri</t>
  </si>
  <si>
    <t>Uberflip</t>
  </si>
  <si>
    <t>Article</t>
  </si>
  <si>
    <t>Jam City</t>
  </si>
  <si>
    <t>10X Genomics</t>
  </si>
  <si>
    <t>On Deck</t>
  </si>
  <si>
    <t>Nomad</t>
  </si>
  <si>
    <t>StubHub</t>
  </si>
  <si>
    <t>Zenius</t>
  </si>
  <si>
    <t>Healthcare.com</t>
  </si>
  <si>
    <t>Unbounce</t>
  </si>
  <si>
    <t>The Org</t>
  </si>
  <si>
    <t>CarDekho</t>
  </si>
  <si>
    <t>Puppet</t>
  </si>
  <si>
    <t>Talkwalker</t>
  </si>
  <si>
    <t>Seegrid</t>
  </si>
  <si>
    <t>Nylas</t>
  </si>
  <si>
    <t>The Predictive Index</t>
  </si>
  <si>
    <t>Stedi</t>
  </si>
  <si>
    <t>Glossier</t>
  </si>
  <si>
    <t>FuboTV</t>
  </si>
  <si>
    <t>Hash</t>
  </si>
  <si>
    <t>Classkick</t>
  </si>
  <si>
    <t>OnlyFans</t>
  </si>
  <si>
    <t>Perceptive Automata</t>
  </si>
  <si>
    <t>Whereby</t>
  </si>
  <si>
    <t>Metigy</t>
  </si>
  <si>
    <t>Gatherly</t>
  </si>
  <si>
    <t>Clearco</t>
  </si>
  <si>
    <t>Imperfect Foods</t>
  </si>
  <si>
    <t>Shelf Engine</t>
  </si>
  <si>
    <t>Quantcast</t>
  </si>
  <si>
    <t>Sherpa</t>
  </si>
  <si>
    <t>CoinFLEX</t>
  </si>
  <si>
    <t>Victoria</t>
  </si>
  <si>
    <t>MissFresh</t>
  </si>
  <si>
    <t>Yabonza</t>
  </si>
  <si>
    <t>Metromile</t>
  </si>
  <si>
    <t>Allbirds</t>
  </si>
  <si>
    <t>TextNow</t>
  </si>
  <si>
    <t>Bikayi</t>
  </si>
  <si>
    <t>Brainbase</t>
  </si>
  <si>
    <t>Change.org</t>
  </si>
  <si>
    <t>Tapas Media</t>
  </si>
  <si>
    <t>Turntide</t>
  </si>
  <si>
    <t>Coinsquare</t>
  </si>
  <si>
    <t>Skai</t>
  </si>
  <si>
    <t>Fiverr</t>
  </si>
  <si>
    <t>InDebted</t>
  </si>
  <si>
    <t xml:space="preserve">Pear Therapeutics </t>
  </si>
  <si>
    <t xml:space="preserve"> Included Health</t>
  </si>
  <si>
    <t>Soluto</t>
  </si>
  <si>
    <t>Eucalyptus</t>
  </si>
  <si>
    <t>Workstream</t>
  </si>
  <si>
    <t>Clarify Health</t>
  </si>
  <si>
    <t>Arete</t>
  </si>
  <si>
    <t>Boosted Commerce</t>
  </si>
  <si>
    <t>Owlet</t>
  </si>
  <si>
    <t>People.ai</t>
  </si>
  <si>
    <t>Wizeline</t>
  </si>
  <si>
    <t>AppGate</t>
  </si>
  <si>
    <t>Rad Power Bikes</t>
  </si>
  <si>
    <t>Lunchbox</t>
  </si>
  <si>
    <t>RealSelf</t>
  </si>
  <si>
    <t>Catalyst</t>
  </si>
  <si>
    <t>Smarsh</t>
  </si>
  <si>
    <t>Just Eat Takeaway</t>
  </si>
  <si>
    <t>BlueStacks</t>
  </si>
  <si>
    <t>Introhive</t>
  </si>
  <si>
    <t>Ferdericton</t>
  </si>
  <si>
    <t>Zencity</t>
  </si>
  <si>
    <t>Splice</t>
  </si>
  <si>
    <t>Forma.ai</t>
  </si>
  <si>
    <t>Arc</t>
  </si>
  <si>
    <t>M1</t>
  </si>
  <si>
    <t>SellerX</t>
  </si>
  <si>
    <t>Stint</t>
  </si>
  <si>
    <t>Capsule</t>
  </si>
  <si>
    <t>PACT Pharma</t>
  </si>
  <si>
    <t>Lusha</t>
  </si>
  <si>
    <t>Bright Money</t>
  </si>
  <si>
    <t>Heroes</t>
  </si>
  <si>
    <t>Aspire</t>
  </si>
  <si>
    <t>Zego</t>
  </si>
  <si>
    <t>The Mom Project</t>
  </si>
  <si>
    <t>Unstoppable Domains</t>
  </si>
  <si>
    <t>Kiavi</t>
  </si>
  <si>
    <t>Alto Pharmacy</t>
  </si>
  <si>
    <t>Cosuno</t>
  </si>
  <si>
    <t>Wave</t>
  </si>
  <si>
    <t>Dakar</t>
  </si>
  <si>
    <t>Senegal</t>
  </si>
  <si>
    <t>Tonal</t>
  </si>
  <si>
    <t>Bryter</t>
  </si>
  <si>
    <t>Involves</t>
  </si>
  <si>
    <t>Florian√≥polis</t>
  </si>
  <si>
    <t>CircleUp</t>
  </si>
  <si>
    <t>Papa</t>
  </si>
  <si>
    <t>Fraazo</t>
  </si>
  <si>
    <t>Babylon</t>
  </si>
  <si>
    <t>Airlift</t>
  </si>
  <si>
    <t>Lahore</t>
  </si>
  <si>
    <t>Spring</t>
  </si>
  <si>
    <t>SundaySky</t>
  </si>
  <si>
    <t>Apeel Sciences</t>
  </si>
  <si>
    <t>Forward</t>
  </si>
  <si>
    <t>Ignite</t>
  </si>
  <si>
    <t>PuduTech</t>
  </si>
  <si>
    <t>Butler Hospitality</t>
  </si>
  <si>
    <t>Next Insurance</t>
  </si>
  <si>
    <t>Adwerx</t>
  </si>
  <si>
    <t>Emotive</t>
  </si>
  <si>
    <t>Cedar</t>
  </si>
  <si>
    <t>Remote</t>
  </si>
  <si>
    <t>Anodot</t>
  </si>
  <si>
    <t>SQream</t>
  </si>
  <si>
    <t>Motif Foodworks</t>
  </si>
  <si>
    <t>eToro</t>
  </si>
  <si>
    <t>Bullish</t>
  </si>
  <si>
    <t>Transmit Security</t>
  </si>
  <si>
    <t>Thimble</t>
  </si>
  <si>
    <t>Syte</t>
  </si>
  <si>
    <t>Lightricks</t>
  </si>
  <si>
    <t>Chessable</t>
  </si>
  <si>
    <t>Sendle</t>
  </si>
  <si>
    <t>Gorillas</t>
  </si>
  <si>
    <t>Celsius</t>
  </si>
  <si>
    <t>LetsGetChecked</t>
  </si>
  <si>
    <t>Perx Health</t>
  </si>
  <si>
    <t>Zepto</t>
  </si>
  <si>
    <t>WanderJaunt</t>
  </si>
  <si>
    <t>Canoo</t>
  </si>
  <si>
    <t>Bamboo Health</t>
  </si>
  <si>
    <t>Louisville</t>
  </si>
  <si>
    <t>Teleport</t>
  </si>
  <si>
    <t>Remesh</t>
  </si>
  <si>
    <t>Enjoy</t>
  </si>
  <si>
    <t>Crejo.Fun</t>
  </si>
  <si>
    <t>Stash Financial</t>
  </si>
  <si>
    <t>Stream</t>
  </si>
  <si>
    <t>Finleap Connect</t>
  </si>
  <si>
    <t>Abra</t>
  </si>
  <si>
    <t>Gavelytics</t>
  </si>
  <si>
    <t>Secfi</t>
  </si>
  <si>
    <t>Sundae</t>
  </si>
  <si>
    <t>Toppr</t>
  </si>
  <si>
    <t>Qumulo</t>
  </si>
  <si>
    <t>Parallel Wireless</t>
  </si>
  <si>
    <t>Oye Rickshaw</t>
  </si>
  <si>
    <t>Rows</t>
  </si>
  <si>
    <t>Baton</t>
  </si>
  <si>
    <t>Substack</t>
  </si>
  <si>
    <t>CommentSold</t>
  </si>
  <si>
    <t>Huntsville</t>
  </si>
  <si>
    <t>HomeLight</t>
  </si>
  <si>
    <t>Modsy</t>
  </si>
  <si>
    <t>Volt Bank</t>
  </si>
  <si>
    <t>WhiteHat Jr</t>
  </si>
  <si>
    <t>StockX</t>
  </si>
  <si>
    <t>Sidecar Health</t>
  </si>
  <si>
    <t>Vezeeta</t>
  </si>
  <si>
    <t>United Arab Emirates</t>
  </si>
  <si>
    <t>Bright Machines</t>
  </si>
  <si>
    <t>HealthMatch</t>
  </si>
  <si>
    <t>Nova Benefits</t>
  </si>
  <si>
    <t>Una Brands</t>
  </si>
  <si>
    <t>AppLovin</t>
  </si>
  <si>
    <t>Banxa</t>
  </si>
  <si>
    <t>SafeGraph</t>
  </si>
  <si>
    <t>Postscript</t>
  </si>
  <si>
    <t>Bitpanda</t>
  </si>
  <si>
    <t>Sunday</t>
  </si>
  <si>
    <t>Bestow</t>
  </si>
  <si>
    <t>Feather</t>
  </si>
  <si>
    <t>Give Legacy</t>
  </si>
  <si>
    <t>Aura</t>
  </si>
  <si>
    <t>Pipl</t>
  </si>
  <si>
    <t>Spokane</t>
  </si>
  <si>
    <t>Vouch</t>
  </si>
  <si>
    <t>Voyage SMS</t>
  </si>
  <si>
    <t>Kune</t>
  </si>
  <si>
    <t>Mark43</t>
  </si>
  <si>
    <t>Ro</t>
  </si>
  <si>
    <t>Bungalow</t>
  </si>
  <si>
    <t>Mindgeek</t>
  </si>
  <si>
    <t>Ebanx</t>
  </si>
  <si>
    <t>Community</t>
  </si>
  <si>
    <t>Sourcegraph</t>
  </si>
  <si>
    <t>Frubana</t>
  </si>
  <si>
    <t>SuperLearn</t>
  </si>
  <si>
    <t>Tray.io</t>
  </si>
  <si>
    <t>SummerBio</t>
  </si>
  <si>
    <t>Aqgromalin</t>
  </si>
  <si>
    <t>Bonsai</t>
  </si>
  <si>
    <t>BitOasis</t>
  </si>
  <si>
    <t>Finite State</t>
  </si>
  <si>
    <t>JOKR</t>
  </si>
  <si>
    <t>Zumper</t>
  </si>
  <si>
    <t>Circulo Health</t>
  </si>
  <si>
    <t>Swappie</t>
  </si>
  <si>
    <t>Wealthsimple</t>
  </si>
  <si>
    <t>Weee!</t>
  </si>
  <si>
    <t>Elementor</t>
  </si>
  <si>
    <t>Tonkean</t>
  </si>
  <si>
    <t>Airtame</t>
  </si>
  <si>
    <t>OpenWeb</t>
  </si>
  <si>
    <t>Swyft</t>
  </si>
  <si>
    <t>Crehana</t>
  </si>
  <si>
    <t>Lima</t>
  </si>
  <si>
    <t>Peru</t>
  </si>
  <si>
    <t>JetClosing</t>
  </si>
  <si>
    <t>Sami</t>
  </si>
  <si>
    <t>Breathe</t>
  </si>
  <si>
    <t>Hunty</t>
  </si>
  <si>
    <t>TIFIN</t>
  </si>
  <si>
    <t>Addi</t>
  </si>
  <si>
    <t>Wave Sports and Entertainment</t>
  </si>
  <si>
    <t>Automox</t>
  </si>
  <si>
    <t>Berlin Brands Group</t>
  </si>
  <si>
    <t>Sanar</t>
  </si>
  <si>
    <t>Freetrade</t>
  </si>
  <si>
    <t>Albert</t>
  </si>
  <si>
    <t>Keepe</t>
  </si>
  <si>
    <t>Liongard</t>
  </si>
  <si>
    <t>Ziroom</t>
  </si>
  <si>
    <t>OneTrust</t>
  </si>
  <si>
    <t>Daniel Wellington</t>
  </si>
  <si>
    <t>Boozt</t>
  </si>
  <si>
    <t>Malmo</t>
  </si>
  <si>
    <t>The Grommet</t>
  </si>
  <si>
    <t>Stashaway</t>
  </si>
  <si>
    <t>Preply</t>
  </si>
  <si>
    <t>Starship</t>
  </si>
  <si>
    <t>Trade Republic</t>
  </si>
  <si>
    <t>iPrice Group</t>
  </si>
  <si>
    <t>Memmo</t>
  </si>
  <si>
    <t>Lummo</t>
  </si>
  <si>
    <t>ID.me</t>
  </si>
  <si>
    <t>KiwiCo</t>
  </si>
  <si>
    <t>Bond</t>
  </si>
  <si>
    <t>CyberCube</t>
  </si>
  <si>
    <t>Dutchie</t>
  </si>
  <si>
    <t>Deep Instinct</t>
  </si>
  <si>
    <t>Eruditus</t>
  </si>
  <si>
    <t>Afterverse</t>
  </si>
  <si>
    <t>Brasilia</t>
  </si>
  <si>
    <t>Superhuman</t>
  </si>
  <si>
    <t>Food52</t>
  </si>
  <si>
    <t>5B Solar</t>
  </si>
  <si>
    <t>Favo</t>
  </si>
  <si>
    <t>PolicyGenius</t>
  </si>
  <si>
    <t>Yojak</t>
  </si>
  <si>
    <t>Envato</t>
  </si>
  <si>
    <t>Stord</t>
  </si>
  <si>
    <t>Gather</t>
  </si>
  <si>
    <t>Shef</t>
  </si>
  <si>
    <t>Esme Learning</t>
  </si>
  <si>
    <t>Kaodim</t>
  </si>
  <si>
    <t>Selangor</t>
  </si>
  <si>
    <t>Rain</t>
  </si>
  <si>
    <t>Manama</t>
  </si>
  <si>
    <t>Bahrain</t>
  </si>
  <si>
    <t>Udayy</t>
  </si>
  <si>
    <t>Curve</t>
  </si>
  <si>
    <t>Impala</t>
  </si>
  <si>
    <t>Eaze</t>
  </si>
  <si>
    <t>Truck It In</t>
  </si>
  <si>
    <t>Replicated</t>
  </si>
  <si>
    <t>Tomo</t>
  </si>
  <si>
    <t>Getta</t>
  </si>
  <si>
    <t>BookClub</t>
  </si>
  <si>
    <t>Mobile Premier League</t>
  </si>
  <si>
    <t>SumUp</t>
  </si>
  <si>
    <t>Tempus Ex</t>
  </si>
  <si>
    <t>Daloopa</t>
  </si>
  <si>
    <t>Uncapped</t>
  </si>
  <si>
    <t>Akerna</t>
  </si>
  <si>
    <t>Terminus</t>
  </si>
  <si>
    <t>VTEX</t>
  </si>
  <si>
    <t>Dazn</t>
  </si>
  <si>
    <t>Lacework</t>
  </si>
  <si>
    <t>Kontist</t>
  </si>
  <si>
    <t>Coterie Insurance</t>
  </si>
  <si>
    <t>Istanbul</t>
  </si>
  <si>
    <t>Turkey</t>
  </si>
  <si>
    <t>Zapp</t>
  </si>
  <si>
    <t>Buenbit</t>
  </si>
  <si>
    <t>BeyondMinds</t>
  </si>
  <si>
    <t>Airtime</t>
  </si>
  <si>
    <t>MFine</t>
  </si>
  <si>
    <t>Picsart</t>
  </si>
  <si>
    <t>Zak</t>
  </si>
  <si>
    <t>AliExpress Russia</t>
  </si>
  <si>
    <t>Moscow</t>
  </si>
  <si>
    <t>Russia</t>
  </si>
  <si>
    <t>Subspace</t>
  </si>
  <si>
    <t>Section4</t>
  </si>
  <si>
    <t>Tripwire</t>
  </si>
  <si>
    <t>Meero</t>
  </si>
  <si>
    <t>Reef</t>
  </si>
  <si>
    <t>divvyDOSE</t>
  </si>
  <si>
    <t>Davenport</t>
  </si>
  <si>
    <t>Progrexion</t>
  </si>
  <si>
    <t>SEND</t>
  </si>
  <si>
    <t>Colossus</t>
  </si>
  <si>
    <t>Mainstreet</t>
  </si>
  <si>
    <t>Ideoclick</t>
  </si>
  <si>
    <t>Vise</t>
  </si>
  <si>
    <t>Bizpay</t>
  </si>
  <si>
    <t>Thrasio</t>
  </si>
  <si>
    <t>Avo</t>
  </si>
  <si>
    <t>Wahoo Fitness</t>
  </si>
  <si>
    <t>Sigfox</t>
  </si>
  <si>
    <t>Toulouse</t>
  </si>
  <si>
    <t>Clyde</t>
  </si>
  <si>
    <t>Xiaohongshu</t>
  </si>
  <si>
    <t>Facily</t>
  </si>
  <si>
    <t>QuintoAndar</t>
  </si>
  <si>
    <t>Humble</t>
  </si>
  <si>
    <t>Halcyon Health</t>
  </si>
  <si>
    <t>Ahead</t>
  </si>
  <si>
    <t>Goodfood</t>
  </si>
  <si>
    <t>Workrise</t>
  </si>
  <si>
    <t>Fast</t>
  </si>
  <si>
    <t>Legible</t>
  </si>
  <si>
    <t>Rasa</t>
  </si>
  <si>
    <t>Furlenco</t>
  </si>
  <si>
    <t>Grove Collaborative</t>
  </si>
  <si>
    <t>Curology</t>
  </si>
  <si>
    <t>Trell</t>
  </si>
  <si>
    <t>Knock</t>
  </si>
  <si>
    <t>Talis Biomedical</t>
  </si>
  <si>
    <t>Sezzle</t>
  </si>
  <si>
    <t>Adaptive Biotechnologies</t>
  </si>
  <si>
    <t>Hyperscience</t>
  </si>
  <si>
    <t>WeDoctor</t>
  </si>
  <si>
    <t>OKCredit</t>
  </si>
  <si>
    <t>Lido</t>
  </si>
  <si>
    <t>Virgin Hyperloop</t>
  </si>
  <si>
    <t>Trustly</t>
  </si>
  <si>
    <t>Liv Up</t>
  </si>
  <si>
    <t>Defined.ai</t>
  </si>
  <si>
    <t>Rhino</t>
  </si>
  <si>
    <t>Protonn</t>
  </si>
  <si>
    <t>BitTitan</t>
  </si>
  <si>
    <t>Ozy Media</t>
  </si>
  <si>
    <t>Genius</t>
  </si>
  <si>
    <t>Treehouse</t>
  </si>
  <si>
    <t>Casper</t>
  </si>
  <si>
    <t>Tanium</t>
  </si>
  <si>
    <t>Flockjay</t>
  </si>
  <si>
    <t>Pagarbook</t>
  </si>
  <si>
    <t>Katerra</t>
  </si>
  <si>
    <t>Lambda School</t>
  </si>
  <si>
    <t>Madefire</t>
  </si>
  <si>
    <t>HuffPo</t>
  </si>
  <si>
    <t>Clumio</t>
  </si>
  <si>
    <t>DJI</t>
  </si>
  <si>
    <t>Ninjacart</t>
  </si>
  <si>
    <t>Limelight</t>
  </si>
  <si>
    <t>Quandoo</t>
  </si>
  <si>
    <t>Hubba</t>
  </si>
  <si>
    <t>Privitar</t>
  </si>
  <si>
    <t>Postmates</t>
  </si>
  <si>
    <t>Pocketmath</t>
  </si>
  <si>
    <t>Aura Financial</t>
  </si>
  <si>
    <t>Simple</t>
  </si>
  <si>
    <t>Pulse Secure</t>
  </si>
  <si>
    <t>Breather</t>
  </si>
  <si>
    <t>Actifio</t>
  </si>
  <si>
    <t>Zinier</t>
  </si>
  <si>
    <t>Aya</t>
  </si>
  <si>
    <t>Domio</t>
  </si>
  <si>
    <t>Bridge Connector</t>
  </si>
  <si>
    <t>Tidepool</t>
  </si>
  <si>
    <t>Igenous</t>
  </si>
  <si>
    <t>Scoop</t>
  </si>
  <si>
    <t>Worksmith</t>
  </si>
  <si>
    <t>Rubica</t>
  </si>
  <si>
    <t>Bossa Nova</t>
  </si>
  <si>
    <t>Remedy</t>
  </si>
  <si>
    <t>Knotel</t>
  </si>
  <si>
    <t>Cheetah</t>
  </si>
  <si>
    <t>CodeCombat</t>
  </si>
  <si>
    <t>Quibi</t>
  </si>
  <si>
    <t>GetYourGuide</t>
  </si>
  <si>
    <t>OLX India</t>
  </si>
  <si>
    <t>Chef</t>
  </si>
  <si>
    <t>TheWrap</t>
  </si>
  <si>
    <t>HumanForest</t>
  </si>
  <si>
    <t>Air</t>
  </si>
  <si>
    <t>NS8</t>
  </si>
  <si>
    <t>0.9500000000000001</t>
  </si>
  <si>
    <t>Bleacher Report</t>
  </si>
  <si>
    <t>HubHaus</t>
  </si>
  <si>
    <t>0.054000000000000006</t>
  </si>
  <si>
    <t>Swing Education</t>
  </si>
  <si>
    <t>Awok</t>
  </si>
  <si>
    <t>Big Fish Games</t>
  </si>
  <si>
    <t>GoBear</t>
  </si>
  <si>
    <t>MakeMyTrip</t>
  </si>
  <si>
    <t>0.018500000000000003</t>
  </si>
  <si>
    <t>kununu</t>
  </si>
  <si>
    <t>Superloop</t>
  </si>
  <si>
    <t>Spaces</t>
  </si>
  <si>
    <t>StreamSets</t>
  </si>
  <si>
    <t>Docly</t>
  </si>
  <si>
    <t>Mapify</t>
  </si>
  <si>
    <t>Lumina Networks</t>
  </si>
  <si>
    <t>HopSkipDrive</t>
  </si>
  <si>
    <t>Eatsy</t>
  </si>
  <si>
    <t>The Appraisal Lane</t>
  </si>
  <si>
    <t>Montevideo</t>
  </si>
  <si>
    <t>Uruguay</t>
  </si>
  <si>
    <t>Thriver</t>
  </si>
  <si>
    <t>Vesta</t>
  </si>
  <si>
    <t>Buy.com / Rakuten</t>
  </si>
  <si>
    <t>tZero</t>
  </si>
  <si>
    <t>Pared</t>
  </si>
  <si>
    <t>Zeitgold</t>
  </si>
  <si>
    <t>Perkbox</t>
  </si>
  <si>
    <t>Sorabel</t>
  </si>
  <si>
    <t>Lighter Capital</t>
  </si>
  <si>
    <t>Curefit</t>
  </si>
  <si>
    <t>Snaptravel</t>
  </si>
  <si>
    <t>Optimizely</t>
  </si>
  <si>
    <t>Skyscanner</t>
  </si>
  <si>
    <t>Yelp</t>
  </si>
  <si>
    <t>Zilingo</t>
  </si>
  <si>
    <t>PaySense</t>
  </si>
  <si>
    <t>OnDeck</t>
  </si>
  <si>
    <t>Sharethrough</t>
  </si>
  <si>
    <t>Kongregate</t>
  </si>
  <si>
    <t>Havenly</t>
  </si>
  <si>
    <t>G2</t>
  </si>
  <si>
    <t>Hired</t>
  </si>
  <si>
    <t>Engine eCommerce</t>
  </si>
  <si>
    <t>Fayetteville</t>
  </si>
  <si>
    <t>Byton</t>
  </si>
  <si>
    <t>Gojek</t>
  </si>
  <si>
    <t>ScaleFactor</t>
  </si>
  <si>
    <t>Dark</t>
  </si>
  <si>
    <t>Intuit</t>
  </si>
  <si>
    <t>WeWork</t>
  </si>
  <si>
    <t xml:space="preserve">Atlas Obscura </t>
  </si>
  <si>
    <t>Navi</t>
  </si>
  <si>
    <t>PaisaBazaar</t>
  </si>
  <si>
    <t>Redox</t>
  </si>
  <si>
    <t>Conga</t>
  </si>
  <si>
    <t>Stockwell AI</t>
  </si>
  <si>
    <t>SynapseFI</t>
  </si>
  <si>
    <t>ScaleFocus</t>
  </si>
  <si>
    <t>Sofia</t>
  </si>
  <si>
    <t>Bulgaria</t>
  </si>
  <si>
    <t>Her Campus Media</t>
  </si>
  <si>
    <t>Integrate.ai</t>
  </si>
  <si>
    <t>The Athletic</t>
  </si>
  <si>
    <t>Lastline</t>
  </si>
  <si>
    <t>Builder</t>
  </si>
  <si>
    <t>Outdoorsy</t>
  </si>
  <si>
    <t>Monzo</t>
  </si>
  <si>
    <t>SpotHero</t>
  </si>
  <si>
    <t>Credit Sesame</t>
  </si>
  <si>
    <t>Circ</t>
  </si>
  <si>
    <t>Descartes Labs</t>
  </si>
  <si>
    <t>MakerBot</t>
  </si>
  <si>
    <t>CrowdStreet</t>
  </si>
  <si>
    <t>Loftium</t>
  </si>
  <si>
    <t>BookMyShow</t>
  </si>
  <si>
    <t>The Sill</t>
  </si>
  <si>
    <t>Instructure</t>
  </si>
  <si>
    <t>Bluprint</t>
  </si>
  <si>
    <t>Acorns</t>
  </si>
  <si>
    <t>Teamwork</t>
  </si>
  <si>
    <t>Cork</t>
  </si>
  <si>
    <t>Cvent</t>
  </si>
  <si>
    <t>PickYourTrail</t>
  </si>
  <si>
    <t>Glitch</t>
  </si>
  <si>
    <t>Kapten / Free Now</t>
  </si>
  <si>
    <t>Samsara</t>
  </si>
  <si>
    <t>Stay Alfred</t>
  </si>
  <si>
    <t>Dotscience</t>
  </si>
  <si>
    <t>Divvy</t>
  </si>
  <si>
    <t>Agoda</t>
  </si>
  <si>
    <t>Rubrik</t>
  </si>
  <si>
    <t>Intapp</t>
  </si>
  <si>
    <t>Datera</t>
  </si>
  <si>
    <t>Magicbricks</t>
  </si>
  <si>
    <t>Lendingkart</t>
  </si>
  <si>
    <t>Ahmedabad</t>
  </si>
  <si>
    <t>Masse</t>
  </si>
  <si>
    <t>Quartz</t>
  </si>
  <si>
    <t>Ridecell</t>
  </si>
  <si>
    <t>Veem</t>
  </si>
  <si>
    <t>Sift</t>
  </si>
  <si>
    <t>TicketSwap</t>
  </si>
  <si>
    <t>Workfront</t>
  </si>
  <si>
    <t>Deliv</t>
  </si>
  <si>
    <t>Mercos</t>
  </si>
  <si>
    <t>Joinville</t>
  </si>
  <si>
    <t>Kickstarter</t>
  </si>
  <si>
    <t>Intersect</t>
  </si>
  <si>
    <t>BetterCloud</t>
  </si>
  <si>
    <t>WeFit</t>
  </si>
  <si>
    <t>Hanoi</t>
  </si>
  <si>
    <t xml:space="preserve">Zymergen </t>
  </si>
  <si>
    <t>Stone</t>
  </si>
  <si>
    <t>Mixpanel</t>
  </si>
  <si>
    <t>Hireology</t>
  </si>
  <si>
    <t>Datto</t>
  </si>
  <si>
    <t>Revolut</t>
  </si>
  <si>
    <t>Cadre</t>
  </si>
  <si>
    <t>Jump</t>
  </si>
  <si>
    <t>Numbrs</t>
  </si>
  <si>
    <t>Flywire</t>
  </si>
  <si>
    <t>SalesLoft</t>
  </si>
  <si>
    <t>Tally</t>
  </si>
  <si>
    <t>Airy Rooms</t>
  </si>
  <si>
    <t>Validity</t>
  </si>
  <si>
    <t>Flatiron School</t>
  </si>
  <si>
    <t>Rubicon Project</t>
  </si>
  <si>
    <t>Segment</t>
  </si>
  <si>
    <t>OPay</t>
  </si>
  <si>
    <t>ThoughtSpot</t>
  </si>
  <si>
    <t>Andela</t>
  </si>
  <si>
    <t>Workable</t>
  </si>
  <si>
    <t>Cloudera</t>
  </si>
  <si>
    <t>Handshake</t>
  </si>
  <si>
    <t>League</t>
  </si>
  <si>
    <t>Careem</t>
  </si>
  <si>
    <t>Oriente</t>
  </si>
  <si>
    <t>Element AI</t>
  </si>
  <si>
    <t>Deputy</t>
  </si>
  <si>
    <t>Castlight Health</t>
  </si>
  <si>
    <t>Trivago</t>
  </si>
  <si>
    <t>Dusseldorf</t>
  </si>
  <si>
    <t>LiveTiles</t>
  </si>
  <si>
    <t>Namely</t>
  </si>
  <si>
    <t>Culture Trip</t>
  </si>
  <si>
    <t>Sandbox VR</t>
  </si>
  <si>
    <t>Virtudent</t>
  </si>
  <si>
    <t>Monese</t>
  </si>
  <si>
    <t>Lisbon</t>
  </si>
  <si>
    <t>Automatic</t>
  </si>
  <si>
    <t>Flynote</t>
  </si>
  <si>
    <t>Care.com</t>
  </si>
  <si>
    <t>AirMap</t>
  </si>
  <si>
    <t>PicoBrew</t>
  </si>
  <si>
    <t>Lime</t>
  </si>
  <si>
    <t>Transfix</t>
  </si>
  <si>
    <t>Yoco</t>
  </si>
  <si>
    <t>Cape Town</t>
  </si>
  <si>
    <t>South Africa</t>
  </si>
  <si>
    <t>Renmoney</t>
  </si>
  <si>
    <t>App Annie</t>
  </si>
  <si>
    <t>OpenX</t>
  </si>
  <si>
    <t>PayJoy</t>
  </si>
  <si>
    <t>Shipsi</t>
  </si>
  <si>
    <t>Migo</t>
  </si>
  <si>
    <t>Automation Anywhere</t>
  </si>
  <si>
    <t>Qwick</t>
  </si>
  <si>
    <t>Stoqo</t>
  </si>
  <si>
    <t>Submittable</t>
  </si>
  <si>
    <t>Missoula</t>
  </si>
  <si>
    <t>Divergent 3D</t>
  </si>
  <si>
    <t>Ada Support</t>
  </si>
  <si>
    <t>UPshow</t>
  </si>
  <si>
    <t>Horizn Studios</t>
  </si>
  <si>
    <t>Welkin Health</t>
  </si>
  <si>
    <t>Jiobit</t>
  </si>
  <si>
    <t>TutorMundi</t>
  </si>
  <si>
    <t>Cheddar</t>
  </si>
  <si>
    <t>Zenefits</t>
  </si>
  <si>
    <t>Oscar Health</t>
  </si>
  <si>
    <t>Simon Data</t>
  </si>
  <si>
    <t>PowerReviews</t>
  </si>
  <si>
    <t>Singular</t>
  </si>
  <si>
    <t>Magic Leap</t>
  </si>
  <si>
    <t>When I Work</t>
  </si>
  <si>
    <t>Ike</t>
  </si>
  <si>
    <t>Freshbooks</t>
  </si>
  <si>
    <t>Politico / Protocol</t>
  </si>
  <si>
    <t>Bringg</t>
  </si>
  <si>
    <t>Klook</t>
  </si>
  <si>
    <t>GumGum</t>
  </si>
  <si>
    <t>Kueski</t>
  </si>
  <si>
    <t>Zum</t>
  </si>
  <si>
    <t>Hipcamp</t>
  </si>
  <si>
    <t>Motif Investing</t>
  </si>
  <si>
    <t>BlackBuck</t>
  </si>
  <si>
    <t>ContaAzul</t>
  </si>
  <si>
    <t>Labster</t>
  </si>
  <si>
    <t>Tor</t>
  </si>
  <si>
    <t>BitGo</t>
  </si>
  <si>
    <t>Dispatch</t>
  </si>
  <si>
    <t>Influitive</t>
  </si>
  <si>
    <t>CarGurus</t>
  </si>
  <si>
    <t>Funding Societies</t>
  </si>
  <si>
    <t>CleverTap</t>
  </si>
  <si>
    <t>CrowdRiff</t>
  </si>
  <si>
    <t>Grailed</t>
  </si>
  <si>
    <t>LumenAd</t>
  </si>
  <si>
    <t>Purse</t>
  </si>
  <si>
    <t>SquadVoice</t>
  </si>
  <si>
    <t>Shop101</t>
  </si>
  <si>
    <t>Akulaku</t>
  </si>
  <si>
    <t>Parsable</t>
  </si>
  <si>
    <t>Kodiak Robotics</t>
  </si>
  <si>
    <t>Dude Solutions</t>
  </si>
  <si>
    <t>SweetEscape</t>
  </si>
  <si>
    <t>TouchBistro</t>
  </si>
  <si>
    <t>Envoy</t>
  </si>
  <si>
    <t>VSCO</t>
  </si>
  <si>
    <t>DataStax</t>
  </si>
  <si>
    <t>Xerpa</t>
  </si>
  <si>
    <t>RedDoorz</t>
  </si>
  <si>
    <t>Zoox</t>
  </si>
  <si>
    <t>EasyPost</t>
  </si>
  <si>
    <t>Clearbanc</t>
  </si>
  <si>
    <t>BeeTech</t>
  </si>
  <si>
    <t>NuoDB</t>
  </si>
  <si>
    <t>Rhumbix</t>
  </si>
  <si>
    <t>Atsu</t>
  </si>
  <si>
    <t>Geekwire</t>
  </si>
  <si>
    <t>FloQast</t>
  </si>
  <si>
    <t>Omie</t>
  </si>
  <si>
    <t>Clinc</t>
  </si>
  <si>
    <t>Lighthouse Labs</t>
  </si>
  <si>
    <t>LoopMe</t>
  </si>
  <si>
    <t>CipherTrace</t>
  </si>
  <si>
    <t>Elliptic</t>
  </si>
  <si>
    <t>Zest AI</t>
  </si>
  <si>
    <t>Unison</t>
  </si>
  <si>
    <t>Unbabel</t>
  </si>
  <si>
    <t>Button</t>
  </si>
  <si>
    <t>Eden / Managed By Q</t>
  </si>
  <si>
    <t>BVAccel</t>
  </si>
  <si>
    <t>Kenoby</t>
  </si>
  <si>
    <t>Connected</t>
  </si>
  <si>
    <t>GetNinjas</t>
  </si>
  <si>
    <t>Spyce</t>
  </si>
  <si>
    <t>Creditas</t>
  </si>
  <si>
    <t>Lytics</t>
  </si>
  <si>
    <t>Slice Labs</t>
  </si>
  <si>
    <t>TechAdvance</t>
  </si>
  <si>
    <t>Zola</t>
  </si>
  <si>
    <t>ezCater</t>
  </si>
  <si>
    <t>Sage Therapeutics</t>
  </si>
  <si>
    <t>Branch Metrics</t>
  </si>
  <si>
    <t>Newfront Insurance</t>
  </si>
  <si>
    <t>Ibotta</t>
  </si>
  <si>
    <t>Virta Health</t>
  </si>
  <si>
    <t>Group Nine Media</t>
  </si>
  <si>
    <t>Payfactors</t>
  </si>
  <si>
    <t>Nav</t>
  </si>
  <si>
    <t>AskNicely</t>
  </si>
  <si>
    <t>RainFocus</t>
  </si>
  <si>
    <t>BounceX</t>
  </si>
  <si>
    <t>Wordstream</t>
  </si>
  <si>
    <t>BusBud</t>
  </si>
  <si>
    <t>Borrowell</t>
  </si>
  <si>
    <t>PerkSpot</t>
  </si>
  <si>
    <t>Bitfarms</t>
  </si>
  <si>
    <t>Quebec</t>
  </si>
  <si>
    <t>Iflix</t>
  </si>
  <si>
    <t>Gympass</t>
  </si>
  <si>
    <t>Minted</t>
  </si>
  <si>
    <t>Traveloka</t>
  </si>
  <si>
    <t>Arrive Logistics</t>
  </si>
  <si>
    <t>Jetty</t>
  </si>
  <si>
    <t>Opencare</t>
  </si>
  <si>
    <t>Anagram</t>
  </si>
  <si>
    <t>G/O Media Group</t>
  </si>
  <si>
    <t>DSCO</t>
  </si>
  <si>
    <t>Tripbam</t>
  </si>
  <si>
    <t>Avantage Entertainment</t>
  </si>
  <si>
    <t>Alegion</t>
  </si>
  <si>
    <t>AllyO</t>
  </si>
  <si>
    <t>Mews</t>
  </si>
  <si>
    <t>PeopleGrove</t>
  </si>
  <si>
    <t>The Muse</t>
  </si>
  <si>
    <t>ClassPass</t>
  </si>
  <si>
    <t>eGym</t>
  </si>
  <si>
    <t>Industrious</t>
  </si>
  <si>
    <t>1stdibs</t>
  </si>
  <si>
    <t>ThirdLove</t>
  </si>
  <si>
    <t>Shuttl</t>
  </si>
  <si>
    <t>Jobcase</t>
  </si>
  <si>
    <t>Dynamic Signal</t>
  </si>
  <si>
    <t>FiscalNote</t>
  </si>
  <si>
    <t>Sauce Labs</t>
  </si>
  <si>
    <t>Humu</t>
  </si>
  <si>
    <t>Coding Dojo</t>
  </si>
  <si>
    <t>Instamojo</t>
  </si>
  <si>
    <t>Synergysuite</t>
  </si>
  <si>
    <t>Atlanta Tech Village</t>
  </si>
  <si>
    <t>Capillary</t>
  </si>
  <si>
    <t>The Modist</t>
  </si>
  <si>
    <t>Booksy</t>
  </si>
  <si>
    <t>Flymya</t>
  </si>
  <si>
    <t>Yangon</t>
  </si>
  <si>
    <t>Myanmar</t>
  </si>
  <si>
    <t>PatientPop</t>
  </si>
  <si>
    <t>Earnin</t>
  </si>
  <si>
    <t>Wonolo</t>
  </si>
  <si>
    <t>Acko</t>
  </si>
  <si>
    <t>Moovel</t>
  </si>
  <si>
    <t>Crayon</t>
  </si>
  <si>
    <t>Pana</t>
  </si>
  <si>
    <t>Sensibill</t>
  </si>
  <si>
    <t>Usermind</t>
  </si>
  <si>
    <t>Incredible Health</t>
  </si>
  <si>
    <t>Currency</t>
  </si>
  <si>
    <t>GOAT Group</t>
  </si>
  <si>
    <t>Le Tote</t>
  </si>
  <si>
    <t>Levelset</t>
  </si>
  <si>
    <t>New Orleans</t>
  </si>
  <si>
    <t>Pebblepost</t>
  </si>
  <si>
    <t>WhyHotel</t>
  </si>
  <si>
    <t>KeepTruckin</t>
  </si>
  <si>
    <t>AdRoll</t>
  </si>
  <si>
    <t>Rover</t>
  </si>
  <si>
    <t>0.41000000000000003</t>
  </si>
  <si>
    <t>Turo</t>
  </si>
  <si>
    <t>uShip</t>
  </si>
  <si>
    <t>SkySlope</t>
  </si>
  <si>
    <t>Siteimprove</t>
  </si>
  <si>
    <t>AngelList</t>
  </si>
  <si>
    <t>Zenoti</t>
  </si>
  <si>
    <t>DialSource</t>
  </si>
  <si>
    <t>Adara</t>
  </si>
  <si>
    <t>Claravine</t>
  </si>
  <si>
    <t>Kazoo</t>
  </si>
  <si>
    <t>Snap Finance</t>
  </si>
  <si>
    <t>Zerto</t>
  </si>
  <si>
    <t>RigUp</t>
  </si>
  <si>
    <t>FabHotels</t>
  </si>
  <si>
    <t>Hibob</t>
  </si>
  <si>
    <t>Maven</t>
  </si>
  <si>
    <t>Blume Global</t>
  </si>
  <si>
    <t>Catalant</t>
  </si>
  <si>
    <t>Starship Technologies</t>
  </si>
  <si>
    <t>Loftsmart</t>
  </si>
  <si>
    <t>Iris Nova</t>
  </si>
  <si>
    <t>Cuyana</t>
  </si>
  <si>
    <t>Amplero</t>
  </si>
  <si>
    <t>Polarr</t>
  </si>
  <si>
    <t>TravelTriangle</t>
  </si>
  <si>
    <t>OneWeb</t>
  </si>
  <si>
    <t>HOOQ</t>
  </si>
  <si>
    <t>Restaurant365</t>
  </si>
  <si>
    <t>Blueground</t>
  </si>
  <si>
    <t>Zipcar</t>
  </si>
  <si>
    <t>Mogo</t>
  </si>
  <si>
    <t>DISCO</t>
  </si>
  <si>
    <t>Raken</t>
  </si>
  <si>
    <t>Bench</t>
  </si>
  <si>
    <t>Oh My Green</t>
  </si>
  <si>
    <t>Bevi</t>
  </si>
  <si>
    <t>Opal</t>
  </si>
  <si>
    <t>Bcredi</t>
  </si>
  <si>
    <t>Make School</t>
  </si>
  <si>
    <t>Pivot3</t>
  </si>
  <si>
    <t>B8ta</t>
  </si>
  <si>
    <t>Fareportal</t>
  </si>
  <si>
    <t>Ecobee</t>
  </si>
  <si>
    <t>Passport</t>
  </si>
  <si>
    <t>Peerspace</t>
  </si>
  <si>
    <t>GoSpotCheck</t>
  </si>
  <si>
    <t>Consider.co</t>
  </si>
  <si>
    <t>Nativo</t>
  </si>
  <si>
    <t>TripActions</t>
  </si>
  <si>
    <t>Lyric</t>
  </si>
  <si>
    <t>Rangle</t>
  </si>
  <si>
    <t>O'Reilly Media</t>
  </si>
  <si>
    <t>OutboundEngine</t>
  </si>
  <si>
    <t>Overtime</t>
  </si>
  <si>
    <t>Jama</t>
  </si>
  <si>
    <t>Element Analytics</t>
  </si>
  <si>
    <t>Clutter</t>
  </si>
  <si>
    <t>Universal Standard</t>
  </si>
  <si>
    <t>Takl</t>
  </si>
  <si>
    <t>Foodsby</t>
  </si>
  <si>
    <t>TravelBank</t>
  </si>
  <si>
    <t>Flowr</t>
  </si>
  <si>
    <t>Peerfit</t>
  </si>
  <si>
    <t>The Guild</t>
  </si>
  <si>
    <t>Drip</t>
  </si>
  <si>
    <t>GrayMeta</t>
  </si>
  <si>
    <t>Triplebyte</t>
  </si>
  <si>
    <t>Ladder Life</t>
  </si>
  <si>
    <t>Cabin</t>
  </si>
  <si>
    <t>Eight Sleep</t>
  </si>
  <si>
    <t>Flywheel Sports</t>
  </si>
  <si>
    <t>Peek</t>
  </si>
  <si>
    <t>CTO.ai</t>
  </si>
  <si>
    <t>Yonder</t>
  </si>
  <si>
    <t>Service</t>
  </si>
  <si>
    <t>Ejento</t>
  </si>
  <si>
    <t>Remote Year</t>
  </si>
  <si>
    <t>Lola</t>
  </si>
  <si>
    <t>Anyvision</t>
  </si>
  <si>
    <t>Popin</t>
  </si>
  <si>
    <t>Tuft &amp; Needle</t>
  </si>
  <si>
    <t>Flytedesk</t>
  </si>
  <si>
    <t>Help.com</t>
  </si>
  <si>
    <t>Panda Squad</t>
  </si>
  <si>
    <t>Tamara Mellon</t>
  </si>
  <si>
    <t>NA</t>
  </si>
  <si>
    <t>Monthly Date</t>
  </si>
  <si>
    <t>Row Labels</t>
  </si>
  <si>
    <t>(blank)</t>
  </si>
  <si>
    <t>(All)</t>
  </si>
  <si>
    <t>Country/Layoff</t>
  </si>
  <si>
    <t>Industry/Layoff</t>
  </si>
  <si>
    <t>Datewise Layoff</t>
  </si>
  <si>
    <t>Company/Layoff</t>
  </si>
  <si>
    <t>Which industries are collapsing fastest?</t>
  </si>
  <si>
    <t>Are layoffs increasing month by month?</t>
  </si>
  <si>
    <t>Are well-funded startups still laying off people?</t>
  </si>
  <si>
    <t xml:space="preserve"> Which countries are losing jobs fastest?</t>
  </si>
  <si>
    <t xml:space="preserve"> financial industry laidoff 451 empolyees</t>
  </si>
  <si>
    <t>Sum of Funds_Raised</t>
  </si>
  <si>
    <t>Sum of Laid_Off_Count</t>
  </si>
  <si>
    <t>Companies</t>
  </si>
  <si>
    <t>Max Funds raised</t>
  </si>
  <si>
    <t>Rank</t>
  </si>
  <si>
    <t>Layoff</t>
  </si>
  <si>
    <t>Years (Date)</t>
  </si>
  <si>
    <t>United states loosing jobs faster</t>
  </si>
  <si>
    <t>Jan</t>
  </si>
  <si>
    <t>Feb</t>
  </si>
  <si>
    <t>Mar</t>
  </si>
  <si>
    <t>Apr</t>
  </si>
  <si>
    <t>May</t>
  </si>
  <si>
    <t>Jun</t>
  </si>
  <si>
    <t>Jul</t>
  </si>
  <si>
    <t>Aug</t>
  </si>
  <si>
    <t>Sep</t>
  </si>
  <si>
    <t>Oct</t>
  </si>
  <si>
    <t>Nov</t>
  </si>
  <si>
    <t>Dec</t>
  </si>
  <si>
    <t>Layoff Efficiency</t>
  </si>
  <si>
    <t>Layoff Efficiency measures the number of employees laid off relative to the amount of funding raised by the company. It helps identify whether highly funded companies are still reducing workforce despite strong capital support.</t>
  </si>
  <si>
    <t>Netflix raised very high funding but had relatively smaller layoffs.
Uber shows layoffs despite significant funding.
Meta has extremely large layoffs compared with other companies.</t>
  </si>
  <si>
    <t/>
  </si>
  <si>
    <t>According to the pattern layoff in January month was relatively high as comparison to another months.This data comprises of data from 2020-2024.We can change it through filters in pivot table linked to this chart.</t>
  </si>
  <si>
    <t>Average of Percentage</t>
  </si>
  <si>
    <t>Risk Score</t>
  </si>
  <si>
    <t>Layoffs Intensity</t>
  </si>
  <si>
    <t>What re max risk score companies?</t>
  </si>
  <si>
    <t>Risk score for companies like meta ,BlockFi and others is more which indicates instability in the job for particular companies is more</t>
  </si>
  <si>
    <t>LAYOFF REPORT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</si>
</sst>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2"/>
      <color rgb="FF000000"/>
      <name val="Aptos Narrow"/>
      <family val="2"/>
      <scheme val="minor"/>
    </font>
    <font>
      <sz val="14"/>
      <color theme="1"/>
      <name val="Courier New"/>
      <family val="1"/>
    </font>
    <font>
      <sz val="26"/>
      <color theme="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89999084444715716"/>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4">
    <xf numFmtId="0" fontId="0" fillId="0" borderId="0" xfId="0"/>
    <xf numFmtId="0" fontId="0" fillId="0" borderId="0" xfId="0" applyAlignment="1">
      <alignment horizontal="center" vertical="center"/>
    </xf>
    <xf numFmtId="0" fontId="0" fillId="0" borderId="10" xfId="0" applyBorder="1" applyAlignment="1">
      <alignment horizontal="center"/>
    </xf>
    <xf numFmtId="0" fontId="18" fillId="33" borderId="10" xfId="0" applyFont="1" applyFill="1" applyBorder="1" applyAlignment="1">
      <alignment horizontal="center"/>
    </xf>
    <xf numFmtId="9" fontId="18" fillId="33" borderId="10" xfId="42" applyFont="1" applyFill="1" applyBorder="1" applyAlignment="1">
      <alignment horizontal="center"/>
    </xf>
    <xf numFmtId="14" fontId="0" fillId="0" borderId="10" xfId="0" applyNumberFormat="1" applyBorder="1" applyAlignment="1">
      <alignment horizontal="center"/>
    </xf>
    <xf numFmtId="9" fontId="0" fillId="0" borderId="10" xfId="42" applyFont="1" applyBorder="1" applyAlignment="1">
      <alignment horizontal="center"/>
    </xf>
    <xf numFmtId="9" fontId="0" fillId="0" borderId="10" xfId="42" quotePrefix="1"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18" fillId="34" borderId="0" xfId="0" applyFont="1" applyFill="1" applyAlignment="1">
      <alignment horizontal="center" vertical="center"/>
    </xf>
    <xf numFmtId="0" fontId="0" fillId="0" borderId="0" xfId="0" pivotButton="1" applyAlignment="1">
      <alignment horizontal="center" vertical="center"/>
    </xf>
    <xf numFmtId="0" fontId="18" fillId="35" borderId="14" xfId="0" applyFont="1" applyFill="1" applyBorder="1" applyAlignment="1">
      <alignment horizontal="center" vertical="center" wrapText="1"/>
    </xf>
    <xf numFmtId="0" fontId="18" fillId="35" borderId="15" xfId="0" applyFont="1" applyFill="1" applyBorder="1" applyAlignment="1">
      <alignment horizontal="center" vertical="center" wrapText="1"/>
    </xf>
    <xf numFmtId="0" fontId="18" fillId="35" borderId="0" xfId="0" applyFont="1" applyFill="1" applyAlignment="1">
      <alignment horizontal="center" vertical="center" wrapText="1"/>
    </xf>
    <xf numFmtId="0" fontId="21" fillId="37" borderId="10" xfId="0" applyFont="1" applyFill="1" applyBorder="1" applyAlignment="1">
      <alignment horizontal="center" vertical="center" wrapText="1"/>
    </xf>
    <xf numFmtId="0" fontId="0" fillId="37" borderId="10" xfId="0" applyFill="1" applyBorder="1" applyAlignment="1">
      <alignment horizontal="center" vertical="center" wrapText="1"/>
    </xf>
    <xf numFmtId="0" fontId="20" fillId="37" borderId="10" xfId="0" applyFont="1" applyFill="1" applyBorder="1" applyAlignment="1">
      <alignment horizontal="center" vertical="center" wrapText="1"/>
    </xf>
    <xf numFmtId="0" fontId="18" fillId="38" borderId="10" xfId="0" applyFont="1" applyFill="1" applyBorder="1" applyAlignment="1">
      <alignment horizontal="center" vertical="center" wrapText="1"/>
    </xf>
    <xf numFmtId="0" fontId="19" fillId="37" borderId="10" xfId="0" applyFont="1" applyFill="1" applyBorder="1" applyAlignment="1">
      <alignment horizontal="center" vertical="center" wrapText="1"/>
    </xf>
    <xf numFmtId="0" fontId="18" fillId="33" borderId="15" xfId="0" applyFont="1" applyFill="1" applyBorder="1" applyAlignment="1">
      <alignment horizontal="center" vertical="center"/>
    </xf>
    <xf numFmtId="0" fontId="18" fillId="38" borderId="0" xfId="0" applyFont="1" applyFill="1" applyAlignment="1">
      <alignment horizontal="center" vertical="center"/>
    </xf>
    <xf numFmtId="0" fontId="18" fillId="34" borderId="0" xfId="0" applyFont="1" applyFill="1" applyAlignment="1">
      <alignment horizontal="center"/>
    </xf>
    <xf numFmtId="0" fontId="18" fillId="34" borderId="0" xfId="0" applyFont="1" applyFill="1" applyAlignment="1">
      <alignment horizontal="center" vertical="center"/>
    </xf>
    <xf numFmtId="0" fontId="18" fillId="36" borderId="11" xfId="0" applyFont="1" applyFill="1" applyBorder="1" applyAlignment="1">
      <alignment horizontal="center" vertical="center" wrapText="1"/>
    </xf>
    <xf numFmtId="0" fontId="18" fillId="36" borderId="12" xfId="0" applyFont="1" applyFill="1" applyBorder="1" applyAlignment="1">
      <alignment horizontal="center" vertical="center" wrapText="1"/>
    </xf>
    <xf numFmtId="0" fontId="18" fillId="36" borderId="13" xfId="0" applyFont="1" applyFill="1" applyBorder="1" applyAlignment="1">
      <alignment horizontal="center" vertical="center" wrapText="1"/>
    </xf>
    <xf numFmtId="0" fontId="18" fillId="36" borderId="0" xfId="0" applyFont="1" applyFill="1" applyAlignment="1">
      <alignment horizontal="center" vertical="center" wrapText="1"/>
    </xf>
    <xf numFmtId="0" fontId="0" fillId="39" borderId="11" xfId="0" applyFill="1" applyBorder="1"/>
    <xf numFmtId="0" fontId="0" fillId="0" borderId="0" xfId="0" applyBorder="1"/>
    <xf numFmtId="0" fontId="18" fillId="40" borderId="17" xfId="0" applyFont="1" applyFill="1" applyBorder="1" applyAlignment="1">
      <alignment vertical="center" wrapText="1"/>
    </xf>
    <xf numFmtId="0" fontId="18" fillId="40" borderId="0" xfId="0" applyFont="1" applyFill="1" applyBorder="1" applyAlignment="1">
      <alignment vertical="center" wrapText="1"/>
    </xf>
    <xf numFmtId="0" fontId="18" fillId="40" borderId="18" xfId="0" applyFont="1" applyFill="1" applyBorder="1" applyAlignment="1">
      <alignment vertical="center" wrapText="1"/>
    </xf>
    <xf numFmtId="0" fontId="18" fillId="40" borderId="19" xfId="0" applyFont="1" applyFill="1" applyBorder="1" applyAlignment="1">
      <alignment vertical="center" wrapText="1"/>
    </xf>
    <xf numFmtId="0" fontId="18" fillId="40" borderId="16" xfId="0" applyFont="1" applyFill="1" applyBorder="1" applyAlignment="1">
      <alignment vertical="center" wrapText="1"/>
    </xf>
    <xf numFmtId="0" fontId="18" fillId="40" borderId="20" xfId="0" applyFont="1" applyFill="1" applyBorder="1" applyAlignment="1">
      <alignment vertical="center" wrapText="1"/>
    </xf>
    <xf numFmtId="0" fontId="18" fillId="40" borderId="17" xfId="0" applyFont="1" applyFill="1" applyBorder="1" applyAlignment="1">
      <alignment horizontal="left" vertical="center" wrapText="1"/>
    </xf>
    <xf numFmtId="0" fontId="18" fillId="40" borderId="0" xfId="0" applyFont="1" applyFill="1" applyAlignment="1">
      <alignment horizontal="left" vertical="center"/>
    </xf>
    <xf numFmtId="0" fontId="18" fillId="40" borderId="17" xfId="0" applyFont="1" applyFill="1" applyBorder="1" applyAlignment="1">
      <alignment horizontal="left" vertical="center"/>
    </xf>
    <xf numFmtId="0" fontId="0" fillId="0" borderId="0" xfId="0" quotePrefix="1"/>
    <xf numFmtId="0" fontId="18" fillId="40" borderId="0" xfId="0" applyFont="1" applyFill="1" applyAlignment="1">
      <alignment horizontal="center" vertical="center" wrapText="1"/>
    </xf>
    <xf numFmtId="0" fontId="0" fillId="0" borderId="0" xfId="0" applyNumberFormat="1" applyAlignment="1">
      <alignment horizontal="center" vertical="center"/>
    </xf>
    <xf numFmtId="0" fontId="18" fillId="41" borderId="0" xfId="0" applyFont="1" applyFill="1"/>
    <xf numFmtId="0" fontId="22" fillId="42" borderId="0" xfId="0" applyFont="1" applyFill="1" applyBorder="1" applyAlignment="1">
      <alignment horizontal="center" vertical="center"/>
    </xf>
    <xf numFmtId="0" fontId="18" fillId="40" borderId="11" xfId="0" applyFont="1" applyFill="1" applyBorder="1" applyAlignment="1">
      <alignment horizontal="center" vertical="center" wrapText="1"/>
    </xf>
    <xf numFmtId="0" fontId="22" fillId="42" borderId="21" xfId="0" applyFont="1" applyFill="1" applyBorder="1" applyAlignment="1">
      <alignment horizontal="center" vertical="center"/>
    </xf>
    <xf numFmtId="0" fontId="22" fillId="42" borderId="22" xfId="0" applyFont="1" applyFill="1" applyBorder="1" applyAlignment="1">
      <alignment horizontal="center" vertical="center"/>
    </xf>
    <xf numFmtId="0" fontId="22" fillId="42" borderId="23" xfId="0" applyFont="1" applyFill="1" applyBorder="1" applyAlignment="1">
      <alignment horizontal="center" vertical="center"/>
    </xf>
    <xf numFmtId="0" fontId="22" fillId="42" borderId="24" xfId="0" applyFont="1" applyFill="1" applyBorder="1" applyAlignment="1">
      <alignment horizontal="center" vertical="center"/>
    </xf>
    <xf numFmtId="0" fontId="22" fillId="42" borderId="25" xfId="0" applyFont="1" applyFill="1" applyBorder="1" applyAlignment="1">
      <alignment horizontal="center" vertical="center"/>
    </xf>
    <xf numFmtId="0" fontId="22" fillId="42" borderId="26" xfId="0" applyFont="1" applyFill="1" applyBorder="1" applyAlignment="1">
      <alignment horizontal="center" vertical="center"/>
    </xf>
    <xf numFmtId="0" fontId="22" fillId="42" borderId="27" xfId="0" applyFont="1" applyFill="1" applyBorder="1" applyAlignment="1">
      <alignment horizontal="center" vertical="center"/>
    </xf>
    <xf numFmtId="0" fontId="22" fillId="42" borderId="28"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48">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[layoffs_data 2.xlsx]Pivot Tables!PivotTable13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6231137534323"/>
          <c:y val="3.7019974848882566E-2"/>
          <c:w val="0.82885434878364384"/>
          <c:h val="0.85120138180361882"/>
        </c:manualLayout>
      </c:layout>
      <c:barChart>
        <c:barDir val="col"/>
        <c:grouping val="clustered"/>
        <c:varyColors val="0"/>
        <c:ser>
          <c:idx val="0"/>
          <c:order val="0"/>
          <c:tx>
            <c:strRef>
              <c:f>'Pivot Tables'!$W$3</c:f>
              <c:strCache>
                <c:ptCount val="1"/>
                <c:pt idx="0">
                  <c:v>Total</c:v>
                </c:pt>
              </c:strCache>
            </c:strRef>
          </c:tx>
          <c:spPr>
            <a:solidFill>
              <a:schemeClr val="accent1"/>
            </a:solidFill>
            <a:ln>
              <a:noFill/>
            </a:ln>
            <a:effectLst/>
          </c:spPr>
          <c:invertIfNegative val="0"/>
          <c:cat>
            <c:strRef>
              <c:f>'Pivot Tables'!$V$4:$V$15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Tables'!$W$4:$W$15</c:f>
              <c:numCache>
                <c:formatCode>General</c:formatCode>
                <c:ptCount val="12"/>
                <c:pt idx="0">
                  <c:v>131139</c:v>
                </c:pt>
                <c:pt idx="1">
                  <c:v>60094</c:v>
                </c:pt>
                <c:pt idx="2">
                  <c:v>60755</c:v>
                </c:pt>
                <c:pt idx="3">
                  <c:v>73601</c:v>
                </c:pt>
                <c:pt idx="4">
                  <c:v>63871</c:v>
                </c:pt>
                <c:pt idx="5">
                  <c:v>40821</c:v>
                </c:pt>
                <c:pt idx="6">
                  <c:v>34080</c:v>
                </c:pt>
                <c:pt idx="7">
                  <c:v>27069</c:v>
                </c:pt>
                <c:pt idx="8">
                  <c:v>11358</c:v>
                </c:pt>
                <c:pt idx="9">
                  <c:v>29219</c:v>
                </c:pt>
                <c:pt idx="10">
                  <c:v>64274</c:v>
                </c:pt>
                <c:pt idx="11">
                  <c:v>19905</c:v>
                </c:pt>
              </c:numCache>
            </c:numRef>
          </c:val>
          <c:extLst>
            <c:ext xmlns:c16="http://schemas.microsoft.com/office/drawing/2014/chart" uri="{C3380CC4-5D6E-409C-BE32-E72D297353CC}">
              <c16:uniqueId val="{00000001-1973-C847-BF12-90FDCEF72AAC}"/>
            </c:ext>
          </c:extLst>
        </c:ser>
        <c:dLbls>
          <c:showLegendKey val="0"/>
          <c:showVal val="0"/>
          <c:showCatName val="0"/>
          <c:showSerName val="0"/>
          <c:showPercent val="0"/>
          <c:showBubbleSize val="0"/>
        </c:dLbls>
        <c:gapWidth val="219"/>
        <c:overlap val="-27"/>
        <c:axId val="865239119"/>
        <c:axId val="366755567"/>
      </c:barChart>
      <c:catAx>
        <c:axId val="86523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66755567"/>
        <c:crosses val="autoZero"/>
        <c:auto val="1"/>
        <c:lblAlgn val="ctr"/>
        <c:lblOffset val="100"/>
        <c:noMultiLvlLbl val="0"/>
      </c:catAx>
      <c:valAx>
        <c:axId val="36675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652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25401</xdr:rowOff>
    </xdr:from>
    <xdr:to>
      <xdr:col>10</xdr:col>
      <xdr:colOff>812800</xdr:colOff>
      <xdr:row>25</xdr:row>
      <xdr:rowOff>38100</xdr:rowOff>
    </xdr:to>
    <xdr:graphicFrame macro="">
      <xdr:nvGraphicFramePr>
        <xdr:cNvPr id="2" name="Chart 1">
          <a:extLst>
            <a:ext uri="{FF2B5EF4-FFF2-40B4-BE49-F238E27FC236}">
              <a16:creationId xmlns:a16="http://schemas.microsoft.com/office/drawing/2014/main" id="{4AB25A71-8B80-E145-9A48-91EA530B7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103.670604166669" createdVersion="8" refreshedVersion="8" minRefreshableVersion="3" recordCount="3643" xr:uid="{356527E9-E1E1-0840-89BA-F660FF8E56FE}">
  <cacheSource type="worksheet">
    <worksheetSource ref="A1:J1048576" sheet="layoffs_data 2"/>
  </cacheSource>
  <cacheFields count="13">
    <cacheField name="Company" numFmtId="0">
      <sharedItems containsBlank="1" containsMixedTypes="1" containsNumber="1" containsInteger="1" minValue="99" maxValue="888" count="2592">
        <s v="Oda"/>
        <s v="Pagaya"/>
        <s v="Aleph Farms"/>
        <s v="MoonPay"/>
        <s v="Yext"/>
        <s v="Microsoft"/>
        <s v="OrCam"/>
        <s v="Google"/>
        <s v="Tropic"/>
        <s v="Gro Intelligence"/>
        <s v="Jasper Health"/>
        <s v="FlightStats"/>
        <s v="ICANN"/>
        <s v="Walnut"/>
        <s v="Fisker"/>
        <s v="Funding Circle"/>
        <s v="Lucid Motors"/>
        <s v="Foursquare"/>
        <s v="Guild"/>
        <s v="Cue Health"/>
        <s v="Silo"/>
        <s v="Joonko"/>
        <s v="Toshiba"/>
        <s v="Wefox"/>
        <s v="Replit"/>
        <s v="Gopuff"/>
        <s v="Karhoo"/>
        <s v="SeekOut"/>
        <s v="Atmosphere"/>
        <s v="Singularity 6"/>
        <s v="Mainvest"/>
        <s v="Indeed"/>
        <s v="Motional"/>
        <s v="Rivian"/>
        <s v="Vacasa"/>
        <s v="Sight Diagnostics"/>
        <s v="PrepLadder"/>
        <s v="Simpl"/>
        <s v="Arkane Studios"/>
        <s v="Brilliant"/>
        <s v="Kinaxis"/>
        <s v="Hopin"/>
        <s v="Enovix"/>
        <s v="Luminar"/>
        <s v="Sprinklr"/>
        <s v="Bakkt"/>
        <s v="Peloton"/>
        <s v="Cabify"/>
        <s v="Assurance"/>
        <s v="Sproutt"/>
        <s v="Tesla"/>
        <s v="RiseUp"/>
        <s v="Akili Interactive"/>
        <s v="Getir"/>
        <s v="Ola"/>
        <s v="ComplYant"/>
        <s v="HealthifyMe"/>
        <s v="True Anomaly"/>
        <s v="Grin"/>
        <s v="Expedia"/>
        <s v="Freenome"/>
        <s v="Heureka Group"/>
        <s v="98point6"/>
        <s v="OutSystems"/>
        <s v="Homie"/>
        <s v="The Good Glamm Group"/>
        <s v="Showpad"/>
        <s v="Stability AI"/>
        <s v="Pax8"/>
        <s v="ConnectWise"/>
        <s v="Take-Two"/>
        <s v="Tome"/>
        <s v="Criteo"/>
        <s v="Glovo"/>
        <s v="TikTok"/>
        <s v="Fabric"/>
        <s v="Hinge Health"/>
        <s v="Zoe"/>
        <s v="Cornershop"/>
        <s v="Scaler"/>
        <s v="Checkr"/>
        <s v="Intel"/>
        <s v="Trendsales"/>
        <s v="Fission"/>
        <s v="Bolt.Earth"/>
        <s v="Apple"/>
        <s v="Agility Robotics"/>
        <s v="Lightspeed Commerce"/>
        <s v="Ghost Autonomy"/>
        <s v="Vivian Health"/>
        <s v="Amazon"/>
        <s v="CoRover"/>
        <s v="Kaseya"/>
        <s v="New Relic"/>
        <s v="Yummly"/>
        <s v="Byju's"/>
        <s v="Lentra"/>
        <s v="Thepeer"/>
        <s v="Osso VR"/>
        <s v="Identiq"/>
        <s v="Ranger Insurance"/>
        <s v="Rezi"/>
        <s v="ChowNow"/>
        <s v="Synctera"/>
        <s v="GoPro"/>
        <s v="Dell"/>
        <s v="Verily"/>
        <s v="Cybereason"/>
        <s v="ShopBack"/>
        <s v="Orbotech"/>
        <s v="Airmeet"/>
        <s v="Singular Genomics"/>
        <s v="Longi"/>
        <s v="Flock Freight"/>
        <s v="Chipper Cash"/>
        <s v="Blueboard"/>
        <s v="Ancestry"/>
        <s v="Textio"/>
        <s v="Stash"/>
        <s v="Phantom Auto"/>
        <s v="IBM"/>
        <s v="Deadspin"/>
        <s v="Niche"/>
        <s v="Inscribe"/>
        <s v="Turnitin"/>
        <s v="Totango"/>
        <s v="Sorare"/>
        <s v="Meta"/>
        <s v="PlanetScale"/>
        <s v="MessageBird"/>
        <s v="Form Energy"/>
        <s v="Verbit"/>
        <s v="Edgio"/>
        <s v="Melio"/>
        <s v="Our Next Energy"/>
        <s v="Project Ronin"/>
        <s v="Pristyn Care"/>
        <s v="Tonik"/>
        <s v="Kevin"/>
        <s v="Electronic Arts"/>
        <s v="Treasury Prime"/>
        <s v="Sony Interactive"/>
        <s v="Bumble"/>
        <s v="PropertyGuru"/>
        <s v="WayCool"/>
        <s v="Daraz"/>
        <s v="Redesign Health"/>
        <s v="Carbon Health"/>
        <s v="Vice Media"/>
        <s v="Affirm"/>
        <s v="Finder"/>
        <s v="BuzzFeed"/>
        <s v="Aptiv"/>
        <s v="Tails.com"/>
        <s v="Auctane"/>
        <s v="KnownOrigin"/>
        <s v="Meati"/>
        <s v="Farfetch"/>
        <s v="Voi"/>
        <s v="Toast"/>
        <s v="Sonder"/>
        <s v="Storytel"/>
        <s v="CodeSee"/>
        <s v="May Mobility"/>
        <s v="Cisco"/>
        <s v="Wint Wealth"/>
        <s v="Away"/>
        <s v="Instacart"/>
        <s v="Mozilla"/>
        <s v="Impinj"/>
        <s v="Riskified"/>
        <s v="Everybuddy"/>
        <s v="Popcore"/>
        <s v="Wisense"/>
        <s v="SiriusXM"/>
        <s v="Licious"/>
        <s v="BlissClub"/>
        <s v="Kandji"/>
        <s v="Pure Storage"/>
        <s v="Otovo"/>
        <s v="Getaround"/>
        <s v="Journera"/>
        <s v="Grammarly"/>
        <s v="Fireblocks"/>
        <s v="Tenable"/>
        <s v="Workfellow"/>
        <s v="DocuSign"/>
        <s v="Glowforge"/>
        <s v="Snap"/>
        <s v="Drizly"/>
        <s v="BillGO"/>
        <s v="Impact.com"/>
        <s v="Astrate Medical"/>
        <s v="Meetup"/>
        <s v="Muvin"/>
        <s v="Nomad Health"/>
        <s v="Zwift"/>
        <s v="Top Hat"/>
        <s v="Cake Bikes"/>
        <s v="Small Robot Company"/>
        <s v="Twig"/>
        <s v="Okta"/>
        <s v="Zoom"/>
        <s v="Illumina"/>
        <s v="Polygon"/>
        <s v="Indigo"/>
        <s v="Proofpoint"/>
        <s v="Trove Recommerce"/>
        <s v="CircleCI"/>
        <s v="Thinx"/>
        <s v="Innoviz"/>
        <s v="The Messenger"/>
        <s v="Zuora"/>
        <s v="PayPal"/>
        <s v="Block"/>
        <s v="Kiwi.com"/>
        <s v="Aurora Solar"/>
        <s v="Wattpad"/>
        <s v="TechCrunch"/>
        <s v="Noom"/>
        <s v="Procore"/>
        <s v="Vipps"/>
        <s v="iRobot"/>
        <s v="DispatchHealth"/>
        <s v="Loopio"/>
        <s v="Salesforce"/>
        <s v="Flexport"/>
        <s v="Productboard"/>
        <s v="Swiggy"/>
        <s v="Veho"/>
        <s v="Amperity"/>
        <s v="MVPindex"/>
        <s v="Business Insider"/>
        <s v="Cova"/>
        <s v="Jamf"/>
        <s v="Cult.fit"/>
        <s v="Personio"/>
        <s v="Aurora"/>
        <s v="Desktop Metal"/>
        <s v="HubSpot"/>
        <s v="SAP"/>
        <s v="eBay"/>
        <s v="Vroom"/>
        <s v="Brex"/>
        <s v="Cure.fit"/>
        <s v="GoStudent"/>
        <s v="GoTo"/>
        <s v="Seedr"/>
        <s v="Riot Games"/>
        <s v="Xendit"/>
        <s v="2U"/>
        <s v="SolarEdge"/>
        <s v="Wayfair"/>
        <s v="Fashinza"/>
        <s v="Stitch Fix"/>
        <s v="YouTube"/>
        <s v="Sirplus"/>
        <s v="SonderMind"/>
        <s v="First Mode"/>
        <s v="ALI Technologies"/>
        <s v="Thursday"/>
        <s v="Veeam"/>
        <s v="GrabCAD"/>
        <s v="Artifact"/>
        <s v="Dastgyr"/>
        <s v="Hologram"/>
        <s v="Vendr"/>
        <s v="New Work SE"/>
        <s v="Playtika"/>
        <s v="Discord"/>
        <s v="Inmobi"/>
        <s v="Audible"/>
        <s v="7Shifts"/>
        <s v="Sisense"/>
        <s v="Cloudflare"/>
        <n v="888"/>
        <s v="Certinia"/>
        <s v="Chief"/>
        <s v="Dextrous Robotics"/>
        <s v="Citrix"/>
        <s v="IAC"/>
        <s v="FreshDirect"/>
        <s v="Beam Benefits"/>
        <s v="Instagram"/>
        <s v="ChargePoint"/>
        <s v="SoFi"/>
        <s v="Twitch"/>
        <s v="Branch"/>
        <s v="Nevro"/>
        <s v="FullStory"/>
        <s v="Uber Freight"/>
        <s v="Rent the Runway"/>
        <s v="Treasure Financial"/>
        <s v="Humane"/>
        <s v="EVBox"/>
        <s v="Morning Consult"/>
        <s v="Trend Micro"/>
        <s v="Unity"/>
        <s v="Flipkart"/>
        <s v="NuScale Power"/>
        <s v="Flexe"/>
        <s v="Pitch"/>
        <s v="BenchSci"/>
        <s v="Here"/>
        <s v="Ledger Investing"/>
        <s v="Lendio"/>
        <s v="MeridianLink"/>
        <s v="LiveVox"/>
        <s v="NanoString Technologies"/>
        <s v="Lever"/>
        <s v="Trigo"/>
        <s v="InVision"/>
        <s v="VideoAmp"/>
        <s v="Xerox"/>
        <s v="Lazada Group "/>
        <s v="Orca Security"/>
        <s v="Frontdesk"/>
        <s v="Strake"/>
        <s v="Paytm"/>
        <s v="Hyperloop One"/>
        <s v="Palmetto Clean Technology"/>
        <s v="ShareChat"/>
        <s v="InSightec"/>
        <s v="Kaspien"/>
        <s v="Enphase Energy"/>
        <s v="Udaan"/>
        <s v="Checkout.com"/>
        <s v="Arm Holdings"/>
        <s v="Delivery Hero"/>
        <s v="Jellysmack"/>
        <s v="Superpedestrian"/>
        <s v="Cruise"/>
        <s v="Solarisbank"/>
        <s v="Bolt"/>
        <s v="Curalie"/>
        <s v="Curbio"/>
        <s v="Flyhomes"/>
        <s v="Stellar Pizza"/>
        <s v="Invitae"/>
        <s v="Etsy"/>
        <s v="Analog Devices"/>
        <s v="ForgeRock"/>
        <s v="Flex"/>
        <s v="FourKites"/>
        <s v="Sojern"/>
        <s v="TomTom"/>
        <s v="Jungle Scout"/>
        <s v="SmileDirectClub"/>
        <s v="Sunfolding"/>
        <s v="Zulily"/>
        <s v="D2iQ"/>
        <s v="Simplilearn"/>
        <s v="Navan"/>
        <s v="Tidal"/>
        <s v="ZestMoney"/>
        <s v="Incredibuild"/>
        <s v="Bill.com"/>
        <s v="Contentful"/>
        <s v="Course Hero"/>
        <s v="Pivo"/>
        <s v="Yahoo"/>
        <s v="Spotify"/>
        <s v="TuSimple"/>
        <s v="Meow Wolf"/>
        <s v="DwellWell"/>
        <s v="Twilio"/>
        <s v="Filmic"/>
        <s v="Loco"/>
        <s v="Zepz"/>
        <s v="Domo"/>
        <s v="Mojo"/>
        <s v="Pipedrive"/>
        <s v="Vox Media"/>
        <s v="Dataminr"/>
        <s v="Multiverse"/>
        <s v="Tier Mobility"/>
        <s v="VMware"/>
        <s v="Bytedance"/>
        <s v="Veev"/>
        <s v="Anar"/>
        <s v="Alerzo"/>
        <s v="McMakler"/>
        <s v="Tulip Retail"/>
        <s v="Jodo"/>
        <s v="C3.ai"/>
        <s v="Presto"/>
        <s v="Physics Wallah"/>
        <s v="NextGen Healthcare"/>
        <s v="Buildertrend"/>
        <s v="Jane"/>
        <s v="Zazuu"/>
        <s v="Sierra Space"/>
        <s v="Paystack"/>
        <s v="Beamery"/>
        <s v="Sonos"/>
        <s v="FintechOS"/>
        <s v="FreshBooks"/>
        <s v="Landing"/>
        <s v="Uleet"/>
        <s v="Chewy"/>
        <s v="Sarcos"/>
        <s v="Cake Group"/>
        <s v="Halodoc"/>
        <s v="Markforged"/>
        <s v="Ping Identity"/>
        <s v="TripAdvisor"/>
        <s v="Bowery Farming"/>
        <s v="Carta"/>
        <s v="Commure"/>
        <s v="OSlash"/>
        <s v="BigCommerce"/>
        <s v="CloudKitchens"/>
        <s v="Oportun"/>
        <s v="Zillow"/>
        <s v="Nextdoor"/>
        <s v="Zeus Living"/>
        <s v="Ava Labs"/>
        <s v="Moore Threads"/>
        <s v="Pico Interactive"/>
        <s v="F5"/>
        <s v="NIO"/>
        <s v="OpenSea"/>
        <s v="Viasat"/>
        <s v="Beyond Meat"/>
        <s v="OpenSpace"/>
        <s v="Orchard"/>
        <s v="Sportradar"/>
        <s v="Informatica"/>
        <s v="Splunk"/>
        <s v="Faire"/>
        <s v="Sana Benefits"/>
        <s v="Olive"/>
        <s v="StepStone"/>
        <s v="Hubilo"/>
        <s v="Karat Financial"/>
        <s v="Hippo Insurance"/>
        <s v="Graphy"/>
        <s v="Salsify"/>
        <s v=" F-Secure "/>
        <s v="Virgio"/>
        <s v="Exabeam"/>
        <s v="Slync"/>
        <s v="SiFive"/>
        <s v="Pebble"/>
        <s v="Shipt"/>
        <s v="Parity Technologies"/>
        <s v="Roblox China"/>
        <s v="Convoy"/>
        <s v="Bullhorn"/>
        <s v="LegalZoom"/>
        <s v="StellarAlgo"/>
        <s v="ManoMano"/>
        <s v="WeTransfer"/>
        <s v="Plume"/>
        <s v="Belora Paris"/>
        <s v="Made Renovation"/>
        <s v="Volta Trucks"/>
        <s v="Waymo"/>
        <s v="LinkedIn"/>
        <s v="CityMall"/>
        <s v="C2FO"/>
        <s v="Kayak / OpenTable"/>
        <s v="Bandcamp"/>
        <s v="Stack Overflow"/>
        <s v="PokerStars"/>
        <s v="Adda247"/>
        <s v="Uno Health"/>
        <s v="Qualcomm"/>
        <s v="Lending Club"/>
        <s v="MariaDB"/>
        <s v="Deepgram"/>
        <s v="Acronis"/>
        <s v="Neon"/>
        <s v="Blue Origin"/>
        <s v="Braid"/>
        <s v="Product Hunt"/>
        <s v="VTrips"/>
        <s v="Juniper Networks"/>
        <s v="InvestCloud"/>
        <s v="Brave"/>
        <s v="Dash"/>
        <s v="Shift"/>
        <s v="Yuga Labs"/>
        <s v="Bizongo"/>
        <s v="SchoolMint"/>
        <s v="Arrival"/>
        <s v="Ledger"/>
        <s v="Qualtrics"/>
        <s v="Hopper"/>
        <s v="Bird"/>
        <s v="Dare"/>
        <s v="Sendoso"/>
        <s v="Chainalysis"/>
        <s v="Synapse"/>
        <s v="Chia Network"/>
        <s v="IronNet"/>
        <s v="Sono Motors"/>
        <s v="Cowbell"/>
        <s v="N26"/>
        <s v="Andgo"/>
        <s v="Vendasta"/>
        <s v="Epic Games"/>
        <s v="Lululemon Studio"/>
        <s v="Fit Analytics"/>
        <s v="Fi.Money"/>
        <s v="Dunzo"/>
        <s v="Talkdesk"/>
        <s v="Lucid Software"/>
        <s v="Eat Just"/>
        <s v="Appsmith"/>
        <s v="Roblox"/>
        <s v="Foodpanda"/>
        <s v="Recast"/>
        <s v="DealShare"/>
        <s v="Merative"/>
        <s v="Robinhood"/>
        <s v="Akudo"/>
        <s v="Outreach"/>
        <s v="Truss Works"/>
        <s v="Nowadays"/>
        <s v="Hooray Foods"/>
        <s v="Sage Therapeutics copy"/>
        <s v="Velocity"/>
        <s v="Airtable"/>
        <s v="Project44"/>
        <s v="R3"/>
        <s v="Akili Labs"/>
        <s v="Evolve"/>
        <s v="Binance.US"/>
        <s v="Paper"/>
        <s v="Homeday"/>
        <s v="At-Bay"/>
        <s v="Eurora"/>
        <s v="Chargebee"/>
        <s v="Divvy Homes"/>
        <s v="Grabango"/>
        <s v="Bonterra "/>
        <s v="Mollie"/>
        <s v="Oyster"/>
        <s v="Sensor Tower"/>
        <s v="Drift"/>
        <s v="Hijra"/>
        <s v="Roku"/>
        <s v="ForeScout"/>
        <s v="Better.com"/>
        <s v="iSpecimen"/>
        <s v="MaxMilhas"/>
        <s v="Absci"/>
        <s v="Hodinkee"/>
        <s v="Talent.com"/>
        <s v="mPharma"/>
        <s v="Xolo"/>
        <s v="Nexar"/>
        <s v="Khatabook"/>
        <s v="Clearcover"/>
        <s v="Gated"/>
        <s v="Lunchtime"/>
        <s v="Pegasystems"/>
        <s v="Biofourmis"/>
        <s v="Malwarebytes"/>
        <s v="SkyKick"/>
        <s v="Omuni"/>
        <s v="Kenko Health"/>
        <s v="Huma"/>
        <s v="Zeplin"/>
        <s v="123Milhas"/>
        <s v="Zebra Technologies"/>
        <s v="CoinSwitch"/>
        <s v="Clockwork"/>
        <s v="SenseTime"/>
        <s v="HackerRank"/>
        <s v="Cuemath"/>
        <s v="Fortinet"/>
        <s v="Captiv8"/>
        <s v="Chingari"/>
        <s v="Atlas"/>
        <s v="Veriff"/>
        <s v="BlackLine"/>
        <s v="Rivos"/>
        <s v="Cellulant"/>
        <s v="JOIN"/>
        <s v="CoinDCX"/>
        <s v="Datagen"/>
        <s v="Hypefast"/>
        <s v="Tempo Automation"/>
        <s v="Recur"/>
        <s v="Unite Us"/>
        <s v="Twiga"/>
        <s v="Spartan Poker"/>
        <s v="Times Internet "/>
        <s v="Detectify"/>
        <s v="Embrace"/>
        <s v="Zylo"/>
        <s v="AppFolio"/>
        <s v="StreamElements"/>
        <s v="FlexCar"/>
        <s v="Noice"/>
        <s v="SecureWorks"/>
        <s v="Easee"/>
        <s v="CoinDesk"/>
        <s v="iQiyi Smart"/>
        <s v="LingoAce"/>
        <s v="Shutterfly"/>
        <s v="SHINE Technologies"/>
        <s v="Hike"/>
        <s v="NCC Group"/>
        <s v="Blend"/>
        <s v="Niantic"/>
        <s v="Babylon Health"/>
        <s v="Dealtale"/>
        <s v="Bukalapak"/>
        <s v="Podium"/>
        <s v="Quizy"/>
        <s v="StyleSeat"/>
        <s v="Thoughtworks"/>
        <s v="Rapid7"/>
        <s v="MPL"/>
        <s v="Doximity"/>
        <s v="23andMe"/>
        <s v="Caliva"/>
        <s v="Sendy"/>
        <s v="Verse"/>
        <s v="Qomplx"/>
        <s v="CodeClan"/>
        <s v="Astra"/>
        <s v="Big Cabal Media"/>
        <s v="Bardee"/>
        <s v="Aware"/>
        <s v="Ayoconnect"/>
        <s v="Finastra"/>
        <s v="Spinny"/>
        <s v="Tekion"/>
        <s v="BetterUp"/>
        <s v="Augury"/>
        <s v="Gem"/>
        <s v="Gupy"/>
        <s v="FamPay"/>
        <s v="Actyv.ai"/>
        <s v="ConnectedH"/>
        <s v="DICE"/>
        <s v="HackerOne"/>
        <s v="Silofit"/>
        <s v="Vesttoo"/>
        <s v="Planet"/>
        <s v="Archipelago"/>
        <s v="Increff"/>
        <s v="inDrive"/>
        <s v="Outreach "/>
        <s v="Qoala"/>
        <s v="Fable"/>
        <s v="Cambricon"/>
        <s v="Kape Technologies"/>
        <s v="Eroad"/>
        <s v="Kape"/>
        <s v="Homology"/>
        <s v="Milkbasket"/>
        <s v="Wish"/>
        <s v="Point"/>
        <s v="Akseleran"/>
        <s v="Datree"/>
        <s v="Degreed"/>
        <s v="Copia"/>
        <s v="Figure"/>
        <s v="Calendly"/>
        <s v="Myntra"/>
        <s v="Kleos Space"/>
        <s v="Ripl"/>
        <s v="Deep Instict"/>
        <s v="Pluralsight"/>
        <s v="AppHarvest"/>
        <s v="Arive"/>
        <s v="Onfido"/>
        <s v="PathAI"/>
        <s v="Bundle Africa"/>
        <s v="Viaplay"/>
        <s v="Stoa"/>
        <s v="MiQ"/>
        <s v="Phunware"/>
        <s v="Saarthi.ai"/>
        <s v="AgentSync"/>
        <s v="Inspirato"/>
        <s v="Tilia"/>
        <s v="Blue Apron"/>
        <s v="Cameo"/>
        <s v="Square Roots"/>
        <s v="Code42"/>
        <s v="Ezoic"/>
        <s v="Lamudi Indonesia"/>
        <s v="Binance"/>
        <s v="PayScale"/>
        <s v="Navi Technologies"/>
        <s v="Skill Lync"/>
        <s v="AudioCodes"/>
        <s v="Deepwatch"/>
        <s v="Centr"/>
        <s v="Factorial"/>
        <s v="Bark"/>
        <s v="Khoros"/>
        <s v="Netlify"/>
        <s v="SAS"/>
        <s v="Dapper Labs"/>
        <s v="DeepVerge"/>
        <s v="Freightos"/>
        <s v="Circle"/>
        <s v="CyberGRX"/>
        <s v="Duck Creek Technologies"/>
        <s v="Matterport"/>
        <s v="Everquote"/>
        <s v="Built Technologies"/>
        <s v="Butterfly Network copy"/>
        <s v="Dukaan"/>
        <s v="Jasper"/>
        <s v="FrontRow"/>
        <s v="IntelyCare"/>
        <s v="Latch"/>
        <s v="Motive"/>
        <s v="Medsaf"/>
        <s v="Evernote"/>
        <s v="PaulCamper"/>
        <s v="Trellix"/>
        <s v="Amdocs"/>
        <s v="FNZ"/>
        <s v="Perfect Day"/>
        <s v="Solidigm"/>
        <s v="TytoCare"/>
        <s v="Circles.Life"/>
        <s v="ConnectRN"/>
        <s v="Crunchbase"/>
        <s v="DayTwo"/>
        <s v="Athennian"/>
        <s v="Vista Group"/>
        <s v="Highsnobiety"/>
        <s v="Zip"/>
        <s v="Buzzer"/>
        <s v="Lunya"/>
        <s v="MediaMath"/>
        <s v="Petal"/>
        <s v="Headspace"/>
        <s v="Artsy"/>
        <s v="Candy Digital"/>
        <s v="Xiaomi India"/>
        <s v="Torii"/>
        <s v="Insider Intelligence"/>
        <s v="Merama"/>
        <s v="Qyuki"/>
        <s v="Stripe"/>
        <s v="Vowel"/>
        <s v="ClickUp"/>
        <s v="Ludia"/>
        <s v="Karat"/>
        <s v="Plex"/>
        <s v="Starburst"/>
        <s v="Zapier"/>
        <s v="Selina"/>
        <s v="Tibber"/>
        <s v="ClearPay"/>
        <s v="Eyowo"/>
        <s v="Honor"/>
        <s v="Lordstown Motors"/>
        <s v="Waze"/>
        <s v="Payoneer"/>
        <s v="IRL"/>
        <s v="Retool"/>
        <s v="Anaplan"/>
        <s v="Uber"/>
        <s v="Tackle.io"/>
        <s v="Ritual"/>
        <s v="Friday Health Plans"/>
        <s v="Mutiny"/>
        <s v="Grab"/>
        <s v="OLX Group"/>
        <s v="AvantStay"/>
        <s v="Karakuki"/>
        <s v="Panther"/>
        <s v="Fuzzy"/>
        <s v="Mojocare"/>
        <s v="Nikola"/>
        <s v="Pilot"/>
        <s v="Karshare"/>
        <s v="CareRev"/>
        <s v="TADA"/>
        <s v="Cerner"/>
        <s v="Bitwise"/>
        <s v="TrueCar"/>
        <s v="Olo"/>
        <s v="Mamaearth"/>
        <s v="Western Digital"/>
        <s v="JupiterOne"/>
        <s v="Zalando"/>
        <s v="Grubhub"/>
        <s v="GoCardless"/>
        <s v="Pendo"/>
        <s v="Chegg"/>
        <s v="dot.LA"/>
        <s v="TaxBit"/>
        <s v="Tiki"/>
        <s v="Trybe"/>
        <s v="Expel"/>
        <s v="Cityblock Health"/>
        <s v="Highspot"/>
        <s v="Cohesity"/>
        <s v="Freshworks"/>
        <s v="Opora"/>
        <s v="Nubank"/>
        <s v="Sumo Logic"/>
        <s v="Flatiron Health"/>
        <s v="HashiCorp"/>
        <s v="Ursa Major"/>
        <s v="Coherent"/>
        <s v="Reddit"/>
        <s v="Linktree"/>
        <s v="Dragos"/>
        <s v="Mara"/>
        <s v="Bunnii"/>
        <s v="Azibo"/>
        <s v="Meati Foods"/>
        <s v="ZoomInfo"/>
        <s v="Staffbase"/>
        <s v="Zume"/>
        <s v="Haven Technologies"/>
        <s v="Mural"/>
        <s v="Glamyo Health"/>
        <s v="Outbrain"/>
        <s v="CloudTrucks"/>
        <s v="CoachHub"/>
        <s v="Fractal Software"/>
        <s v="SentinelOne"/>
        <s v="SmartAsset"/>
        <s v="Zendesk"/>
        <s v="ZipRecruiter"/>
        <s v="Mux"/>
        <s v="Taxfix"/>
        <s v="Mensa Brands"/>
        <s v="Coupa"/>
        <s v="Nansen"/>
        <s v="PacketFabric"/>
        <s v="DHI Group"/>
        <s v="BenevolentAI"/>
        <s v="Circus Kitchens"/>
        <s v="Kabam"/>
        <s v="WillowTree"/>
        <s v="Flink"/>
        <s v="Alibaba Cloud"/>
        <s v="Brainly"/>
        <s v="Reliance JioMart"/>
        <s v="SoundCloud"/>
        <s v="Tractable"/>
        <s v="Daylight"/>
        <s v="FemTech Health"/>
        <s v="Paperless Parts"/>
        <s v="Nuance Communications"/>
        <s v="Moss"/>
        <s v="Pie Insurance"/>
        <s v="Clearbit"/>
        <s v="dbt Labs"/>
        <s v="L1ght"/>
        <s v="Nextbite"/>
        <s v="Formstack"/>
        <s v="Lemonade"/>
        <s v="DroneUp"/>
        <s v="Quanto"/>
        <s v="Cana"/>
        <s v="Nuro"/>
        <s v="Telenav"/>
        <s v="Happay"/>
        <s v="Slickdeals"/>
        <s v="Toothsi"/>
        <s v="Everlaw"/>
        <s v="Tessera"/>
        <s v="Varo"/>
        <s v="CS Disco"/>
        <s v="Redbubble"/>
        <s v="Similarweb"/>
        <s v="Akamai"/>
        <s v="Sonatype"/>
        <s v="Marqeta"/>
        <s v="Momentis Surgical"/>
        <s v="Glean AI"/>
        <s v="Everledger"/>
        <s v="Twist Bioscience"/>
        <s v="Meesho"/>
        <s v="Teachmint"/>
        <s v="Eventus"/>
        <s v="Shopify"/>
        <s v="Sabre"/>
        <s v="Scribe Media"/>
        <s v="Autograph"/>
        <s v="Earnix"/>
        <s v="Karma"/>
        <s v="Glassbox"/>
        <s v="Upwork"/>
        <s v="Cars24"/>
        <s v="Brightcove"/>
        <s v="Healthy.io"/>
        <s v="Zymergen"/>
        <s v="TheSkimm"/>
        <s v="Brightline"/>
        <s v="Bishop Fox"/>
        <s v="Zoomo"/>
        <s v="Vallai"/>
        <s v="Lev"/>
        <s v="PharmEasy"/>
        <s v="Vah Vah!"/>
        <s v="Cogito"/>
        <s v="Embark Vet"/>
        <s v="Poparazzi"/>
        <s v="Providoor"/>
        <s v="Dropbox"/>
        <s v="Alteryx"/>
        <s v="Greenhouse"/>
        <s v="Rebellion Defense"/>
        <s v="Poppulo"/>
        <s v="Megaport"/>
        <s v="Airtasker"/>
        <s v="Tickertape"/>
        <s v="Clubhouse"/>
        <s v="Oddle"/>
        <s v="Extramarks"/>
        <s v="Teampay"/>
        <s v="RenoRun"/>
        <s v="Rapid"/>
        <s v="Red Hat"/>
        <s v="BigPanda"/>
        <s v="Lyft"/>
        <s v="Benchling"/>
        <s v="Koo"/>
        <s v="Open"/>
        <s v="Gloat"/>
        <s v="Insider"/>
        <s v="Iress"/>
        <s v="Lenovo"/>
        <s v="WalkMe"/>
        <s v="Opendoor"/>
        <s v="Noon"/>
        <s v="Culture Amp"/>
        <s v="TRM Labs"/>
        <s v="CoLab"/>
        <s v="Ten Square Games"/>
        <s v="Ynsect"/>
        <s v="Kumu"/>
        <s v="Utopia Music"/>
        <s v="Quadream"/>
        <s v="Drip Capital"/>
        <s v="Community Gaming"/>
        <s v="Calibrate"/>
        <s v="OpenClassrooms"/>
        <s v="Sayurbox"/>
        <s v="Snyk"/>
        <s v="Astronomer"/>
        <s v="Bluepad"/>
        <s v="Heygo"/>
        <s v="Lazerpay"/>
        <s v="Mediafly"/>
        <s v="Science 37"/>
        <s v="Medtronic"/>
        <s v="Milkrun"/>
        <s v="Redfin"/>
        <s v="Permutive"/>
        <s v="Examedi"/>
        <s v="Acxiom"/>
        <s v="Euler Motors"/>
        <s v="Reforge"/>
        <s v="Nori"/>
        <s v="Practo"/>
        <s v="Pear Therapeutics"/>
        <s v="Workit Health"/>
        <s v="Absolute Software"/>
        <s v="Avocargo"/>
        <s v="Amplitude"/>
        <s v="1K Kirana"/>
        <s v="Foundation Medicine"/>
        <s v="Boost"/>
        <s v="Cin7"/>
        <s v="Hyland Software"/>
        <s v="View"/>
        <s v="Guideline"/>
        <s v="Domestika"/>
        <s v="Airbyte"/>
        <s v="Hulu"/>
        <s v="LendingTree"/>
        <s v="FanClash"/>
        <s v="Loop"/>
        <s v="Crossbeam"/>
        <s v="AnswerLab"/>
        <s v="Endowus"/>
        <s v="GoodWorker"/>
        <s v="Kyndryl"/>
        <s v="Nowports"/>
        <s v="Unacademy"/>
        <s v="CoverMyMeds"/>
        <s v="Seagate"/>
        <s v="iCAD"/>
        <s v="Anyline"/>
        <s v="OnePipe"/>
        <s v="Blue Nile"/>
        <s v="AEye"/>
        <s v="Rackspace"/>
        <s v="Better Therapeutics"/>
        <s v="Aspiration"/>
        <s v="The Meet Group"/>
        <s v="Cimpress"/>
        <s v="TakeOff"/>
        <s v="Slite"/>
        <s v="Logitech"/>
        <s v="Glassdoor"/>
        <s v="Wejo"/>
        <s v="Copper"/>
        <s v="Rewind"/>
        <s v="Roofstock"/>
        <s v="Just Eat"/>
        <s v="Marvell"/>
        <s v="Workhuman"/>
        <s v="Xing"/>
        <s v="Mr Yum"/>
        <s v="Smallcase"/>
        <s v="GAMURS Group"/>
        <s v="Laybuy"/>
        <s v="Huuuge Games"/>
        <s v="Livspace"/>
        <s v="Symend"/>
        <s v="Candor Technology"/>
        <s v="Runtastic"/>
        <s v="Leafly"/>
        <s v="Bonusly"/>
        <s v="Klaviyo"/>
        <s v="Boxed"/>
        <s v="TradeWindow"/>
        <s v="Hometap"/>
        <s v="Fetch"/>
        <s v="Anchorage Digital"/>
        <s v="Avidbots"/>
        <s v="Samsung"/>
        <s v="Kaleidoscope"/>
        <s v="GoTo Group"/>
        <s v="Cookpad"/>
        <s v="Xero"/>
        <s v="Shopee"/>
        <s v="Wave Financial"/>
        <s v="Morning Brew"/>
        <s v="Neoleukin Therapeutics"/>
        <s v="Toucan"/>
        <s v="Appcues"/>
        <s v="Catch"/>
        <s v="RDX Works"/>
        <s v="Take-Two Interactive"/>
        <s v="Atlassian"/>
        <s v="UKG"/>
        <s v="UpGrad"/>
        <s v="HomeLane"/>
        <s v="Ankorstore"/>
        <s v="No Fluff Jobs"/>
        <s v="Loft"/>
        <s v="Embark Trucks"/>
        <s v="Lendi"/>
        <s v="UserTesting"/>
        <s v="Airbnb"/>
        <s v="Accolade"/>
        <s v="Zscaler"/>
        <s v="MasterClass"/>
        <s v="Ambev Tech"/>
        <s v="Fittr"/>
        <s v="CNET"/>
        <s v="Comparis"/>
        <s v="Kandela"/>
        <s v="Truckstop.com"/>
        <s v="iFood"/>
        <s v="Color Health"/>
        <s v="PayFit"/>
        <s v="Yellow.ai"/>
        <s v="Protego Trust Bank"/>
        <s v="Eventbrite"/>
        <s v="DUX Education"/>
        <s v="Cerebral"/>
        <s v="Amount"/>
        <s v="Palantir"/>
        <s v="Stytch"/>
        <s v="BitSight"/>
        <s v="Twitter"/>
        <s v="Ericsson"/>
        <s v="SAP Labs"/>
        <s v="Velodyne Lidar"/>
        <s v="Medallia"/>
        <s v="Lucira Health"/>
        <s v="Stax"/>
        <s v="EQRx"/>
        <s v="Poshmark"/>
        <s v="OneFootball"/>
        <s v="The Iconic"/>
        <s v="EVgo"/>
        <s v="StrongDM"/>
        <s v="Messari"/>
        <s v="Vibrent Health"/>
        <s v="Synamedia"/>
        <s v="TaskUs"/>
        <s v="Arch Oncology"/>
        <s v="Immutable"/>
        <s v="Jounce Therapeutics"/>
        <s v="Locomation"/>
        <s v="Green Labs"/>
        <s v="Crunchyroll"/>
        <s v="Ethos Life"/>
        <s v="Basis Technologies"/>
        <s v="PeerStreet"/>
        <s v="MyGate"/>
        <s v="Kinde"/>
        <s v="Fipola"/>
        <s v="HP"/>
        <s v="Micron"/>
        <s v="Tencent"/>
        <s v="Digimarc"/>
        <s v="Reserve"/>
        <s v="The RealReal"/>
        <s v="Smartsheet"/>
        <s v="Wix"/>
        <s v="ServiceTitan"/>
        <s v="DigitalOcean"/>
        <s v="Betterment"/>
        <s v="Momentive"/>
        <s v="Observe.AI"/>
        <s v="Religion of Sports"/>
        <s v="Tackle"/>
        <s v="Vicarious Surgical"/>
        <s v="Blackbaud"/>
        <s v="CommerceHub"/>
        <s v="Dropp"/>
        <s v="HackerEarth"/>
        <s v="PhableCare"/>
        <s v="Udemy"/>
        <s v="Electric"/>
        <s v="EMX Digital"/>
        <s v="PetLove"/>
        <s v="Collective Health"/>
        <s v="Magic Eden"/>
        <s v="Casavo"/>
        <s v="Moladin"/>
        <s v="TripleLift"/>
        <s v="Titan Medical"/>
        <s v="TikTok India"/>
        <s v="Syft Technologies"/>
        <s v="Open Co"/>
        <s v="Rigetti Computing"/>
        <s v="Wonderschool"/>
        <s v="Misfits Market"/>
        <s v="Deliveroo"/>
        <s v="Olive AI"/>
        <s v="GitLab"/>
        <s v="REE Automotive"/>
        <s v="GitHub"/>
        <s v="Quillt"/>
        <s v="WeTrade"/>
        <s v="GoDaddy"/>
        <s v="Gusto"/>
        <s v="Gong"/>
        <s v="Equitybee"/>
        <s v="Baraja"/>
        <s v="Koho"/>
        <s v="Medly"/>
        <s v="Nearmap"/>
        <s v="Salesloft"/>
        <s v="Openpay"/>
        <s v="LearnUpon"/>
        <s v="Loggi"/>
        <s v="Catch.com.au"/>
        <s v="VinFast US"/>
        <s v="Pocket Aces"/>
        <s v="Clari"/>
        <s v="C6 Bank"/>
        <s v="TenureX"/>
        <s v="Kyruus"/>
        <s v="Lightico"/>
        <s v="Eightfold AI"/>
        <s v="FarEye"/>
        <s v="Protocol Labs"/>
        <s v="Built Technologies copy"/>
        <s v="Autodesk"/>
        <s v="Mindstrong"/>
        <s v="Miro"/>
        <s v="Bittrex"/>
        <s v="Snowplow"/>
        <s v="Articulate"/>
        <s v="NCSoft"/>
        <s v="Sharesies"/>
        <s v="Pinterest"/>
        <s v="DraftKings"/>
        <s v="Cyren"/>
        <s v="Workato"/>
        <s v="VerticalScope"/>
        <s v="Wheel"/>
        <s v="Appgate"/>
        <s v="Exterro"/>
        <s v="Ada"/>
        <s v="Bustle Digital Group"/>
        <s v="Frequency Therapeutics"/>
        <s v="Match Group"/>
        <s v="Omnipresent"/>
        <s v="Picnic"/>
        <s v="NetApp"/>
        <s v="Workday"/>
        <s v="Upstart"/>
        <s v="Software AG"/>
        <s v="Tilting Point"/>
        <s v="Gokada"/>
        <s v="AU10TIX"/>
        <s v="National Instruments"/>
        <s v="OpenText"/>
        <s v="Philips"/>
        <s v="Groupon"/>
        <s v="Impossible Foods copy"/>
        <s v="Chrono24"/>
        <s v="BM Technologies"/>
        <s v="Olist"/>
        <s v="Prime Trust"/>
        <s v="Quantum SI"/>
        <s v="Hoxhunt"/>
        <s v="Me Poupe"/>
        <s v="CoinTracker"/>
        <s v="SSense"/>
        <s v="Ruggable"/>
        <s v="Synopsys"/>
        <s v="Heycar"/>
        <s v="Matrixport"/>
        <s v="Shakepay"/>
        <s v="#Paid"/>
        <s v="Decent"/>
        <s v="Feedzai"/>
        <s v="Nate"/>
        <s v="Soundwide"/>
        <s v="Confluent"/>
        <s v="Glisser"/>
        <s v="DriveWealth"/>
        <s v="Mode Global"/>
        <s v="Plus One Robotics"/>
        <s v="Quora"/>
        <s v="Lam Research"/>
        <s v="Luno"/>
        <s v="Clear Capital"/>
        <s v="Guardant Health"/>
        <s v="SirionLabs"/>
        <s v="PagSeguro"/>
        <s v="Prosus"/>
        <s v="Innovaccer"/>
        <s v="PartnerStack"/>
        <s v="Gitpod"/>
        <s v="OFFOR Health"/>
        <s v="Venngage"/>
        <s v="Corvus Insurance"/>
        <s v="Icon"/>
        <s v="PagerDuty"/>
        <s v="Scoro"/>
        <s v="Innovid"/>
        <s v="Booktopia"/>
        <s v="Ermetic"/>
        <s v="Namogoo"/>
        <s v="Camp K12"/>
        <s v="Gemini"/>
        <s v="BUX"/>
        <s v="MediBuddy"/>
        <s v="BitTorrent"/>
        <s v="Enjoei"/>
        <s v="Edifecs"/>
        <s v="Citrine Informatics"/>
        <s v="Avalara"/>
        <s v="Cyteir Therapeutics"/>
        <s v="Zappos"/>
        <s v="Capital One"/>
        <s v="Proterra"/>
        <s v="WeWork "/>
        <s v="Saks.com"/>
        <s v="Hydrow"/>
        <s v="Earth Rides"/>
        <s v="Fandom"/>
        <s v="IAM Robotics"/>
        <s v="Icertis"/>
        <s v="Magnite"/>
        <s v="Mudafy"/>
        <s v="Personalis"/>
        <s v="Prisma"/>
        <s v="Spaceship"/>
        <s v="Wallbox"/>
        <s v="Sophos"/>
        <s v="Teladoc Health"/>
        <s v="8x8"/>
        <s v="Benevity"/>
        <s v="Jumpcloud"/>
        <s v="nCino"/>
        <s v="Starry"/>
        <s v="Hootsuite"/>
        <s v="Clue"/>
        <s v="Addepar"/>
        <s v="80 Acres Farms"/>
        <s v="Aiven"/>
        <s v="Bally's Interactive"/>
        <s v="Betterfly"/>
        <s v="Cazoo"/>
        <s v="Coda"/>
        <s v="Cypress.io"/>
        <s v="Lucid Diagnostics"/>
        <s v="Mavenir"/>
        <s v="Britishvolt"/>
        <s v="Clutch"/>
        <s v="Exotel"/>
        <s v="Unico"/>
        <s v="Tul"/>
        <s v="American Robotics"/>
        <s v="Luxury Presence"/>
        <s v="RingCentral"/>
        <s v="Avaya"/>
        <s v="Fishbrain"/>
        <s v="GoMechanic"/>
        <s v="Oracle"/>
        <s v="Rappi"/>
        <s v="RateGenius"/>
        <s v="XP"/>
        <s v="PagBank"/>
        <s v="Gramophone"/>
        <s v="ClearCo"/>
        <s v="Ignition"/>
        <s v="Rebel Foods"/>
        <s v="Captain Fresh "/>
        <s v="Snappy"/>
        <s v="BharatAgri"/>
        <s v="DeHaat"/>
        <s v="Black Shark"/>
        <s v="Vial"/>
        <s v="Carvana"/>
        <s v="CoSchedule"/>
        <s v="GoCanvas"/>
        <s v="Jellyfish"/>
        <s v="SmartNews"/>
        <s v="Skit.ai"/>
        <s v="Pier"/>
        <s v="Blockchain.com"/>
        <s v="Lattice"/>
        <s v="Greenlight"/>
        <s v="Cashfree Payments"/>
        <s v="Mapbox"/>
        <s v="Definitive Healthcare"/>
        <s v="Career Karma"/>
        <s v="Crypto.com"/>
        <s v="Life360"/>
        <s v="Rock Content"/>
        <s v="Tipalti"/>
        <s v="Jumio"/>
        <s v="Intrinsic"/>
        <s v="Citizen"/>
        <s v="Limeade"/>
        <s v="Paddle"/>
        <s v="Coinbase"/>
        <s v="Till Payments"/>
        <s v="ConsenSys"/>
        <s v="Thinkific"/>
        <s v="LEAD"/>
        <s v="Parler"/>
        <s v="GoBolt"/>
        <s v="Relevel"/>
        <s v="Cart.com"/>
        <s v="100 Thieves"/>
        <s v="Esper"/>
        <s v="WHOOP"/>
        <s v="Fate Therapeutics"/>
        <s v="Century Therapeutics"/>
        <s v="Editas Medicine"/>
        <s v="Scale AI"/>
        <s v="Minute Media"/>
        <s v="Integrate"/>
        <s v="Huobi"/>
        <s v="Bounce"/>
        <s v="CareerArc"/>
        <s v="CreateMe"/>
        <s v="Lantern"/>
        <s v="Mojo Vision"/>
        <s v="SuperRare"/>
        <s v="Cue"/>
        <s v="SoundHound"/>
        <s v="Socure"/>
        <s v="Genesis"/>
        <s v="Moglix"/>
        <s v="Everlane"/>
        <s v="Pecan AI"/>
        <s v="Personetics"/>
        <s v="Twine Solutions "/>
        <s v="UpScalio"/>
        <s v="Attentive"/>
        <s v="Compass"/>
        <s v="TCR2"/>
        <s v="Kaltura"/>
        <s v="Butterfly Network"/>
        <s v="Vimeo"/>
        <s v="Wyre"/>
        <s v="Uniphore"/>
        <s v="Harappa"/>
        <s v="Graphcore"/>
        <s v="Gousto"/>
        <s v="Bilibili"/>
        <s v="Octopus Network"/>
        <s v="PayU"/>
        <s v="Element"/>
        <s v="Willow"/>
        <s v="Back Market"/>
        <s v="Zoopla"/>
        <s v="Lendis"/>
        <s v="Chope"/>
        <s v="Briza"/>
        <s v="StreetBees"/>
        <s v="Zhihu"/>
        <s v="Homebot"/>
        <s v="Health IQ"/>
        <s v="Xiaomi"/>
        <s v="YourGrocer"/>
        <s v="Tomorrow"/>
        <s v="Revelate"/>
        <s v=" E Inc."/>
        <s v="Improbable"/>
        <s v="Modern Treasury"/>
        <s v="Reach"/>
        <s v="LeafLink"/>
        <s v="Workmotion"/>
        <s v="Apollo"/>
        <s v="JD.ID"/>
        <s v="Quanergy Systems"/>
        <s v="Thumbtack"/>
        <s v="Komodo Health"/>
        <s v="Viant"/>
        <s v="Freshly"/>
        <s v="Balto"/>
        <s v="Caribou"/>
        <s v="Outschool"/>
        <s v="Xentral"/>
        <s v="Autobooks"/>
        <s v="Convene"/>
        <s v="Bol.com"/>
        <s v="Share Now"/>
        <s v="Alice"/>
        <s v="Primer"/>
        <s v="Brodmann17"/>
        <s v="Digital Surge"/>
        <s v="N-able Technologies"/>
        <s v="ZenLedger"/>
        <s v="Glints"/>
        <s v="Buser"/>
        <s v="Otonomo"/>
        <s v="TechTarget"/>
        <s v="Inscripta"/>
        <s v="CyCognito"/>
        <s v="Armis"/>
        <s v="FireHydrant"/>
        <s v="Nerdy"/>
        <s v="Vanta"/>
        <s v="Vedantu"/>
        <s v="Plaid"/>
        <s v="Recur Forever"/>
        <s v="Relativity"/>
        <s v="Integral Ad Science"/>
        <s v="Houzz"/>
        <s v="Grover"/>
        <s v="Lithic"/>
        <s v="Zywave"/>
        <s v="Doma"/>
        <s v="Weedmaps"/>
        <s v="Adobe"/>
        <s v="Perimeter 81"/>
        <s v="Koinly"/>
        <s v="Bridgit"/>
        <s v="Filevine"/>
        <s v="Moove"/>
        <s v="Nextiva"/>
        <s v="OneStudyTeam"/>
        <s v="Swyftx"/>
        <s v="Aqua Security"/>
        <s v="DataRails"/>
        <s v="Elemy"/>
        <s v="Route"/>
        <s v="OYO"/>
        <s v="Bybit"/>
        <s v="Cognyte"/>
        <s v="Polly"/>
        <s v="Homebound"/>
        <s v="Lora DiCarlo"/>
        <s v="Carousell"/>
        <s v="Bizzabo"/>
        <s v="BloomTech"/>
        <s v="Springbig"/>
        <s v="SQZ Biotech"/>
        <s v="Strava"/>
        <s v="Synlogic"/>
        <s v="Yapily"/>
        <s v="DoorDash"/>
        <s v="Kraken"/>
        <s v="Happy Money"/>
        <s v="Ula"/>
        <s v="Wonder"/>
        <s v="StudySmarter"/>
        <s v="Ual√°"/>
        <s v="Etermax"/>
        <s v="Thread"/>
        <s v="Elastic"/>
        <s v="Sana"/>
        <s v="Venafi"/>
        <s v="Bitso"/>
        <s v="Lyst"/>
        <s v="CoinJar"/>
        <s v="Bitfront"/>
        <s v="Codexis"/>
        <s v="Firework"/>
        <s v="Plerk"/>
        <s v="Proton.ai"/>
        <s v="Infarm"/>
        <s v="Wildlife Studios"/>
        <s v="Hirect"/>
        <s v="ApplyBoard"/>
        <s v="Ajaib"/>
        <s v="ResearchGate"/>
        <s v="BlockFi"/>
        <s v="FutureLearn"/>
        <s v="Inspectify"/>
        <s v="Ledn"/>
        <s v="NCX"/>
        <s v="Spora Health"/>
        <s v="Change Invest"/>
        <s v="Zilch"/>
        <s v="VerSe Innovation"/>
        <s v="Carwow"/>
        <s v="Vendease"/>
        <s v="Lemon"/>
        <s v="Quidax"/>
        <s v="Menulog"/>
        <s v="Assure"/>
        <s v="GoodGood"/>
        <s v="Muni Tienda"/>
        <s v="SWVL"/>
        <s v="SIRCLO"/>
        <s v="Movidesk"/>
        <s v="Trax"/>
        <s v="Flash Coffee"/>
        <s v="Natera"/>
        <s v="Rapyd"/>
        <s v="Reynen Court"/>
        <s v="Jumia"/>
        <s v="Kitopi"/>
        <s v="Devo"/>
        <s v="GloriFi"/>
        <s v="Zomato"/>
        <s v="Synthego"/>
        <s v="Splyt"/>
        <s v="Capitolis"/>
        <s v="Kavak"/>
        <s v="Metaplex"/>
        <s v="Ruangguru"/>
        <s v="StoryBlocks"/>
        <s v="Unchained Capital"/>
        <s v="Homepoint"/>
        <s v="Juni"/>
        <s v="Chili Piper"/>
        <s v="TealBook"/>
        <s v="&amp;Open"/>
        <s v="Wayflyer"/>
        <s v="Lokalise"/>
        <s v="Yotpo"/>
        <s v="D2L"/>
        <s v="Dance"/>
        <s v="Homeward"/>
        <s v="Infogrid"/>
        <s v="Kite"/>
        <s v="UiPath"/>
        <s v="Asana"/>
        <s v="OwnBackup"/>
        <s v="Deliveroo Australia"/>
        <s v="Properly"/>
        <s v="Protocol"/>
        <s v="Jimdo"/>
        <s v="The Zebra"/>
        <s v="Viber"/>
        <s v="CaptivateIQ"/>
        <s v="Apollo Insurance"/>
        <s v="Nirvana Money"/>
        <s v="Oatly"/>
        <s v="OfferUp"/>
        <s v="Outside"/>
        <s v="Rubicon Technologies"/>
        <s v="Typeform"/>
        <s v="Whispir"/>
        <s v="Sema4"/>
        <s v="iFit"/>
        <s v="Ribbon"/>
        <s v="Intercom"/>
        <s v="Science 37 "/>
        <s v="Cardlytics"/>
        <s v="Cloudinary"/>
        <s v="Nestcoin"/>
        <s v="Tricida"/>
        <s v="Forto"/>
        <s v="Chipax"/>
        <s v="Juniper"/>
        <s v="Offerpad"/>
        <s v="Juul"/>
        <s v="InfluxData"/>
        <s v="Wistia"/>
        <s v="Ocavu"/>
        <s v="Avast"/>
        <s v="SendCloud"/>
        <s v="Voly"/>
        <s v="Wavely"/>
        <s v="ZenBusiness"/>
        <s v="Root Insurance"/>
        <s v="Liftoff"/>
        <s v="Plum"/>
        <s v="HighRadius"/>
        <s v="Amobee"/>
        <s v="CloudFactory"/>
        <s v="Coursera"/>
        <s v="Faze Medicines"/>
        <s v="EverBridge"/>
        <s v="Repertoire Immune Medicines"/>
        <s v="Beat"/>
        <s v="NanoString"/>
        <s v="SADA"/>
        <s v="Dock"/>
        <s v="Domino Data Lab"/>
        <s v="Varonis"/>
        <s v="Practically"/>
        <s v="Planetly"/>
        <s v="KoinWorks"/>
        <s v="Exodus"/>
        <s v="Benitago Group"/>
        <s v="Mythical Games"/>
        <s v="Pleo"/>
        <s v="Shippo"/>
        <s v="LiveRamp"/>
        <s v="Provi"/>
        <s v="Rubius"/>
        <s v="Snapdocs"/>
        <s v="Studio"/>
        <s v="Chime"/>
        <s v="Checkmarx"/>
        <s v="Smava"/>
        <s v="Iron Ox"/>
        <s v="Digital Currency Gruop"/>
        <s v="BitMEX"/>
        <s v="Signicat"/>
        <s v="Argo AI"/>
        <s v="Booking.com"/>
        <s v="Drop"/>
        <s v="Tapps Games"/>
        <s v="Help Scout"/>
        <s v="Kry"/>
        <s v="Notarize"/>
        <s v="EquityZen"/>
        <s v="Doubtnut"/>
        <s v="Fifth Season"/>
        <s v="Advata"/>
        <s v="Springlane"/>
        <s v="Recharge"/>
        <s v="GoNuts"/>
        <s v="Spreetail"/>
        <s v="MindBody"/>
        <s v="GoFundMe"/>
        <s v="Carbon"/>
        <s v="Fundbox"/>
        <s v="Embroker"/>
        <s v="Vee"/>
        <s v="Callisto Media"/>
        <s v="Antidote Health"/>
        <s v="Elinvar"/>
        <s v="Synapsica"/>
        <s v="Volta"/>
        <s v="Hotmart"/>
        <s v="Loom"/>
        <s v="Sales Boomerang"/>
        <s v="AtoB"/>
        <s v="InfoSum"/>
        <s v="Clever Real Estate"/>
        <s v="Collibra"/>
        <s v="Side"/>
        <s v="Ada Health"/>
        <s v="Tiendanube"/>
        <s v="Nuri"/>
        <s v="Flipboard"/>
        <s v="Huawei"/>
        <s v="Flux Systems"/>
        <s v="Qin1"/>
        <s v="Playdots"/>
        <s v="ExtraHop"/>
        <s v="6sense"/>
        <s v="Sinch"/>
        <s v="MX"/>
        <s v="Pacaso"/>
        <s v="Sketch"/>
        <s v="Udacity"/>
        <s v="Linkfire"/>
        <s v="Emitwise"/>
        <s v="GSR"/>
        <s v="VanHack"/>
        <s v="HelloFresh"/>
        <s v="Pavilion Data"/>
        <s v="Nyriad"/>
        <s v="Collage.com"/>
        <s v="BioMarin"/>
        <s v="Rev.com"/>
        <s v="Impossible Foods"/>
        <s v="Atome"/>
        <s v="First AML"/>
        <s v="Foresight Insurance"/>
        <s v="Built In"/>
        <s v="TwinStrand"/>
        <s v="Fivetran"/>
        <s v="ActiveCampaign"/>
        <s v="Tempo"/>
        <s v="WazirX"/>
        <s v="Spin"/>
        <s v="Carsome"/>
        <s v="Pastel"/>
        <s v="Truepill"/>
        <s v="Westwing"/>
        <s v="Zenjob"/>
        <s v="Front"/>
        <s v="Konfio"/>
        <s v="Foxtrot"/>
        <s v="Truiloo"/>
        <s v="Pesto"/>
        <s v="NYDIG"/>
        <s v="Klarna"/>
        <s v="Made.com"/>
        <s v="Kitty Hawk"/>
        <s v="Candidate Labs"/>
        <s v="Curative"/>
        <n v="99"/>
        <s v="Ouster"/>
        <s v="Vesalius Therapeutics"/>
        <s v="Clear"/>
        <s v="TrueLayer"/>
        <s v="LivePerson"/>
        <s v="Acast"/>
        <s v="WorkRamp"/>
        <s v="NextRoll"/>
        <s v="Netflix"/>
        <s v="Bitrise"/>
        <s v="Taboola"/>
        <s v="Patreon"/>
        <s v="Propzy"/>
        <s v="Quicko"/>
        <s v="Mode Analytics"/>
        <s v="Compete"/>
        <s v="Karbon"/>
        <s v="Sama"/>
        <s v="SkipTheDishes"/>
        <s v="Brighte"/>
        <s v="Amber Group"/>
        <s v="Capiter"/>
        <s v="CommonBond"/>
        <s v="DreamBox Learning"/>
        <s v="Flowhub"/>
        <s v="Lido Learning"/>
        <s v="Pomelo Fashion"/>
        <s v="Genome Medical"/>
        <s v="BigBear.ai"/>
        <s v="Realtor.com"/>
        <s v="Simple Feast"/>
        <s v="Rupeek"/>
        <s v="Demandbase"/>
        <s v="Firebolt"/>
        <s v="Xsight Labs"/>
        <s v="Brave Care"/>
        <s v="Lawgeex"/>
        <s v="Juniper Square"/>
        <s v="Medium"/>
        <s v="Kuda"/>
        <s v="Sea"/>
        <s v="2TM"/>
        <s v="Urban Sports Club"/>
        <s v="Hedvig"/>
        <s v="GoodRx"/>
        <s v="Apartment List"/>
        <s v="Artnight"/>
        <s v="Snagajob"/>
        <s v="The Wing"/>
        <s v="Viamo"/>
        <s v="Immersive Labs"/>
        <s v="54gene"/>
        <s v="Fungible"/>
        <s v="Skillz"/>
        <s v="Argyle"/>
        <s v="Loja Integrada"/>
        <s v="ShipBob"/>
        <s v="Reali"/>
        <s v="Pix"/>
        <s v="Packable"/>
        <s v="Q4"/>
        <s v="Skedulo"/>
        <s v="Plato"/>
        <s v="DataRobot"/>
        <s v="Kogan"/>
        <s v="Skillshare"/>
        <s v="Mr. Yum"/>
        <s v="ShopX"/>
        <s v="NSO"/>
        <s v="Tufin"/>
        <s v="Hodlnaut"/>
        <s v="Thirty Madison"/>
        <s v="Fluke"/>
        <s v="Warren"/>
        <s v="AlayaCare"/>
        <s v="Pliops"/>
        <s v="Woven"/>
        <s v="Edmodo"/>
        <s v="Updater"/>
        <s v="ContraFect"/>
        <s v="ThredUp"/>
        <s v="Anywell"/>
        <s v="Almanac"/>
        <s v="Core Scientific"/>
        <s v="Orbit"/>
        <s v="Calm"/>
        <s v="Marketforce"/>
        <s v="Expert360"/>
        <s v="Guidewire"/>
        <s v="Pollen"/>
        <s v="Vedanta Biosciences"/>
        <s v="GoHealth"/>
        <s v="Nutanix"/>
        <s v="Quanterix"/>
        <s v="MadeiraMadeira"/>
        <s v="Shogun"/>
        <s v="Dooly"/>
        <s v="Berkeley Lights"/>
        <s v="DailyPay"/>
        <s v="Haus"/>
        <s v="Sweetgreen"/>
        <s v="Warby Parker"/>
        <s v="Labelbox"/>
        <s v="Perion"/>
        <s v="Daily Harvest"/>
        <s v="Mejuri"/>
        <s v="Uberflip"/>
        <s v="Article"/>
        <s v="Jam City"/>
        <s v="10X Genomics"/>
        <s v="On Deck"/>
        <s v="Nomad"/>
        <s v="StubHub"/>
        <s v="Zenius"/>
        <s v="Healthcare.com"/>
        <s v="Unbounce"/>
        <s v="The Org"/>
        <s v="CarDekho"/>
        <s v="Puppet"/>
        <s v="Talkwalker"/>
        <s v="Seegrid"/>
        <s v="Nylas"/>
        <s v="The Predictive Index"/>
        <s v="Stedi"/>
        <s v="Glossier"/>
        <s v="FuboTV"/>
        <s v="Hash"/>
        <s v="Classkick"/>
        <s v="OnlyFans"/>
        <s v="Perceptive Automata"/>
        <s v="Whereby"/>
        <s v="Metigy"/>
        <s v="Gatherly"/>
        <s v="Imperfect Foods"/>
        <s v="Shelf Engine"/>
        <s v="Quantcast"/>
        <s v="Sherpa"/>
        <s v="CoinFLEX"/>
        <s v="MissFresh"/>
        <s v="Yabonza"/>
        <s v="Metromile"/>
        <s v="Allbirds"/>
        <s v="TextNow"/>
        <s v="Bikayi"/>
        <s v="Brainbase"/>
        <s v="Change.org"/>
        <s v="Tapas Media"/>
        <s v="Turntide"/>
        <s v="Coinsquare"/>
        <s v="Skai"/>
        <s v="Fiverr"/>
        <s v="InDebted"/>
        <s v="Dover"/>
        <s v="Pear Therapeutics "/>
        <s v=" Included Health"/>
        <s v="Soluto"/>
        <s v="Eucalyptus"/>
        <s v="Workstream"/>
        <s v="Clarify Health"/>
        <s v="Arete"/>
        <s v="Boosted Commerce"/>
        <s v="Owlet"/>
        <s v="People.ai"/>
        <s v="Wizeline"/>
        <s v="Rad Power Bikes"/>
        <s v="Lunchbox"/>
        <s v="RealSelf"/>
        <s v="Catalyst"/>
        <s v="Smarsh"/>
        <s v="Just Eat Takeaway"/>
        <s v="BlueStacks"/>
        <s v="Introhive"/>
        <s v="Zencity"/>
        <s v="Splice"/>
        <s v="Forma.ai"/>
        <s v="Arc"/>
        <s v="M1"/>
        <s v="SellerX"/>
        <s v="Stint"/>
        <s v="Capsule"/>
        <s v="PACT Pharma"/>
        <s v="Lusha"/>
        <s v="Bright Money"/>
        <s v="Heroes"/>
        <s v="Aspire"/>
        <s v="Zego"/>
        <s v="The Mom Project"/>
        <s v="Unstoppable Domains"/>
        <s v="Kiavi"/>
        <s v="Alto Pharmacy"/>
        <s v="Cosuno"/>
        <s v="Wave"/>
        <s v="Tonal"/>
        <s v="Bryter"/>
        <s v="Involves"/>
        <s v="CircleUp"/>
        <s v="Papa"/>
        <s v="Fraazo"/>
        <s v="Babylon"/>
        <s v="Airlift"/>
        <s v="Spring"/>
        <s v="SundaySky"/>
        <s v="Apeel Sciences"/>
        <s v="Forward"/>
        <s v="Ignite"/>
        <s v="PuduTech"/>
        <s v="Butler Hospitality"/>
        <s v="Next Insurance"/>
        <s v="Adwerx"/>
        <s v="Emotive"/>
        <s v="Cedar"/>
        <s v="Remote"/>
        <s v="Anodot"/>
        <s v="SQream"/>
        <s v="Motif Foodworks"/>
        <s v="eToro"/>
        <s v="Bullish"/>
        <s v="Transmit Security"/>
        <s v="Thimble"/>
        <s v="Syte"/>
        <s v="Lightricks"/>
        <s v="Chessable"/>
        <s v="Sendle"/>
        <s v="Gorillas"/>
        <s v="Celsius"/>
        <s v="LetsGetChecked"/>
        <s v="Perx Health"/>
        <s v="Zepto"/>
        <s v="WanderJaunt"/>
        <s v="Canoo"/>
        <s v="Bamboo Health"/>
        <s v="Teleport"/>
        <s v="Remesh"/>
        <s v="Enjoy"/>
        <s v="Crejo.Fun"/>
        <s v="Stash Financial"/>
        <s v="Stream"/>
        <s v="Finleap Connect"/>
        <s v="Abra"/>
        <s v="Gavelytics"/>
        <s v="Secfi"/>
        <s v="Sundae"/>
        <s v="Toppr"/>
        <s v="Qumulo"/>
        <s v="Parallel Wireless"/>
        <s v="Oye Rickshaw"/>
        <s v="Rows"/>
        <s v="Baton"/>
        <s v="Substack"/>
        <s v="CommentSold"/>
        <s v="HomeLight"/>
        <s v="Modsy"/>
        <s v="Volt Bank"/>
        <s v="WhiteHat Jr"/>
        <s v="StockX"/>
        <s v="Sidecar Health"/>
        <s v="Vezeeta"/>
        <s v="Bright Machines"/>
        <s v="HealthMatch"/>
        <s v="Nova Benefits"/>
        <s v="Una Brands"/>
        <s v="AppLovin"/>
        <s v="Banxa"/>
        <s v="SafeGraph"/>
        <s v="Postscript"/>
        <s v="Bitpanda"/>
        <s v="Sunday"/>
        <s v="Bestow"/>
        <s v="Feather"/>
        <s v="Give Legacy"/>
        <s v="Aura"/>
        <s v="Pipl"/>
        <s v="Vouch"/>
        <s v="Voyage SMS"/>
        <s v="Kune"/>
        <s v="Mark43"/>
        <s v="Ro"/>
        <s v="Bungalow"/>
        <s v="Mindgeek"/>
        <s v="Ebanx"/>
        <s v="Community"/>
        <s v="Sourcegraph"/>
        <s v="Frubana"/>
        <s v="SuperLearn"/>
        <s v="Tray.io"/>
        <s v="SummerBio"/>
        <s v="Aqgromalin"/>
        <s v="Bonsai"/>
        <s v="BitOasis"/>
        <s v="Finite State"/>
        <s v="JOKR"/>
        <s v="Zumper"/>
        <s v="Circulo Health"/>
        <s v="Swappie"/>
        <s v="Wealthsimple"/>
        <s v="Weee!"/>
        <s v="Elementor"/>
        <s v="Tonkean"/>
        <s v="Airtame"/>
        <s v="OpenWeb"/>
        <s v="Swyft"/>
        <s v="Crehana"/>
        <s v="JetClosing"/>
        <s v="Sami"/>
        <s v="Breathe"/>
        <s v="Hunty"/>
        <s v="TIFIN"/>
        <s v="Addi"/>
        <s v="Wave Sports and Entertainment"/>
        <s v="Automox"/>
        <s v="Berlin Brands Group"/>
        <s v="Sanar"/>
        <s v="Freetrade"/>
        <s v="Albert"/>
        <s v="Keepe"/>
        <s v="Liongard"/>
        <s v="Ziroom"/>
        <s v="OneTrust"/>
        <s v="Daniel Wellington"/>
        <s v="Boozt"/>
        <s v="The Grommet"/>
        <s v="Stashaway"/>
        <s v="Preply"/>
        <s v="Starship"/>
        <s v="Trade Republic"/>
        <s v="iPrice Group"/>
        <s v="Memmo"/>
        <s v="Lummo"/>
        <s v="ID.me"/>
        <s v="KiwiCo"/>
        <s v="Bond"/>
        <s v="CyberCube"/>
        <s v="Dutchie"/>
        <s v="Deep Instinct"/>
        <s v="Eruditus"/>
        <s v="Afterverse"/>
        <s v="Superhuman"/>
        <s v="Food52"/>
        <s v="5B Solar"/>
        <s v="Favo"/>
        <s v="PolicyGenius"/>
        <s v="Yojak"/>
        <s v="Envato"/>
        <s v="Stord"/>
        <s v="Gather"/>
        <s v="Shef"/>
        <s v="Esme Learning"/>
        <s v="Kaodim"/>
        <s v="Rain"/>
        <s v="Udayy"/>
        <s v="Curve"/>
        <s v="Impala"/>
        <s v="Eaze"/>
        <s v="Truck It In"/>
        <s v="Replicated"/>
        <s v="Tomo"/>
        <s v="Getta"/>
        <s v="BookClub"/>
        <s v="Mobile Premier League"/>
        <s v="SumUp"/>
        <s v="Tempus Ex"/>
        <s v="Daloopa"/>
        <s v="Uncapped"/>
        <s v="Akerna"/>
        <s v="Terminus"/>
        <s v="VTEX"/>
        <s v="Dazn"/>
        <s v="Lacework"/>
        <s v="Kontist"/>
        <s v="Coterie Insurance"/>
        <s v="Zapp"/>
        <s v="Buenbit"/>
        <s v="BeyondMinds"/>
        <s v="Airtime"/>
        <s v="MFine"/>
        <s v="Picsart"/>
        <s v="Zak"/>
        <s v="AliExpress Russia"/>
        <s v="Subspace"/>
        <s v="Section4"/>
        <s v="Tripwire"/>
        <s v="Meero"/>
        <s v="Reef"/>
        <s v="divvyDOSE"/>
        <s v="Progrexion"/>
        <s v="SEND"/>
        <s v="Colossus"/>
        <s v="Mainstreet"/>
        <s v="Ideoclick"/>
        <s v="Vise"/>
        <s v="Bizpay"/>
        <s v="Thrasio"/>
        <s v="Avo"/>
        <s v="Wahoo Fitness"/>
        <s v="Sigfox"/>
        <s v="Clyde"/>
        <s v="Xiaohongshu"/>
        <s v="Facily"/>
        <s v="QuintoAndar"/>
        <s v="Humble"/>
        <s v="Halcyon Health"/>
        <s v="Ahead"/>
        <s v="Goodfood"/>
        <s v="Workrise"/>
        <s v="Fast"/>
        <s v="Legible"/>
        <s v="Rasa"/>
        <s v="Furlenco"/>
        <s v="Grove Collaborative"/>
        <s v="Curology"/>
        <s v="Trell"/>
        <s v="Knock"/>
        <s v="Talis Biomedical"/>
        <s v="Sezzle"/>
        <s v="Adaptive Biotechnologies"/>
        <s v="Hyperscience"/>
        <s v="WeDoctor"/>
        <s v="OKCredit"/>
        <s v="Lido"/>
        <s v="Virgin Hyperloop"/>
        <s v="Trustly"/>
        <s v="Liv Up"/>
        <s v="Defined.ai"/>
        <s v="Rhino"/>
        <s v="Protonn"/>
        <s v="BitTitan"/>
        <s v="Ozy Media"/>
        <s v="Genius"/>
        <s v="Treehouse"/>
        <s v="Casper"/>
        <s v="Tanium"/>
        <s v="Flockjay"/>
        <s v="Pagarbook"/>
        <s v="Katerra"/>
        <s v="Lambda School"/>
        <s v="Madefire"/>
        <s v="HuffPo"/>
        <s v="Clumio"/>
        <s v="DJI"/>
        <s v="Ninjacart"/>
        <s v="Limelight"/>
        <s v="Quandoo"/>
        <s v="Hubba"/>
        <s v="Privitar"/>
        <s v="Postmates"/>
        <s v="Pocketmath"/>
        <s v="Aura Financial"/>
        <s v="Simple"/>
        <s v="Pulse Secure"/>
        <s v="Breather"/>
        <s v="Actifio"/>
        <s v="Zinier"/>
        <s v="Aya"/>
        <s v="Domio"/>
        <s v="Bridge Connector"/>
        <s v="Tidepool"/>
        <s v="Igenous"/>
        <s v="Scoop"/>
        <s v="Worksmith"/>
        <s v="Rubica"/>
        <s v="Bossa Nova"/>
        <s v="Remedy"/>
        <s v="Knotel"/>
        <s v="Cheetah"/>
        <s v="CodeCombat"/>
        <s v="Quibi"/>
        <s v="GetYourGuide"/>
        <s v="OLX India"/>
        <s v="Chef"/>
        <s v="TheWrap"/>
        <s v="HumanForest"/>
        <s v="Air"/>
        <s v="NS8"/>
        <s v="Bleacher Report"/>
        <s v="HubHaus"/>
        <s v="Swing Education"/>
        <s v="Awok"/>
        <s v="Big Fish Games"/>
        <s v="GoBear"/>
        <s v="MakeMyTrip"/>
        <s v="kununu"/>
        <s v="Superloop"/>
        <s v="Spaces"/>
        <s v="StreamSets"/>
        <s v="Docly"/>
        <s v="Mapify"/>
        <s v="Lumina Networks"/>
        <s v="HopSkipDrive"/>
        <s v="Eatsy"/>
        <s v="The Appraisal Lane"/>
        <s v="Thriver"/>
        <s v="Vesta"/>
        <s v="Buy.com / Rakuten"/>
        <s v="tZero"/>
        <s v="Pared"/>
        <s v="Zeitgold"/>
        <s v="Perkbox"/>
        <s v="Sorabel"/>
        <s v="Lighter Capital"/>
        <s v="Curefit"/>
        <s v="Snaptravel"/>
        <s v="Optimizely"/>
        <s v="Skyscanner"/>
        <s v="Yelp"/>
        <s v="Zilingo"/>
        <s v="PaySense"/>
        <s v="OnDeck"/>
        <s v="Sharethrough"/>
        <s v="Kongregate"/>
        <s v="Havenly"/>
        <s v="G2"/>
        <s v="Hired"/>
        <s v="Engine eCommerce"/>
        <s v="Byton"/>
        <s v="Gojek"/>
        <s v="ScaleFactor"/>
        <s v="Dark"/>
        <s v="Intuit"/>
        <s v="WeWork"/>
        <s v="Atlas Obscura "/>
        <s v="Navi"/>
        <s v="PaisaBazaar"/>
        <s v="Redox"/>
        <s v="Conga"/>
        <s v="Stockwell AI"/>
        <s v="SynapseFI"/>
        <s v="ScaleFocus"/>
        <s v="Her Campus Media"/>
        <s v="Integrate.ai"/>
        <s v="The Athletic"/>
        <s v="Lastline"/>
        <s v="Builder"/>
        <s v="Outdoorsy"/>
        <s v="Monzo"/>
        <s v="SpotHero"/>
        <s v="Credit Sesame"/>
        <s v="Circ"/>
        <s v="Descartes Labs"/>
        <s v="MakerBot"/>
        <s v="CrowdStreet"/>
        <s v="Loftium"/>
        <s v="BookMyShow"/>
        <s v="The Sill"/>
        <s v="Instructure"/>
        <s v="Bluprint"/>
        <s v="Acorns"/>
        <s v="Teamwork"/>
        <s v="Cvent"/>
        <s v="PickYourTrail"/>
        <s v="Glitch"/>
        <s v="Kapten / Free Now"/>
        <s v="Samsara"/>
        <s v="Stay Alfred"/>
        <s v="Dotscience"/>
        <s v="Divvy"/>
        <s v="Agoda"/>
        <s v="Rubrik"/>
        <s v="Intapp"/>
        <s v="Datera"/>
        <s v="Magicbricks"/>
        <s v="Lendingkart"/>
        <s v="Masse"/>
        <s v="Quartz"/>
        <s v="Ridecell"/>
        <s v="Veem"/>
        <s v="Sift"/>
        <s v="TicketSwap"/>
        <s v="Workfront"/>
        <s v="Deliv"/>
        <s v="Mercos"/>
        <s v="Kickstarter"/>
        <s v="Intersect"/>
        <s v="BetterCloud"/>
        <s v="WeFit"/>
        <s v="Zymergen "/>
        <s v="Stone"/>
        <s v="Mixpanel"/>
        <s v="Hireology"/>
        <s v="Datto"/>
        <s v="Revolut"/>
        <s v="Cadre"/>
        <s v="Jump"/>
        <s v="Numbrs"/>
        <s v="Flywire"/>
        <s v="Tally"/>
        <s v="Airy Rooms"/>
        <s v="Validity"/>
        <s v="Flatiron School"/>
        <s v="Rubicon Project"/>
        <s v="Segment"/>
        <s v="OPay"/>
        <s v="ThoughtSpot"/>
        <s v="Andela"/>
        <s v="Workable"/>
        <s v="Cloudera"/>
        <s v="Handshake"/>
        <s v="League"/>
        <s v="Careem"/>
        <s v="Oriente"/>
        <s v="Element AI"/>
        <s v="Deputy"/>
        <s v="Castlight Health"/>
        <s v="Trivago"/>
        <s v="LiveTiles"/>
        <s v="Namely"/>
        <s v="Culture Trip"/>
        <s v="Sandbox VR"/>
        <s v="Virtudent"/>
        <s v="Monese"/>
        <s v="Automatic"/>
        <s v="Flynote"/>
        <s v="Care.com"/>
        <s v="AirMap"/>
        <s v="PicoBrew"/>
        <s v="Lime"/>
        <s v="Transfix"/>
        <s v="Yoco"/>
        <s v="Renmoney"/>
        <s v="App Annie"/>
        <s v="OpenX"/>
        <s v="PayJoy"/>
        <s v="Shipsi"/>
        <s v="Migo"/>
        <s v="Automation Anywhere"/>
        <s v="Qwick"/>
        <s v="Stoqo"/>
        <s v="Submittable"/>
        <s v="Divergent 3D"/>
        <s v="Ada Support"/>
        <s v="UPshow"/>
        <s v="Horizn Studios"/>
        <s v="Welkin Health"/>
        <s v="Jiobit"/>
        <s v="TutorMundi"/>
        <s v="Cheddar"/>
        <s v="Zenefits"/>
        <s v="Oscar Health"/>
        <s v="Simon Data"/>
        <s v="PowerReviews"/>
        <s v="Singular"/>
        <s v="Magic Leap"/>
        <s v="When I Work"/>
        <s v="Ike"/>
        <s v="Politico / Protocol"/>
        <s v="Bringg"/>
        <s v="Klook"/>
        <s v="GumGum"/>
        <s v="Kueski"/>
        <s v="Zum"/>
        <s v="Hipcamp"/>
        <s v="Motif Investing"/>
        <s v="BlackBuck"/>
        <s v="ContaAzul"/>
        <s v="Labster"/>
        <s v="Tor"/>
        <s v="BitGo"/>
        <s v="Dispatch"/>
        <s v="Influitive"/>
        <s v="CarGurus"/>
        <s v="Funding Societies"/>
        <s v="CleverTap"/>
        <s v="CrowdRiff"/>
        <s v="Grailed"/>
        <s v="LumenAd"/>
        <s v="Purse"/>
        <s v="SquadVoice"/>
        <s v="Shop101"/>
        <s v="Akulaku"/>
        <s v="Parsable"/>
        <s v="Kodiak Robotics"/>
        <s v="Dude Solutions"/>
        <s v="SweetEscape"/>
        <s v="TouchBistro"/>
        <s v="Envoy"/>
        <s v="VSCO"/>
        <s v="DataStax"/>
        <s v="Xerpa"/>
        <s v="RedDoorz"/>
        <s v="Zoox"/>
        <s v="EasyPost"/>
        <s v="Clearbanc"/>
        <s v="BeeTech"/>
        <s v="NuoDB"/>
        <s v="Rhumbix"/>
        <s v="Atsu"/>
        <s v="Geekwire"/>
        <s v="FloQast"/>
        <s v="Omie"/>
        <s v="Clinc"/>
        <s v="Lighthouse Labs"/>
        <s v="LoopMe"/>
        <s v="CipherTrace"/>
        <s v="Elliptic"/>
        <s v="Zest AI"/>
        <s v="Unison"/>
        <s v="Unbabel"/>
        <s v="Button"/>
        <s v="Eden / Managed By Q"/>
        <s v="BVAccel"/>
        <s v="Kenoby"/>
        <s v="Connected"/>
        <s v="GetNinjas"/>
        <s v="Spyce"/>
        <s v="Creditas"/>
        <s v="Lytics"/>
        <s v="Slice Labs"/>
        <s v="TechAdvance"/>
        <s v="Zola"/>
        <s v="ezCater"/>
        <s v="Sage Therapeutics"/>
        <s v="Branch Metrics"/>
        <s v="Newfront Insurance"/>
        <s v="Ibotta"/>
        <s v="Virta Health"/>
        <s v="Group Nine Media"/>
        <s v="Payfactors"/>
        <s v="Nav"/>
        <s v="AskNicely"/>
        <s v="RainFocus"/>
        <s v="BounceX"/>
        <s v="Wordstream"/>
        <s v="BusBud"/>
        <s v="Borrowell"/>
        <s v="PerkSpot"/>
        <s v="Bitfarms"/>
        <s v="Iflix"/>
        <s v="Gympass"/>
        <s v="Minted"/>
        <s v="Traveloka"/>
        <s v="Arrive Logistics"/>
        <s v="Jetty"/>
        <s v="Opencare"/>
        <s v="Anagram"/>
        <s v="G/O Media Group"/>
        <s v="DSCO"/>
        <s v="Tripbam"/>
        <s v="Avantage Entertainment"/>
        <s v="Alegion"/>
        <s v="AllyO"/>
        <s v="Mews"/>
        <s v="PeopleGrove"/>
        <s v="The Muse"/>
        <s v="ClassPass"/>
        <s v="eGym"/>
        <s v="Industrious"/>
        <s v="1stdibs"/>
        <s v="ThirdLove"/>
        <s v="Shuttl"/>
        <s v="Jobcase"/>
        <s v="Dynamic Signal"/>
        <s v="FiscalNote"/>
        <s v="Sauce Labs"/>
        <s v="Humu"/>
        <s v="Coding Dojo"/>
        <s v="Instamojo"/>
        <s v="Synergysuite"/>
        <s v="Atlanta Tech Village"/>
        <s v="Capillary"/>
        <s v="The Modist"/>
        <s v="Booksy"/>
        <s v="Flymya"/>
        <s v="PatientPop"/>
        <s v="Earnin"/>
        <s v="Wonolo"/>
        <s v="Acko"/>
        <s v="Moovel"/>
        <s v="Crayon"/>
        <s v="Pana"/>
        <s v="Sensibill"/>
        <s v="Usermind"/>
        <s v="Incredible Health"/>
        <s v="Currency"/>
        <s v="GOAT Group"/>
        <s v="Le Tote"/>
        <s v="Levelset"/>
        <s v="Pebblepost"/>
        <s v="WhyHotel"/>
        <s v="KeepTruckin"/>
        <s v="AdRoll"/>
        <s v="Rover"/>
        <s v="Turo"/>
        <s v="uShip"/>
        <s v="SkySlope"/>
        <s v="Siteimprove"/>
        <s v="AngelList"/>
        <s v="Zenoti"/>
        <s v="DialSource"/>
        <s v="Adara"/>
        <s v="Claravine"/>
        <s v="Kazoo"/>
        <s v="Snap Finance"/>
        <s v="Zerto"/>
        <s v="RigUp"/>
        <s v="FabHotels"/>
        <s v="Hibob"/>
        <s v="Maven"/>
        <s v="Blume Global"/>
        <s v="Catalant"/>
        <s v="Starship Technologies"/>
        <s v="Loftsmart"/>
        <s v="Iris Nova"/>
        <s v="Cuyana"/>
        <s v="Amplero"/>
        <s v="Polarr"/>
        <s v="TravelTriangle"/>
        <s v="OneWeb"/>
        <s v="HOOQ"/>
        <s v="Restaurant365"/>
        <s v="Blueground"/>
        <s v="Zipcar"/>
        <s v="Mogo"/>
        <s v="DISCO"/>
        <s v="Raken"/>
        <s v="Bench"/>
        <s v="Oh My Green"/>
        <s v="Bevi"/>
        <s v="Opal"/>
        <s v="Bcredi"/>
        <s v="Make School"/>
        <s v="Pivot3"/>
        <s v="B8ta"/>
        <s v="Fareportal"/>
        <s v="Ecobee"/>
        <s v="Passport"/>
        <s v="Peerspace"/>
        <s v="GoSpotCheck"/>
        <s v="Consider.co"/>
        <s v="Nativo"/>
        <s v="TripActions"/>
        <s v="Lyric"/>
        <s v="Rangle"/>
        <s v="O'Reilly Media"/>
        <s v="OutboundEngine"/>
        <s v="Overtime"/>
        <s v="Jama"/>
        <s v="Element Analytics"/>
        <s v="Clutter"/>
        <s v="Universal Standard"/>
        <s v="Takl"/>
        <s v="Foodsby"/>
        <s v="TravelBank"/>
        <s v="Flowr"/>
        <s v="Peerfit"/>
        <s v="The Guild"/>
        <s v="Drip"/>
        <s v="GrayMeta"/>
        <s v="Triplebyte"/>
        <s v="Ladder Life"/>
        <s v="Cabin"/>
        <s v="Eight Sleep"/>
        <s v="Flywheel Sports"/>
        <s v="Peek"/>
        <s v="CTO.ai"/>
        <s v="Yonder"/>
        <s v="Service"/>
        <s v="Ejento"/>
        <s v="Remote Year"/>
        <s v="Lola"/>
        <s v="Anyvision"/>
        <s v="Popin"/>
        <s v="Tuft &amp; Needle"/>
        <s v="Flytedesk"/>
        <s v="Help.com"/>
        <s v="Panda Squad"/>
        <s v="Tamara Mellon"/>
        <m/>
      </sharedItems>
    </cacheField>
    <cacheField name="Location_HQ" numFmtId="0">
      <sharedItems containsBlank="1" count="241">
        <s v="Oslo"/>
        <s v="Tel Aviv"/>
        <s v="Dover"/>
        <s v="New York City"/>
        <s v="Seattle"/>
        <s v="Jerusalem"/>
        <s v="SF Bay Area"/>
        <s v="Boise"/>
        <s v="Portland"/>
        <s v="Los Angeles"/>
        <s v="London"/>
        <s v="Denver"/>
        <s v="San Diego"/>
        <s v="Tokyo"/>
        <s v="Berlin"/>
        <s v="Philadelphia"/>
        <s v="Austin"/>
        <s v="Boston"/>
        <s v="Pittsburgh"/>
        <s v="New Delhi"/>
        <s v="Bengaluru"/>
        <s v="Ottawa"/>
        <s v="Orlando"/>
        <s v="Atlanta"/>
        <s v="Madrid"/>
        <s v="Hartford"/>
        <s v="Sacramento"/>
        <s v="Prague"/>
        <s v="Salt Lake City"/>
        <s v="Ghent"/>
        <s v="Tampa Bay"/>
        <s v="Detroit"/>
        <s v="Paris"/>
        <s v="Barcelona"/>
        <s v="Dublin"/>
        <s v="Santiago"/>
        <s v="Copenhagen"/>
        <s v="Vancouver"/>
        <s v="Montreal"/>
        <s v="Miami"/>
        <s v="Pune"/>
        <s v="Lagos"/>
        <s v="Singapore"/>
        <s v="Yavne"/>
        <s v="Xi'an"/>
        <s v="Lehi"/>
        <s v="Amsterdam"/>
        <s v="Phoenix"/>
        <s v="Gurugram"/>
        <s v="Vilnius"/>
        <s v="Chennai"/>
        <s v="Sydney"/>
        <s v="Krakow"/>
        <s v="Manchester"/>
        <s v="Boulder"/>
        <s v="Stockholm"/>
        <s v="Ann Arbor"/>
        <s v="Nashik"/>
        <s v="Chicago"/>
        <s v="Baltimore"/>
        <s v="Espoo"/>
        <s v="Fort Collins"/>
        <s v="Toronto"/>
        <s v="Salisbury"/>
        <s v="Cayman Islands"/>
        <s v="Brno"/>
        <s v="Santa Barbara"/>
        <s v="Minneapolis"/>
        <s v="Munich"/>
        <s v="Walldorf"/>
        <s v="Vienna"/>
        <s v="Jakarta"/>
        <s v="Washington D.C."/>
        <s v="Dallas"/>
        <s v="Columbus"/>
        <s v="Tallinn"/>
        <s v="Karachi"/>
        <s v="Hamburg"/>
        <s v="Saskatoon"/>
        <s v="Memphis"/>
        <s v="Corvallis"/>
        <s v="Norwalk"/>
        <s v="Milwaukee"/>
        <s v="Noida"/>
        <s v="Charleston"/>
        <s v="Haifa"/>
        <s v="Shanghai"/>
        <s v="Lodz"/>
        <s v="Nashville"/>
        <s v="Abuja"/>
        <s v="Santa Fe"/>
        <s v="Mumbai"/>
        <s v="Ibadan"/>
        <s v="St. Louis"/>
        <s v="Omaha"/>
        <s v="Bucharest"/>
        <s v="Birmingham"/>
        <s v="Beijing"/>
        <s v="St. Gallen"/>
        <s v="Helsinki"/>
        <s v="Shenzen"/>
        <s v="Calgary"/>
        <s v="Kansas City"/>
        <s v="Stamford"/>
        <s v="Leeds"/>
        <s v="Zurich"/>
        <s v="Sao Paulo"/>
        <s v="Unknown"/>
        <s v="Jacksonville"/>
        <s v="Raleigh"/>
        <s v="Edinburgh"/>
        <s v="Charlotte"/>
        <s v="Belo Horizonte"/>
        <s v="Accra"/>
        <s v="Hong Kong"/>
        <s v="Nairobi"/>
        <s v="Kolkata"/>
        <s v="Indianapolis"/>
        <s v="Sandnes"/>
        <s v="Melbourne"/>
        <s v="Auckland"/>
        <s v="Luxembourg"/>
        <s v="Lexington"/>
        <s v="Evansville"/>
        <s v="Ra'anana"/>
        <s v="Mexico City"/>
        <s v="F√∏rde"/>
        <s v="Alamosa"/>
        <s v="Seoul"/>
        <s v="Reno"/>
        <s v="Chemnitz"/>
        <s v="Charlottesville"/>
        <s v="Kfar Saba"/>
        <s v="Hangzhou"/>
        <s v="Houston"/>
        <s v="Norfolk"/>
        <s v="Cluj-Napoca"/>
        <s v="Las Vegas"/>
        <s v="Brisbane"/>
        <s v="Riyadh"/>
        <s v="Wroc≈Çaw"/>
        <s v="Manila"/>
        <s v="Zug"/>
        <s v="Cincinnati"/>
        <s v="Little Rock"/>
        <s v="Cleveland"/>
        <s v="Monterrey"/>
        <s v="Nashua"/>
        <s v="San Antonio"/>
        <s v="New Hope"/>
        <s v="Kyiv"/>
        <s v="Geneva"/>
        <s v="Chester"/>
        <s v="Warsaw"/>
        <s v="Linz"/>
        <s v="Madison"/>
        <s v="Kitchener"/>
        <s v="Wellington"/>
        <s v="Gydnia"/>
        <s v="Blumenau"/>
        <s v="Baton Rouge"/>
        <s v="Albany"/>
        <s v="Milan"/>
        <s v="Frankfurt"/>
        <s v="Waterloo"/>
        <s v="Karlsruhe"/>
        <s v="Curitiba"/>
        <s v="New Haven"/>
        <s v="Coimbra"/>
        <s v="Jersey City"/>
        <s v="Kiel"/>
        <s v="Oxford"/>
        <s v="Wilmington"/>
        <s v="Providence"/>
        <s v="Bogota"/>
        <s v="Durham"/>
        <s v="Buenos Aires"/>
        <s v="Indore"/>
        <s v="Patna"/>
        <s v="Bismarck"/>
        <s v="Grand Rapids"/>
        <s v="Beau Vallon"/>
        <s v="Utrecht"/>
        <s v="Burlington"/>
        <s v="Bend"/>
        <s v="Guadalajara"/>
        <s v="Cairo"/>
        <s v="Dubai"/>
        <s v="Gothenburg"/>
        <s v="Malm√∂"/>
        <s v="Logan"/>
        <s v="Eindhoven"/>
        <s v="Athens"/>
        <s v="Hyderabad"/>
        <s v="Nebraska City"/>
        <s v="Non-U.S."/>
        <s v="Trondheim"/>
        <s v="D√ºsseldorf"/>
        <s v="San Luis Obispo"/>
        <s v="Brussels"/>
        <s v="The Hague"/>
        <s v="Kuala Lumpur"/>
        <s v="Bristol"/>
        <s v="Budapest"/>
        <s v="Ho Chi Minh City"/>
        <s v="Winnipeg"/>
        <s v="Bangkok"/>
        <s v="Richmond"/>
        <s v="Porto Alegre"/>
        <s v="Victoria"/>
        <s v="Ferdericton"/>
        <s v="Dakar"/>
        <s v="Florian√≥polis"/>
        <s v="Lahore"/>
        <s v="Louisville"/>
        <s v="Huntsville"/>
        <s v="Spokane"/>
        <s v="Lima"/>
        <s v="Malmo"/>
        <s v="Brasilia"/>
        <s v="Selangor"/>
        <s v="Manama"/>
        <s v="Istanbul"/>
        <s v="Moscow"/>
        <s v="Davenport"/>
        <s v="Toulouse"/>
        <s v="Montevideo"/>
        <s v="Fayetteville"/>
        <s v="Sofia"/>
        <s v="Cork"/>
        <s v="Ahmedabad"/>
        <s v="Joinville"/>
        <s v="Hanoi"/>
        <s v="Dusseldorf"/>
        <s v="Lisbon"/>
        <s v="Cape Town"/>
        <s v="Missoula"/>
        <s v="Quebec"/>
        <s v="Yangon"/>
        <s v="New Orleans"/>
        <m/>
      </sharedItems>
    </cacheField>
    <cacheField name="Industry" numFmtId="0">
      <sharedItems containsBlank="1" count="32">
        <s v="Food"/>
        <s v="Finance"/>
        <s v="Crypto"/>
        <s v="Marketing"/>
        <s v="Other"/>
        <s v="Healthcare"/>
        <s v="Consumer"/>
        <s v="Travel"/>
        <s v="Infrastructure"/>
        <s v="Sales"/>
        <s v="Transportation"/>
        <s v="Education"/>
        <s v="HR"/>
        <s v="Manufacturing"/>
        <s v="Product"/>
        <s v="Recruiting"/>
        <s v="Hardware"/>
        <s v="Energy"/>
        <s v="Support"/>
        <s v="Fitness"/>
        <s v="Aerospace"/>
        <s v="Retail"/>
        <s v="Real Estate"/>
        <s v="AI"/>
        <s v="Logistics"/>
        <s v="Security"/>
        <s v="Media"/>
        <s v="Data"/>
        <s v="Construction"/>
        <s v="Legal"/>
        <s v="Unknown"/>
        <m/>
      </sharedItems>
    </cacheField>
    <cacheField name="Laid_Off_Count" numFmtId="0">
      <sharedItems containsBlank="1" containsMixedTypes="1" containsNumber="1" containsInteger="1" minValue="3" maxValue="14000" count="342">
        <n v="150"/>
        <n v="100"/>
        <n v="30"/>
        <s v="NA"/>
        <n v="1000"/>
        <n v="40"/>
        <n v="73"/>
        <n v="33"/>
        <n v="15"/>
        <n v="400"/>
        <n v="105"/>
        <n v="300"/>
        <n v="180"/>
        <n v="4000"/>
        <n v="60"/>
        <n v="36"/>
        <n v="550"/>
        <n v="120"/>
        <n v="57"/>
        <n v="800"/>
        <n v="145"/>
        <n v="96"/>
        <n v="170"/>
        <n v="230"/>
        <n v="140"/>
        <n v="116"/>
        <n v="28"/>
        <n v="29"/>
        <n v="200"/>
        <n v="112"/>
        <n v="500"/>
        <n v="50"/>
        <n v="3300"/>
        <n v="20"/>
        <n v="579"/>
        <n v="12"/>
        <n v="14000"/>
        <n v="25"/>
        <n v="250"/>
        <n v="382"/>
        <n v="62"/>
        <n v="79"/>
        <n v="49"/>
        <n v="70"/>
        <n v="614"/>
        <n v="280"/>
        <n v="13"/>
        <n v="67"/>
        <n v="17"/>
        <n v="6000"/>
        <n v="195"/>
        <n v="54"/>
        <n v="81"/>
        <n v="14"/>
        <n v="80"/>
        <n v="11"/>
        <n v="24"/>
        <n v="22"/>
        <n v="90"/>
        <n v="670"/>
        <n v="320"/>
        <n v="900"/>
        <n v="350"/>
        <n v="1500"/>
        <n v="77"/>
        <n v="56"/>
        <n v="55"/>
        <n v="2000"/>
        <n v="106"/>
        <n v="4250"/>
        <n v="19"/>
        <n v="160"/>
        <n v="21"/>
        <n v="275"/>
        <n v="65"/>
        <n v="440"/>
        <n v="168"/>
        <n v="245"/>
        <n v="35"/>
        <n v="111"/>
        <n v="130"/>
        <n v="95"/>
        <n v="2500"/>
        <n v="216"/>
        <n v="7"/>
        <n v="88"/>
        <n v="700"/>
        <n v="1900"/>
        <n v="8000"/>
        <n v="282"/>
        <n v="530"/>
        <n v="1650"/>
        <n v="48"/>
        <n v="125"/>
        <n v="68"/>
        <n v="330"/>
        <n v="74"/>
        <n v="85"/>
        <n v="63"/>
        <n v="37"/>
        <n v="10"/>
        <n v="1800"/>
        <n v="1100"/>
        <n v="154"/>
        <n v="99"/>
        <n v="94"/>
        <n v="3000"/>
        <n v="311"/>
        <n v="235"/>
        <n v="225"/>
        <n v="109"/>
        <n v="31"/>
        <n v="45"/>
        <n v="839"/>
        <n v="8"/>
        <n v="265"/>
        <n v="2837"/>
        <n v="128"/>
        <n v="84"/>
        <n v="115"/>
        <n v="185"/>
        <n v="23"/>
        <n v="545"/>
        <n v="215"/>
        <n v="110"/>
        <n v="119"/>
        <n v="26"/>
        <n v="660"/>
        <n v="58"/>
        <n v="1258"/>
        <n v="172"/>
        <n v="558"/>
        <n v="114"/>
        <n v="75"/>
        <n v="16"/>
        <n v="780"/>
        <n v="86"/>
        <n v="9"/>
        <n v="870"/>
        <n v="131"/>
        <n v="290"/>
        <n v="237"/>
        <n v="175"/>
        <n v="87"/>
        <n v="27"/>
        <n v="34"/>
        <n v="360"/>
        <n v="82"/>
        <n v="42"/>
        <n v="240"/>
        <n v="44"/>
        <n v="53"/>
        <n v="101"/>
        <n v="283"/>
        <n v="151"/>
        <n v="149"/>
        <n v="246"/>
        <n v="59"/>
        <n v="470"/>
        <n v="71"/>
        <n v="18"/>
        <n v="117"/>
        <n v="255"/>
        <n v="61"/>
        <n v="46"/>
        <n v="450"/>
        <n v="51"/>
        <n v="134"/>
        <n v="98"/>
        <n v="181"/>
        <n v="47"/>
        <n v="38"/>
        <n v="270"/>
        <n v="102"/>
        <n v="211"/>
        <n v="186"/>
        <n v="155"/>
        <n v="296"/>
        <n v="39"/>
        <n v="196"/>
        <n v="6"/>
        <n v="164"/>
        <n v="420"/>
        <n v="340"/>
        <n v="97"/>
        <n v="158"/>
        <n v="716"/>
        <n v="5"/>
        <n v="251"/>
        <n v="2300"/>
        <n v="600"/>
        <n v="137"/>
        <n v="177"/>
        <n v="326"/>
        <n v="43"/>
        <n v="760"/>
        <n v="1072"/>
        <n v="78"/>
        <n v="623"/>
        <n v="560"/>
        <n v="201"/>
        <n v="41"/>
        <n v="135"/>
        <n v="89"/>
        <n v="480"/>
        <n v="1300"/>
        <n v="2200"/>
        <n v="1700"/>
        <n v="9000"/>
        <n v="108"/>
        <n v="32"/>
        <n v="10000"/>
        <n v="475"/>
        <n v="355"/>
        <n v="209"/>
        <n v="285"/>
        <n v="8500"/>
        <n v="220"/>
        <n v="69"/>
        <n v="2400"/>
        <n v="129"/>
        <n v="680"/>
        <n v="370"/>
        <n v="221"/>
        <n v="210"/>
        <n v="208"/>
        <n v="371"/>
        <n v="141"/>
        <n v="1600"/>
        <n v="649"/>
        <n v="126"/>
        <n v="66"/>
        <n v="212"/>
        <n v="83"/>
        <n v="6650"/>
        <n v="127"/>
        <n v="325"/>
        <n v="121"/>
        <n v="960"/>
        <n v="525"/>
        <n v="365"/>
        <n v="343"/>
        <n v="156"/>
        <n v="138"/>
        <n v="3900"/>
        <n v="12000"/>
        <n v="1750"/>
        <n v="380"/>
        <n v="92"/>
        <n v="284"/>
        <n v="206"/>
        <n v="142"/>
        <n v="104"/>
        <n v="64"/>
        <n v="640"/>
        <n v="123"/>
        <n v="950"/>
        <n v="76"/>
        <n v="315"/>
        <n v="388"/>
        <n v="4800"/>
        <n v="93"/>
        <n v="153"/>
        <n v="72"/>
        <n v="329"/>
        <n v="113"/>
        <n v="254"/>
        <n v="198"/>
        <n v="385"/>
        <n v="312"/>
        <n v="260"/>
        <n v="515"/>
        <n v="1250"/>
        <n v="118"/>
        <n v="4100"/>
        <n v="241"/>
        <n v="143"/>
        <n v="124"/>
        <n v="11000"/>
        <n v="862"/>
        <n v="144"/>
        <n v="190"/>
        <n v="3700"/>
        <n v="259"/>
        <n v="226"/>
        <n v="173"/>
        <n v="227"/>
        <n v="378"/>
        <n v="136"/>
        <n v="611"/>
        <n v="671"/>
        <n v="271"/>
        <n v="193"/>
        <n v="1280"/>
        <n v="52"/>
        <n v="784"/>
        <n v="337"/>
        <n v="713"/>
        <n v="840"/>
        <n v="390"/>
        <n v="262"/>
        <n v="242"/>
        <n v="384"/>
        <n v="540"/>
        <n v="191"/>
        <n v="159"/>
        <n v="750"/>
        <n v="424"/>
        <n v="310"/>
        <n v="495"/>
        <n v="2800"/>
        <n v="2434"/>
        <n v="243"/>
        <n v="1877"/>
        <n v="4375"/>
        <n v="451"/>
        <n v="174"/>
        <n v="430"/>
        <n v="715"/>
        <n v="3"/>
        <n v="1400"/>
        <n v="219"/>
        <n v="520"/>
        <n v="669"/>
        <n v="536"/>
        <n v="982"/>
        <n v="391"/>
        <n v="367"/>
        <n v="4"/>
        <n v="460"/>
        <n v="91"/>
        <n v="161"/>
        <n v="165"/>
        <n v="236"/>
        <n v="467"/>
        <n v="167"/>
        <n v="147"/>
        <n v="349"/>
        <n v="194"/>
        <n v="406"/>
        <n v="375"/>
        <m/>
      </sharedItems>
    </cacheField>
    <cacheField name="Date" numFmtId="0">
      <sharedItems containsNonDate="0" containsDate="1" containsString="0" containsBlank="1" minDate="2020-03-11T00:00:00" maxDate="2024-06-06T00:00:00" count="826">
        <d v="2024-06-05T00:00:00"/>
        <d v="2024-06-03T00:00:00"/>
        <d v="2024-05-31T00:00:00"/>
        <d v="2024-05-30T00:00:00"/>
        <d v="2024-05-29T00:00:00"/>
        <d v="2024-05-24T00:00:00"/>
        <d v="2024-05-23T00:00:00"/>
        <d v="2024-05-22T00:00:00"/>
        <d v="2024-05-19T00:00:00"/>
        <d v="2024-05-16T00:00:00"/>
        <d v="2024-05-15T00:00:00"/>
        <d v="2024-05-14T00:00:00"/>
        <d v="2024-05-13T00:00:00"/>
        <d v="2024-05-10T00:00:00"/>
        <d v="2024-05-09T00:00:00"/>
        <d v="2024-05-08T00:00:00"/>
        <d v="2024-05-07T00:00:00"/>
        <d v="2024-05-06T00:00:00"/>
        <d v="2024-05-03T00:00:00"/>
        <d v="2024-05-02T00:00:00"/>
        <d v="2024-05-01T00:00:00"/>
        <d v="2024-04-30T00:00:00"/>
        <d v="2024-04-29T00:00:00"/>
        <d v="2024-04-27T00:00:00"/>
        <d v="2024-04-25T00:00:00"/>
        <d v="2024-04-24T00:00:00"/>
        <d v="2024-04-23T00:00:00"/>
        <d v="2024-04-19T00:00:00"/>
        <d v="2024-04-18T00:00:00"/>
        <d v="2024-04-17T00:00:00"/>
        <d v="2024-04-16T00:00:00"/>
        <d v="2024-04-15T00:00:00"/>
        <d v="2024-04-12T00:00:00"/>
        <d v="2024-04-11T00:00:00"/>
        <d v="2024-04-10T00:00:00"/>
        <d v="2024-04-09T00:00:00"/>
        <d v="2024-04-08T00:00:00"/>
        <d v="2024-04-07T00:00:00"/>
        <d v="2024-04-06T00:00:00"/>
        <d v="2024-04-04T00:00:00"/>
        <d v="2024-04-03T00:00:00"/>
        <d v="2024-04-02T00:00:00"/>
        <d v="2024-04-01T00:00:00"/>
        <d v="2024-03-28T00:00:00"/>
        <d v="2024-03-26T00:00:00"/>
        <d v="2024-03-25T00:00:00"/>
        <d v="2024-03-22T00:00:00"/>
        <d v="2024-03-20T00:00:00"/>
        <d v="2024-03-19T00:00:00"/>
        <d v="2024-03-18T00:00:00"/>
        <d v="2024-03-16T00:00:00"/>
        <d v="2024-03-15T00:00:00"/>
        <d v="2024-03-14T00:00:00"/>
        <d v="2024-03-13T00:00:00"/>
        <d v="2024-03-12T00:00:00"/>
        <d v="2024-03-11T00:00:00"/>
        <d v="2024-03-08T00:00:00"/>
        <d v="2024-03-07T00:00:00"/>
        <d v="2024-03-06T00:00:00"/>
        <d v="2024-03-05T00:00:00"/>
        <d v="2024-03-04T00:00:00"/>
        <d v="2024-03-01T00:00:00"/>
        <d v="2024-02-29T00:00:00"/>
        <d v="2024-02-28T00:00:00"/>
        <d v="2024-02-27T00:00:00"/>
        <d v="2024-02-26T00:00:00"/>
        <d v="2024-02-23T00:00:00"/>
        <d v="2024-02-22T00:00:00"/>
        <d v="2024-02-21T00:00:00"/>
        <d v="2024-02-20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21T00:00:00"/>
        <d v="2024-01-19T00:00:00"/>
        <d v="2024-01-18T00:00:00"/>
        <d v="2024-01-17T00:00:00"/>
        <d v="2024-01-16T00:00:00"/>
        <d v="2024-01-12T00:00:00"/>
        <d v="2024-01-11T00:00:00"/>
        <d v="2024-01-10T00:00:00"/>
        <d v="2024-01-09T00:00:00"/>
        <d v="2024-01-08T00:00:00"/>
        <d v="2024-01-07T00:00:00"/>
        <d v="2024-01-06T00:00:00"/>
        <d v="2024-01-05T00:00:00"/>
        <d v="2024-01-04T00:00:00"/>
        <d v="2024-01-03T00:00:00"/>
        <d v="2024-01-02T00:00:00"/>
        <d v="2023-12-29T00:00:00"/>
        <d v="2023-12-28T00:00:00"/>
        <d v="2023-12-25T00:00:00"/>
        <d v="2023-12-21T00:00:00"/>
        <d v="2023-12-20T00:00:00"/>
        <d v="2023-12-19T00:00:00"/>
        <d v="2023-12-18T00:00:00"/>
        <d v="2023-12-17T00:00:00"/>
        <d v="2023-12-15T00:00:00"/>
        <d v="2023-12-14T00:00:00"/>
        <d v="2023-12-13T00:00:00"/>
        <d v="2023-12-12T00:00:00"/>
        <d v="2023-12-11T00:00:00"/>
        <d v="2023-12-09T00:00:00"/>
        <d v="2023-12-08T00:00:00"/>
        <d v="2023-12-07T00:00:00"/>
        <d v="2023-12-06T00:00:00"/>
        <d v="2023-12-05T00:00:00"/>
        <d v="2023-12-04T00:00:00"/>
        <d v="2023-12-01T00:00:00"/>
        <d v="2023-11-30T00:00:00"/>
        <d v="2023-11-28T00:00:00"/>
        <d v="2023-11-27T00:00:00"/>
        <d v="2023-11-26T00:00:00"/>
        <d v="2023-11-25T00:00:00"/>
        <d v="2023-11-21T00:00:00"/>
        <d v="2023-11-20T00:00:00"/>
        <d v="2023-11-19T00:00:00"/>
        <d v="2023-11-17T00:00:00"/>
        <d v="2023-11-16T00:00:00"/>
        <d v="2023-11-15T00:00:00"/>
        <d v="2023-11-14T00:00:00"/>
        <d v="2023-11-13T00:00:00"/>
        <d v="2023-11-12T00:00:00"/>
        <d v="2023-11-10T00:00:00"/>
        <d v="2023-11-09T00:00:00"/>
        <d v="2023-11-08T00:00:00"/>
        <d v="2023-11-07T00:00:00"/>
        <d v="2023-11-06T00:00:00"/>
        <d v="2023-11-03T00:00:00"/>
        <d v="2023-11-02T00:00:00"/>
        <d v="2023-11-01T00:00:00"/>
        <d v="2023-10-31T00:00:00"/>
        <d v="2023-10-30T00:00:00"/>
        <d v="2023-10-27T00:00:00"/>
        <d v="2023-10-26T00:00:00"/>
        <d v="2023-10-25T00:00:00"/>
        <d v="2023-10-24T00:00:00"/>
        <d v="2023-10-23T00:00:00"/>
        <d v="2023-10-20T00:00:00"/>
        <d v="2023-10-19T00:00:00"/>
        <d v="2023-10-18T00:00:00"/>
        <d v="2023-10-17T00:00:00"/>
        <d v="2023-10-16T00:00:00"/>
        <d v="2023-10-15T00:00:00"/>
        <d v="2023-10-14T00:00:00"/>
        <d v="2023-10-13T00:00:00"/>
        <d v="2023-10-12T00:00:00"/>
        <d v="2023-10-11T00:00:00"/>
        <d v="2023-10-10T00:00:00"/>
        <d v="2023-10-09T00:00:00"/>
        <d v="2023-10-07T00:00:00"/>
        <d v="2023-10-06T00:00:00"/>
        <d v="2023-10-05T00:00:00"/>
        <d v="2023-10-04T00:00:00"/>
        <d v="2023-10-03T00:00:00"/>
        <d v="2023-10-02T00:00:00"/>
        <d v="2023-09-29T00:00:00"/>
        <d v="2023-09-28T00:00:00"/>
        <d v="2023-09-27T00:00:00"/>
        <d v="2023-09-26T00:00:00"/>
        <d v="2023-09-25T00:00:00"/>
        <d v="2023-09-22T00:00:00"/>
        <d v="2023-09-21T00:00:00"/>
        <d v="2023-09-20T00:00:00"/>
        <d v="2023-09-18T00:00:00"/>
        <d v="2023-09-17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1T00:00:00"/>
        <d v="2023-08-10T00:00:00"/>
        <d v="2023-08-09T00:00:00"/>
        <d v="2023-08-08T00:00:00"/>
        <d v="2023-08-07T00:00:00"/>
        <d v="2023-08-04T00:00:00"/>
        <d v="2023-08-03T00:00:00"/>
        <d v="2023-08-02T00:00:00"/>
        <d v="2023-08-01T00:00:00"/>
        <d v="2023-07-31T00:00:00"/>
        <d v="2023-07-30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3T00:00:00"/>
        <d v="2023-07-02T00:00:00"/>
        <d v="2023-06-30T00:00:00"/>
        <d v="2023-06-29T00:00:00"/>
        <d v="2023-06-28T00:00:00"/>
        <d v="2023-06-27T00:00:00"/>
        <d v="2023-06-26T00:00:00"/>
        <d v="2023-06-25T00:00:00"/>
        <d v="2023-06-23T00:00:00"/>
        <d v="2023-06-22T00:00:00"/>
        <d v="2023-06-21T00:00:00"/>
        <d v="2023-06-20T00:00:00"/>
        <d v="2023-06-19T00:00:00"/>
        <d v="2023-06-18T00:00:00"/>
        <d v="2023-06-17T00:00:00"/>
        <d v="2023-06-16T00:00:00"/>
        <d v="2023-06-15T00:00:00"/>
        <d v="2023-06-14T00:00:00"/>
        <d v="2023-06-13T00:00:00"/>
        <d v="2023-06-12T00:00:00"/>
        <d v="2023-06-11T00:00:00"/>
        <d v="2023-06-09T00:00:00"/>
        <d v="2023-06-08T00:00:00"/>
        <d v="2023-06-07T00:00:00"/>
        <d v="2023-06-06T00:00:00"/>
        <d v="2023-06-05T00:00:00"/>
        <d v="2023-06-03T00:00:00"/>
        <d v="2023-06-02T00:00:00"/>
        <d v="2023-06-01T00:00:00"/>
        <d v="2023-05-31T00:00:00"/>
        <d v="2023-05-30T00:00:00"/>
        <d v="2023-05-29T00:00:00"/>
        <d v="2023-05-26T00:00:00"/>
        <d v="2023-05-25T00:00:00"/>
        <d v="2023-05-24T00:00:00"/>
        <d v="2023-05-23T00:00:00"/>
        <d v="2023-05-22T00:00:00"/>
        <d v="2023-05-20T00:00:00"/>
        <d v="2023-05-19T00:00:00"/>
        <d v="2023-05-18T00:00:00"/>
        <d v="2023-05-17T00:00:00"/>
        <d v="2023-05-16T00:00:00"/>
        <d v="2023-05-13T00:00:00"/>
        <d v="2023-05-12T00:00:00"/>
        <d v="2023-05-11T00:00:00"/>
        <d v="2023-05-10T00:00:00"/>
        <d v="2023-05-09T00:00:00"/>
        <d v="2023-05-08T00:00:00"/>
        <d v="2023-05-05T00:00:00"/>
        <d v="2023-05-04T00:00:00"/>
        <d v="2023-05-03T00:00:00"/>
        <d v="2023-05-02T00:00:00"/>
        <d v="2023-05-01T00:00:00"/>
        <d v="2023-04-30T00:00:00"/>
        <d v="2023-04-29T00:00:00"/>
        <d v="2023-04-28T00:00:00"/>
        <d v="2023-04-27T00:00:00"/>
        <d v="2023-04-26T00:00:00"/>
        <d v="2023-04-25T00:00:00"/>
        <d v="2023-04-24T00:00:00"/>
        <d v="2023-04-21T00:00:00"/>
        <d v="2023-04-20T00:00:00"/>
        <d v="2023-04-19T00:00:00"/>
        <d v="2023-04-18T00:00:00"/>
        <d v="2023-04-17T00:00:00"/>
        <d v="2023-04-16T00:00:00"/>
        <d v="2023-04-14T00:00:00"/>
        <d v="2023-04-13T00:00:00"/>
        <d v="2023-04-12T00:00:00"/>
        <d v="2023-04-11T00:00:00"/>
        <d v="2023-04-10T00:00:00"/>
        <d v="2023-04-09T00:00:00"/>
        <d v="2023-04-08T00:00:00"/>
        <d v="2023-04-07T00:00:00"/>
        <d v="2023-04-06T00:00:00"/>
        <d v="2023-04-05T00:00:00"/>
        <d v="2023-04-04T00:00:00"/>
        <d v="2023-04-03T00:00:00"/>
        <d v="2023-03-31T00:00:00"/>
        <d v="2023-03-30T00:00:00"/>
        <d v="2023-03-29T00:00:00"/>
        <d v="2023-03-28T00:00:00"/>
        <d v="2023-03-27T00:00:00"/>
        <d v="2023-03-24T00:00:00"/>
        <d v="2023-03-23T00:00:00"/>
        <d v="2023-03-22T00:00:00"/>
        <d v="2023-03-21T00:00:00"/>
        <d v="2023-03-20T00:00:00"/>
        <d v="2023-03-17T00:00:00"/>
        <d v="2023-03-16T00:00:00"/>
        <d v="2023-03-15T00:00:00"/>
        <d v="2023-03-14T00:00:00"/>
        <d v="2023-03-10T00:00:00"/>
        <d v="2023-03-09T00:00:00"/>
        <d v="2023-03-08T00:00:00"/>
        <d v="2023-03-07T00:00:00"/>
        <d v="2023-03-06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7T00:00:00"/>
        <d v="2023-02-16T00:00:00"/>
        <d v="2023-02-15T00:00:00"/>
        <d v="2023-02-14T00:00:00"/>
        <d v="2023-02-13T00:00:00"/>
        <d v="2023-02-12T00:00:00"/>
        <d v="2023-02-10T00:00:00"/>
        <d v="2023-02-09T00:00:00"/>
        <d v="2023-02-08T00:00:00"/>
        <d v="2023-02-07T00:00:00"/>
        <d v="2023-02-06T00:00:00"/>
        <d v="2023-02-05T00:00:00"/>
        <d v="2023-02-03T00:00:00"/>
        <d v="2023-02-02T00:00:00"/>
        <d v="2023-02-01T00:00:00"/>
        <d v="2023-01-31T00:00:00"/>
        <d v="2023-01-30T00:00:00"/>
        <d v="2023-01-29T00:00:00"/>
        <d v="2023-01-28T00:00:00"/>
        <d v="2023-01-27T00:00:00"/>
        <d v="2023-01-26T00:00:00"/>
        <d v="2023-01-25T00:00:00"/>
        <d v="2023-01-24T00:00:00"/>
        <d v="2023-01-23T00:00:00"/>
        <d v="2023-01-22T00:00:00"/>
        <d v="2023-01-20T00:00:00"/>
        <d v="2023-01-19T00:00:00"/>
        <d v="2023-01-18T00:00:00"/>
        <d v="2023-01-17T00:00:00"/>
        <d v="2023-01-16T00:00:00"/>
        <d v="2023-01-15T00:00:00"/>
        <d v="2023-01-13T00:00:00"/>
        <d v="2023-01-12T00:00:00"/>
        <d v="2023-01-11T00:00:00"/>
        <d v="2023-01-10T00:00:00"/>
        <d v="2023-01-09T00:00:00"/>
        <d v="2023-01-08T00:00:00"/>
        <d v="2023-01-07T00:00:00"/>
        <d v="2023-01-06T00:00:00"/>
        <d v="2023-01-05T00:00:00"/>
        <d v="2023-01-04T00:00:00"/>
        <d v="2023-01-03T00:00:00"/>
        <d v="2023-01-02T00:00:00"/>
        <d v="2023-01-01T00:00:00"/>
        <d v="2022-12-31T00:00:00"/>
        <d v="2022-12-27T00:00:00"/>
        <d v="2022-12-26T00:00:00"/>
        <d v="2022-12-25T00:00:00"/>
        <d v="2022-12-23T00:00:00"/>
        <d v="2022-12-22T00:00:00"/>
        <d v="2022-12-21T00:00:00"/>
        <d v="2022-12-20T00:00:00"/>
        <d v="2022-12-19T00:00:00"/>
        <d v="2022-12-16T00:00:00"/>
        <d v="2022-12-15T00:00:00"/>
        <d v="2022-12-14T00:00:00"/>
        <d v="2022-12-13T00:00:00"/>
        <d v="2022-12-12T00:00:00"/>
        <d v="2022-12-10T00:00:00"/>
        <d v="2022-12-09T00:00:00"/>
        <d v="2022-12-08T00:00:00"/>
        <d v="2022-12-07T00:00:00"/>
        <d v="2022-12-06T00:00:00"/>
        <d v="2022-12-05T00:00:00"/>
        <d v="2022-12-03T00:00:00"/>
        <d v="2022-12-02T00:00:00"/>
        <d v="2022-12-01T00:00:00"/>
        <d v="2022-11-30T00:00:00"/>
        <d v="2022-11-29T00:00:00"/>
        <d v="2022-11-28T00:00:00"/>
        <d v="2022-11-27T00:00:00"/>
        <d v="2022-11-26T00:00:00"/>
        <d v="2022-11-25T00:00:00"/>
        <d v="2022-11-24T00:00:00"/>
        <d v="2022-11-23T00:00:00"/>
        <d v="2022-11-22T00:00:00"/>
        <d v="2022-11-21T00:00:00"/>
        <d v="2022-11-19T00:00:00"/>
        <d v="2022-11-18T00:00:00"/>
        <d v="2022-11-17T00:00:00"/>
        <d v="2022-11-16T00:00:00"/>
        <d v="2022-11-15T00:00:00"/>
        <d v="2022-11-14T00:00:00"/>
        <d v="2022-11-11T00:00:00"/>
        <d v="2022-11-10T00:00:00"/>
        <d v="2022-11-09T00:00:00"/>
        <d v="2022-11-08T00:00:00"/>
        <d v="2022-11-07T00:00:00"/>
        <d v="2022-11-06T00:00:00"/>
        <d v="2022-11-04T00:00:00"/>
        <d v="2022-11-03T00:00:00"/>
        <d v="2022-11-02T00:00:00"/>
        <d v="2022-11-01T00:00:00"/>
        <d v="2022-10-31T00:00:00"/>
        <d v="2022-10-28T00:00:00"/>
        <d v="2022-10-27T00:00:00"/>
        <d v="2022-10-26T00:00:00"/>
        <d v="2022-10-25T00:00:00"/>
        <d v="2022-10-24T00:00:00"/>
        <d v="2022-10-23T00:00:00"/>
        <d v="2022-10-21T00:00:00"/>
        <d v="2022-10-20T00:00:00"/>
        <d v="2022-10-19T00:00:00"/>
        <d v="2022-10-18T00:00:00"/>
        <d v="2022-10-17T00:00:00"/>
        <d v="2022-10-16T00:00:00"/>
        <d v="2022-10-14T00:00:00"/>
        <d v="2022-10-13T00:00:00"/>
        <d v="2022-10-12T00:00:00"/>
        <d v="2022-10-11T00:00:00"/>
        <d v="2022-10-10T00:00:00"/>
        <d v="2022-10-09T00:00:00"/>
        <d v="2022-10-07T00:00:00"/>
        <d v="2022-10-06T00:00:00"/>
        <d v="2022-10-05T00:00:00"/>
        <d v="2022-10-04T00:00:00"/>
        <d v="2022-10-03T00:00:00"/>
        <d v="2022-10-02T00:00:00"/>
        <d v="2022-09-30T00:00:00"/>
        <d v="2022-09-29T00:00:00"/>
        <d v="2022-09-28T00:00:00"/>
        <d v="2022-09-27T00:00:00"/>
        <d v="2022-09-24T00:00:00"/>
        <d v="2022-09-23T00:00:00"/>
        <d v="2022-09-22T00:00:00"/>
        <d v="2022-09-21T00:00:00"/>
        <d v="2022-09-20T00:00:00"/>
        <d v="2022-09-19T00:00:00"/>
        <d v="2022-09-18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8T00:00:00"/>
        <d v="2022-08-26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5T00:00:00"/>
        <d v="2022-08-04T00:00:00"/>
        <d v="2022-08-03T00:00:00"/>
        <d v="2022-08-02T00:00:00"/>
        <d v="2022-08-01T00:00:00"/>
        <d v="2022-07-31T00:00:00"/>
        <d v="2022-07-29T00:00:00"/>
        <d v="2022-07-28T00:00:00"/>
        <d v="2022-07-27T00:00:00"/>
        <d v="2022-07-26T00:00:00"/>
        <d v="2022-07-25T00:00:00"/>
        <d v="2022-07-24T00:00:00"/>
        <d v="2022-07-22T00:00:00"/>
        <d v="2022-07-21T00:00:00"/>
        <d v="2022-07-20T00:00:00"/>
        <d v="2022-07-19T00:00:00"/>
        <d v="2022-07-18T00:00:00"/>
        <d v="2022-07-15T00:00:00"/>
        <d v="2022-07-14T00:00:00"/>
        <d v="2022-07-13T00:00:00"/>
        <d v="2022-07-12T00:00:00"/>
        <d v="2022-07-11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4T00:00:00"/>
        <d v="2022-06-23T00:00:00"/>
        <d v="2022-06-22T00:00:00"/>
        <d v="2022-06-21T00:00:00"/>
        <d v="2022-06-20T00:00:00"/>
        <d v="2022-06-19T00:00:00"/>
        <d v="2022-06-18T00:00:00"/>
        <d v="2022-06-17T00:00:00"/>
        <d v="2022-06-16T00:00:00"/>
        <d v="2022-06-15T00:00:00"/>
        <d v="2022-06-14T00:00:00"/>
        <d v="2022-06-13T00:00:00"/>
        <d v="2022-06-10T00:00:00"/>
        <d v="2022-06-09T00:00:00"/>
        <d v="2022-06-08T00:00:00"/>
        <d v="2022-06-07T00:00:00"/>
        <d v="2022-06-06T00:00:00"/>
        <d v="2022-06-04T00:00:00"/>
        <d v="2022-06-03T00:00:00"/>
        <d v="2022-06-02T00:00:00"/>
        <d v="2022-06-01T00:00:00"/>
        <d v="2022-05-31T00:00:00"/>
        <d v="2022-05-30T00:00:00"/>
        <d v="2022-05-27T00:00:00"/>
        <d v="2022-05-26T00:00:00"/>
        <d v="2022-05-25T00:00:00"/>
        <d v="2022-05-24T00:00:00"/>
        <d v="2022-05-23T00:00:00"/>
        <d v="2022-05-21T00:00:00"/>
        <d v="2022-05-20T00:00:00"/>
        <d v="2022-05-19T00:00:00"/>
        <d v="2022-05-18T00:00:00"/>
        <d v="2022-05-17T00:00:00"/>
        <d v="2022-05-16T00:00:00"/>
        <d v="2022-05-14T00:00:00"/>
        <d v="2022-05-13T00:00:00"/>
        <d v="2022-05-12T00:00:00"/>
        <d v="2022-05-11T00:00:00"/>
        <d v="2022-05-10T00:00:00"/>
        <d v="2022-05-09T00:00:00"/>
        <d v="2022-05-06T00:00:00"/>
        <d v="2022-05-05T00:00:00"/>
        <d v="2022-05-04T00:00:00"/>
        <d v="2022-05-02T00:00:00"/>
        <d v="2022-05-01T00:00:00"/>
        <d v="2022-04-29T00:00:00"/>
        <d v="2022-04-28T00:00:00"/>
        <d v="2022-04-27T00:00:00"/>
        <d v="2022-04-26T00:00:00"/>
        <d v="2022-04-25T00:00:00"/>
        <d v="2022-04-21T00:00:00"/>
        <d v="2022-04-20T00:00:00"/>
        <d v="2022-04-19T00:00:00"/>
        <d v="2022-04-18T00:00:00"/>
        <d v="2022-04-15T00:00:00"/>
        <d v="2022-04-14T00:00:00"/>
        <d v="2022-04-12T00:00:00"/>
        <d v="2022-04-11T00:00:00"/>
        <d v="2022-04-08T00:00:00"/>
        <d v="2022-04-07T00:00:00"/>
        <d v="2022-04-05T00:00:00"/>
        <d v="2022-04-04T00:00:00"/>
        <d v="2022-03-31T00:00:00"/>
        <d v="2022-03-30T00:00:00"/>
        <d v="2022-03-29T00:00:00"/>
        <d v="2022-03-26T00:00:00"/>
        <d v="2022-03-19T00:00:00"/>
        <d v="2022-03-17T00:00:00"/>
        <d v="2022-03-16T00:00:00"/>
        <d v="2022-03-15T00:00:00"/>
        <d v="2022-03-10T00:00:00"/>
        <d v="2022-03-08T00:00:00"/>
        <d v="2022-03-03T00:00:00"/>
        <d v="2022-03-02T00:00:00"/>
        <d v="2022-03-01T00:00:00"/>
        <d v="2022-02-25T00:00:00"/>
        <d v="2022-02-24T00:00:00"/>
        <d v="2022-02-21T00:00:00"/>
        <d v="2022-02-17T00:00:00"/>
        <d v="2022-02-16T00:00:00"/>
        <d v="2022-02-14T00:00:00"/>
        <d v="2022-02-10T00:00:00"/>
        <d v="2022-02-08T00:00:00"/>
        <d v="2022-02-07T00:00:00"/>
        <d v="2022-02-03T00:00:00"/>
        <d v="2022-01-26T00:00:00"/>
        <d v="2022-01-20T00:00:00"/>
        <d v="2022-01-08T00:00:00"/>
        <d v="2021-12-22T00:00:00"/>
        <d v="2021-12-08T00:00:00"/>
        <d v="2021-12-01T00:00:00"/>
        <d v="2021-11-18T00:00:00"/>
        <d v="2021-11-02T00:00:00"/>
        <d v="2021-10-05T00:00:00"/>
        <d v="2021-10-01T00:00:00"/>
        <d v="2021-09-23T00:00:00"/>
        <d v="2021-09-22T00:00:00"/>
        <d v="2021-09-15T00:00:00"/>
        <d v="2021-09-14T00:00:00"/>
        <d v="2021-08-30T00:00:00"/>
        <d v="2021-08-24T00:00:00"/>
        <d v="2021-08-05T00:00:00"/>
        <d v="2021-07-26T00:00:00"/>
        <d v="2021-06-01T00:00:00"/>
        <d v="2021-05-05T00:00:00"/>
        <d v="2021-04-29T00:00:00"/>
        <d v="2021-04-26T00:00:00"/>
        <d v="2021-04-06T00:00:00"/>
        <d v="2021-03-24T00:00:00"/>
        <d v="2021-03-09T00:00:00"/>
        <d v="2021-03-03T00:00:00"/>
        <d v="2021-03-01T00:00:00"/>
        <d v="2021-02-24T00:00:00"/>
        <d v="2021-02-23T00:00:00"/>
        <d v="2021-02-22T00:00:00"/>
        <d v="2021-02-09T00:00:00"/>
        <d v="2021-02-04T00:00:00"/>
        <d v="2021-02-03T00:00:00"/>
        <d v="2021-02-01T00:00:00"/>
        <d v="2021-01-27T00:00:00"/>
        <d v="2021-01-25T00:00:00"/>
        <d v="2021-01-23T00:00:00"/>
        <d v="2021-01-21T00:00:00"/>
        <d v="2021-01-20T00:00:00"/>
        <d v="2021-01-13T00:00:00"/>
        <d v="2021-01-11T00:00:00"/>
        <d v="2021-01-07T00:00:00"/>
        <d v="2021-01-06T00:00:00"/>
        <d v="2020-12-23T00:00:00"/>
        <d v="2020-12-16T00:00:00"/>
        <d v="2020-12-08T00:00:00"/>
        <d v="2020-11-25T00:00:00"/>
        <d v="2020-11-19T00:00:00"/>
        <d v="2020-11-18T00:00:00"/>
        <d v="2020-11-17T00:00:00"/>
        <d v="2020-11-09T00:00:00"/>
        <d v="2020-11-05T00:00:00"/>
        <d v="2020-11-02T00:00:00"/>
        <d v="2020-11-01T00:00:00"/>
        <d v="2020-10-29T00:00:00"/>
        <d v="2020-10-25T00:00:00"/>
        <d v="2020-10-23T00:00:00"/>
        <d v="2020-10-21T00:00:00"/>
        <d v="2020-10-20T00:00:00"/>
        <d v="2020-10-14T00:00:00"/>
        <d v="2020-10-10T00:00:00"/>
        <d v="2020-10-08T00:00:00"/>
        <d v="2020-09-29T00:00:00"/>
        <d v="2020-09-25T00:00:00"/>
        <d v="2020-09-23T00:00:00"/>
        <d v="2020-09-16T00:00:00"/>
        <d v="2020-09-11T00:00:00"/>
        <d v="2020-09-09T00:00:00"/>
        <d v="2020-09-08T00:00:00"/>
        <d v="2020-09-05T00:00:00"/>
        <d v="2020-09-02T00:00:00"/>
        <d v="2020-09-01T00:00:00"/>
        <d v="2020-08-31T00:00:00"/>
        <d v="2020-08-26T00:00:00"/>
        <d v="2020-08-24T00:00:00"/>
        <d v="2020-08-20T00:00:00"/>
        <d v="2020-08-19T00:00:00"/>
        <d v="2020-08-18T00:00:00"/>
        <d v="2020-08-17T00:00:00"/>
        <d v="2020-08-14T00:00:00"/>
        <d v="2020-08-12T00:00:00"/>
        <d v="2020-08-11T00:00:00"/>
        <d v="2020-08-08T00:00:00"/>
        <d v="2020-08-07T00:00:00"/>
        <d v="2020-08-06T00:00:00"/>
        <d v="2020-08-05T00:00:00"/>
        <d v="2020-07-30T00:00:00"/>
        <d v="2020-07-29T00:00:00"/>
        <d v="2020-07-28T00:00:00"/>
        <d v="2020-07-27T00:00:00"/>
        <d v="2020-07-23T00:00:00"/>
        <d v="2020-07-21T00:00:00"/>
        <d v="2020-07-20T00:00:00"/>
        <d v="2020-07-17T00:00:00"/>
        <d v="2020-07-16T00:00:00"/>
        <d v="2020-07-15T00:00:00"/>
        <d v="2020-07-14T00:00:00"/>
        <d v="2020-07-13T00:00:00"/>
        <d v="2020-07-10T00:00:00"/>
        <d v="2020-07-09T00:00:00"/>
        <d v="2020-07-08T00:00:00"/>
        <d v="2020-07-01T00:00:00"/>
        <d v="2020-06-30T00:00:00"/>
        <d v="2020-06-29T00:00:00"/>
        <d v="2020-06-28T00:00:00"/>
        <d v="2020-06-27T00:00:00"/>
        <d v="2020-06-25T00:00:00"/>
        <d v="2020-06-24T00:00:00"/>
        <d v="2020-06-23T00:00:00"/>
        <d v="2020-06-22T00:00:00"/>
        <d v="2020-06-19T00:00:00"/>
        <d v="2020-06-18T00:00:00"/>
        <d v="2020-06-17T00:00:00"/>
        <d v="2020-06-16T00:00:00"/>
        <d v="2020-06-15T00:00:00"/>
        <d v="2020-06-12T00:00:00"/>
        <d v="2020-06-11T00:00:00"/>
        <d v="2020-06-10T00:00:00"/>
        <d v="2020-06-09T00:00:00"/>
        <d v="2020-06-05T00:00:00"/>
        <d v="2020-06-04T00:00:00"/>
        <d v="2020-06-03T00:00:00"/>
        <d v="2020-06-02T00:00:00"/>
        <d v="2020-06-01T00:00:00"/>
        <d v="2020-05-29T00:00:00"/>
        <d v="2020-05-28T00:00:00"/>
        <d v="2020-05-27T00:00:00"/>
        <d v="2020-05-26T00:00:00"/>
        <d v="2020-05-25T00:00:00"/>
        <d v="2020-05-22T00:00:00"/>
        <d v="2020-05-21T00:00:00"/>
        <d v="2020-05-20T00:00:00"/>
        <d v="2020-05-19T00:00:00"/>
        <d v="2020-05-18T00:00:00"/>
        <d v="2020-05-17T00:00:00"/>
        <d v="2020-05-15T00:00:00"/>
        <d v="2020-05-14T00:00:00"/>
        <d v="2020-05-13T00:00:00"/>
        <d v="2020-05-12T00:00:00"/>
        <d v="2020-05-11T00:00:00"/>
        <d v="2020-05-08T00:00:00"/>
        <d v="2020-05-07T00:00:00"/>
        <d v="2020-05-06T00:00:00"/>
        <d v="2020-05-05T00:00:00"/>
        <d v="2020-05-04T00:00:00"/>
        <d v="2020-05-03T00:00:00"/>
        <d v="2020-05-01T00:00:00"/>
        <d v="2020-04-30T00:00:00"/>
        <d v="2020-04-29T00:00:00"/>
        <d v="2020-04-28T00:00:00"/>
        <d v="2020-04-27T00:00:00"/>
        <d v="2020-04-25T00:00:00"/>
        <d v="2020-04-24T00:00:00"/>
        <d v="2020-04-23T00:00:00"/>
        <d v="2020-04-22T00:00:00"/>
        <d v="2020-04-21T00:00:00"/>
        <d v="2020-04-20T00:00:00"/>
        <d v="2020-04-18T00:00:00"/>
        <d v="2020-04-17T00:00:00"/>
        <d v="2020-04-16T00:00:00"/>
        <d v="2020-04-15T00:00:00"/>
        <d v="2020-04-14T00:00:00"/>
        <d v="2020-04-13T00:00:00"/>
        <d v="2020-04-10T00:00:00"/>
        <d v="2020-04-09T00:00:00"/>
        <d v="2020-04-08T00:00:00"/>
        <d v="2020-04-07T00:00:00"/>
        <d v="2020-04-06T00:00:00"/>
        <d v="2020-04-05T00:00:00"/>
        <d v="2020-04-04T00:00:00"/>
        <d v="2020-04-03T00:00:00"/>
        <d v="2020-04-02T00:00:00"/>
        <d v="2020-04-01T00:00:00"/>
        <d v="2020-03-31T00:00:00"/>
        <d v="2020-03-30T00:00:00"/>
        <d v="2020-03-29T00:00:00"/>
        <d v="2020-03-28T00:00:00"/>
        <d v="2020-03-27T00:00:00"/>
        <d v="2020-03-26T00:00:00"/>
        <d v="2020-03-25T00:00:00"/>
        <d v="2020-03-24T00:00:00"/>
        <d v="2020-03-23T00:00:00"/>
        <d v="2020-03-20T00:00:00"/>
        <d v="2020-03-19T00:00:00"/>
        <d v="2020-03-18T00:00:00"/>
        <d v="2020-03-16T00:00:00"/>
        <d v="2020-03-13T00:00:00"/>
        <d v="2020-03-12T00:00:00"/>
        <d v="2020-03-11T00:00:00"/>
        <m/>
      </sharedItems>
      <fieldGroup par="12"/>
    </cacheField>
    <cacheField name="Funds_Raised" numFmtId="0">
      <sharedItems containsBlank="1" containsMixedTypes="1" containsNumber="1" minValue="0" maxValue="121900" count="734">
        <n v="691"/>
        <n v="2000"/>
        <n v="119"/>
        <n v="651"/>
        <n v="117"/>
        <n v="1"/>
        <n v="86"/>
        <n v="26"/>
        <n v="67"/>
        <n v="118"/>
        <n v="32"/>
        <n v="3"/>
        <s v="NA"/>
        <n v="56"/>
        <n v="1700"/>
        <n v="746"/>
        <n v="8300"/>
        <n v="390"/>
        <n v="643"/>
        <n v="899"/>
        <n v="272"/>
        <n v="38"/>
        <n v="1300"/>
        <n v="222"/>
        <n v="3400"/>
        <n v="39"/>
        <n v="214"/>
        <n v="49"/>
        <n v="5"/>
        <n v="10700"/>
        <n v="834"/>
        <n v="124"/>
        <n v="72"/>
        <n v="64"/>
        <n v="79"/>
        <n v="1000"/>
        <n v="516"/>
        <n v="780"/>
        <n v="429"/>
        <n v="932"/>
        <n v="1900"/>
        <n v="601"/>
        <n v="20200"/>
        <n v="30"/>
        <n v="271"/>
        <n v="1800"/>
        <n v="5000"/>
        <n v="6"/>
        <n v="130"/>
        <n v="158"/>
        <n v="145"/>
        <n v="3300"/>
        <n v="1400"/>
        <n v="299"/>
        <n v="802"/>
        <n v="35"/>
        <n v="180"/>
        <n v="159"/>
        <n v="174"/>
        <n v="400"/>
        <n v="4100"/>
        <n v="75"/>
        <n v="61"/>
        <n v="1200"/>
        <n v="336"/>
        <n v="826"/>
        <n v="89"/>
        <n v="55"/>
        <n v="679"/>
        <n v="12"/>
        <n v="24"/>
        <n v="179"/>
        <n v="247"/>
        <n v="60"/>
        <n v="108"/>
        <n v="547"/>
        <n v="5500"/>
        <n v="104"/>
        <n v="2"/>
        <n v="109"/>
        <n v="52"/>
        <n v="230"/>
        <n v="288"/>
        <n v="3500"/>
        <n v="750"/>
        <n v="355"/>
        <n v="50"/>
        <n v="176"/>
        <n v="399"/>
        <n v="302"/>
        <n v="16"/>
        <n v="33"/>
        <n v="42"/>
        <n v="480"/>
        <n v="44"/>
        <n v="147"/>
        <n v="739"/>
        <n v="26000"/>
        <n v="105"/>
        <n v="1100"/>
        <n v="966"/>
        <n v="569"/>
        <n v="462"/>
        <n v="504"/>
        <n v="177"/>
        <n v="175"/>
        <n v="71"/>
        <n v="313"/>
        <n v="676"/>
        <n v="363"/>
        <n v="315"/>
        <n v="522"/>
        <n v="1600"/>
        <n v="1500"/>
        <n v="696"/>
        <n v="8"/>
        <n v="274"/>
        <n v="515"/>
        <n v="962"/>
        <n v="839"/>
        <n v="312"/>
        <n v="10"/>
        <n v="303"/>
        <n v="181"/>
        <n v="2900"/>
        <n v="2.2999999999999998"/>
        <n v="137"/>
        <n v="229"/>
        <n v="15"/>
        <n v="37"/>
        <n v="525"/>
        <n v="490"/>
        <n v="20"/>
        <n v="188"/>
        <n v="529"/>
        <n v="948"/>
        <n v="31"/>
        <n v="565"/>
        <n v="536"/>
        <n v="133"/>
        <n v="4900"/>
        <n v="361"/>
        <n v="13"/>
        <n v="18"/>
        <n v="4"/>
        <n v="218"/>
        <n v="619"/>
        <n v="234"/>
        <n v="74"/>
        <n v="41"/>
        <n v="276"/>
        <n v="28"/>
        <n v="451"/>
        <n v="885"/>
        <n v="152"/>
        <n v="647"/>
        <n v="216"/>
        <n v="150"/>
        <n v="107"/>
        <n v="523"/>
        <n v="657"/>
        <n v="654"/>
        <n v="733"/>
        <n v="263"/>
        <n v="65"/>
        <n v="2400"/>
        <n v="3600"/>
        <n v="187"/>
        <n v="27"/>
        <n v="332"/>
        <n v="635"/>
        <n v="724"/>
        <n v="275"/>
        <n v="3700"/>
        <n v="811"/>
        <n v="100"/>
        <n v="625"/>
        <n v="686"/>
        <n v="21"/>
        <n v="534"/>
        <n v="426"/>
        <n v="155"/>
        <n v="153"/>
        <n v="11"/>
        <n v="183"/>
        <n v="9"/>
        <n v="500"/>
        <n v="82"/>
        <n v="995"/>
        <n v="320"/>
        <n v="14"/>
        <n v="131"/>
        <n v="194"/>
        <n v="140"/>
        <n v="280"/>
        <n v="168"/>
        <n v="57"/>
        <n v="3000"/>
        <n v="556"/>
        <n v="197"/>
        <n v="2700"/>
        <n v="526"/>
        <n v="91"/>
        <n v="12900"/>
        <n v="470"/>
        <n v="138"/>
        <n v="164"/>
        <n v="485"/>
        <n v="123"/>
        <n v="199"/>
        <n v="356"/>
        <n v="456"/>
        <n v="27200"/>
        <n v="7200"/>
        <n v="632"/>
        <n v="368"/>
        <n v="628"/>
        <n v="116"/>
        <n v="9900"/>
        <n v="22"/>
        <n v="262"/>
        <n v="15000"/>
        <n v="385"/>
        <n v="76"/>
        <n v="310"/>
        <n v="25"/>
        <n v="2500"/>
        <n v="97"/>
        <n v="241"/>
        <n v="172"/>
        <n v="110"/>
        <n v="694"/>
        <n v="2200"/>
        <n v="120"/>
        <n v="350"/>
        <n v="477"/>
        <n v="2100"/>
        <n v="648"/>
        <n v="185"/>
        <n v="614"/>
        <n v="700"/>
        <n v="689"/>
        <n v="90"/>
        <n v="307"/>
        <n v="414"/>
        <n v="646"/>
        <n v="393"/>
        <n v="9400"/>
        <n v="597"/>
        <n v="19"/>
        <n v="228"/>
        <n v="167"/>
        <n v="40"/>
        <n v="223"/>
        <n v="455.2"/>
        <n v="331"/>
        <n v="347"/>
        <n v="316"/>
        <n v="245"/>
        <n v="128"/>
        <n v="626"/>
        <n v="7"/>
        <n v="224"/>
        <n v="766"/>
        <n v="736"/>
        <n v="151"/>
        <n v="640"/>
        <n v="62"/>
        <n v="427"/>
        <n v="366"/>
        <n v="122"/>
        <n v="200"/>
        <n v="472"/>
        <n v="84"/>
        <n v="106"/>
        <n v="856"/>
        <n v="453"/>
        <n v="391"/>
        <n v="365"/>
        <n v="951"/>
        <n v="705"/>
        <n v="154"/>
        <n v="112"/>
        <n v="537"/>
        <n v="392"/>
        <n v="658"/>
        <n v="727"/>
        <n v="54"/>
        <n v="450"/>
        <n v="629"/>
        <n v="577"/>
        <n v="730"/>
        <n v="916"/>
        <n v="70"/>
        <n v="428"/>
        <n v="127"/>
        <n v="178"/>
        <n v="6400"/>
        <n v="458"/>
        <n v="497"/>
        <n v="170"/>
        <n v="465"/>
        <n v="51"/>
        <n v="857"/>
        <n v="749"/>
        <n v="5600"/>
        <n v="489"/>
        <n v="438"/>
        <n v="817"/>
        <n v="301"/>
        <n v="389"/>
        <n v="296"/>
        <n v="468"/>
        <n v="94"/>
        <n v="928"/>
        <n v="46"/>
        <n v="208"/>
        <n v="125"/>
        <n v="905"/>
        <n v="238"/>
        <n v="149"/>
        <n v="304"/>
        <n v="464"/>
        <n v="80"/>
        <n v="198"/>
        <n v="217"/>
        <n v="2600"/>
        <n v="103"/>
        <n v="121"/>
        <n v="88"/>
        <n v="220"/>
        <n v="192"/>
        <n v="196"/>
        <n v="157"/>
        <n v="77"/>
        <n v="111"/>
        <n v="297"/>
        <n v="83"/>
        <n v="672"/>
        <n v="261"/>
        <n v="665"/>
        <n v="770"/>
        <n v="925"/>
        <n v="419"/>
        <n v="748"/>
        <n v="375"/>
        <n v="300"/>
        <n v="43"/>
        <n v="513"/>
        <n v="435"/>
        <n v="567"/>
        <n v="148"/>
        <n v="135"/>
        <n v="574"/>
        <n v="17"/>
        <n v="387"/>
        <n v="463"/>
        <n v="351"/>
        <n v="322"/>
        <n v="692"/>
        <n v="182"/>
        <n v="255"/>
        <n v="382"/>
        <n v="87"/>
        <n v="422"/>
        <n v="165"/>
        <n v="659"/>
        <n v="256"/>
        <n v="282"/>
        <n v="212"/>
        <n v="99"/>
        <n v="357"/>
        <n v="409"/>
        <n v="53"/>
        <n v="530"/>
        <n v="171"/>
        <n v="342"/>
        <n v="290"/>
        <n v="711"/>
        <n v="156"/>
        <n v="160"/>
        <n v="47"/>
        <n v="896"/>
        <n v="607"/>
        <n v="704"/>
        <n v="445"/>
        <n v="8700"/>
        <n v="169"/>
        <n v="81"/>
        <n v="612"/>
        <n v="85"/>
        <n v="141"/>
        <n v="25200"/>
        <n v="134"/>
        <n v="306"/>
        <n v="69"/>
        <n v="16500"/>
        <n v="340"/>
        <n v="184"/>
        <n v="900"/>
        <n v="284"/>
        <n v="469"/>
        <n v="227"/>
        <n v="253"/>
        <n v="891"/>
        <n v="644"/>
        <n v="805"/>
        <n v="484"/>
        <n v="324"/>
        <n v="349"/>
        <n v="233"/>
        <n v="364"/>
        <n v="23"/>
        <n v="423"/>
        <n v="394"/>
        <n v="161"/>
        <n v="769"/>
        <n v="173"/>
        <n v="330"/>
        <n v="254"/>
        <n v="219"/>
        <n v="292"/>
        <n v="244"/>
        <n v="542"/>
        <n v="621"/>
        <n v="425"/>
        <n v="481"/>
        <n v="298"/>
        <n v="992"/>
        <n v="235"/>
        <n v="503"/>
        <n v="45"/>
        <n v="205"/>
        <n v="34"/>
        <n v="974"/>
        <n v="146"/>
        <n v="114"/>
        <n v="613"/>
        <n v="98"/>
        <n v="163"/>
        <n v="337"/>
        <n v="411"/>
        <n v="190"/>
        <n v="850"/>
        <n v="257"/>
        <n v="579"/>
        <n v="139"/>
        <n v="849"/>
        <n v="59"/>
        <n v="5900"/>
        <n v="92"/>
        <n v="311"/>
        <n v="96"/>
        <n v="2300"/>
        <n v="339"/>
        <n v="6200"/>
        <n v="683"/>
        <n v="838"/>
        <n v="314"/>
        <n v="143"/>
        <n v="250"/>
        <n v="204"/>
        <n v="376"/>
        <n v="281"/>
        <n v="101"/>
        <n v="431"/>
        <n v="778"/>
        <n v="581"/>
        <n v="487"/>
        <n v="681"/>
        <n v="210"/>
        <n v="631"/>
        <n v="788"/>
        <n v="317"/>
        <n v="461"/>
        <n v="482"/>
        <n v="495"/>
        <n v="102"/>
        <n v="557"/>
        <n v="126"/>
        <n v="283"/>
        <n v="401"/>
        <n v="663"/>
        <n v="575"/>
        <n v="325"/>
        <n v="132"/>
        <n v="442"/>
        <n v="279"/>
        <n v="406"/>
        <n v="467"/>
        <n v="4200"/>
        <n v="12600"/>
        <n v="58"/>
        <n v="720"/>
        <n v="491"/>
        <n v="63"/>
        <n v="225"/>
        <n v="719"/>
        <n v="708"/>
        <n v="278"/>
        <n v="566"/>
        <n v="413"/>
        <n v="800"/>
        <n v="583"/>
        <n v="507"/>
        <n v="496"/>
        <n v="396"/>
        <n v="476"/>
        <n v="240"/>
        <n v="415"/>
        <n v="215"/>
        <n v="144"/>
        <n v="344"/>
        <n v="273"/>
        <n v="455"/>
        <n v="550"/>
        <n v="226"/>
        <n v="379"/>
        <n v="36"/>
        <n v="295"/>
        <n v="115"/>
        <n v="341"/>
        <n v="22200"/>
        <n v="965"/>
        <n v="269"/>
        <n v="521"/>
        <n v="571"/>
        <n v="416"/>
        <n v="260"/>
        <n v="420"/>
        <n v="946"/>
        <n v="854"/>
        <n v="698"/>
        <n v="548"/>
        <n v="410"/>
        <n v="328"/>
        <n v="334"/>
        <n v="293"/>
        <n v="549"/>
        <n v="95"/>
        <n v="726"/>
        <n v="383"/>
        <n v="404"/>
        <n v="560"/>
        <n v="656"/>
        <n v="602"/>
        <n v="999"/>
        <n v="326"/>
        <n v="863"/>
        <n v="166"/>
        <n v="29"/>
        <n v="620"/>
        <n v="682"/>
        <n v="675"/>
        <n v="892"/>
        <n v="136"/>
        <n v="7400"/>
        <n v="5100"/>
        <n v="514"/>
        <n v="189"/>
        <n v="73"/>
        <n v="231"/>
        <n v="459"/>
        <n v="352"/>
        <n v="203"/>
        <n v="734"/>
        <n v="630"/>
        <n v="479"/>
        <n v="265"/>
        <n v="323"/>
        <n v="4000"/>
        <n v="372"/>
        <n v="321"/>
        <n v="191"/>
        <n v="544"/>
        <n v="162"/>
        <n v="378"/>
        <n v="604"/>
        <n v="483"/>
        <n v="78"/>
        <n v="264"/>
        <n v="809"/>
        <n v="804"/>
        <n v="914"/>
        <n v="889"/>
        <n v="452"/>
        <n v="436"/>
        <n v="501"/>
        <n v="441"/>
        <n v="381"/>
        <n v="68"/>
        <n v="791"/>
        <n v="405"/>
        <n v="624"/>
        <n v="593"/>
        <n v="277"/>
        <n v="527"/>
        <n v="475"/>
        <n v="731"/>
        <n v="380"/>
        <n v="0"/>
        <n v="377"/>
        <n v="568"/>
        <n v="213"/>
        <n v="553"/>
        <n v="142"/>
        <n v="596"/>
        <n v="367"/>
        <n v="585"/>
        <n v="645"/>
        <n v="360"/>
        <n v="237"/>
        <n v="706"/>
        <n v="474"/>
        <n v="121900"/>
        <n v="24700"/>
        <n v="8600"/>
        <n v="910"/>
        <n v="221"/>
        <n v="287"/>
        <n v="209"/>
        <n v="305"/>
        <n v="201"/>
        <n v="533"/>
        <n v="338"/>
        <n v="814"/>
        <n v="478"/>
        <n v="535"/>
        <n v="652"/>
        <n v="242"/>
        <n v="266"/>
        <n v="510"/>
        <n v="202"/>
        <n v="329"/>
        <n v="2800"/>
        <n v="48"/>
        <n v="570"/>
        <n v="881"/>
        <n v="5700"/>
        <n v="335"/>
        <n v="864"/>
        <n v="743"/>
        <n v="690"/>
        <n v="546"/>
        <n v="460"/>
        <n v="248"/>
        <n v="430"/>
        <n v="93"/>
        <n v="319"/>
        <n v="926"/>
        <n v="783"/>
        <n v="603"/>
        <n v="259"/>
        <n v="286"/>
        <n v="195"/>
        <n v="917"/>
        <n v="502"/>
        <n v="755"/>
        <n v="752"/>
        <n v="289"/>
        <n v="214.5"/>
        <n v="186"/>
        <n v="214.2"/>
        <n v="763"/>
        <n v="584"/>
        <n v="3200"/>
        <n v="3.8"/>
        <n v="101.6"/>
        <n v="12.5"/>
        <n v="3.5"/>
        <n v="1.54"/>
        <n v="19500"/>
        <n v="157.9"/>
        <n v="40.5"/>
        <n v="13.4"/>
        <n v="22.8"/>
        <n v="95.2"/>
        <n v="65.400000000000006"/>
        <n v="9.5"/>
        <n v="76.2"/>
        <n v="15.5"/>
        <n v="1.3"/>
        <n v="122.3"/>
        <n v="350.2"/>
        <n v="0.97550000000000003"/>
        <n v="186.4"/>
        <n v="1.8"/>
        <n v="42.4"/>
        <n v="649"/>
        <n v="60.18"/>
        <n v="29.7"/>
        <n v="309"/>
        <n v="404.6"/>
        <n v="22.4"/>
        <n v="251.2"/>
        <n v="197.2"/>
        <n v="307.60000000000002"/>
        <n v="25.6"/>
        <n v="57.8"/>
        <n v="100.8"/>
        <n v="4800"/>
        <n v="582"/>
        <n v="39.6"/>
        <n v="3100"/>
        <n v="732"/>
        <n v="207"/>
        <n v="3800"/>
        <n v="252"/>
        <n v="5300"/>
        <n v="837"/>
        <n v="782"/>
        <n v="5400"/>
        <n v="771"/>
        <n v="386"/>
        <n v="660"/>
        <n v="2250"/>
        <n v="765"/>
        <n v="840"/>
        <n v="447"/>
        <n v="358"/>
        <n v="955"/>
        <n v="137.5"/>
        <n v="902"/>
        <n v="0.7"/>
        <n v="348"/>
        <n v="8.5"/>
        <n v="541"/>
        <n v="623"/>
        <n v="403"/>
        <n v="981"/>
        <n v="179.1"/>
        <n v="359"/>
        <n v="5.0999999999999996"/>
        <m/>
      </sharedItems>
    </cacheField>
    <cacheField name="Stage" numFmtId="0">
      <sharedItems containsBlank="1"/>
    </cacheField>
    <cacheField name="Country" numFmtId="0">
      <sharedItems containsBlank="1" count="64">
        <s v="Norway"/>
        <s v="Israel"/>
        <s v="United States"/>
        <s v="United Kingdom"/>
        <s v="Japan"/>
        <s v="Germany"/>
        <s v="India"/>
        <s v="Canada"/>
        <s v="Spain"/>
        <s v="Czech Republic"/>
        <s v="Belgium"/>
        <s v="France"/>
        <s v="Ireland"/>
        <s v="Chile"/>
        <s v="Denmark"/>
        <s v="Nigeria"/>
        <s v="Singapore"/>
        <s v="China"/>
        <s v="Netherlands"/>
        <s v="Lithuania"/>
        <s v="Australia"/>
        <s v="Poland"/>
        <s v="Sweden"/>
        <s v="Finland"/>
        <s v="Cayman Islands"/>
        <s v="Austria"/>
        <s v="Indonesia"/>
        <s v="Estonia"/>
        <s v="Pakistan"/>
        <s v="Romania"/>
        <s v="Switzerland"/>
        <s v="Brazil"/>
        <s v="Ghana"/>
        <s v="Hong Kong"/>
        <s v="Kenya"/>
        <s v="New Zealand"/>
        <s v="Luxembourg"/>
        <s v="Mexico"/>
        <s v="South Korea"/>
        <s v="Saudi Arabia"/>
        <s v="Philippines"/>
        <s v="Ukraine"/>
        <s v="Italy"/>
        <s v="Portugal"/>
        <s v="Colombia"/>
        <s v="Argentina"/>
        <s v="Seychelles"/>
        <s v="Egypt"/>
        <s v="Greece"/>
        <s v="Malaysia"/>
        <s v="Hungary"/>
        <s v="Vietnam"/>
        <s v="Thailand"/>
        <s v="Senegal"/>
        <s v="United Arab Emirates"/>
        <s v="Peru"/>
        <s v="Bahrain"/>
        <s v="Turkey"/>
        <s v="Russia"/>
        <s v="Uruguay"/>
        <s v="Bulgaria"/>
        <s v="South Africa"/>
        <s v="Myanmar"/>
        <m/>
      </sharedItems>
    </cacheField>
    <cacheField name="Percentage" numFmtId="9">
      <sharedItems containsBlank="1" containsMixedTypes="1" containsNumber="1" minValue="0" maxValue="1"/>
    </cacheField>
    <cacheField name="Monthly Date" numFmtId="0">
      <sharedItems containsBlank="1"/>
    </cacheField>
    <cacheField name="Months (Date)" numFmtId="0" databaseField="0">
      <fieldGroup base="4">
        <rangePr groupBy="months" startDate="2020-03-11T00:00:00" endDate="2024-06-06T00:00:00"/>
        <groupItems count="14">
          <s v="&lt;11/03/20"/>
          <s v="Jan"/>
          <s v="Feb"/>
          <s v="Mar"/>
          <s v="Apr"/>
          <s v="May"/>
          <s v="Jun"/>
          <s v="Jul"/>
          <s v="Aug"/>
          <s v="Sep"/>
          <s v="Oct"/>
          <s v="Nov"/>
          <s v="Dec"/>
          <s v="&gt;06/06/24"/>
        </groupItems>
      </fieldGroup>
    </cacheField>
    <cacheField name="Quarters (Date)" numFmtId="0" databaseField="0">
      <fieldGroup base="4">
        <rangePr groupBy="quarters" startDate="2020-03-11T00:00:00" endDate="2024-06-06T00:00:00"/>
        <groupItems count="6">
          <s v="&lt;11/03/20"/>
          <s v="Qtr1"/>
          <s v="Qtr2"/>
          <s v="Qtr3"/>
          <s v="Qtr4"/>
          <s v="&gt;06/06/24"/>
        </groupItems>
      </fieldGroup>
    </cacheField>
    <cacheField name="Years (Date)" numFmtId="0" databaseField="0">
      <fieldGroup base="4">
        <rangePr groupBy="years" startDate="2020-03-11T00:00:00" endDate="2024-06-06T00:00:00"/>
        <groupItems count="7">
          <s v="&lt;11/03/20"/>
          <s v="2020"/>
          <s v="2021"/>
          <s v="2022"/>
          <s v="2023"/>
          <s v="2024"/>
          <s v="&gt;06/06/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3">
  <r>
    <x v="0"/>
    <x v="0"/>
    <x v="0"/>
    <x v="0"/>
    <x v="0"/>
    <x v="0"/>
    <s v="Unknown"/>
    <x v="0"/>
    <s v="NA"/>
    <s v="2024-06"/>
  </r>
  <r>
    <x v="1"/>
    <x v="1"/>
    <x v="1"/>
    <x v="1"/>
    <x v="0"/>
    <x v="1"/>
    <s v="Post-IPO"/>
    <x v="1"/>
    <n v="0.2"/>
    <s v="2024-06"/>
  </r>
  <r>
    <x v="2"/>
    <x v="1"/>
    <x v="0"/>
    <x v="2"/>
    <x v="0"/>
    <x v="2"/>
    <s v="Unknown"/>
    <x v="1"/>
    <n v="0.3"/>
    <s v="2024-06"/>
  </r>
  <r>
    <x v="3"/>
    <x v="2"/>
    <x v="2"/>
    <x v="2"/>
    <x v="0"/>
    <x v="3"/>
    <s v="Unknown"/>
    <x v="2"/>
    <n v="0.1"/>
    <s v="2024-06"/>
  </r>
  <r>
    <x v="4"/>
    <x v="3"/>
    <x v="3"/>
    <x v="3"/>
    <x v="0"/>
    <x v="4"/>
    <s v="Post-IPO"/>
    <x v="2"/>
    <n v="0.12"/>
    <s v="2024-06"/>
  </r>
  <r>
    <x v="5"/>
    <x v="4"/>
    <x v="4"/>
    <x v="4"/>
    <x v="1"/>
    <x v="5"/>
    <s v="Post-IPO"/>
    <x v="2"/>
    <s v="NA"/>
    <s v="2024-06"/>
  </r>
  <r>
    <x v="6"/>
    <x v="5"/>
    <x v="5"/>
    <x v="1"/>
    <x v="1"/>
    <x v="6"/>
    <s v="Unknown"/>
    <x v="1"/>
    <n v="0.5"/>
    <s v="2024-06"/>
  </r>
  <r>
    <x v="7"/>
    <x v="6"/>
    <x v="6"/>
    <x v="1"/>
    <x v="2"/>
    <x v="7"/>
    <s v="Post-IPO"/>
    <x v="2"/>
    <s v="NA"/>
    <s v="2024-05"/>
  </r>
  <r>
    <x v="8"/>
    <x v="3"/>
    <x v="1"/>
    <x v="5"/>
    <x v="2"/>
    <x v="8"/>
    <s v="Series B"/>
    <x v="2"/>
    <s v="NA"/>
    <s v="2024-05"/>
  </r>
  <r>
    <x v="9"/>
    <x v="3"/>
    <x v="0"/>
    <x v="3"/>
    <x v="2"/>
    <x v="9"/>
    <s v="Series B"/>
    <x v="2"/>
    <n v="0.1"/>
    <s v="2024-05"/>
  </r>
  <r>
    <x v="10"/>
    <x v="7"/>
    <x v="5"/>
    <x v="3"/>
    <x v="2"/>
    <x v="10"/>
    <s v="Series A"/>
    <x v="2"/>
    <s v="NA"/>
    <s v="2024-05"/>
  </r>
  <r>
    <x v="11"/>
    <x v="8"/>
    <x v="7"/>
    <x v="6"/>
    <x v="3"/>
    <x v="11"/>
    <s v="Acquired"/>
    <x v="2"/>
    <s v="NA"/>
    <s v="2024-05"/>
  </r>
  <r>
    <x v="12"/>
    <x v="9"/>
    <x v="8"/>
    <x v="7"/>
    <x v="3"/>
    <x v="12"/>
    <s v="Unknown"/>
    <x v="2"/>
    <n v="7.0000000000000007E-2"/>
    <s v="2024-05"/>
  </r>
  <r>
    <x v="13"/>
    <x v="3"/>
    <x v="9"/>
    <x v="8"/>
    <x v="4"/>
    <x v="13"/>
    <s v="Series B"/>
    <x v="2"/>
    <n v="0.2"/>
    <s v="2024-05"/>
  </r>
  <r>
    <x v="14"/>
    <x v="9"/>
    <x v="10"/>
    <x v="3"/>
    <x v="4"/>
    <x v="14"/>
    <s v="Post-IPO"/>
    <x v="2"/>
    <s v="NA"/>
    <s v="2024-05"/>
  </r>
  <r>
    <x v="15"/>
    <x v="10"/>
    <x v="1"/>
    <x v="3"/>
    <x v="4"/>
    <x v="15"/>
    <s v="Post-IPO"/>
    <x v="3"/>
    <s v="NA"/>
    <s v="2024-05"/>
  </r>
  <r>
    <x v="16"/>
    <x v="6"/>
    <x v="10"/>
    <x v="9"/>
    <x v="5"/>
    <x v="16"/>
    <s v="Post-IPO"/>
    <x v="2"/>
    <n v="0.06"/>
    <s v="2024-05"/>
  </r>
  <r>
    <x v="17"/>
    <x v="3"/>
    <x v="3"/>
    <x v="10"/>
    <x v="6"/>
    <x v="17"/>
    <s v="Series G"/>
    <x v="2"/>
    <n v="0.25"/>
    <s v="2024-05"/>
  </r>
  <r>
    <x v="18"/>
    <x v="11"/>
    <x v="11"/>
    <x v="11"/>
    <x v="7"/>
    <x v="18"/>
    <s v="Series F"/>
    <x v="2"/>
    <n v="0.25"/>
    <s v="2024-05"/>
  </r>
  <r>
    <x v="19"/>
    <x v="12"/>
    <x v="5"/>
    <x v="12"/>
    <x v="7"/>
    <x v="19"/>
    <s v="Post-IPO"/>
    <x v="2"/>
    <n v="1"/>
    <s v="2024-05"/>
  </r>
  <r>
    <x v="20"/>
    <x v="6"/>
    <x v="0"/>
    <x v="3"/>
    <x v="7"/>
    <x v="20"/>
    <s v="Series C"/>
    <x v="2"/>
    <n v="0.3"/>
    <s v="2024-05"/>
  </r>
  <r>
    <x v="21"/>
    <x v="3"/>
    <x v="12"/>
    <x v="3"/>
    <x v="8"/>
    <x v="21"/>
    <s v="Series B"/>
    <x v="2"/>
    <n v="1"/>
    <s v="2024-05"/>
  </r>
  <r>
    <x v="22"/>
    <x v="13"/>
    <x v="13"/>
    <x v="13"/>
    <x v="9"/>
    <x v="12"/>
    <s v="Unknown"/>
    <x v="4"/>
    <s v="NA"/>
    <s v="2024-05"/>
  </r>
  <r>
    <x v="23"/>
    <x v="14"/>
    <x v="1"/>
    <x v="14"/>
    <x v="9"/>
    <x v="22"/>
    <s v="Series D"/>
    <x v="5"/>
    <s v="NA"/>
    <s v="2024-05"/>
  </r>
  <r>
    <x v="24"/>
    <x v="6"/>
    <x v="14"/>
    <x v="2"/>
    <x v="9"/>
    <x v="23"/>
    <s v="Unknown"/>
    <x v="2"/>
    <n v="0.2"/>
    <s v="2024-05"/>
  </r>
  <r>
    <x v="25"/>
    <x v="15"/>
    <x v="0"/>
    <x v="3"/>
    <x v="9"/>
    <x v="24"/>
    <s v="Series H"/>
    <x v="2"/>
    <n v="0.06"/>
    <s v="2024-05"/>
  </r>
  <r>
    <x v="26"/>
    <x v="10"/>
    <x v="10"/>
    <x v="3"/>
    <x v="9"/>
    <x v="25"/>
    <s v="Acquired"/>
    <x v="3"/>
    <n v="1"/>
    <s v="2024-05"/>
  </r>
  <r>
    <x v="27"/>
    <x v="4"/>
    <x v="15"/>
    <x v="3"/>
    <x v="9"/>
    <x v="12"/>
    <s v="Series C"/>
    <x v="2"/>
    <n v="0.3"/>
    <s v="2024-05"/>
  </r>
  <r>
    <x v="28"/>
    <x v="16"/>
    <x v="4"/>
    <x v="1"/>
    <x v="10"/>
    <x v="26"/>
    <s v="Series D"/>
    <x v="2"/>
    <s v="NA"/>
    <s v="2024-05"/>
  </r>
  <r>
    <x v="29"/>
    <x v="9"/>
    <x v="4"/>
    <x v="15"/>
    <x v="10"/>
    <x v="27"/>
    <s v="Series B"/>
    <x v="2"/>
    <s v="NA"/>
    <s v="2024-05"/>
  </r>
  <r>
    <x v="30"/>
    <x v="17"/>
    <x v="1"/>
    <x v="3"/>
    <x v="11"/>
    <x v="11"/>
    <s v="Unknown"/>
    <x v="2"/>
    <n v="1"/>
    <s v="2024-05"/>
  </r>
  <r>
    <x v="31"/>
    <x v="16"/>
    <x v="12"/>
    <x v="4"/>
    <x v="12"/>
    <x v="28"/>
    <s v="Acquired"/>
    <x v="2"/>
    <n v="0.08"/>
    <s v="2024-05"/>
  </r>
  <r>
    <x v="32"/>
    <x v="18"/>
    <x v="10"/>
    <x v="16"/>
    <x v="13"/>
    <x v="12"/>
    <s v="Unknown"/>
    <x v="2"/>
    <n v="0.4"/>
    <s v="2024-05"/>
  </r>
  <r>
    <x v="33"/>
    <x v="9"/>
    <x v="10"/>
    <x v="17"/>
    <x v="13"/>
    <x v="29"/>
    <s v="Post-IPO"/>
    <x v="2"/>
    <s v="NA"/>
    <s v="2024-05"/>
  </r>
  <r>
    <x v="7"/>
    <x v="6"/>
    <x v="6"/>
    <x v="18"/>
    <x v="13"/>
    <x v="7"/>
    <s v="Post-IPO"/>
    <x v="2"/>
    <s v="NA"/>
    <s v="2024-05"/>
  </r>
  <r>
    <x v="34"/>
    <x v="8"/>
    <x v="7"/>
    <x v="19"/>
    <x v="14"/>
    <x v="30"/>
    <s v="Post-IPO"/>
    <x v="2"/>
    <n v="0.13"/>
    <s v="2024-05"/>
  </r>
  <r>
    <x v="35"/>
    <x v="1"/>
    <x v="5"/>
    <x v="5"/>
    <x v="14"/>
    <x v="31"/>
    <s v="Series D"/>
    <x v="1"/>
    <n v="0.3"/>
    <s v="2024-05"/>
  </r>
  <r>
    <x v="36"/>
    <x v="19"/>
    <x v="11"/>
    <x v="20"/>
    <x v="15"/>
    <x v="12"/>
    <s v="Acquired"/>
    <x v="6"/>
    <n v="0.25"/>
    <s v="2024-05"/>
  </r>
  <r>
    <x v="37"/>
    <x v="20"/>
    <x v="1"/>
    <x v="1"/>
    <x v="15"/>
    <x v="32"/>
    <s v="Series B"/>
    <x v="6"/>
    <n v="0.15"/>
    <s v="2024-05"/>
  </r>
  <r>
    <x v="38"/>
    <x v="16"/>
    <x v="6"/>
    <x v="21"/>
    <x v="15"/>
    <x v="12"/>
    <s v="Unknown"/>
    <x v="2"/>
    <n v="1"/>
    <s v="2024-05"/>
  </r>
  <r>
    <x v="39"/>
    <x v="6"/>
    <x v="16"/>
    <x v="3"/>
    <x v="15"/>
    <x v="33"/>
    <s v="Series B"/>
    <x v="2"/>
    <n v="1"/>
    <s v="2024-05"/>
  </r>
  <r>
    <x v="40"/>
    <x v="21"/>
    <x v="4"/>
    <x v="3"/>
    <x v="15"/>
    <x v="34"/>
    <s v="Post-IPO"/>
    <x v="7"/>
    <n v="0.06"/>
    <s v="2024-05"/>
  </r>
  <r>
    <x v="41"/>
    <x v="10"/>
    <x v="4"/>
    <x v="3"/>
    <x v="16"/>
    <x v="35"/>
    <s v="Series D"/>
    <x v="3"/>
    <s v="NA"/>
    <s v="2024-05"/>
  </r>
  <r>
    <x v="42"/>
    <x v="6"/>
    <x v="17"/>
    <x v="22"/>
    <x v="17"/>
    <x v="36"/>
    <s v="Post-IPO"/>
    <x v="2"/>
    <n v="0.33"/>
    <s v="2024-05"/>
  </r>
  <r>
    <x v="19"/>
    <x v="12"/>
    <x v="5"/>
    <x v="23"/>
    <x v="18"/>
    <x v="19"/>
    <s v="Post-IPO"/>
    <x v="2"/>
    <n v="0.49"/>
    <s v="2024-05"/>
  </r>
  <r>
    <x v="33"/>
    <x v="9"/>
    <x v="10"/>
    <x v="0"/>
    <x v="18"/>
    <x v="29"/>
    <s v="Post-IPO"/>
    <x v="2"/>
    <s v="NA"/>
    <s v="2024-05"/>
  </r>
  <r>
    <x v="43"/>
    <x v="22"/>
    <x v="10"/>
    <x v="24"/>
    <x v="18"/>
    <x v="37"/>
    <s v="Post-IPO"/>
    <x v="2"/>
    <n v="0.2"/>
    <s v="2024-05"/>
  </r>
  <r>
    <x v="44"/>
    <x v="3"/>
    <x v="18"/>
    <x v="25"/>
    <x v="18"/>
    <x v="38"/>
    <s v="Post-IPO"/>
    <x v="2"/>
    <n v="0.03"/>
    <s v="2024-05"/>
  </r>
  <r>
    <x v="45"/>
    <x v="23"/>
    <x v="2"/>
    <x v="26"/>
    <x v="18"/>
    <x v="39"/>
    <s v="Post-IPO"/>
    <x v="2"/>
    <s v="NA"/>
    <s v="2024-05"/>
  </r>
  <r>
    <x v="46"/>
    <x v="3"/>
    <x v="19"/>
    <x v="9"/>
    <x v="19"/>
    <x v="40"/>
    <s v="Post-IPO"/>
    <x v="2"/>
    <n v="0.15"/>
    <s v="2024-05"/>
  </r>
  <r>
    <x v="47"/>
    <x v="24"/>
    <x v="10"/>
    <x v="27"/>
    <x v="19"/>
    <x v="41"/>
    <s v="Unknown"/>
    <x v="8"/>
    <s v="NA"/>
    <s v="2024-05"/>
  </r>
  <r>
    <x v="7"/>
    <x v="6"/>
    <x v="6"/>
    <x v="28"/>
    <x v="20"/>
    <x v="7"/>
    <s v="Post-IPO"/>
    <x v="2"/>
    <s v="NA"/>
    <s v="2024-05"/>
  </r>
  <r>
    <x v="48"/>
    <x v="4"/>
    <x v="1"/>
    <x v="29"/>
    <x v="20"/>
    <x v="12"/>
    <s v="Acquired"/>
    <x v="2"/>
    <n v="1"/>
    <s v="2024-05"/>
  </r>
  <r>
    <x v="49"/>
    <x v="25"/>
    <x v="1"/>
    <x v="3"/>
    <x v="20"/>
    <x v="21"/>
    <s v="Series B"/>
    <x v="2"/>
    <n v="1"/>
    <s v="2024-05"/>
  </r>
  <r>
    <x v="50"/>
    <x v="16"/>
    <x v="10"/>
    <x v="30"/>
    <x v="21"/>
    <x v="42"/>
    <s v="Post-IPO"/>
    <x v="2"/>
    <s v="NA"/>
    <s v="2024-04"/>
  </r>
  <r>
    <x v="51"/>
    <x v="1"/>
    <x v="1"/>
    <x v="31"/>
    <x v="21"/>
    <x v="43"/>
    <s v="Series B"/>
    <x v="1"/>
    <n v="0.5"/>
    <s v="2024-04"/>
  </r>
  <r>
    <x v="52"/>
    <x v="17"/>
    <x v="5"/>
    <x v="3"/>
    <x v="21"/>
    <x v="44"/>
    <s v="Post-IPO"/>
    <x v="2"/>
    <n v="0.46"/>
    <s v="2024-04"/>
  </r>
  <r>
    <x v="7"/>
    <x v="6"/>
    <x v="6"/>
    <x v="3"/>
    <x v="21"/>
    <x v="7"/>
    <s v="Post-IPO"/>
    <x v="2"/>
    <s v="NA"/>
    <s v="2024-04"/>
  </r>
  <r>
    <x v="53"/>
    <x v="10"/>
    <x v="0"/>
    <x v="32"/>
    <x v="22"/>
    <x v="45"/>
    <s v="Series E"/>
    <x v="3"/>
    <s v="NA"/>
    <s v="2024-04"/>
  </r>
  <r>
    <x v="54"/>
    <x v="20"/>
    <x v="10"/>
    <x v="12"/>
    <x v="22"/>
    <x v="46"/>
    <s v="Series J"/>
    <x v="6"/>
    <n v="0.1"/>
    <s v="2024-04"/>
  </r>
  <r>
    <x v="55"/>
    <x v="9"/>
    <x v="1"/>
    <x v="3"/>
    <x v="22"/>
    <x v="47"/>
    <s v="Seed"/>
    <x v="2"/>
    <n v="1"/>
    <s v="2024-04"/>
  </r>
  <r>
    <x v="14"/>
    <x v="9"/>
    <x v="10"/>
    <x v="3"/>
    <x v="22"/>
    <x v="14"/>
    <s v="Post-IPO"/>
    <x v="2"/>
    <s v="NA"/>
    <s v="2024-04"/>
  </r>
  <r>
    <x v="56"/>
    <x v="20"/>
    <x v="5"/>
    <x v="0"/>
    <x v="23"/>
    <x v="48"/>
    <s v="Series D"/>
    <x v="6"/>
    <n v="0.27"/>
    <s v="2024-04"/>
  </r>
  <r>
    <x v="57"/>
    <x v="11"/>
    <x v="20"/>
    <x v="2"/>
    <x v="24"/>
    <x v="49"/>
    <s v="Series B"/>
    <x v="2"/>
    <n v="0.25"/>
    <s v="2024-04"/>
  </r>
  <r>
    <x v="58"/>
    <x v="26"/>
    <x v="3"/>
    <x v="3"/>
    <x v="24"/>
    <x v="50"/>
    <s v="Series B"/>
    <x v="2"/>
    <s v="NA"/>
    <s v="2024-04"/>
  </r>
  <r>
    <x v="59"/>
    <x v="16"/>
    <x v="7"/>
    <x v="3"/>
    <x v="25"/>
    <x v="51"/>
    <s v="Post-IPO"/>
    <x v="2"/>
    <s v="NA"/>
    <s v="2024-04"/>
  </r>
  <r>
    <x v="60"/>
    <x v="6"/>
    <x v="5"/>
    <x v="1"/>
    <x v="26"/>
    <x v="52"/>
    <s v="Series E"/>
    <x v="2"/>
    <n v="0.2"/>
    <s v="2024-04"/>
  </r>
  <r>
    <x v="61"/>
    <x v="27"/>
    <x v="21"/>
    <x v="1"/>
    <x v="26"/>
    <x v="12"/>
    <s v="Acquired"/>
    <x v="9"/>
    <n v="0.16"/>
    <s v="2024-04"/>
  </r>
  <r>
    <x v="62"/>
    <x v="4"/>
    <x v="5"/>
    <x v="3"/>
    <x v="26"/>
    <x v="53"/>
    <s v="Acquired"/>
    <x v="2"/>
    <s v="NA"/>
    <s v="2024-04"/>
  </r>
  <r>
    <x v="63"/>
    <x v="17"/>
    <x v="14"/>
    <x v="0"/>
    <x v="27"/>
    <x v="54"/>
    <s v="Series G"/>
    <x v="2"/>
    <n v="0.08"/>
    <s v="2024-04"/>
  </r>
  <r>
    <x v="64"/>
    <x v="28"/>
    <x v="22"/>
    <x v="3"/>
    <x v="27"/>
    <x v="55"/>
    <s v="Series B"/>
    <x v="2"/>
    <s v="NA"/>
    <s v="2024-04"/>
  </r>
  <r>
    <x v="65"/>
    <x v="19"/>
    <x v="21"/>
    <x v="0"/>
    <x v="28"/>
    <x v="56"/>
    <s v="Unknown"/>
    <x v="6"/>
    <n v="0.15"/>
    <s v="2024-04"/>
  </r>
  <r>
    <x v="66"/>
    <x v="29"/>
    <x v="3"/>
    <x v="31"/>
    <x v="28"/>
    <x v="57"/>
    <s v="Series D"/>
    <x v="10"/>
    <n v="0.1"/>
    <s v="2024-04"/>
  </r>
  <r>
    <x v="67"/>
    <x v="10"/>
    <x v="23"/>
    <x v="33"/>
    <x v="28"/>
    <x v="58"/>
    <s v="Unknown"/>
    <x v="3"/>
    <s v="NA"/>
    <s v="2024-04"/>
  </r>
  <r>
    <x v="68"/>
    <x v="11"/>
    <x v="8"/>
    <x v="3"/>
    <x v="28"/>
    <x v="59"/>
    <s v="Unknown"/>
    <x v="2"/>
    <n v="0.05"/>
    <s v="2024-04"/>
  </r>
  <r>
    <x v="69"/>
    <x v="30"/>
    <x v="4"/>
    <x v="3"/>
    <x v="29"/>
    <x v="5"/>
    <s v="Acquired"/>
    <x v="2"/>
    <s v="NA"/>
    <s v="2024-04"/>
  </r>
  <r>
    <x v="7"/>
    <x v="6"/>
    <x v="6"/>
    <x v="3"/>
    <x v="29"/>
    <x v="7"/>
    <s v="Post-IPO"/>
    <x v="2"/>
    <s v="NA"/>
    <s v="2024-04"/>
  </r>
  <r>
    <x v="33"/>
    <x v="31"/>
    <x v="10"/>
    <x v="3"/>
    <x v="29"/>
    <x v="29"/>
    <s v="Post-IPO"/>
    <x v="2"/>
    <n v="0.01"/>
    <s v="2024-04"/>
  </r>
  <r>
    <x v="70"/>
    <x v="3"/>
    <x v="6"/>
    <x v="34"/>
    <x v="30"/>
    <x v="60"/>
    <s v="Post-IPO"/>
    <x v="2"/>
    <n v="0.05"/>
    <s v="2024-04"/>
  </r>
  <r>
    <x v="71"/>
    <x v="6"/>
    <x v="23"/>
    <x v="35"/>
    <x v="30"/>
    <x v="61"/>
    <s v="Series B"/>
    <x v="2"/>
    <n v="0.25"/>
    <s v="2024-04"/>
  </r>
  <r>
    <x v="50"/>
    <x v="16"/>
    <x v="10"/>
    <x v="36"/>
    <x v="31"/>
    <x v="42"/>
    <s v="Post-IPO"/>
    <x v="2"/>
    <n v="0.1"/>
    <s v="2024-04"/>
  </r>
  <r>
    <x v="72"/>
    <x v="32"/>
    <x v="3"/>
    <x v="24"/>
    <x v="32"/>
    <x v="62"/>
    <s v="Post-IPO"/>
    <x v="11"/>
    <n v="0.04"/>
    <s v="2024-04"/>
  </r>
  <r>
    <x v="73"/>
    <x v="33"/>
    <x v="0"/>
    <x v="37"/>
    <x v="32"/>
    <x v="63"/>
    <s v="Acquired"/>
    <x v="8"/>
    <s v="NA"/>
    <s v="2024-04"/>
  </r>
  <r>
    <x v="74"/>
    <x v="34"/>
    <x v="6"/>
    <x v="38"/>
    <x v="33"/>
    <x v="12"/>
    <s v="Acquired"/>
    <x v="12"/>
    <s v="NA"/>
    <s v="2024-04"/>
  </r>
  <r>
    <x v="75"/>
    <x v="3"/>
    <x v="24"/>
    <x v="2"/>
    <x v="33"/>
    <x v="64"/>
    <s v="Series C"/>
    <x v="2"/>
    <n v="0.15"/>
    <s v="2024-04"/>
  </r>
  <r>
    <x v="76"/>
    <x v="6"/>
    <x v="5"/>
    <x v="3"/>
    <x v="33"/>
    <x v="65"/>
    <s v="Series E"/>
    <x v="2"/>
    <n v="0.1"/>
    <s v="2024-04"/>
  </r>
  <r>
    <x v="77"/>
    <x v="10"/>
    <x v="5"/>
    <x v="3"/>
    <x v="33"/>
    <x v="66"/>
    <s v="Series B"/>
    <x v="3"/>
    <n v="0.2"/>
    <s v="2024-04"/>
  </r>
  <r>
    <x v="78"/>
    <x v="35"/>
    <x v="0"/>
    <x v="28"/>
    <x v="34"/>
    <x v="10"/>
    <s v="Acquired"/>
    <x v="13"/>
    <s v="NA"/>
    <s v="2024-04"/>
  </r>
  <r>
    <x v="79"/>
    <x v="20"/>
    <x v="11"/>
    <x v="0"/>
    <x v="34"/>
    <x v="67"/>
    <s v="Series B"/>
    <x v="6"/>
    <s v="NA"/>
    <s v="2024-04"/>
  </r>
  <r>
    <x v="80"/>
    <x v="6"/>
    <x v="12"/>
    <x v="39"/>
    <x v="35"/>
    <x v="68"/>
    <s v="Series D"/>
    <x v="2"/>
    <n v="0.32"/>
    <s v="2024-04"/>
  </r>
  <r>
    <x v="81"/>
    <x v="6"/>
    <x v="16"/>
    <x v="40"/>
    <x v="35"/>
    <x v="69"/>
    <s v="Post-IPO"/>
    <x v="2"/>
    <s v="NA"/>
    <s v="2024-04"/>
  </r>
  <r>
    <x v="82"/>
    <x v="36"/>
    <x v="21"/>
    <x v="41"/>
    <x v="36"/>
    <x v="12"/>
    <s v="Acquired"/>
    <x v="14"/>
    <n v="1"/>
    <s v="2024-04"/>
  </r>
  <r>
    <x v="29"/>
    <x v="9"/>
    <x v="4"/>
    <x v="42"/>
    <x v="36"/>
    <x v="27"/>
    <s v="Series B"/>
    <x v="2"/>
    <n v="0.35"/>
    <s v="2024-04"/>
  </r>
  <r>
    <x v="83"/>
    <x v="37"/>
    <x v="4"/>
    <x v="3"/>
    <x v="37"/>
    <x v="12"/>
    <s v="Unknown"/>
    <x v="7"/>
    <n v="1"/>
    <s v="2024-04"/>
  </r>
  <r>
    <x v="84"/>
    <x v="20"/>
    <x v="17"/>
    <x v="43"/>
    <x v="38"/>
    <x v="70"/>
    <s v="Series B"/>
    <x v="6"/>
    <n v="0.4"/>
    <s v="2024-04"/>
  </r>
  <r>
    <x v="85"/>
    <x v="6"/>
    <x v="16"/>
    <x v="44"/>
    <x v="39"/>
    <x v="63"/>
    <s v="Post-IPO"/>
    <x v="2"/>
    <s v="NA"/>
    <s v="2024-04"/>
  </r>
  <r>
    <x v="86"/>
    <x v="8"/>
    <x v="4"/>
    <x v="3"/>
    <x v="39"/>
    <x v="71"/>
    <s v="Series B"/>
    <x v="2"/>
    <s v="NA"/>
    <s v="2024-04"/>
  </r>
  <r>
    <x v="87"/>
    <x v="38"/>
    <x v="21"/>
    <x v="45"/>
    <x v="40"/>
    <x v="63"/>
    <s v="Post-IPO"/>
    <x v="7"/>
    <s v="NA"/>
    <s v="2024-04"/>
  </r>
  <r>
    <x v="88"/>
    <x v="6"/>
    <x v="10"/>
    <x v="1"/>
    <x v="40"/>
    <x v="72"/>
    <s v="Series E"/>
    <x v="2"/>
    <n v="1"/>
    <s v="2024-04"/>
  </r>
  <r>
    <x v="89"/>
    <x v="6"/>
    <x v="5"/>
    <x v="46"/>
    <x v="40"/>
    <x v="73"/>
    <s v="Acquired"/>
    <x v="2"/>
    <s v="NA"/>
    <s v="2024-04"/>
  </r>
  <r>
    <x v="90"/>
    <x v="4"/>
    <x v="21"/>
    <x v="3"/>
    <x v="40"/>
    <x v="74"/>
    <s v="Post-IPO"/>
    <x v="2"/>
    <s v="NA"/>
    <s v="2024-04"/>
  </r>
  <r>
    <x v="91"/>
    <x v="20"/>
    <x v="23"/>
    <x v="3"/>
    <x v="40"/>
    <x v="12"/>
    <s v="Unknown"/>
    <x v="6"/>
    <s v="NA"/>
    <s v="2024-04"/>
  </r>
  <r>
    <x v="92"/>
    <x v="39"/>
    <x v="25"/>
    <x v="3"/>
    <x v="40"/>
    <x v="75"/>
    <s v="Unknown"/>
    <x v="2"/>
    <s v="NA"/>
    <s v="2024-04"/>
  </r>
  <r>
    <x v="93"/>
    <x v="6"/>
    <x v="8"/>
    <x v="3"/>
    <x v="40"/>
    <x v="26"/>
    <s v="Acquired"/>
    <x v="2"/>
    <s v="NA"/>
    <s v="2024-04"/>
  </r>
  <r>
    <x v="94"/>
    <x v="6"/>
    <x v="0"/>
    <x v="3"/>
    <x v="40"/>
    <x v="70"/>
    <s v="Acquired"/>
    <x v="2"/>
    <n v="1"/>
    <s v="2024-04"/>
  </r>
  <r>
    <x v="95"/>
    <x v="20"/>
    <x v="11"/>
    <x v="30"/>
    <x v="41"/>
    <x v="76"/>
    <s v="Private Equity"/>
    <x v="6"/>
    <n v="0.03"/>
    <s v="2024-04"/>
  </r>
  <r>
    <x v="96"/>
    <x v="40"/>
    <x v="1"/>
    <x v="3"/>
    <x v="41"/>
    <x v="77"/>
    <s v="Series B"/>
    <x v="6"/>
    <s v="NA"/>
    <s v="2024-04"/>
  </r>
  <r>
    <x v="97"/>
    <x v="41"/>
    <x v="1"/>
    <x v="3"/>
    <x v="41"/>
    <x v="78"/>
    <s v="Seed"/>
    <x v="15"/>
    <n v="1"/>
    <s v="2024-04"/>
  </r>
  <r>
    <x v="98"/>
    <x v="6"/>
    <x v="5"/>
    <x v="47"/>
    <x v="42"/>
    <x v="79"/>
    <s v="Series C"/>
    <x v="2"/>
    <s v="NA"/>
    <s v="2024-04"/>
  </r>
  <r>
    <x v="99"/>
    <x v="1"/>
    <x v="25"/>
    <x v="33"/>
    <x v="42"/>
    <x v="80"/>
    <s v="Series A"/>
    <x v="1"/>
    <n v="0.44"/>
    <s v="2024-04"/>
  </r>
  <r>
    <x v="100"/>
    <x v="3"/>
    <x v="1"/>
    <x v="3"/>
    <x v="42"/>
    <x v="28"/>
    <s v="Seed"/>
    <x v="2"/>
    <n v="1"/>
    <s v="2024-04"/>
  </r>
  <r>
    <x v="101"/>
    <x v="3"/>
    <x v="22"/>
    <x v="3"/>
    <x v="42"/>
    <x v="81"/>
    <s v="Series B"/>
    <x v="2"/>
    <n v="1"/>
    <s v="2024-04"/>
  </r>
  <r>
    <x v="102"/>
    <x v="9"/>
    <x v="0"/>
    <x v="14"/>
    <x v="43"/>
    <x v="33"/>
    <s v="Series C"/>
    <x v="2"/>
    <n v="0.2"/>
    <s v="2024-03"/>
  </r>
  <r>
    <x v="103"/>
    <x v="6"/>
    <x v="1"/>
    <x v="48"/>
    <x v="44"/>
    <x v="34"/>
    <s v="Series A"/>
    <x v="2"/>
    <n v="0.15"/>
    <s v="2024-03"/>
  </r>
  <r>
    <x v="104"/>
    <x v="6"/>
    <x v="6"/>
    <x v="3"/>
    <x v="44"/>
    <x v="82"/>
    <s v="Post-IPO"/>
    <x v="2"/>
    <n v="0.04"/>
    <s v="2024-03"/>
  </r>
  <r>
    <x v="105"/>
    <x v="16"/>
    <x v="16"/>
    <x v="49"/>
    <x v="45"/>
    <x v="12"/>
    <s v="Post-IPO"/>
    <x v="2"/>
    <n v="0.05"/>
    <s v="2024-03"/>
  </r>
  <r>
    <x v="106"/>
    <x v="6"/>
    <x v="5"/>
    <x v="3"/>
    <x v="46"/>
    <x v="83"/>
    <s v="Subsidiary"/>
    <x v="2"/>
    <s v="NA"/>
    <s v="2024-03"/>
  </r>
  <r>
    <x v="107"/>
    <x v="17"/>
    <x v="25"/>
    <x v="3"/>
    <x v="47"/>
    <x v="84"/>
    <s v="Series F"/>
    <x v="2"/>
    <s v="NA"/>
    <s v="2024-03"/>
  </r>
  <r>
    <x v="108"/>
    <x v="42"/>
    <x v="21"/>
    <x v="50"/>
    <x v="48"/>
    <x v="85"/>
    <s v="Series F"/>
    <x v="16"/>
    <n v="0.24"/>
    <s v="2024-03"/>
  </r>
  <r>
    <x v="109"/>
    <x v="43"/>
    <x v="13"/>
    <x v="1"/>
    <x v="48"/>
    <x v="12"/>
    <s v="Acquired"/>
    <x v="1"/>
    <s v="NA"/>
    <s v="2024-03"/>
  </r>
  <r>
    <x v="110"/>
    <x v="20"/>
    <x v="3"/>
    <x v="3"/>
    <x v="48"/>
    <x v="86"/>
    <s v="Series B"/>
    <x v="6"/>
    <n v="0.2"/>
    <s v="2024-03"/>
  </r>
  <r>
    <x v="111"/>
    <x v="12"/>
    <x v="5"/>
    <x v="3"/>
    <x v="48"/>
    <x v="87"/>
    <s v="Post-IPO"/>
    <x v="2"/>
    <n v="0.2"/>
    <s v="2024-03"/>
  </r>
  <r>
    <x v="112"/>
    <x v="44"/>
    <x v="17"/>
    <x v="3"/>
    <x v="49"/>
    <x v="12"/>
    <s v="Unknown"/>
    <x v="17"/>
    <n v="0.05"/>
    <s v="2024-03"/>
  </r>
  <r>
    <x v="113"/>
    <x v="12"/>
    <x v="24"/>
    <x v="51"/>
    <x v="50"/>
    <x v="88"/>
    <s v="Series D"/>
    <x v="2"/>
    <s v="NA"/>
    <s v="2024-03"/>
  </r>
  <r>
    <x v="114"/>
    <x v="6"/>
    <x v="1"/>
    <x v="33"/>
    <x v="51"/>
    <x v="89"/>
    <s v="Series C"/>
    <x v="2"/>
    <s v="NA"/>
    <s v="2024-03"/>
  </r>
  <r>
    <x v="115"/>
    <x v="6"/>
    <x v="12"/>
    <x v="3"/>
    <x v="51"/>
    <x v="90"/>
    <s v="Series A"/>
    <x v="2"/>
    <n v="1"/>
    <s v="2024-03"/>
  </r>
  <r>
    <x v="116"/>
    <x v="45"/>
    <x v="6"/>
    <x v="52"/>
    <x v="52"/>
    <x v="91"/>
    <s v="Post-IPO"/>
    <x v="2"/>
    <n v="0.06"/>
    <s v="2024-03"/>
  </r>
  <r>
    <x v="117"/>
    <x v="4"/>
    <x v="15"/>
    <x v="53"/>
    <x v="52"/>
    <x v="92"/>
    <s v="Unknown"/>
    <x v="2"/>
    <n v="0.16"/>
    <s v="2024-03"/>
  </r>
  <r>
    <x v="118"/>
    <x v="3"/>
    <x v="1"/>
    <x v="54"/>
    <x v="53"/>
    <x v="93"/>
    <s v="Unknown"/>
    <x v="2"/>
    <n v="0.25"/>
    <s v="2024-03"/>
  </r>
  <r>
    <x v="119"/>
    <x v="6"/>
    <x v="10"/>
    <x v="1"/>
    <x v="54"/>
    <x v="6"/>
    <s v="Unknown"/>
    <x v="2"/>
    <n v="1"/>
    <s v="2024-03"/>
  </r>
  <r>
    <x v="120"/>
    <x v="3"/>
    <x v="16"/>
    <x v="3"/>
    <x v="54"/>
    <x v="12"/>
    <s v="Post-IPO"/>
    <x v="2"/>
    <s v="NA"/>
    <s v="2024-03"/>
  </r>
  <r>
    <x v="121"/>
    <x v="3"/>
    <x v="26"/>
    <x v="55"/>
    <x v="55"/>
    <x v="12"/>
    <s v="Acquired"/>
    <x v="2"/>
    <n v="1"/>
    <s v="2024-03"/>
  </r>
  <r>
    <x v="122"/>
    <x v="18"/>
    <x v="11"/>
    <x v="56"/>
    <x v="56"/>
    <x v="94"/>
    <s v="Series C"/>
    <x v="2"/>
    <n v="7.0000000000000007E-2"/>
    <s v="2024-03"/>
  </r>
  <r>
    <x v="123"/>
    <x v="6"/>
    <x v="1"/>
    <x v="3"/>
    <x v="56"/>
    <x v="25"/>
    <s v="Series B"/>
    <x v="2"/>
    <n v="0.4"/>
    <s v="2024-03"/>
  </r>
  <r>
    <x v="124"/>
    <x v="6"/>
    <x v="11"/>
    <x v="8"/>
    <x v="57"/>
    <x v="12"/>
    <s v="Acquired"/>
    <x v="2"/>
    <n v="0.02"/>
    <s v="2024-03"/>
  </r>
  <r>
    <x v="125"/>
    <x v="6"/>
    <x v="18"/>
    <x v="3"/>
    <x v="57"/>
    <x v="95"/>
    <s v="Acquired"/>
    <x v="2"/>
    <s v="NA"/>
    <s v="2024-03"/>
  </r>
  <r>
    <x v="126"/>
    <x v="3"/>
    <x v="2"/>
    <x v="57"/>
    <x v="58"/>
    <x v="96"/>
    <s v="Series B"/>
    <x v="2"/>
    <n v="0.13"/>
    <s v="2024-03"/>
  </r>
  <r>
    <x v="127"/>
    <x v="6"/>
    <x v="6"/>
    <x v="3"/>
    <x v="58"/>
    <x v="97"/>
    <s v="Post-IPO"/>
    <x v="2"/>
    <s v="NA"/>
    <s v="2024-03"/>
  </r>
  <r>
    <x v="128"/>
    <x v="6"/>
    <x v="27"/>
    <x v="3"/>
    <x v="58"/>
    <x v="98"/>
    <s v="Series C"/>
    <x v="2"/>
    <s v="NA"/>
    <s v="2024-03"/>
  </r>
  <r>
    <x v="129"/>
    <x v="46"/>
    <x v="4"/>
    <x v="58"/>
    <x v="59"/>
    <x v="99"/>
    <s v="Series C"/>
    <x v="18"/>
    <n v="0.2"/>
    <s v="2024-03"/>
  </r>
  <r>
    <x v="130"/>
    <x v="17"/>
    <x v="17"/>
    <x v="3"/>
    <x v="59"/>
    <x v="100"/>
    <s v="Unknown"/>
    <x v="2"/>
    <s v="NA"/>
    <s v="2024-03"/>
  </r>
  <r>
    <x v="131"/>
    <x v="3"/>
    <x v="27"/>
    <x v="3"/>
    <x v="59"/>
    <x v="101"/>
    <s v="Series E"/>
    <x v="2"/>
    <s v="NA"/>
    <s v="2024-03"/>
  </r>
  <r>
    <x v="132"/>
    <x v="47"/>
    <x v="8"/>
    <x v="54"/>
    <x v="60"/>
    <x v="102"/>
    <s v="Post-IPO"/>
    <x v="2"/>
    <n v="0.1"/>
    <s v="2024-03"/>
  </r>
  <r>
    <x v="133"/>
    <x v="3"/>
    <x v="1"/>
    <x v="5"/>
    <x v="60"/>
    <x v="103"/>
    <s v="Series D"/>
    <x v="2"/>
    <n v="7.0000000000000007E-2"/>
    <s v="2024-03"/>
  </r>
  <r>
    <x v="134"/>
    <x v="31"/>
    <x v="10"/>
    <x v="5"/>
    <x v="60"/>
    <x v="17"/>
    <s v="Series B"/>
    <x v="2"/>
    <n v="0.13"/>
    <s v="2024-03"/>
  </r>
  <r>
    <x v="135"/>
    <x v="6"/>
    <x v="5"/>
    <x v="0"/>
    <x v="61"/>
    <x v="12"/>
    <s v="Unknown"/>
    <x v="2"/>
    <n v="1"/>
    <s v="2024-03"/>
  </r>
  <r>
    <x v="136"/>
    <x v="48"/>
    <x v="5"/>
    <x v="17"/>
    <x v="61"/>
    <x v="104"/>
    <s v="Series E"/>
    <x v="6"/>
    <n v="7.0000000000000007E-2"/>
    <s v="2024-03"/>
  </r>
  <r>
    <x v="9"/>
    <x v="3"/>
    <x v="0"/>
    <x v="58"/>
    <x v="61"/>
    <x v="9"/>
    <s v="Series B"/>
    <x v="2"/>
    <n v="0.6"/>
    <s v="2024-03"/>
  </r>
  <r>
    <x v="137"/>
    <x v="42"/>
    <x v="1"/>
    <x v="3"/>
    <x v="61"/>
    <x v="105"/>
    <s v="Series B"/>
    <x v="16"/>
    <s v="NA"/>
    <s v="2024-03"/>
  </r>
  <r>
    <x v="14"/>
    <x v="9"/>
    <x v="10"/>
    <x v="3"/>
    <x v="62"/>
    <x v="14"/>
    <s v="Post-IPO"/>
    <x v="2"/>
    <n v="0.15"/>
    <s v="2024-02"/>
  </r>
  <r>
    <x v="138"/>
    <x v="49"/>
    <x v="1"/>
    <x v="3"/>
    <x v="62"/>
    <x v="34"/>
    <s v="Series A"/>
    <x v="19"/>
    <n v="0.14000000000000001"/>
    <s v="2024-02"/>
  </r>
  <r>
    <x v="139"/>
    <x v="6"/>
    <x v="6"/>
    <x v="59"/>
    <x v="63"/>
    <x v="78"/>
    <s v="Post-IPO"/>
    <x v="2"/>
    <n v="0.05"/>
    <s v="2024-02"/>
  </r>
  <r>
    <x v="34"/>
    <x v="8"/>
    <x v="7"/>
    <x v="60"/>
    <x v="63"/>
    <x v="30"/>
    <s v="Post-IPO"/>
    <x v="2"/>
    <n v="0.05"/>
    <s v="2024-02"/>
  </r>
  <r>
    <x v="6"/>
    <x v="5"/>
    <x v="5"/>
    <x v="31"/>
    <x v="63"/>
    <x v="6"/>
    <s v="Unknown"/>
    <x v="1"/>
    <n v="0.19"/>
    <s v="2024-02"/>
  </r>
  <r>
    <x v="140"/>
    <x v="6"/>
    <x v="1"/>
    <x v="5"/>
    <x v="63"/>
    <x v="106"/>
    <s v="Series C"/>
    <x v="2"/>
    <n v="0.4"/>
    <s v="2024-02"/>
  </r>
  <r>
    <x v="32"/>
    <x v="17"/>
    <x v="10"/>
    <x v="3"/>
    <x v="63"/>
    <x v="12"/>
    <s v="Unknown"/>
    <x v="2"/>
    <n v="0.05"/>
    <s v="2024-02"/>
  </r>
  <r>
    <x v="141"/>
    <x v="6"/>
    <x v="6"/>
    <x v="61"/>
    <x v="64"/>
    <x v="12"/>
    <s v="Subsidiary"/>
    <x v="2"/>
    <n v="0.08"/>
    <s v="2024-02"/>
  </r>
  <r>
    <x v="142"/>
    <x v="16"/>
    <x v="6"/>
    <x v="62"/>
    <x v="64"/>
    <x v="107"/>
    <s v="Post-IPO"/>
    <x v="2"/>
    <n v="0.3"/>
    <s v="2024-02"/>
  </r>
  <r>
    <x v="143"/>
    <x v="42"/>
    <x v="22"/>
    <x v="41"/>
    <x v="64"/>
    <x v="108"/>
    <s v="Post-IPO"/>
    <x v="16"/>
    <s v="NA"/>
    <s v="2024-02"/>
  </r>
  <r>
    <x v="85"/>
    <x v="6"/>
    <x v="10"/>
    <x v="3"/>
    <x v="64"/>
    <x v="63"/>
    <s v="Post-IPO"/>
    <x v="2"/>
    <s v="NA"/>
    <s v="2024-02"/>
  </r>
  <r>
    <x v="59"/>
    <x v="4"/>
    <x v="7"/>
    <x v="63"/>
    <x v="65"/>
    <x v="51"/>
    <s v="Post-IPO"/>
    <x v="2"/>
    <n v="0.08"/>
    <s v="2024-02"/>
  </r>
  <r>
    <x v="144"/>
    <x v="50"/>
    <x v="0"/>
    <x v="43"/>
    <x v="65"/>
    <x v="109"/>
    <s v="Unknown"/>
    <x v="6"/>
    <s v="NA"/>
    <s v="2024-02"/>
  </r>
  <r>
    <x v="145"/>
    <x v="42"/>
    <x v="21"/>
    <x v="3"/>
    <x v="65"/>
    <x v="12"/>
    <s v="Unknown"/>
    <x v="16"/>
    <s v="NA"/>
    <s v="2024-02"/>
  </r>
  <r>
    <x v="146"/>
    <x v="3"/>
    <x v="5"/>
    <x v="64"/>
    <x v="66"/>
    <x v="110"/>
    <s v="Series C"/>
    <x v="2"/>
    <s v="NA"/>
    <s v="2024-02"/>
  </r>
  <r>
    <x v="147"/>
    <x v="6"/>
    <x v="5"/>
    <x v="65"/>
    <x v="66"/>
    <x v="111"/>
    <s v="Series D"/>
    <x v="2"/>
    <s v="NA"/>
    <s v="2024-02"/>
  </r>
  <r>
    <x v="148"/>
    <x v="3"/>
    <x v="26"/>
    <x v="3"/>
    <x v="67"/>
    <x v="112"/>
    <s v="Unknown"/>
    <x v="2"/>
    <s v="NA"/>
    <s v="2024-02"/>
  </r>
  <r>
    <x v="149"/>
    <x v="18"/>
    <x v="1"/>
    <x v="14"/>
    <x v="68"/>
    <x v="113"/>
    <s v="Post-IPO"/>
    <x v="2"/>
    <s v="NA"/>
    <s v="2024-02"/>
  </r>
  <r>
    <x v="150"/>
    <x v="51"/>
    <x v="21"/>
    <x v="14"/>
    <x v="68"/>
    <x v="43"/>
    <s v="Unknown"/>
    <x v="20"/>
    <n v="0.17"/>
    <s v="2024-02"/>
  </r>
  <r>
    <x v="151"/>
    <x v="3"/>
    <x v="26"/>
    <x v="3"/>
    <x v="68"/>
    <x v="114"/>
    <s v="Post-IPO"/>
    <x v="2"/>
    <n v="0.16"/>
    <s v="2024-02"/>
  </r>
  <r>
    <x v="33"/>
    <x v="31"/>
    <x v="10"/>
    <x v="3"/>
    <x v="68"/>
    <x v="29"/>
    <s v="Post-IPO"/>
    <x v="2"/>
    <n v="0.1"/>
    <s v="2024-02"/>
  </r>
  <r>
    <x v="152"/>
    <x v="52"/>
    <x v="10"/>
    <x v="38"/>
    <x v="69"/>
    <x v="115"/>
    <s v="Post-IPO"/>
    <x v="21"/>
    <s v="NA"/>
    <s v="2024-02"/>
  </r>
  <r>
    <x v="153"/>
    <x v="10"/>
    <x v="21"/>
    <x v="66"/>
    <x v="69"/>
    <x v="28"/>
    <s v="Series A"/>
    <x v="3"/>
    <n v="0.25"/>
    <s v="2024-02"/>
  </r>
  <r>
    <x v="154"/>
    <x v="16"/>
    <x v="21"/>
    <x v="3"/>
    <x v="69"/>
    <x v="12"/>
    <s v="Unknown"/>
    <x v="2"/>
    <s v="NA"/>
    <s v="2024-02"/>
  </r>
  <r>
    <x v="155"/>
    <x v="53"/>
    <x v="2"/>
    <x v="3"/>
    <x v="69"/>
    <x v="11"/>
    <s v="Acquired"/>
    <x v="3"/>
    <n v="0.3"/>
    <s v="2024-02"/>
  </r>
  <r>
    <x v="156"/>
    <x v="54"/>
    <x v="0"/>
    <x v="3"/>
    <x v="69"/>
    <x v="116"/>
    <s v="Series C"/>
    <x v="2"/>
    <n v="0.3"/>
    <s v="2024-02"/>
  </r>
  <r>
    <x v="157"/>
    <x v="10"/>
    <x v="21"/>
    <x v="67"/>
    <x v="70"/>
    <x v="14"/>
    <s v="Acquired"/>
    <x v="3"/>
    <n v="0.25"/>
    <s v="2024-02"/>
  </r>
  <r>
    <x v="158"/>
    <x v="55"/>
    <x v="10"/>
    <x v="17"/>
    <x v="70"/>
    <x v="117"/>
    <s v="Series D"/>
    <x v="2"/>
    <n v="0.12"/>
    <s v="2024-02"/>
  </r>
  <r>
    <x v="159"/>
    <x v="17"/>
    <x v="0"/>
    <x v="16"/>
    <x v="71"/>
    <x v="118"/>
    <s v="Post-IPO"/>
    <x v="2"/>
    <n v="0.1"/>
    <s v="2024-02"/>
  </r>
  <r>
    <x v="160"/>
    <x v="6"/>
    <x v="7"/>
    <x v="68"/>
    <x v="71"/>
    <x v="119"/>
    <s v="Post-IPO"/>
    <x v="2"/>
    <n v="0.17"/>
    <s v="2024-02"/>
  </r>
  <r>
    <x v="161"/>
    <x v="55"/>
    <x v="6"/>
    <x v="54"/>
    <x v="71"/>
    <x v="120"/>
    <s v="Post-IPO"/>
    <x v="22"/>
    <n v="0.13"/>
    <s v="2024-02"/>
  </r>
  <r>
    <x v="9"/>
    <x v="3"/>
    <x v="0"/>
    <x v="33"/>
    <x v="71"/>
    <x v="9"/>
    <s v="Series B"/>
    <x v="2"/>
    <n v="0.1"/>
    <s v="2024-02"/>
  </r>
  <r>
    <x v="162"/>
    <x v="6"/>
    <x v="27"/>
    <x v="3"/>
    <x v="71"/>
    <x v="121"/>
    <s v="Seed"/>
    <x v="2"/>
    <n v="1"/>
    <s v="2024-02"/>
  </r>
  <r>
    <x v="163"/>
    <x v="56"/>
    <x v="10"/>
    <x v="3"/>
    <x v="71"/>
    <x v="122"/>
    <s v="Series D"/>
    <x v="2"/>
    <n v="0.13"/>
    <s v="2024-02"/>
  </r>
  <r>
    <x v="164"/>
    <x v="6"/>
    <x v="8"/>
    <x v="69"/>
    <x v="72"/>
    <x v="78"/>
    <s v="Post-IPO"/>
    <x v="2"/>
    <n v="0.05"/>
    <s v="2024-02"/>
  </r>
  <r>
    <x v="165"/>
    <x v="57"/>
    <x v="1"/>
    <x v="70"/>
    <x v="72"/>
    <x v="90"/>
    <s v="Series A"/>
    <x v="6"/>
    <n v="0.2"/>
    <s v="2024-02"/>
  </r>
  <r>
    <x v="166"/>
    <x v="3"/>
    <x v="21"/>
    <x v="3"/>
    <x v="72"/>
    <x v="123"/>
    <s v="Series D"/>
    <x v="2"/>
    <n v="0.25"/>
    <s v="2024-02"/>
  </r>
  <r>
    <x v="167"/>
    <x v="6"/>
    <x v="0"/>
    <x v="38"/>
    <x v="73"/>
    <x v="124"/>
    <s v="Post-IPO"/>
    <x v="2"/>
    <n v="7.0000000000000007E-2"/>
    <s v="2024-02"/>
  </r>
  <r>
    <x v="146"/>
    <x v="3"/>
    <x v="5"/>
    <x v="64"/>
    <x v="73"/>
    <x v="110"/>
    <s v="Unknown"/>
    <x v="2"/>
    <s v="NA"/>
    <s v="2024-02"/>
  </r>
  <r>
    <x v="168"/>
    <x v="6"/>
    <x v="6"/>
    <x v="14"/>
    <x v="73"/>
    <x v="125"/>
    <s v="Unknown"/>
    <x v="2"/>
    <n v="0.05"/>
    <s v="2024-02"/>
  </r>
  <r>
    <x v="169"/>
    <x v="4"/>
    <x v="4"/>
    <x v="31"/>
    <x v="73"/>
    <x v="126"/>
    <s v="Post-IPO"/>
    <x v="2"/>
    <n v="0.1"/>
    <s v="2024-02"/>
  </r>
  <r>
    <x v="170"/>
    <x v="3"/>
    <x v="21"/>
    <x v="5"/>
    <x v="73"/>
    <x v="127"/>
    <s v="Post-IPO"/>
    <x v="2"/>
    <n v="0.06"/>
    <s v="2024-02"/>
  </r>
  <r>
    <x v="171"/>
    <x v="1"/>
    <x v="6"/>
    <x v="3"/>
    <x v="73"/>
    <x v="128"/>
    <s v="Series A"/>
    <x v="1"/>
    <n v="1"/>
    <s v="2024-02"/>
  </r>
  <r>
    <x v="172"/>
    <x v="14"/>
    <x v="6"/>
    <x v="3"/>
    <x v="73"/>
    <x v="12"/>
    <s v="Acquired"/>
    <x v="5"/>
    <s v="NA"/>
    <s v="2024-02"/>
  </r>
  <r>
    <x v="173"/>
    <x v="1"/>
    <x v="10"/>
    <x v="3"/>
    <x v="73"/>
    <x v="129"/>
    <s v="Unknown"/>
    <x v="1"/>
    <n v="1"/>
    <s v="2024-02"/>
  </r>
  <r>
    <x v="174"/>
    <x v="3"/>
    <x v="26"/>
    <x v="71"/>
    <x v="74"/>
    <x v="130"/>
    <s v="Post-IPO"/>
    <x v="2"/>
    <n v="0.03"/>
    <s v="2024-02"/>
  </r>
  <r>
    <x v="175"/>
    <x v="20"/>
    <x v="0"/>
    <x v="54"/>
    <x v="75"/>
    <x v="131"/>
    <s v="Series F"/>
    <x v="6"/>
    <n v="0.03"/>
    <s v="2024-02"/>
  </r>
  <r>
    <x v="176"/>
    <x v="20"/>
    <x v="21"/>
    <x v="72"/>
    <x v="75"/>
    <x v="132"/>
    <s v="Series A"/>
    <x v="6"/>
    <n v="0.18"/>
    <s v="2024-02"/>
  </r>
  <r>
    <x v="177"/>
    <x v="12"/>
    <x v="4"/>
    <x v="3"/>
    <x v="75"/>
    <x v="133"/>
    <s v="Series C"/>
    <x v="2"/>
    <s v="NA"/>
    <s v="2024-02"/>
  </r>
  <r>
    <x v="178"/>
    <x v="6"/>
    <x v="27"/>
    <x v="73"/>
    <x v="76"/>
    <x v="134"/>
    <s v="Post-IPO"/>
    <x v="2"/>
    <s v="NA"/>
    <s v="2024-02"/>
  </r>
  <r>
    <x v="179"/>
    <x v="0"/>
    <x v="17"/>
    <x v="74"/>
    <x v="76"/>
    <x v="72"/>
    <s v="Post-IPO"/>
    <x v="0"/>
    <n v="0.15"/>
    <s v="2024-02"/>
  </r>
  <r>
    <x v="180"/>
    <x v="6"/>
    <x v="10"/>
    <x v="3"/>
    <x v="76"/>
    <x v="135"/>
    <s v="Post-IPO"/>
    <x v="2"/>
    <n v="0.3"/>
    <s v="2024-02"/>
  </r>
  <r>
    <x v="181"/>
    <x v="58"/>
    <x v="7"/>
    <x v="3"/>
    <x v="76"/>
    <x v="136"/>
    <s v="Series B"/>
    <x v="2"/>
    <n v="1"/>
    <s v="2024-02"/>
  </r>
  <r>
    <x v="182"/>
    <x v="6"/>
    <x v="6"/>
    <x v="23"/>
    <x v="77"/>
    <x v="59"/>
    <s v="Unknown"/>
    <x v="2"/>
    <s v="NA"/>
    <s v="2024-02"/>
  </r>
  <r>
    <x v="183"/>
    <x v="3"/>
    <x v="2"/>
    <x v="33"/>
    <x v="77"/>
    <x v="35"/>
    <s v="Series E"/>
    <x v="2"/>
    <n v="0.03"/>
    <s v="2024-02"/>
  </r>
  <r>
    <x v="184"/>
    <x v="59"/>
    <x v="25"/>
    <x v="3"/>
    <x v="77"/>
    <x v="137"/>
    <s v="Post-IPO"/>
    <x v="2"/>
    <n v="0.05"/>
    <s v="2024-02"/>
  </r>
  <r>
    <x v="185"/>
    <x v="60"/>
    <x v="12"/>
    <x v="3"/>
    <x v="77"/>
    <x v="11"/>
    <s v="Seed"/>
    <x v="23"/>
    <n v="1"/>
    <s v="2024-02"/>
  </r>
  <r>
    <x v="186"/>
    <x v="6"/>
    <x v="9"/>
    <x v="75"/>
    <x v="78"/>
    <x v="138"/>
    <s v="Post-IPO"/>
    <x v="2"/>
    <n v="0.06"/>
    <s v="2024-02"/>
  </r>
  <r>
    <x v="90"/>
    <x v="4"/>
    <x v="21"/>
    <x v="9"/>
    <x v="78"/>
    <x v="74"/>
    <s v="Post-IPO"/>
    <x v="2"/>
    <s v="NA"/>
    <s v="2024-02"/>
  </r>
  <r>
    <x v="187"/>
    <x v="4"/>
    <x v="13"/>
    <x v="3"/>
    <x v="78"/>
    <x v="139"/>
    <s v="Series E"/>
    <x v="2"/>
    <s v="NA"/>
    <s v="2024-02"/>
  </r>
  <r>
    <x v="188"/>
    <x v="9"/>
    <x v="6"/>
    <x v="30"/>
    <x v="79"/>
    <x v="140"/>
    <s v="Post-IPO"/>
    <x v="2"/>
    <n v="0.1"/>
    <s v="2024-02"/>
  </r>
  <r>
    <x v="189"/>
    <x v="17"/>
    <x v="21"/>
    <x v="76"/>
    <x v="79"/>
    <x v="2"/>
    <s v="Acquired"/>
    <x v="2"/>
    <n v="1"/>
    <s v="2024-02"/>
  </r>
  <r>
    <x v="190"/>
    <x v="61"/>
    <x v="1"/>
    <x v="54"/>
    <x v="79"/>
    <x v="2"/>
    <s v="Series B"/>
    <x v="2"/>
    <s v="NA"/>
    <s v="2024-02"/>
  </r>
  <r>
    <x v="191"/>
    <x v="9"/>
    <x v="9"/>
    <x v="5"/>
    <x v="79"/>
    <x v="141"/>
    <s v="Private Equity"/>
    <x v="2"/>
    <n v="0.03"/>
    <s v="2024-02"/>
  </r>
  <r>
    <x v="192"/>
    <x v="15"/>
    <x v="5"/>
    <x v="3"/>
    <x v="79"/>
    <x v="142"/>
    <s v="Series A"/>
    <x v="2"/>
    <n v="1"/>
    <s v="2024-02"/>
  </r>
  <r>
    <x v="193"/>
    <x v="3"/>
    <x v="6"/>
    <x v="3"/>
    <x v="79"/>
    <x v="143"/>
    <s v="Acquired"/>
    <x v="2"/>
    <s v="NA"/>
    <s v="2024-02"/>
  </r>
  <r>
    <x v="194"/>
    <x v="20"/>
    <x v="1"/>
    <x v="3"/>
    <x v="79"/>
    <x v="144"/>
    <s v="Seed"/>
    <x v="6"/>
    <n v="1"/>
    <s v="2024-02"/>
  </r>
  <r>
    <x v="195"/>
    <x v="3"/>
    <x v="5"/>
    <x v="3"/>
    <x v="79"/>
    <x v="145"/>
    <s v="Unknown"/>
    <x v="2"/>
    <s v="NA"/>
    <s v="2024-02"/>
  </r>
  <r>
    <x v="196"/>
    <x v="9"/>
    <x v="19"/>
    <x v="3"/>
    <x v="79"/>
    <x v="146"/>
    <s v="Series C"/>
    <x v="2"/>
    <s v="NA"/>
    <s v="2024-02"/>
  </r>
  <r>
    <x v="19"/>
    <x v="12"/>
    <x v="5"/>
    <x v="77"/>
    <x v="80"/>
    <x v="19"/>
    <s v="Post-IPO"/>
    <x v="2"/>
    <n v="0.3"/>
    <s v="2024-02"/>
  </r>
  <r>
    <x v="197"/>
    <x v="62"/>
    <x v="11"/>
    <x v="78"/>
    <x v="80"/>
    <x v="147"/>
    <s v="Series E"/>
    <x v="7"/>
    <n v="7.0000000000000007E-2"/>
    <s v="2024-02"/>
  </r>
  <r>
    <x v="198"/>
    <x v="55"/>
    <x v="10"/>
    <x v="3"/>
    <x v="80"/>
    <x v="148"/>
    <s v="Unknown"/>
    <x v="22"/>
    <n v="1"/>
    <s v="2024-02"/>
  </r>
  <r>
    <x v="199"/>
    <x v="63"/>
    <x v="0"/>
    <x v="3"/>
    <x v="80"/>
    <x v="121"/>
    <s v="Unknown"/>
    <x v="3"/>
    <n v="1"/>
    <s v="2024-02"/>
  </r>
  <r>
    <x v="200"/>
    <x v="10"/>
    <x v="1"/>
    <x v="3"/>
    <x v="80"/>
    <x v="149"/>
    <s v="Unknown"/>
    <x v="3"/>
    <n v="1"/>
    <s v="2024-02"/>
  </r>
  <r>
    <x v="201"/>
    <x v="6"/>
    <x v="25"/>
    <x v="9"/>
    <x v="81"/>
    <x v="63"/>
    <s v="Post-IPO"/>
    <x v="2"/>
    <n v="7.0000000000000007E-2"/>
    <s v="2024-02"/>
  </r>
  <r>
    <x v="202"/>
    <x v="6"/>
    <x v="4"/>
    <x v="0"/>
    <x v="81"/>
    <x v="150"/>
    <s v="Post-IPO"/>
    <x v="2"/>
    <n v="0.02"/>
    <s v="2024-02"/>
  </r>
  <r>
    <x v="203"/>
    <x v="12"/>
    <x v="5"/>
    <x v="79"/>
    <x v="81"/>
    <x v="151"/>
    <s v="Post-IPO"/>
    <x v="2"/>
    <s v="NA"/>
    <s v="2024-02"/>
  </r>
  <r>
    <x v="204"/>
    <x v="64"/>
    <x v="2"/>
    <x v="14"/>
    <x v="81"/>
    <x v="152"/>
    <s v="Unknown"/>
    <x v="24"/>
    <n v="0.19"/>
    <s v="2024-02"/>
  </r>
  <r>
    <x v="205"/>
    <x v="17"/>
    <x v="4"/>
    <x v="3"/>
    <x v="81"/>
    <x v="63"/>
    <s v="Series F"/>
    <x v="2"/>
    <s v="NA"/>
    <s v="2024-02"/>
  </r>
  <r>
    <x v="206"/>
    <x v="6"/>
    <x v="25"/>
    <x v="45"/>
    <x v="82"/>
    <x v="153"/>
    <s v="Acquired"/>
    <x v="2"/>
    <n v="0.06"/>
    <s v="2024-01"/>
  </r>
  <r>
    <x v="207"/>
    <x v="6"/>
    <x v="21"/>
    <x v="80"/>
    <x v="82"/>
    <x v="154"/>
    <s v="Series E"/>
    <x v="2"/>
    <s v="NA"/>
    <s v="2024-01"/>
  </r>
  <r>
    <x v="208"/>
    <x v="6"/>
    <x v="14"/>
    <x v="1"/>
    <x v="82"/>
    <x v="110"/>
    <s v="Series F"/>
    <x v="2"/>
    <s v="NA"/>
    <s v="2024-01"/>
  </r>
  <r>
    <x v="209"/>
    <x v="3"/>
    <x v="21"/>
    <x v="81"/>
    <x v="82"/>
    <x v="7"/>
    <s v="Acquired"/>
    <x v="2"/>
    <s v="NA"/>
    <s v="2024-01"/>
  </r>
  <r>
    <x v="210"/>
    <x v="1"/>
    <x v="10"/>
    <x v="14"/>
    <x v="82"/>
    <x v="75"/>
    <s v="Post-IPO"/>
    <x v="1"/>
    <n v="0.13"/>
    <s v="2024-01"/>
  </r>
  <r>
    <x v="211"/>
    <x v="39"/>
    <x v="26"/>
    <x v="3"/>
    <x v="82"/>
    <x v="12"/>
    <s v="Unknown"/>
    <x v="2"/>
    <n v="1"/>
    <s v="2024-01"/>
  </r>
  <r>
    <x v="212"/>
    <x v="6"/>
    <x v="1"/>
    <x v="3"/>
    <x v="82"/>
    <x v="155"/>
    <s v="Post-IPO"/>
    <x v="2"/>
    <n v="0.08"/>
    <s v="2024-01"/>
  </r>
  <r>
    <x v="213"/>
    <x v="6"/>
    <x v="1"/>
    <x v="82"/>
    <x v="83"/>
    <x v="156"/>
    <s v="Post-IPO"/>
    <x v="2"/>
    <n v="0.09"/>
    <s v="2024-01"/>
  </r>
  <r>
    <x v="214"/>
    <x v="6"/>
    <x v="1"/>
    <x v="4"/>
    <x v="83"/>
    <x v="157"/>
    <s v="Post-IPO"/>
    <x v="2"/>
    <n v="0.1"/>
    <s v="2024-01"/>
  </r>
  <r>
    <x v="215"/>
    <x v="65"/>
    <x v="7"/>
    <x v="83"/>
    <x v="83"/>
    <x v="158"/>
    <s v="Unknown"/>
    <x v="9"/>
    <n v="0.18"/>
    <s v="2024-01"/>
  </r>
  <r>
    <x v="216"/>
    <x v="6"/>
    <x v="17"/>
    <x v="79"/>
    <x v="83"/>
    <x v="159"/>
    <s v="Series D"/>
    <x v="2"/>
    <n v="0.2"/>
    <s v="2024-01"/>
  </r>
  <r>
    <x v="217"/>
    <x v="62"/>
    <x v="26"/>
    <x v="33"/>
    <x v="83"/>
    <x v="4"/>
    <s v="Acquired"/>
    <x v="7"/>
    <n v="0.1"/>
    <s v="2024-01"/>
  </r>
  <r>
    <x v="218"/>
    <x v="6"/>
    <x v="26"/>
    <x v="84"/>
    <x v="83"/>
    <x v="12"/>
    <s v="Acquired"/>
    <x v="2"/>
    <s v="NA"/>
    <s v="2024-01"/>
  </r>
  <r>
    <x v="219"/>
    <x v="3"/>
    <x v="19"/>
    <x v="3"/>
    <x v="83"/>
    <x v="160"/>
    <s v="Series F"/>
    <x v="2"/>
    <s v="NA"/>
    <s v="2024-01"/>
  </r>
  <r>
    <x v="220"/>
    <x v="66"/>
    <x v="28"/>
    <x v="3"/>
    <x v="83"/>
    <x v="161"/>
    <s v="Post-IPO"/>
    <x v="2"/>
    <n v="0.04"/>
    <s v="2024-01"/>
  </r>
  <r>
    <x v="221"/>
    <x v="49"/>
    <x v="1"/>
    <x v="3"/>
    <x v="83"/>
    <x v="12"/>
    <s v="Unknown"/>
    <x v="19"/>
    <s v="NA"/>
    <s v="2024-01"/>
  </r>
  <r>
    <x v="222"/>
    <x v="17"/>
    <x v="6"/>
    <x v="62"/>
    <x v="84"/>
    <x v="43"/>
    <s v="Post-IPO"/>
    <x v="2"/>
    <n v="0.31"/>
    <s v="2024-01"/>
  </r>
  <r>
    <x v="223"/>
    <x v="11"/>
    <x v="5"/>
    <x v="85"/>
    <x v="84"/>
    <x v="162"/>
    <s v="Series E"/>
    <x v="2"/>
    <s v="NA"/>
    <s v="2024-01"/>
  </r>
  <r>
    <x v="224"/>
    <x v="62"/>
    <x v="9"/>
    <x v="3"/>
    <x v="84"/>
    <x v="163"/>
    <s v="Private Equity"/>
    <x v="7"/>
    <n v="0.06"/>
    <s v="2024-01"/>
  </r>
  <r>
    <x v="225"/>
    <x v="6"/>
    <x v="9"/>
    <x v="86"/>
    <x v="85"/>
    <x v="164"/>
    <s v="Post-IPO"/>
    <x v="2"/>
    <n v="0.01"/>
    <s v="2024-01"/>
  </r>
  <r>
    <x v="226"/>
    <x v="6"/>
    <x v="24"/>
    <x v="3"/>
    <x v="85"/>
    <x v="165"/>
    <s v="Series E"/>
    <x v="2"/>
    <n v="0.2"/>
    <s v="2024-01"/>
  </r>
  <r>
    <x v="227"/>
    <x v="6"/>
    <x v="14"/>
    <x v="3"/>
    <x v="85"/>
    <x v="12"/>
    <s v="Series D"/>
    <x v="2"/>
    <s v="NA"/>
    <s v="2024-01"/>
  </r>
  <r>
    <x v="5"/>
    <x v="4"/>
    <x v="4"/>
    <x v="87"/>
    <x v="86"/>
    <x v="5"/>
    <s v="Post-IPO"/>
    <x v="2"/>
    <s v="NA"/>
    <s v="2024-01"/>
  </r>
  <r>
    <x v="228"/>
    <x v="20"/>
    <x v="0"/>
    <x v="9"/>
    <x v="86"/>
    <x v="166"/>
    <s v="Unknown"/>
    <x v="6"/>
    <n v="7.0000000000000007E-2"/>
    <s v="2024-01"/>
  </r>
  <r>
    <x v="229"/>
    <x v="54"/>
    <x v="24"/>
    <x v="74"/>
    <x v="86"/>
    <x v="53"/>
    <s v="Series B"/>
    <x v="2"/>
    <n v="0.19"/>
    <s v="2024-01"/>
  </r>
  <r>
    <x v="230"/>
    <x v="4"/>
    <x v="3"/>
    <x v="33"/>
    <x v="86"/>
    <x v="167"/>
    <s v="Series D"/>
    <x v="2"/>
    <s v="NA"/>
    <s v="2024-01"/>
  </r>
  <r>
    <x v="231"/>
    <x v="16"/>
    <x v="3"/>
    <x v="35"/>
    <x v="86"/>
    <x v="168"/>
    <s v="Series B"/>
    <x v="2"/>
    <n v="0.3"/>
    <s v="2024-01"/>
  </r>
  <r>
    <x v="232"/>
    <x v="3"/>
    <x v="26"/>
    <x v="3"/>
    <x v="86"/>
    <x v="13"/>
    <s v="Acquired"/>
    <x v="2"/>
    <n v="0.08"/>
    <s v="2024-01"/>
  </r>
  <r>
    <x v="233"/>
    <x v="41"/>
    <x v="1"/>
    <x v="3"/>
    <x v="86"/>
    <x v="12"/>
    <s v="Unknown"/>
    <x v="15"/>
    <n v="1"/>
    <s v="2024-01"/>
  </r>
  <r>
    <x v="234"/>
    <x v="67"/>
    <x v="4"/>
    <x v="3"/>
    <x v="86"/>
    <x v="169"/>
    <s v="Post-IPO"/>
    <x v="2"/>
    <n v="0.06"/>
    <s v="2024-01"/>
  </r>
  <r>
    <x v="235"/>
    <x v="20"/>
    <x v="19"/>
    <x v="1"/>
    <x v="87"/>
    <x v="170"/>
    <s v="Series F"/>
    <x v="6"/>
    <s v="NA"/>
    <s v="2024-01"/>
  </r>
  <r>
    <x v="236"/>
    <x v="68"/>
    <x v="12"/>
    <x v="1"/>
    <x v="87"/>
    <x v="171"/>
    <s v="Series E"/>
    <x v="5"/>
    <s v="NA"/>
    <s v="2024-01"/>
  </r>
  <r>
    <x v="161"/>
    <x v="55"/>
    <x v="26"/>
    <x v="54"/>
    <x v="87"/>
    <x v="172"/>
    <s v="Post-IPO"/>
    <x v="22"/>
    <n v="0.13"/>
    <s v="2024-01"/>
  </r>
  <r>
    <x v="237"/>
    <x v="18"/>
    <x v="10"/>
    <x v="3"/>
    <x v="87"/>
    <x v="173"/>
    <s v="Post-IPO"/>
    <x v="2"/>
    <n v="0.03"/>
    <s v="2024-01"/>
  </r>
  <r>
    <x v="238"/>
    <x v="17"/>
    <x v="4"/>
    <x v="3"/>
    <x v="87"/>
    <x v="174"/>
    <s v="Post-IPO"/>
    <x v="2"/>
    <n v="0.2"/>
    <s v="2024-01"/>
  </r>
  <r>
    <x v="239"/>
    <x v="17"/>
    <x v="3"/>
    <x v="3"/>
    <x v="87"/>
    <x v="175"/>
    <s v="Post-IPO"/>
    <x v="2"/>
    <s v="NA"/>
    <s v="2024-01"/>
  </r>
  <r>
    <x v="240"/>
    <x v="69"/>
    <x v="4"/>
    <x v="88"/>
    <x v="88"/>
    <x v="22"/>
    <s v="Post-IPO"/>
    <x v="5"/>
    <n v="7.0000000000000007E-2"/>
    <s v="2024-01"/>
  </r>
  <r>
    <x v="241"/>
    <x v="6"/>
    <x v="21"/>
    <x v="4"/>
    <x v="88"/>
    <x v="63"/>
    <s v="Post-IPO"/>
    <x v="2"/>
    <n v="0.09"/>
    <s v="2024-01"/>
  </r>
  <r>
    <x v="242"/>
    <x v="3"/>
    <x v="10"/>
    <x v="19"/>
    <x v="88"/>
    <x v="22"/>
    <s v="Post-IPO"/>
    <x v="2"/>
    <n v="0.9"/>
    <s v="2024-01"/>
  </r>
  <r>
    <x v="243"/>
    <x v="6"/>
    <x v="1"/>
    <x v="89"/>
    <x v="88"/>
    <x v="113"/>
    <s v="Series D"/>
    <x v="2"/>
    <n v="0.2"/>
    <s v="2024-01"/>
  </r>
  <r>
    <x v="244"/>
    <x v="20"/>
    <x v="19"/>
    <x v="17"/>
    <x v="88"/>
    <x v="176"/>
    <s v="Series F"/>
    <x v="6"/>
    <s v="NA"/>
    <s v="2024-01"/>
  </r>
  <r>
    <x v="245"/>
    <x v="70"/>
    <x v="11"/>
    <x v="1"/>
    <x v="88"/>
    <x v="177"/>
    <s v="Series D"/>
    <x v="25"/>
    <s v="NA"/>
    <s v="2024-01"/>
  </r>
  <r>
    <x v="246"/>
    <x v="17"/>
    <x v="4"/>
    <x v="27"/>
    <x v="88"/>
    <x v="78"/>
    <s v="Acquired"/>
    <x v="2"/>
    <s v="NA"/>
    <s v="2024-01"/>
  </r>
  <r>
    <x v="247"/>
    <x v="10"/>
    <x v="1"/>
    <x v="8"/>
    <x v="88"/>
    <x v="151"/>
    <s v="Acquired"/>
    <x v="3"/>
    <s v="NA"/>
    <s v="2024-01"/>
  </r>
  <r>
    <x v="248"/>
    <x v="9"/>
    <x v="6"/>
    <x v="90"/>
    <x v="89"/>
    <x v="178"/>
    <s v="Acquired"/>
    <x v="2"/>
    <n v="0.11"/>
    <s v="2024-01"/>
  </r>
  <r>
    <x v="249"/>
    <x v="71"/>
    <x v="1"/>
    <x v="28"/>
    <x v="89"/>
    <x v="179"/>
    <s v="Series D"/>
    <x v="26"/>
    <s v="NA"/>
    <s v="2024-01"/>
  </r>
  <r>
    <x v="74"/>
    <x v="9"/>
    <x v="6"/>
    <x v="14"/>
    <x v="89"/>
    <x v="12"/>
    <s v="Acquired"/>
    <x v="2"/>
    <s v="NA"/>
    <s v="2024-01"/>
  </r>
  <r>
    <x v="250"/>
    <x v="72"/>
    <x v="11"/>
    <x v="3"/>
    <x v="89"/>
    <x v="180"/>
    <s v="Post-IPO"/>
    <x v="2"/>
    <s v="NA"/>
    <s v="2024-01"/>
  </r>
  <r>
    <x v="7"/>
    <x v="6"/>
    <x v="6"/>
    <x v="3"/>
    <x v="89"/>
    <x v="7"/>
    <s v="Post-IPO"/>
    <x v="2"/>
    <s v="NA"/>
    <s v="2024-01"/>
  </r>
  <r>
    <x v="249"/>
    <x v="71"/>
    <x v="1"/>
    <x v="3"/>
    <x v="89"/>
    <x v="179"/>
    <s v="Series D"/>
    <x v="26"/>
    <s v="NA"/>
    <s v="2024-01"/>
  </r>
  <r>
    <x v="251"/>
    <x v="1"/>
    <x v="17"/>
    <x v="61"/>
    <x v="90"/>
    <x v="181"/>
    <s v="Post-IPO"/>
    <x v="1"/>
    <n v="0.16"/>
    <s v="2024-01"/>
  </r>
  <r>
    <x v="252"/>
    <x v="17"/>
    <x v="21"/>
    <x v="91"/>
    <x v="91"/>
    <x v="14"/>
    <s v="Post-IPO"/>
    <x v="2"/>
    <n v="0.13"/>
    <s v="2024-01"/>
  </r>
  <r>
    <x v="90"/>
    <x v="4"/>
    <x v="21"/>
    <x v="2"/>
    <x v="92"/>
    <x v="74"/>
    <s v="Post-IPO"/>
    <x v="2"/>
    <s v="NA"/>
    <s v="2024-01"/>
  </r>
  <r>
    <x v="253"/>
    <x v="3"/>
    <x v="21"/>
    <x v="3"/>
    <x v="92"/>
    <x v="182"/>
    <s v="Unknown"/>
    <x v="2"/>
    <s v="NA"/>
    <s v="2024-01"/>
  </r>
  <r>
    <x v="254"/>
    <x v="73"/>
    <x v="21"/>
    <x v="3"/>
    <x v="92"/>
    <x v="34"/>
    <s v="Post-IPO"/>
    <x v="2"/>
    <s v="NA"/>
    <s v="2024-01"/>
  </r>
  <r>
    <x v="255"/>
    <x v="6"/>
    <x v="26"/>
    <x v="1"/>
    <x v="93"/>
    <x v="183"/>
    <s v="Acquired"/>
    <x v="2"/>
    <s v="NA"/>
    <s v="2024-01"/>
  </r>
  <r>
    <x v="256"/>
    <x v="14"/>
    <x v="0"/>
    <x v="14"/>
    <x v="93"/>
    <x v="12"/>
    <s v="Seed"/>
    <x v="5"/>
    <s v="NA"/>
    <s v="2024-01"/>
  </r>
  <r>
    <x v="257"/>
    <x v="11"/>
    <x v="5"/>
    <x v="42"/>
    <x v="94"/>
    <x v="184"/>
    <s v="Series C"/>
    <x v="2"/>
    <n v="0.17"/>
    <s v="2024-01"/>
  </r>
  <r>
    <x v="258"/>
    <x v="4"/>
    <x v="10"/>
    <x v="92"/>
    <x v="94"/>
    <x v="185"/>
    <s v="Acquired"/>
    <x v="2"/>
    <n v="0.2"/>
    <s v="2024-01"/>
  </r>
  <r>
    <x v="259"/>
    <x v="13"/>
    <x v="10"/>
    <x v="3"/>
    <x v="94"/>
    <x v="12"/>
    <s v="Unknown"/>
    <x v="4"/>
    <n v="1"/>
    <s v="2024-01"/>
  </r>
  <r>
    <x v="7"/>
    <x v="6"/>
    <x v="6"/>
    <x v="3"/>
    <x v="94"/>
    <x v="7"/>
    <s v="Post-IPO"/>
    <x v="2"/>
    <s v="NA"/>
    <s v="2024-01"/>
  </r>
  <r>
    <x v="260"/>
    <x v="10"/>
    <x v="6"/>
    <x v="3"/>
    <x v="94"/>
    <x v="11"/>
    <s v="Seed"/>
    <x v="3"/>
    <n v="0.7"/>
    <s v="2024-01"/>
  </r>
  <r>
    <x v="261"/>
    <x v="74"/>
    <x v="27"/>
    <x v="11"/>
    <x v="95"/>
    <x v="186"/>
    <s v="Acquired"/>
    <x v="2"/>
    <s v="NA"/>
    <s v="2024-01"/>
  </r>
  <r>
    <x v="262"/>
    <x v="75"/>
    <x v="4"/>
    <x v="46"/>
    <x v="95"/>
    <x v="151"/>
    <s v="Acquired"/>
    <x v="27"/>
    <s v="NA"/>
    <s v="2024-01"/>
  </r>
  <r>
    <x v="263"/>
    <x v="6"/>
    <x v="26"/>
    <x v="3"/>
    <x v="95"/>
    <x v="12"/>
    <s v="Unknown"/>
    <x v="2"/>
    <n v="1"/>
    <s v="2024-01"/>
  </r>
  <r>
    <x v="264"/>
    <x v="76"/>
    <x v="21"/>
    <x v="3"/>
    <x v="95"/>
    <x v="149"/>
    <s v="Series A"/>
    <x v="28"/>
    <n v="0.8"/>
    <s v="2024-01"/>
  </r>
  <r>
    <x v="265"/>
    <x v="58"/>
    <x v="8"/>
    <x v="3"/>
    <x v="95"/>
    <x v="187"/>
    <s v="Unknown"/>
    <x v="2"/>
    <s v="NA"/>
    <s v="2024-01"/>
  </r>
  <r>
    <x v="266"/>
    <x v="17"/>
    <x v="4"/>
    <x v="3"/>
    <x v="95"/>
    <x v="156"/>
    <s v="Series B"/>
    <x v="2"/>
    <s v="NA"/>
    <s v="2024-01"/>
  </r>
  <r>
    <x v="267"/>
    <x v="77"/>
    <x v="6"/>
    <x v="9"/>
    <x v="96"/>
    <x v="12"/>
    <s v="Post-IPO"/>
    <x v="5"/>
    <s v="NA"/>
    <s v="2024-01"/>
  </r>
  <r>
    <x v="268"/>
    <x v="1"/>
    <x v="6"/>
    <x v="11"/>
    <x v="96"/>
    <x v="12"/>
    <s v="Post-IPO"/>
    <x v="1"/>
    <n v="0.1"/>
    <s v="2024-01"/>
  </r>
  <r>
    <x v="269"/>
    <x v="6"/>
    <x v="6"/>
    <x v="22"/>
    <x v="96"/>
    <x v="188"/>
    <s v="Series H"/>
    <x v="2"/>
    <n v="0.17"/>
    <s v="2024-01"/>
  </r>
  <r>
    <x v="270"/>
    <x v="20"/>
    <x v="3"/>
    <x v="93"/>
    <x v="96"/>
    <x v="189"/>
    <s v="Unknown"/>
    <x v="6"/>
    <n v="0.05"/>
    <s v="2024-01"/>
  </r>
  <r>
    <x v="271"/>
    <x v="3"/>
    <x v="26"/>
    <x v="1"/>
    <x v="96"/>
    <x v="190"/>
    <s v="Acquired"/>
    <x v="2"/>
    <n v="0.05"/>
    <s v="2024-01"/>
  </r>
  <r>
    <x v="272"/>
    <x v="78"/>
    <x v="0"/>
    <x v="94"/>
    <x v="96"/>
    <x v="191"/>
    <s v="Series C"/>
    <x v="7"/>
    <n v="0.19"/>
    <s v="2024-01"/>
  </r>
  <r>
    <x v="273"/>
    <x v="3"/>
    <x v="27"/>
    <x v="14"/>
    <x v="96"/>
    <x v="116"/>
    <s v="Series F"/>
    <x v="2"/>
    <n v="0.13"/>
    <s v="2024-01"/>
  </r>
  <r>
    <x v="274"/>
    <x v="6"/>
    <x v="25"/>
    <x v="5"/>
    <x v="96"/>
    <x v="169"/>
    <s v="Post-IPO"/>
    <x v="2"/>
    <s v="NA"/>
    <s v="2024-01"/>
  </r>
  <r>
    <x v="275"/>
    <x v="1"/>
    <x v="6"/>
    <x v="3"/>
    <x v="96"/>
    <x v="12"/>
    <s v="Post-IPO"/>
    <x v="1"/>
    <s v="NA"/>
    <s v="2024-01"/>
  </r>
  <r>
    <x v="276"/>
    <x v="6"/>
    <x v="4"/>
    <x v="3"/>
    <x v="96"/>
    <x v="192"/>
    <s v="Unknown"/>
    <x v="2"/>
    <s v="NA"/>
    <s v="2024-01"/>
  </r>
  <r>
    <x v="277"/>
    <x v="3"/>
    <x v="12"/>
    <x v="3"/>
    <x v="96"/>
    <x v="193"/>
    <s v="Series B"/>
    <x v="2"/>
    <s v="NA"/>
    <s v="2024-01"/>
  </r>
  <r>
    <x v="278"/>
    <x v="79"/>
    <x v="24"/>
    <x v="3"/>
    <x v="96"/>
    <x v="12"/>
    <s v="Unknown"/>
    <x v="2"/>
    <n v="1"/>
    <s v="2024-01"/>
  </r>
  <r>
    <x v="279"/>
    <x v="39"/>
    <x v="8"/>
    <x v="4"/>
    <x v="97"/>
    <x v="132"/>
    <s v="Acquired"/>
    <x v="2"/>
    <n v="0.12"/>
    <s v="2024-01"/>
  </r>
  <r>
    <x v="7"/>
    <x v="6"/>
    <x v="6"/>
    <x v="4"/>
    <x v="97"/>
    <x v="7"/>
    <s v="Post-IPO"/>
    <x v="2"/>
    <s v="NA"/>
    <s v="2024-01"/>
  </r>
  <r>
    <x v="280"/>
    <x v="3"/>
    <x v="6"/>
    <x v="95"/>
    <x v="97"/>
    <x v="12"/>
    <s v="Post-IPO"/>
    <x v="2"/>
    <s v="NA"/>
    <s v="2024-01"/>
  </r>
  <r>
    <x v="281"/>
    <x v="3"/>
    <x v="0"/>
    <x v="1"/>
    <x v="97"/>
    <x v="194"/>
    <s v="Acquired"/>
    <x v="2"/>
    <n v="0.03"/>
    <s v="2024-01"/>
  </r>
  <r>
    <x v="282"/>
    <x v="74"/>
    <x v="5"/>
    <x v="96"/>
    <x v="97"/>
    <x v="195"/>
    <s v="Series E"/>
    <x v="2"/>
    <s v="NA"/>
    <s v="2024-01"/>
  </r>
  <r>
    <x v="283"/>
    <x v="6"/>
    <x v="6"/>
    <x v="14"/>
    <x v="97"/>
    <x v="196"/>
    <s v="Acquired"/>
    <x v="2"/>
    <s v="NA"/>
    <s v="2024-01"/>
  </r>
  <r>
    <x v="90"/>
    <x v="4"/>
    <x v="21"/>
    <x v="3"/>
    <x v="97"/>
    <x v="74"/>
    <s v="Post-IPO"/>
    <x v="2"/>
    <s v="NA"/>
    <s v="2024-01"/>
  </r>
  <r>
    <x v="284"/>
    <x v="6"/>
    <x v="13"/>
    <x v="3"/>
    <x v="97"/>
    <x v="52"/>
    <s v="Unknown"/>
    <x v="2"/>
    <n v="0.12"/>
    <s v="2024-01"/>
  </r>
  <r>
    <x v="285"/>
    <x v="6"/>
    <x v="1"/>
    <x v="3"/>
    <x v="97"/>
    <x v="197"/>
    <s v="Post-IPO"/>
    <x v="2"/>
    <n v="0.04"/>
    <s v="2024-01"/>
  </r>
  <r>
    <x v="286"/>
    <x v="6"/>
    <x v="6"/>
    <x v="30"/>
    <x v="98"/>
    <x v="55"/>
    <s v="Acquired"/>
    <x v="2"/>
    <n v="0.35"/>
    <s v="2024-01"/>
  </r>
  <r>
    <x v="287"/>
    <x v="74"/>
    <x v="1"/>
    <x v="97"/>
    <x v="98"/>
    <x v="127"/>
    <s v="Series C"/>
    <x v="2"/>
    <s v="NA"/>
    <s v="2024-01"/>
  </r>
  <r>
    <x v="288"/>
    <x v="6"/>
    <x v="5"/>
    <x v="98"/>
    <x v="98"/>
    <x v="198"/>
    <s v="Post-IPO"/>
    <x v="2"/>
    <n v="0.05"/>
    <s v="2024-01"/>
  </r>
  <r>
    <x v="289"/>
    <x v="23"/>
    <x v="3"/>
    <x v="31"/>
    <x v="98"/>
    <x v="199"/>
    <s v="Unknown"/>
    <x v="2"/>
    <n v="0.1"/>
    <s v="2024-01"/>
  </r>
  <r>
    <x v="290"/>
    <x v="6"/>
    <x v="24"/>
    <x v="5"/>
    <x v="98"/>
    <x v="200"/>
    <s v="Subsidiary"/>
    <x v="2"/>
    <s v="NA"/>
    <s v="2024-01"/>
  </r>
  <r>
    <x v="291"/>
    <x v="3"/>
    <x v="21"/>
    <x v="99"/>
    <x v="98"/>
    <x v="201"/>
    <s v="Post-IPO"/>
    <x v="2"/>
    <n v="0.1"/>
    <s v="2024-01"/>
  </r>
  <r>
    <x v="292"/>
    <x v="6"/>
    <x v="1"/>
    <x v="53"/>
    <x v="98"/>
    <x v="190"/>
    <s v="Series A"/>
    <x v="2"/>
    <n v="0.6"/>
    <s v="2024-01"/>
  </r>
  <r>
    <x v="293"/>
    <x v="6"/>
    <x v="16"/>
    <x v="100"/>
    <x v="98"/>
    <x v="81"/>
    <s v="Series C"/>
    <x v="2"/>
    <n v="0.04"/>
    <s v="2024-01"/>
  </r>
  <r>
    <x v="294"/>
    <x v="46"/>
    <x v="17"/>
    <x v="3"/>
    <x v="98"/>
    <x v="12"/>
    <s v="Post-IPO"/>
    <x v="18"/>
    <s v="NA"/>
    <s v="2024-01"/>
  </r>
  <r>
    <x v="295"/>
    <x v="72"/>
    <x v="27"/>
    <x v="3"/>
    <x v="98"/>
    <x v="202"/>
    <s v="Series B"/>
    <x v="2"/>
    <s v="NA"/>
    <s v="2024-01"/>
  </r>
  <r>
    <x v="296"/>
    <x v="13"/>
    <x v="25"/>
    <x v="3"/>
    <x v="98"/>
    <x v="12"/>
    <s v="Unknown"/>
    <x v="4"/>
    <n v="0.02"/>
    <s v="2024-01"/>
  </r>
  <r>
    <x v="297"/>
    <x v="6"/>
    <x v="4"/>
    <x v="101"/>
    <x v="99"/>
    <x v="22"/>
    <s v="Post-IPO"/>
    <x v="2"/>
    <n v="0.25"/>
    <s v="2024-01"/>
  </r>
  <r>
    <x v="298"/>
    <x v="20"/>
    <x v="21"/>
    <x v="102"/>
    <x v="99"/>
    <x v="203"/>
    <s v="Acquired"/>
    <x v="6"/>
    <n v="0.05"/>
    <s v="2024-01"/>
  </r>
  <r>
    <x v="299"/>
    <x v="80"/>
    <x v="17"/>
    <x v="103"/>
    <x v="99"/>
    <x v="204"/>
    <s v="Post-IPO"/>
    <x v="2"/>
    <n v="0.28000000000000003"/>
    <s v="2024-01"/>
  </r>
  <r>
    <x v="300"/>
    <x v="4"/>
    <x v="24"/>
    <x v="104"/>
    <x v="99"/>
    <x v="163"/>
    <s v="Series D"/>
    <x v="2"/>
    <n v="0.38"/>
    <s v="2024-01"/>
  </r>
  <r>
    <x v="301"/>
    <x v="14"/>
    <x v="4"/>
    <x v="54"/>
    <x v="99"/>
    <x v="205"/>
    <s v="Series B"/>
    <x v="5"/>
    <n v="0.67"/>
    <s v="2024-01"/>
  </r>
  <r>
    <x v="302"/>
    <x v="62"/>
    <x v="5"/>
    <x v="43"/>
    <x v="99"/>
    <x v="206"/>
    <s v="Series D"/>
    <x v="7"/>
    <n v="0.17"/>
    <s v="2024-01"/>
  </r>
  <r>
    <x v="303"/>
    <x v="39"/>
    <x v="22"/>
    <x v="3"/>
    <x v="99"/>
    <x v="28"/>
    <s v="Seed"/>
    <x v="2"/>
    <n v="1"/>
    <s v="2024-01"/>
  </r>
  <r>
    <x v="304"/>
    <x v="3"/>
    <x v="1"/>
    <x v="3"/>
    <x v="99"/>
    <x v="202"/>
    <s v="Series B"/>
    <x v="2"/>
    <n v="0.25"/>
    <s v="2024-01"/>
  </r>
  <r>
    <x v="305"/>
    <x v="45"/>
    <x v="1"/>
    <x v="3"/>
    <x v="99"/>
    <x v="74"/>
    <s v="Series E"/>
    <x v="2"/>
    <s v="NA"/>
    <s v="2024-01"/>
  </r>
  <r>
    <x v="306"/>
    <x v="9"/>
    <x v="1"/>
    <x v="3"/>
    <x v="99"/>
    <x v="207"/>
    <s v="Post-IPO"/>
    <x v="2"/>
    <n v="0.09"/>
    <s v="2024-01"/>
  </r>
  <r>
    <x v="307"/>
    <x v="6"/>
    <x v="18"/>
    <x v="3"/>
    <x v="100"/>
    <x v="69"/>
    <s v="Acquired"/>
    <x v="2"/>
    <s v="NA"/>
    <s v="2024-01"/>
  </r>
  <r>
    <x v="308"/>
    <x v="4"/>
    <x v="5"/>
    <x v="31"/>
    <x v="101"/>
    <x v="65"/>
    <s v="Post-IPO"/>
    <x v="2"/>
    <n v="0.09"/>
    <s v="2024-01"/>
  </r>
  <r>
    <x v="19"/>
    <x v="12"/>
    <x v="5"/>
    <x v="105"/>
    <x v="102"/>
    <x v="19"/>
    <s v="Post-IPO"/>
    <x v="2"/>
    <n v="0.13"/>
    <s v="2024-01"/>
  </r>
  <r>
    <x v="309"/>
    <x v="6"/>
    <x v="15"/>
    <x v="3"/>
    <x v="102"/>
    <x v="208"/>
    <s v="Acquired"/>
    <x v="2"/>
    <s v="NA"/>
    <s v="2024-01"/>
  </r>
  <r>
    <x v="310"/>
    <x v="1"/>
    <x v="21"/>
    <x v="2"/>
    <x v="103"/>
    <x v="209"/>
    <s v="Series C"/>
    <x v="1"/>
    <n v="0.15"/>
    <s v="2024-01"/>
  </r>
  <r>
    <x v="311"/>
    <x v="3"/>
    <x v="14"/>
    <x v="3"/>
    <x v="103"/>
    <x v="210"/>
    <s v="Series F"/>
    <x v="2"/>
    <n v="1"/>
    <s v="2024-01"/>
  </r>
  <r>
    <x v="312"/>
    <x v="9"/>
    <x v="3"/>
    <x v="3"/>
    <x v="103"/>
    <x v="211"/>
    <s v="Series F"/>
    <x v="2"/>
    <n v="0.2"/>
    <s v="2024-01"/>
  </r>
  <r>
    <x v="313"/>
    <x v="81"/>
    <x v="16"/>
    <x v="106"/>
    <x v="104"/>
    <x v="212"/>
    <s v="Post-IPO"/>
    <x v="2"/>
    <n v="0.15"/>
    <s v="2024-01"/>
  </r>
  <r>
    <x v="314"/>
    <x v="42"/>
    <x v="21"/>
    <x v="1"/>
    <x v="104"/>
    <x v="213"/>
    <s v="Acquired"/>
    <x v="16"/>
    <n v="0.3"/>
    <s v="2024-01"/>
  </r>
  <r>
    <x v="315"/>
    <x v="1"/>
    <x v="25"/>
    <x v="14"/>
    <x v="104"/>
    <x v="214"/>
    <s v="Series C"/>
    <x v="1"/>
    <n v="0.15"/>
    <s v="2024-01"/>
  </r>
  <r>
    <x v="316"/>
    <x v="82"/>
    <x v="7"/>
    <x v="28"/>
    <x v="105"/>
    <x v="7"/>
    <s v="Unknown"/>
    <x v="2"/>
    <n v="1"/>
    <s v="2024-01"/>
  </r>
  <r>
    <x v="211"/>
    <x v="3"/>
    <x v="26"/>
    <x v="56"/>
    <x v="105"/>
    <x v="12"/>
    <s v="Unknown"/>
    <x v="2"/>
    <s v="NA"/>
    <s v="2024-01"/>
  </r>
  <r>
    <x v="84"/>
    <x v="20"/>
    <x v="17"/>
    <x v="3"/>
    <x v="106"/>
    <x v="70"/>
    <s v="Series B"/>
    <x v="6"/>
    <n v="0.2"/>
    <s v="2023-12"/>
  </r>
  <r>
    <x v="317"/>
    <x v="54"/>
    <x v="8"/>
    <x v="3"/>
    <x v="107"/>
    <x v="12"/>
    <s v="Unknown"/>
    <x v="2"/>
    <n v="1"/>
    <s v="2023-12"/>
  </r>
  <r>
    <x v="318"/>
    <x v="83"/>
    <x v="1"/>
    <x v="4"/>
    <x v="108"/>
    <x v="12"/>
    <s v="Unknown"/>
    <x v="6"/>
    <s v="NA"/>
    <s v="2023-12"/>
  </r>
  <r>
    <x v="81"/>
    <x v="26"/>
    <x v="16"/>
    <x v="107"/>
    <x v="109"/>
    <x v="69"/>
    <s v="Post-IPO"/>
    <x v="2"/>
    <s v="NA"/>
    <s v="2023-12"/>
  </r>
  <r>
    <x v="319"/>
    <x v="9"/>
    <x v="10"/>
    <x v="3"/>
    <x v="109"/>
    <x v="215"/>
    <s v="Unknown"/>
    <x v="2"/>
    <n v="1"/>
    <s v="2023-12"/>
  </r>
  <r>
    <x v="320"/>
    <x v="84"/>
    <x v="17"/>
    <x v="3"/>
    <x v="109"/>
    <x v="216"/>
    <s v="Private Equity"/>
    <x v="2"/>
    <s v="NA"/>
    <s v="2023-12"/>
  </r>
  <r>
    <x v="321"/>
    <x v="20"/>
    <x v="6"/>
    <x v="28"/>
    <x v="110"/>
    <x v="14"/>
    <s v="Series H"/>
    <x v="6"/>
    <n v="0.15"/>
    <s v="2023-12"/>
  </r>
  <r>
    <x v="322"/>
    <x v="85"/>
    <x v="5"/>
    <x v="1"/>
    <x v="111"/>
    <x v="162"/>
    <s v="Unknown"/>
    <x v="2"/>
    <n v="0.2"/>
    <s v="2023-12"/>
  </r>
  <r>
    <x v="323"/>
    <x v="4"/>
    <x v="21"/>
    <x v="3"/>
    <x v="111"/>
    <x v="80"/>
    <s v="Post-IPO"/>
    <x v="2"/>
    <n v="1"/>
    <s v="2023-12"/>
  </r>
  <r>
    <x v="324"/>
    <x v="6"/>
    <x v="17"/>
    <x v="62"/>
    <x v="112"/>
    <x v="217"/>
    <s v="Post-IPO"/>
    <x v="2"/>
    <n v="0.1"/>
    <s v="2023-12"/>
  </r>
  <r>
    <x v="325"/>
    <x v="20"/>
    <x v="21"/>
    <x v="1"/>
    <x v="112"/>
    <x v="113"/>
    <s v="Unknown"/>
    <x v="6"/>
    <n v="0.1"/>
    <s v="2023-12"/>
  </r>
  <r>
    <x v="326"/>
    <x v="10"/>
    <x v="1"/>
    <x v="54"/>
    <x v="112"/>
    <x v="45"/>
    <s v="Series D"/>
    <x v="3"/>
    <s v="NA"/>
    <s v="2023-12"/>
  </r>
  <r>
    <x v="327"/>
    <x v="86"/>
    <x v="16"/>
    <x v="43"/>
    <x v="112"/>
    <x v="12"/>
    <s v="Post-IPO"/>
    <x v="17"/>
    <s v="NA"/>
    <s v="2023-12"/>
  </r>
  <r>
    <x v="328"/>
    <x v="14"/>
    <x v="0"/>
    <x v="3"/>
    <x v="112"/>
    <x v="218"/>
    <s v="Post-IPO"/>
    <x v="5"/>
    <s v="NA"/>
    <s v="2023-12"/>
  </r>
  <r>
    <x v="241"/>
    <x v="1"/>
    <x v="21"/>
    <x v="33"/>
    <x v="113"/>
    <x v="63"/>
    <s v="Post-IPO"/>
    <x v="2"/>
    <s v="NA"/>
    <s v="2023-12"/>
  </r>
  <r>
    <x v="187"/>
    <x v="4"/>
    <x v="13"/>
    <x v="2"/>
    <x v="114"/>
    <x v="139"/>
    <s v="Series E"/>
    <x v="2"/>
    <s v="NA"/>
    <s v="2023-12"/>
  </r>
  <r>
    <x v="329"/>
    <x v="32"/>
    <x v="26"/>
    <x v="3"/>
    <x v="114"/>
    <x v="219"/>
    <s v="Series C"/>
    <x v="11"/>
    <s v="NA"/>
    <s v="2023-12"/>
  </r>
  <r>
    <x v="330"/>
    <x v="17"/>
    <x v="10"/>
    <x v="3"/>
    <x v="114"/>
    <x v="220"/>
    <s v="Series C"/>
    <x v="2"/>
    <s v="NA"/>
    <s v="2023-12"/>
  </r>
  <r>
    <x v="331"/>
    <x v="6"/>
    <x v="10"/>
    <x v="61"/>
    <x v="115"/>
    <x v="221"/>
    <s v="Acquired"/>
    <x v="2"/>
    <n v="0.24"/>
    <s v="2023-12"/>
  </r>
  <r>
    <x v="332"/>
    <x v="14"/>
    <x v="1"/>
    <x v="33"/>
    <x v="115"/>
    <x v="222"/>
    <s v="Unknown"/>
    <x v="5"/>
    <s v="NA"/>
    <s v="2023-12"/>
  </r>
  <r>
    <x v="333"/>
    <x v="6"/>
    <x v="1"/>
    <x v="3"/>
    <x v="115"/>
    <x v="22"/>
    <s v="Series E"/>
    <x v="2"/>
    <n v="0.28999999999999998"/>
    <s v="2023-12"/>
  </r>
  <r>
    <x v="334"/>
    <x v="14"/>
    <x v="5"/>
    <x v="3"/>
    <x v="115"/>
    <x v="12"/>
    <s v="Unknown"/>
    <x v="5"/>
    <n v="1"/>
    <s v="2023-12"/>
  </r>
  <r>
    <x v="335"/>
    <x v="72"/>
    <x v="22"/>
    <x v="3"/>
    <x v="115"/>
    <x v="223"/>
    <s v="Series B"/>
    <x v="2"/>
    <s v="NA"/>
    <s v="2023-12"/>
  </r>
  <r>
    <x v="336"/>
    <x v="4"/>
    <x v="22"/>
    <x v="3"/>
    <x v="115"/>
    <x v="224"/>
    <s v="Series C"/>
    <x v="2"/>
    <s v="NA"/>
    <s v="2023-12"/>
  </r>
  <r>
    <x v="337"/>
    <x v="9"/>
    <x v="0"/>
    <x v="3"/>
    <x v="115"/>
    <x v="225"/>
    <s v="Series A"/>
    <x v="2"/>
    <n v="0.5"/>
    <s v="2023-12"/>
  </r>
  <r>
    <x v="338"/>
    <x v="6"/>
    <x v="5"/>
    <x v="108"/>
    <x v="116"/>
    <x v="226"/>
    <s v="Post-IPO"/>
    <x v="2"/>
    <n v="0.15"/>
    <s v="2023-12"/>
  </r>
  <r>
    <x v="339"/>
    <x v="3"/>
    <x v="21"/>
    <x v="109"/>
    <x v="116"/>
    <x v="227"/>
    <s v="Post-IPO"/>
    <x v="2"/>
    <n v="0.11"/>
    <s v="2023-12"/>
  </r>
  <r>
    <x v="340"/>
    <x v="6"/>
    <x v="13"/>
    <x v="79"/>
    <x v="116"/>
    <x v="12"/>
    <s v="Post-IPO"/>
    <x v="2"/>
    <s v="NA"/>
    <s v="2023-12"/>
  </r>
  <r>
    <x v="341"/>
    <x v="6"/>
    <x v="4"/>
    <x v="110"/>
    <x v="116"/>
    <x v="147"/>
    <s v="Acquired"/>
    <x v="2"/>
    <s v="NA"/>
    <s v="2023-12"/>
  </r>
  <r>
    <x v="342"/>
    <x v="6"/>
    <x v="13"/>
    <x v="111"/>
    <x v="116"/>
    <x v="12"/>
    <s v="Unknown"/>
    <x v="2"/>
    <s v="NA"/>
    <s v="2023-12"/>
  </r>
  <r>
    <x v="343"/>
    <x v="58"/>
    <x v="24"/>
    <x v="3"/>
    <x v="116"/>
    <x v="228"/>
    <s v="Unknown"/>
    <x v="2"/>
    <n v="0.15"/>
    <s v="2023-12"/>
  </r>
  <r>
    <x v="344"/>
    <x v="6"/>
    <x v="3"/>
    <x v="3"/>
    <x v="116"/>
    <x v="229"/>
    <s v="Unknown"/>
    <x v="2"/>
    <n v="0.2"/>
    <s v="2023-12"/>
  </r>
  <r>
    <x v="345"/>
    <x v="87"/>
    <x v="10"/>
    <x v="112"/>
    <x v="117"/>
    <x v="12"/>
    <s v="Post-IPO"/>
    <x v="21"/>
    <s v="NA"/>
    <s v="2023-12"/>
  </r>
  <r>
    <x v="114"/>
    <x v="6"/>
    <x v="1"/>
    <x v="8"/>
    <x v="118"/>
    <x v="89"/>
    <s v="Series C"/>
    <x v="2"/>
    <n v="0.33"/>
    <s v="2023-12"/>
  </r>
  <r>
    <x v="346"/>
    <x v="16"/>
    <x v="21"/>
    <x v="3"/>
    <x v="119"/>
    <x v="230"/>
    <s v="Private Equity"/>
    <x v="2"/>
    <s v="NA"/>
    <s v="2023-12"/>
  </r>
  <r>
    <x v="347"/>
    <x v="88"/>
    <x v="5"/>
    <x v="3"/>
    <x v="119"/>
    <x v="231"/>
    <s v="Post-IPO"/>
    <x v="2"/>
    <n v="1"/>
    <s v="2023-12"/>
  </r>
  <r>
    <x v="348"/>
    <x v="6"/>
    <x v="17"/>
    <x v="3"/>
    <x v="119"/>
    <x v="10"/>
    <s v="Series B"/>
    <x v="2"/>
    <n v="1"/>
    <s v="2023-12"/>
  </r>
  <r>
    <x v="349"/>
    <x v="4"/>
    <x v="21"/>
    <x v="113"/>
    <x v="120"/>
    <x v="192"/>
    <s v="Acquired"/>
    <x v="2"/>
    <n v="1"/>
    <s v="2023-12"/>
  </r>
  <r>
    <x v="350"/>
    <x v="6"/>
    <x v="8"/>
    <x v="3"/>
    <x v="120"/>
    <x v="72"/>
    <s v="Series D"/>
    <x v="2"/>
    <n v="1"/>
    <s v="2023-12"/>
  </r>
  <r>
    <x v="351"/>
    <x v="20"/>
    <x v="11"/>
    <x v="28"/>
    <x v="121"/>
    <x v="223"/>
    <s v="Acquired"/>
    <x v="6"/>
    <s v="NA"/>
    <s v="2023-12"/>
  </r>
  <r>
    <x v="33"/>
    <x v="31"/>
    <x v="10"/>
    <x v="33"/>
    <x v="121"/>
    <x v="29"/>
    <s v="Post-IPO"/>
    <x v="2"/>
    <s v="NA"/>
    <s v="2023-12"/>
  </r>
  <r>
    <x v="28"/>
    <x v="16"/>
    <x v="4"/>
    <x v="3"/>
    <x v="121"/>
    <x v="26"/>
    <s v="Series D"/>
    <x v="2"/>
    <s v="NA"/>
    <s v="2023-12"/>
  </r>
  <r>
    <x v="352"/>
    <x v="6"/>
    <x v="7"/>
    <x v="20"/>
    <x v="122"/>
    <x v="232"/>
    <s v="Unknown"/>
    <x v="2"/>
    <s v="NA"/>
    <s v="2023-12"/>
  </r>
  <r>
    <x v="353"/>
    <x v="3"/>
    <x v="6"/>
    <x v="5"/>
    <x v="122"/>
    <x v="12"/>
    <s v="Acquired"/>
    <x v="2"/>
    <n v="0.1"/>
    <s v="2023-12"/>
  </r>
  <r>
    <x v="354"/>
    <x v="20"/>
    <x v="1"/>
    <x v="0"/>
    <x v="123"/>
    <x v="233"/>
    <s v="Series C"/>
    <x v="6"/>
    <n v="1"/>
    <s v="2023-12"/>
  </r>
  <r>
    <x v="352"/>
    <x v="6"/>
    <x v="1"/>
    <x v="20"/>
    <x v="123"/>
    <x v="232"/>
    <s v="Unknown"/>
    <x v="2"/>
    <n v="0.05"/>
    <s v="2023-12"/>
  </r>
  <r>
    <x v="355"/>
    <x v="1"/>
    <x v="14"/>
    <x v="5"/>
    <x v="123"/>
    <x v="55"/>
    <s v="Series B"/>
    <x v="1"/>
    <n v="0.2"/>
    <s v="2023-12"/>
  </r>
  <r>
    <x v="356"/>
    <x v="6"/>
    <x v="1"/>
    <x v="3"/>
    <x v="123"/>
    <x v="194"/>
    <s v="Post-IPO"/>
    <x v="2"/>
    <n v="0.15"/>
    <s v="2023-12"/>
  </r>
  <r>
    <x v="357"/>
    <x v="14"/>
    <x v="3"/>
    <x v="3"/>
    <x v="123"/>
    <x v="234"/>
    <s v="Series F"/>
    <x v="5"/>
    <s v="NA"/>
    <s v="2023-12"/>
  </r>
  <r>
    <x v="358"/>
    <x v="6"/>
    <x v="11"/>
    <x v="3"/>
    <x v="123"/>
    <x v="235"/>
    <s v="Series C"/>
    <x v="2"/>
    <n v="0.25"/>
    <s v="2023-12"/>
  </r>
  <r>
    <x v="359"/>
    <x v="89"/>
    <x v="1"/>
    <x v="3"/>
    <x v="123"/>
    <x v="11"/>
    <s v="Seed"/>
    <x v="15"/>
    <n v="1"/>
    <s v="2023-12"/>
  </r>
  <r>
    <x v="360"/>
    <x v="6"/>
    <x v="6"/>
    <x v="3"/>
    <x v="123"/>
    <x v="47"/>
    <s v="Acquired"/>
    <x v="2"/>
    <s v="NA"/>
    <s v="2023-12"/>
  </r>
  <r>
    <x v="361"/>
    <x v="55"/>
    <x v="26"/>
    <x v="63"/>
    <x v="124"/>
    <x v="236"/>
    <s v="Post-IPO"/>
    <x v="22"/>
    <n v="0.17"/>
    <s v="2023-12"/>
  </r>
  <r>
    <x v="362"/>
    <x v="12"/>
    <x v="10"/>
    <x v="0"/>
    <x v="124"/>
    <x v="237"/>
    <s v="Post-IPO"/>
    <x v="2"/>
    <s v="NA"/>
    <s v="2023-12"/>
  </r>
  <r>
    <x v="363"/>
    <x v="90"/>
    <x v="26"/>
    <x v="114"/>
    <x v="124"/>
    <x v="238"/>
    <s v="Unknown"/>
    <x v="2"/>
    <s v="NA"/>
    <s v="2023-12"/>
  </r>
  <r>
    <x v="364"/>
    <x v="9"/>
    <x v="22"/>
    <x v="3"/>
    <x v="124"/>
    <x v="47"/>
    <s v="Seed"/>
    <x v="2"/>
    <n v="1"/>
    <s v="2023-12"/>
  </r>
  <r>
    <x v="365"/>
    <x v="6"/>
    <x v="4"/>
    <x v="3"/>
    <x v="124"/>
    <x v="239"/>
    <s v="Post-IPO"/>
    <x v="2"/>
    <n v="0.05"/>
    <s v="2023-12"/>
  </r>
  <r>
    <x v="366"/>
    <x v="4"/>
    <x v="4"/>
    <x v="3"/>
    <x v="125"/>
    <x v="12"/>
    <s v="Acquired"/>
    <x v="2"/>
    <n v="1"/>
    <s v="2023-12"/>
  </r>
  <r>
    <x v="367"/>
    <x v="91"/>
    <x v="6"/>
    <x v="5"/>
    <x v="126"/>
    <x v="80"/>
    <s v="Acquired"/>
    <x v="6"/>
    <n v="0.36"/>
    <s v="2023-11"/>
  </r>
  <r>
    <x v="368"/>
    <x v="10"/>
    <x v="1"/>
    <x v="2"/>
    <x v="126"/>
    <x v="240"/>
    <s v="Series E"/>
    <x v="3"/>
    <n v="0.02"/>
    <s v="2023-11"/>
  </r>
  <r>
    <x v="369"/>
    <x v="28"/>
    <x v="27"/>
    <x v="3"/>
    <x v="126"/>
    <x v="241"/>
    <s v="Post-IPO"/>
    <x v="2"/>
    <n v="7.0000000000000007E-2"/>
    <s v="2023-11"/>
  </r>
  <r>
    <x v="370"/>
    <x v="3"/>
    <x v="6"/>
    <x v="3"/>
    <x v="126"/>
    <x v="175"/>
    <s v="Unknown"/>
    <x v="2"/>
    <s v="NA"/>
    <s v="2023-11"/>
  </r>
  <r>
    <x v="371"/>
    <x v="75"/>
    <x v="9"/>
    <x v="3"/>
    <x v="126"/>
    <x v="242"/>
    <s v="Private Equity"/>
    <x v="27"/>
    <s v="NA"/>
    <s v="2023-11"/>
  </r>
  <r>
    <x v="372"/>
    <x v="72"/>
    <x v="26"/>
    <x v="3"/>
    <x v="126"/>
    <x v="243"/>
    <s v="Series F"/>
    <x v="2"/>
    <n v="0.04"/>
    <s v="2023-11"/>
  </r>
  <r>
    <x v="297"/>
    <x v="6"/>
    <x v="4"/>
    <x v="115"/>
    <x v="127"/>
    <x v="22"/>
    <s v="Post-IPO"/>
    <x v="2"/>
    <n v="0.04"/>
    <s v="2023-11"/>
  </r>
  <r>
    <x v="373"/>
    <x v="3"/>
    <x v="23"/>
    <x v="0"/>
    <x v="127"/>
    <x v="99"/>
    <s v="Series F"/>
    <x v="2"/>
    <n v="0.2"/>
    <s v="2023-11"/>
  </r>
  <r>
    <x v="374"/>
    <x v="10"/>
    <x v="11"/>
    <x v="3"/>
    <x v="127"/>
    <x v="244"/>
    <s v="Series D"/>
    <x v="3"/>
    <n v="0.05"/>
    <s v="2023-11"/>
  </r>
  <r>
    <x v="375"/>
    <x v="14"/>
    <x v="10"/>
    <x v="3"/>
    <x v="127"/>
    <x v="245"/>
    <s v="Series D"/>
    <x v="5"/>
    <n v="0.22"/>
    <s v="2023-11"/>
  </r>
  <r>
    <x v="376"/>
    <x v="6"/>
    <x v="8"/>
    <x v="116"/>
    <x v="128"/>
    <x v="246"/>
    <s v="Acquired"/>
    <x v="2"/>
    <s v="NA"/>
    <s v="2023-11"/>
  </r>
  <r>
    <x v="377"/>
    <x v="86"/>
    <x v="6"/>
    <x v="4"/>
    <x v="128"/>
    <x v="247"/>
    <s v="Unknown"/>
    <x v="17"/>
    <s v="NA"/>
    <s v="2023-11"/>
  </r>
  <r>
    <x v="134"/>
    <x v="31"/>
    <x v="10"/>
    <x v="117"/>
    <x v="128"/>
    <x v="17"/>
    <s v="Series B"/>
    <x v="2"/>
    <n v="0.25"/>
    <s v="2023-11"/>
  </r>
  <r>
    <x v="378"/>
    <x v="6"/>
    <x v="28"/>
    <x v="3"/>
    <x v="129"/>
    <x v="248"/>
    <s v="Series D"/>
    <x v="2"/>
    <n v="1"/>
    <s v="2023-11"/>
  </r>
  <r>
    <x v="379"/>
    <x v="91"/>
    <x v="3"/>
    <x v="3"/>
    <x v="130"/>
    <x v="47"/>
    <s v="Seed"/>
    <x v="6"/>
    <n v="1"/>
    <s v="2023-11"/>
  </r>
  <r>
    <x v="380"/>
    <x v="92"/>
    <x v="21"/>
    <x v="1"/>
    <x v="131"/>
    <x v="90"/>
    <s v="Series B"/>
    <x v="15"/>
    <s v="NA"/>
    <s v="2023-11"/>
  </r>
  <r>
    <x v="381"/>
    <x v="14"/>
    <x v="22"/>
    <x v="14"/>
    <x v="131"/>
    <x v="26"/>
    <s v="Unknown"/>
    <x v="5"/>
    <s v="NA"/>
    <s v="2023-11"/>
  </r>
  <r>
    <x v="382"/>
    <x v="62"/>
    <x v="21"/>
    <x v="37"/>
    <x v="131"/>
    <x v="34"/>
    <s v="Series C"/>
    <x v="7"/>
    <s v="NA"/>
    <s v="2023-11"/>
  </r>
  <r>
    <x v="383"/>
    <x v="20"/>
    <x v="1"/>
    <x v="1"/>
    <x v="132"/>
    <x v="249"/>
    <s v="Series A"/>
    <x v="6"/>
    <s v="NA"/>
    <s v="2023-11"/>
  </r>
  <r>
    <x v="384"/>
    <x v="6"/>
    <x v="23"/>
    <x v="3"/>
    <x v="132"/>
    <x v="250"/>
    <s v="Series F"/>
    <x v="2"/>
    <s v="NA"/>
    <s v="2023-11"/>
  </r>
  <r>
    <x v="385"/>
    <x v="6"/>
    <x v="0"/>
    <x v="3"/>
    <x v="132"/>
    <x v="251"/>
    <s v="Post-IPO"/>
    <x v="2"/>
    <n v="0.17"/>
    <s v="2023-11"/>
  </r>
  <r>
    <x v="386"/>
    <x v="83"/>
    <x v="11"/>
    <x v="17"/>
    <x v="133"/>
    <x v="175"/>
    <s v="Series A"/>
    <x v="6"/>
    <n v="0.01"/>
    <s v="2023-11"/>
  </r>
  <r>
    <x v="387"/>
    <x v="93"/>
    <x v="5"/>
    <x v="118"/>
    <x v="134"/>
    <x v="12"/>
    <s v="Acquired"/>
    <x v="2"/>
    <s v="NA"/>
    <s v="2023-11"/>
  </r>
  <r>
    <x v="90"/>
    <x v="4"/>
    <x v="21"/>
    <x v="3"/>
    <x v="134"/>
    <x v="74"/>
    <s v="Post-IPO"/>
    <x v="2"/>
    <s v="NA"/>
    <s v="2023-11"/>
  </r>
  <r>
    <x v="388"/>
    <x v="94"/>
    <x v="28"/>
    <x v="3"/>
    <x v="134"/>
    <x v="12"/>
    <s v="Unknown"/>
    <x v="2"/>
    <n v="0.16"/>
    <s v="2023-11"/>
  </r>
  <r>
    <x v="389"/>
    <x v="45"/>
    <x v="21"/>
    <x v="3"/>
    <x v="134"/>
    <x v="252"/>
    <s v="Series A"/>
    <x v="2"/>
    <n v="1"/>
    <s v="2023-11"/>
  </r>
  <r>
    <x v="390"/>
    <x v="10"/>
    <x v="1"/>
    <x v="3"/>
    <x v="134"/>
    <x v="12"/>
    <s v="Unknown"/>
    <x v="3"/>
    <s v="NA"/>
    <s v="2023-11"/>
  </r>
  <r>
    <x v="391"/>
    <x v="54"/>
    <x v="20"/>
    <x v="119"/>
    <x v="135"/>
    <x v="14"/>
    <s v="Series B"/>
    <x v="2"/>
    <s v="NA"/>
    <s v="2023-11"/>
  </r>
  <r>
    <x v="392"/>
    <x v="41"/>
    <x v="1"/>
    <x v="7"/>
    <x v="135"/>
    <x v="121"/>
    <s v="Acquired"/>
    <x v="15"/>
    <s v="NA"/>
    <s v="2023-11"/>
  </r>
  <r>
    <x v="393"/>
    <x v="10"/>
    <x v="12"/>
    <x v="3"/>
    <x v="135"/>
    <x v="253"/>
    <s v="Series D"/>
    <x v="3"/>
    <n v="0.25"/>
    <s v="2023-11"/>
  </r>
  <r>
    <x v="394"/>
    <x v="3"/>
    <x v="6"/>
    <x v="3"/>
    <x v="135"/>
    <x v="254"/>
    <s v="Post-IPO"/>
    <x v="2"/>
    <s v="NA"/>
    <s v="2023-11"/>
  </r>
  <r>
    <x v="395"/>
    <x v="95"/>
    <x v="1"/>
    <x v="3"/>
    <x v="136"/>
    <x v="202"/>
    <s v="Series B"/>
    <x v="29"/>
    <s v="NA"/>
    <s v="2023-11"/>
  </r>
  <r>
    <x v="396"/>
    <x v="62"/>
    <x v="1"/>
    <x v="3"/>
    <x v="136"/>
    <x v="255"/>
    <s v="Unknown"/>
    <x v="7"/>
    <n v="0.06"/>
    <s v="2023-11"/>
  </r>
  <r>
    <x v="397"/>
    <x v="96"/>
    <x v="22"/>
    <x v="3"/>
    <x v="136"/>
    <x v="256"/>
    <s v="Series C"/>
    <x v="2"/>
    <s v="NA"/>
    <s v="2023-11"/>
  </r>
  <r>
    <x v="111"/>
    <x v="12"/>
    <x v="5"/>
    <x v="3"/>
    <x v="136"/>
    <x v="87"/>
    <s v="Post-IPO"/>
    <x v="2"/>
    <n v="0.1"/>
    <s v="2023-11"/>
  </r>
  <r>
    <x v="398"/>
    <x v="74"/>
    <x v="5"/>
    <x v="3"/>
    <x v="136"/>
    <x v="12"/>
    <s v="Unknown"/>
    <x v="2"/>
    <n v="1"/>
    <s v="2023-11"/>
  </r>
  <r>
    <x v="399"/>
    <x v="39"/>
    <x v="21"/>
    <x v="28"/>
    <x v="137"/>
    <x v="152"/>
    <s v="Post-IPO"/>
    <x v="2"/>
    <s v="NA"/>
    <s v="2023-11"/>
  </r>
  <r>
    <x v="400"/>
    <x v="18"/>
    <x v="20"/>
    <x v="0"/>
    <x v="137"/>
    <x v="257"/>
    <s v="Post-IPO"/>
    <x v="2"/>
    <s v="NA"/>
    <s v="2023-11"/>
  </r>
  <r>
    <x v="401"/>
    <x v="42"/>
    <x v="2"/>
    <x v="31"/>
    <x v="137"/>
    <x v="12"/>
    <s v="Unknown"/>
    <x v="16"/>
    <n v="0.3"/>
    <s v="2023-11"/>
  </r>
  <r>
    <x v="402"/>
    <x v="71"/>
    <x v="5"/>
    <x v="3"/>
    <x v="137"/>
    <x v="258"/>
    <s v="Series D"/>
    <x v="6"/>
    <s v="NA"/>
    <s v="2023-11"/>
  </r>
  <r>
    <x v="403"/>
    <x v="17"/>
    <x v="13"/>
    <x v="3"/>
    <x v="137"/>
    <x v="256"/>
    <s v="Post-IPO"/>
    <x v="2"/>
    <s v="NA"/>
    <s v="2023-11"/>
  </r>
  <r>
    <x v="404"/>
    <x v="11"/>
    <x v="25"/>
    <x v="3"/>
    <x v="137"/>
    <x v="259"/>
    <s v="Acquired"/>
    <x v="2"/>
    <s v="NA"/>
    <s v="2023-11"/>
  </r>
  <r>
    <x v="90"/>
    <x v="4"/>
    <x v="21"/>
    <x v="12"/>
    <x v="138"/>
    <x v="74"/>
    <s v="Post-IPO"/>
    <x v="2"/>
    <s v="NA"/>
    <s v="2023-11"/>
  </r>
  <r>
    <x v="405"/>
    <x v="17"/>
    <x v="7"/>
    <x v="93"/>
    <x v="139"/>
    <x v="11"/>
    <s v="Post-IPO"/>
    <x v="2"/>
    <n v="0.04"/>
    <s v="2023-11"/>
  </r>
  <r>
    <x v="406"/>
    <x v="3"/>
    <x v="0"/>
    <x v="3"/>
    <x v="140"/>
    <x v="260"/>
    <s v="Unknown"/>
    <x v="2"/>
    <s v="NA"/>
    <s v="2023-11"/>
  </r>
  <r>
    <x v="407"/>
    <x v="6"/>
    <x v="12"/>
    <x v="3"/>
    <x v="141"/>
    <x v="99"/>
    <s v="Series G"/>
    <x v="2"/>
    <s v="NA"/>
    <s v="2023-11"/>
  </r>
  <r>
    <x v="408"/>
    <x v="6"/>
    <x v="5"/>
    <x v="3"/>
    <x v="141"/>
    <x v="40"/>
    <s v="Unknown"/>
    <x v="2"/>
    <s v="NA"/>
    <s v="2023-11"/>
  </r>
  <r>
    <x v="409"/>
    <x v="20"/>
    <x v="4"/>
    <x v="3"/>
    <x v="141"/>
    <x v="261"/>
    <s v="Seed"/>
    <x v="6"/>
    <n v="1"/>
    <s v="2023-11"/>
  </r>
  <r>
    <x v="188"/>
    <x v="9"/>
    <x v="6"/>
    <x v="33"/>
    <x v="142"/>
    <x v="140"/>
    <s v="Post-IPO"/>
    <x v="2"/>
    <s v="NA"/>
    <s v="2023-11"/>
  </r>
  <r>
    <x v="90"/>
    <x v="4"/>
    <x v="21"/>
    <x v="3"/>
    <x v="142"/>
    <x v="74"/>
    <s v="Post-IPO"/>
    <x v="2"/>
    <s v="NA"/>
    <s v="2023-11"/>
  </r>
  <r>
    <x v="410"/>
    <x v="16"/>
    <x v="21"/>
    <x v="3"/>
    <x v="142"/>
    <x v="262"/>
    <s v="Post-IPO"/>
    <x v="2"/>
    <n v="7.0000000000000007E-2"/>
    <s v="2023-11"/>
  </r>
  <r>
    <x v="411"/>
    <x v="9"/>
    <x v="22"/>
    <x v="3"/>
    <x v="142"/>
    <x v="22"/>
    <s v="Unknown"/>
    <x v="2"/>
    <s v="NA"/>
    <s v="2023-11"/>
  </r>
  <r>
    <x v="7"/>
    <x v="6"/>
    <x v="6"/>
    <x v="3"/>
    <x v="142"/>
    <x v="7"/>
    <s v="Post-IPO"/>
    <x v="2"/>
    <s v="NA"/>
    <s v="2023-11"/>
  </r>
  <r>
    <x v="412"/>
    <x v="6"/>
    <x v="1"/>
    <x v="120"/>
    <x v="143"/>
    <x v="263"/>
    <s v="Post-IPO"/>
    <x v="2"/>
    <n v="7.0000000000000007E-2"/>
    <s v="2023-11"/>
  </r>
  <r>
    <x v="413"/>
    <x v="4"/>
    <x v="22"/>
    <x v="121"/>
    <x v="143"/>
    <x v="227"/>
    <s v="Post-IPO"/>
    <x v="2"/>
    <s v="NA"/>
    <s v="2023-11"/>
  </r>
  <r>
    <x v="414"/>
    <x v="6"/>
    <x v="6"/>
    <x v="3"/>
    <x v="143"/>
    <x v="264"/>
    <s v="Post-IPO"/>
    <x v="2"/>
    <n v="0.25"/>
    <s v="2023-11"/>
  </r>
  <r>
    <x v="415"/>
    <x v="6"/>
    <x v="22"/>
    <x v="3"/>
    <x v="143"/>
    <x v="265"/>
    <s v="Series C"/>
    <x v="2"/>
    <n v="1"/>
    <s v="2023-11"/>
  </r>
  <r>
    <x v="416"/>
    <x v="3"/>
    <x v="2"/>
    <x v="3"/>
    <x v="144"/>
    <x v="266"/>
    <s v="Unknown"/>
    <x v="2"/>
    <n v="0.12"/>
    <s v="2023-11"/>
  </r>
  <r>
    <x v="64"/>
    <x v="28"/>
    <x v="22"/>
    <x v="3"/>
    <x v="144"/>
    <x v="55"/>
    <s v="Series B"/>
    <x v="2"/>
    <s v="NA"/>
    <s v="2023-11"/>
  </r>
  <r>
    <x v="417"/>
    <x v="97"/>
    <x v="16"/>
    <x v="3"/>
    <x v="144"/>
    <x v="12"/>
    <s v="Series B"/>
    <x v="17"/>
    <s v="NA"/>
    <s v="2023-11"/>
  </r>
  <r>
    <x v="418"/>
    <x v="6"/>
    <x v="4"/>
    <x v="3"/>
    <x v="144"/>
    <x v="267"/>
    <s v="Acquired"/>
    <x v="2"/>
    <s v="NA"/>
    <s v="2023-11"/>
  </r>
  <r>
    <x v="419"/>
    <x v="4"/>
    <x v="25"/>
    <x v="17"/>
    <x v="145"/>
    <x v="12"/>
    <s v="Post-IPO"/>
    <x v="2"/>
    <n v="0.02"/>
    <s v="2023-11"/>
  </r>
  <r>
    <x v="420"/>
    <x v="86"/>
    <x v="10"/>
    <x v="3"/>
    <x v="145"/>
    <x v="213"/>
    <s v="Post-IPO"/>
    <x v="17"/>
    <n v="0.1"/>
    <s v="2023-11"/>
  </r>
  <r>
    <x v="421"/>
    <x v="3"/>
    <x v="2"/>
    <x v="3"/>
    <x v="145"/>
    <x v="268"/>
    <s v="Series C"/>
    <x v="2"/>
    <n v="0.5"/>
    <s v="2023-11"/>
  </r>
  <r>
    <x v="422"/>
    <x v="12"/>
    <x v="4"/>
    <x v="19"/>
    <x v="146"/>
    <x v="269"/>
    <s v="Post-IPO"/>
    <x v="2"/>
    <n v="0.1"/>
    <s v="2023-11"/>
  </r>
  <r>
    <x v="423"/>
    <x v="9"/>
    <x v="0"/>
    <x v="74"/>
    <x v="146"/>
    <x v="270"/>
    <s v="Post-IPO"/>
    <x v="2"/>
    <n v="0.08"/>
    <s v="2023-11"/>
  </r>
  <r>
    <x v="424"/>
    <x v="6"/>
    <x v="28"/>
    <x v="3"/>
    <x v="146"/>
    <x v="271"/>
    <s v="Series D"/>
    <x v="2"/>
    <s v="NA"/>
    <s v="2023-11"/>
  </r>
  <r>
    <x v="425"/>
    <x v="3"/>
    <x v="22"/>
    <x v="3"/>
    <x v="146"/>
    <x v="272"/>
    <s v="Series D"/>
    <x v="2"/>
    <s v="NA"/>
    <s v="2023-11"/>
  </r>
  <r>
    <x v="426"/>
    <x v="98"/>
    <x v="27"/>
    <x v="3"/>
    <x v="146"/>
    <x v="273"/>
    <s v="Post-IPO"/>
    <x v="30"/>
    <n v="0.1"/>
    <s v="2023-11"/>
  </r>
  <r>
    <x v="427"/>
    <x v="6"/>
    <x v="27"/>
    <x v="122"/>
    <x v="147"/>
    <x v="12"/>
    <s v="Post-IPO"/>
    <x v="2"/>
    <n v="0.1"/>
    <s v="2023-11"/>
  </r>
  <r>
    <x v="428"/>
    <x v="6"/>
    <x v="27"/>
    <x v="30"/>
    <x v="147"/>
    <x v="165"/>
    <s v="Post-IPO"/>
    <x v="2"/>
    <n v="7.0000000000000007E-2"/>
    <s v="2023-11"/>
  </r>
  <r>
    <x v="429"/>
    <x v="6"/>
    <x v="21"/>
    <x v="38"/>
    <x v="147"/>
    <x v="14"/>
    <s v="Series G"/>
    <x v="2"/>
    <n v="0.2"/>
    <s v="2023-11"/>
  </r>
  <r>
    <x v="430"/>
    <x v="16"/>
    <x v="12"/>
    <x v="6"/>
    <x v="147"/>
    <x v="274"/>
    <s v="Series B"/>
    <x v="2"/>
    <n v="0.5"/>
    <s v="2023-11"/>
  </r>
  <r>
    <x v="431"/>
    <x v="74"/>
    <x v="5"/>
    <x v="3"/>
    <x v="148"/>
    <x v="275"/>
    <s v="Series H"/>
    <x v="2"/>
    <n v="1"/>
    <s v="2023-10"/>
  </r>
  <r>
    <x v="432"/>
    <x v="14"/>
    <x v="15"/>
    <x v="123"/>
    <x v="149"/>
    <x v="12"/>
    <s v="Acquired"/>
    <x v="5"/>
    <n v="0.05"/>
    <s v="2023-10"/>
  </r>
  <r>
    <x v="433"/>
    <x v="6"/>
    <x v="4"/>
    <x v="31"/>
    <x v="149"/>
    <x v="182"/>
    <s v="Series B"/>
    <x v="2"/>
    <s v="NA"/>
    <s v="2023-10"/>
  </r>
  <r>
    <x v="434"/>
    <x v="9"/>
    <x v="1"/>
    <x v="3"/>
    <x v="150"/>
    <x v="217"/>
    <s v="Series B"/>
    <x v="2"/>
    <s v="NA"/>
    <s v="2023-10"/>
  </r>
  <r>
    <x v="435"/>
    <x v="6"/>
    <x v="1"/>
    <x v="17"/>
    <x v="151"/>
    <x v="22"/>
    <s v="Post-IPO"/>
    <x v="2"/>
    <n v="0.2"/>
    <s v="2023-10"/>
  </r>
  <r>
    <x v="436"/>
    <x v="20"/>
    <x v="11"/>
    <x v="31"/>
    <x v="151"/>
    <x v="12"/>
    <s v="Subsidiary"/>
    <x v="6"/>
    <n v="0.2"/>
    <s v="2023-10"/>
  </r>
  <r>
    <x v="437"/>
    <x v="17"/>
    <x v="21"/>
    <x v="124"/>
    <x v="152"/>
    <x v="276"/>
    <s v="Unknown"/>
    <x v="2"/>
    <s v="NA"/>
    <s v="2023-10"/>
  </r>
  <r>
    <x v="438"/>
    <x v="99"/>
    <x v="25"/>
    <x v="43"/>
    <x v="152"/>
    <x v="12"/>
    <s v="Post-IPO"/>
    <x v="23"/>
    <s v="NA"/>
    <s v="2023-10"/>
  </r>
  <r>
    <x v="439"/>
    <x v="20"/>
    <x v="21"/>
    <x v="33"/>
    <x v="152"/>
    <x v="12"/>
    <s v="Series A"/>
    <x v="6"/>
    <n v="0.33"/>
    <s v="2023-10"/>
  </r>
  <r>
    <x v="440"/>
    <x v="6"/>
    <x v="25"/>
    <x v="3"/>
    <x v="152"/>
    <x v="277"/>
    <s v="Series F"/>
    <x v="2"/>
    <n v="0.2"/>
    <s v="2023-10"/>
  </r>
  <r>
    <x v="374"/>
    <x v="10"/>
    <x v="11"/>
    <x v="3"/>
    <x v="152"/>
    <x v="244"/>
    <s v="Series D"/>
    <x v="3"/>
    <s v="NA"/>
    <s v="2023-10"/>
  </r>
  <r>
    <x v="441"/>
    <x v="73"/>
    <x v="24"/>
    <x v="3"/>
    <x v="152"/>
    <x v="223"/>
    <s v="Series B"/>
    <x v="2"/>
    <n v="1"/>
    <s v="2023-10"/>
  </r>
  <r>
    <x v="442"/>
    <x v="6"/>
    <x v="16"/>
    <x v="80"/>
    <x v="153"/>
    <x v="278"/>
    <s v="Series F"/>
    <x v="2"/>
    <n v="0.2"/>
    <s v="2023-10"/>
  </r>
  <r>
    <x v="443"/>
    <x v="6"/>
    <x v="6"/>
    <x v="3"/>
    <x v="153"/>
    <x v="5"/>
    <s v="Seed"/>
    <x v="2"/>
    <n v="1"/>
    <s v="2023-10"/>
  </r>
  <r>
    <x v="444"/>
    <x v="96"/>
    <x v="21"/>
    <x v="3"/>
    <x v="153"/>
    <x v="164"/>
    <s v="Acquired"/>
    <x v="2"/>
    <n v="0.03"/>
    <s v="2023-10"/>
  </r>
  <r>
    <x v="445"/>
    <x v="10"/>
    <x v="2"/>
    <x v="1"/>
    <x v="154"/>
    <x v="12"/>
    <s v="Unknown"/>
    <x v="3"/>
    <n v="0.3"/>
    <s v="2023-10"/>
  </r>
  <r>
    <x v="446"/>
    <x v="100"/>
    <x v="6"/>
    <x v="8"/>
    <x v="154"/>
    <x v="12"/>
    <s v="Subsidiary"/>
    <x v="17"/>
    <s v="NA"/>
    <s v="2023-10"/>
  </r>
  <r>
    <x v="195"/>
    <x v="3"/>
    <x v="5"/>
    <x v="125"/>
    <x v="155"/>
    <x v="145"/>
    <s v="Unknown"/>
    <x v="2"/>
    <n v="0.17"/>
    <s v="2023-10"/>
  </r>
  <r>
    <x v="8"/>
    <x v="3"/>
    <x v="1"/>
    <x v="126"/>
    <x v="155"/>
    <x v="8"/>
    <s v="Series B"/>
    <x v="2"/>
    <s v="NA"/>
    <s v="2023-10"/>
  </r>
  <r>
    <x v="195"/>
    <x v="3"/>
    <x v="5"/>
    <x v="3"/>
    <x v="155"/>
    <x v="145"/>
    <s v="Unknown"/>
    <x v="2"/>
    <n v="0.25"/>
    <s v="2023-10"/>
  </r>
  <r>
    <x v="447"/>
    <x v="4"/>
    <x v="24"/>
    <x v="30"/>
    <x v="156"/>
    <x v="99"/>
    <s v="Series E"/>
    <x v="2"/>
    <n v="1"/>
    <s v="2023-10"/>
  </r>
  <r>
    <x v="448"/>
    <x v="17"/>
    <x v="9"/>
    <x v="24"/>
    <x v="156"/>
    <x v="10"/>
    <s v="Acquired"/>
    <x v="2"/>
    <n v="0.09"/>
    <s v="2023-10"/>
  </r>
  <r>
    <x v="449"/>
    <x v="16"/>
    <x v="29"/>
    <x v="1"/>
    <x v="156"/>
    <x v="279"/>
    <s v="Post-IPO"/>
    <x v="2"/>
    <s v="NA"/>
    <s v="2023-10"/>
  </r>
  <r>
    <x v="450"/>
    <x v="101"/>
    <x v="27"/>
    <x v="72"/>
    <x v="156"/>
    <x v="90"/>
    <s v="Series A"/>
    <x v="7"/>
    <n v="0.28000000000000003"/>
    <s v="2023-10"/>
  </r>
  <r>
    <x v="451"/>
    <x v="32"/>
    <x v="21"/>
    <x v="23"/>
    <x v="157"/>
    <x v="280"/>
    <s v="Series F"/>
    <x v="11"/>
    <n v="0.25"/>
    <s v="2023-10"/>
  </r>
  <r>
    <x v="7"/>
    <x v="6"/>
    <x v="6"/>
    <x v="5"/>
    <x v="157"/>
    <x v="7"/>
    <s v="Post-IPO"/>
    <x v="2"/>
    <s v="NA"/>
    <s v="2023-10"/>
  </r>
  <r>
    <x v="452"/>
    <x v="46"/>
    <x v="4"/>
    <x v="78"/>
    <x v="157"/>
    <x v="33"/>
    <s v="Series A"/>
    <x v="18"/>
    <n v="0.1"/>
    <s v="2023-10"/>
  </r>
  <r>
    <x v="453"/>
    <x v="11"/>
    <x v="5"/>
    <x v="56"/>
    <x v="157"/>
    <x v="21"/>
    <s v="Series B"/>
    <x v="2"/>
    <s v="NA"/>
    <s v="2023-10"/>
  </r>
  <r>
    <x v="454"/>
    <x v="48"/>
    <x v="21"/>
    <x v="3"/>
    <x v="157"/>
    <x v="12"/>
    <s v="Seed"/>
    <x v="6"/>
    <n v="1"/>
    <s v="2023-10"/>
  </r>
  <r>
    <x v="455"/>
    <x v="6"/>
    <x v="28"/>
    <x v="3"/>
    <x v="157"/>
    <x v="185"/>
    <s v="Seed"/>
    <x v="2"/>
    <n v="1"/>
    <s v="2023-10"/>
  </r>
  <r>
    <x v="456"/>
    <x v="55"/>
    <x v="10"/>
    <x v="3"/>
    <x v="157"/>
    <x v="277"/>
    <s v="Series C"/>
    <x v="22"/>
    <n v="1"/>
    <s v="2023-10"/>
  </r>
  <r>
    <x v="59"/>
    <x v="4"/>
    <x v="7"/>
    <x v="1"/>
    <x v="158"/>
    <x v="51"/>
    <s v="Post-IPO"/>
    <x v="2"/>
    <s v="NA"/>
    <s v="2023-10"/>
  </r>
  <r>
    <x v="457"/>
    <x v="6"/>
    <x v="10"/>
    <x v="3"/>
    <x v="158"/>
    <x v="76"/>
    <s v="Subsidiary"/>
    <x v="2"/>
    <s v="NA"/>
    <s v="2023-10"/>
  </r>
  <r>
    <x v="458"/>
    <x v="6"/>
    <x v="15"/>
    <x v="127"/>
    <x v="159"/>
    <x v="281"/>
    <s v="Acquired"/>
    <x v="2"/>
    <n v="0.03"/>
    <s v="2023-10"/>
  </r>
  <r>
    <x v="459"/>
    <x v="48"/>
    <x v="21"/>
    <x v="58"/>
    <x v="159"/>
    <x v="282"/>
    <s v="Series C"/>
    <x v="6"/>
    <s v="NA"/>
    <s v="2023-10"/>
  </r>
  <r>
    <x v="460"/>
    <x v="102"/>
    <x v="1"/>
    <x v="54"/>
    <x v="159"/>
    <x v="283"/>
    <s v="Series H"/>
    <x v="2"/>
    <n v="0.03"/>
    <s v="2023-10"/>
  </r>
  <r>
    <x v="461"/>
    <x v="103"/>
    <x v="7"/>
    <x v="54"/>
    <x v="159"/>
    <x v="127"/>
    <s v="Acquired"/>
    <x v="2"/>
    <s v="NA"/>
    <s v="2023-10"/>
  </r>
  <r>
    <x v="462"/>
    <x v="6"/>
    <x v="4"/>
    <x v="128"/>
    <x v="159"/>
    <x v="12"/>
    <s v="Acquired"/>
    <x v="2"/>
    <n v="0.5"/>
    <s v="2023-10"/>
  </r>
  <r>
    <x v="463"/>
    <x v="3"/>
    <x v="15"/>
    <x v="3"/>
    <x v="159"/>
    <x v="182"/>
    <s v="Acquired"/>
    <x v="2"/>
    <n v="0.28000000000000003"/>
    <s v="2023-10"/>
  </r>
  <r>
    <x v="464"/>
    <x v="104"/>
    <x v="6"/>
    <x v="3"/>
    <x v="160"/>
    <x v="12"/>
    <s v="Acquired"/>
    <x v="3"/>
    <s v="NA"/>
    <s v="2023-10"/>
  </r>
  <r>
    <x v="465"/>
    <x v="48"/>
    <x v="11"/>
    <x v="11"/>
    <x v="161"/>
    <x v="62"/>
    <s v="Series B"/>
    <x v="6"/>
    <s v="NA"/>
    <s v="2023-10"/>
  </r>
  <r>
    <x v="226"/>
    <x v="6"/>
    <x v="24"/>
    <x v="3"/>
    <x v="162"/>
    <x v="165"/>
    <s v="Series E"/>
    <x v="2"/>
    <n v="0.2"/>
    <s v="2023-10"/>
  </r>
  <r>
    <x v="466"/>
    <x v="3"/>
    <x v="5"/>
    <x v="3"/>
    <x v="162"/>
    <x v="12"/>
    <s v="Unknown"/>
    <x v="2"/>
    <s v="NA"/>
    <s v="2023-10"/>
  </r>
  <r>
    <x v="467"/>
    <x v="12"/>
    <x v="16"/>
    <x v="129"/>
    <x v="163"/>
    <x v="12"/>
    <s v="Post-IPO"/>
    <x v="2"/>
    <n v="0.02"/>
    <s v="2023-10"/>
  </r>
  <r>
    <x v="468"/>
    <x v="6"/>
    <x v="1"/>
    <x v="130"/>
    <x v="163"/>
    <x v="284"/>
    <s v="Post-IPO"/>
    <x v="2"/>
    <n v="0.14000000000000001"/>
    <s v="2023-10"/>
  </r>
  <r>
    <x v="469"/>
    <x v="6"/>
    <x v="27"/>
    <x v="118"/>
    <x v="163"/>
    <x v="20"/>
    <s v="Post-IPO"/>
    <x v="2"/>
    <n v="0.28000000000000003"/>
    <s v="2023-10"/>
  </r>
  <r>
    <x v="470"/>
    <x v="6"/>
    <x v="23"/>
    <x v="33"/>
    <x v="164"/>
    <x v="6"/>
    <s v="Series B"/>
    <x v="2"/>
    <n v="0.2"/>
    <s v="2023-10"/>
  </r>
  <r>
    <x v="471"/>
    <x v="105"/>
    <x v="25"/>
    <x v="3"/>
    <x v="164"/>
    <x v="285"/>
    <s v="Private Equity"/>
    <x v="30"/>
    <s v="NA"/>
    <s v="2023-10"/>
  </r>
  <r>
    <x v="472"/>
    <x v="106"/>
    <x v="1"/>
    <x v="12"/>
    <x v="165"/>
    <x v="286"/>
    <s v="Series D"/>
    <x v="31"/>
    <s v="NA"/>
    <s v="2023-10"/>
  </r>
  <r>
    <x v="254"/>
    <x v="73"/>
    <x v="21"/>
    <x v="131"/>
    <x v="166"/>
    <x v="34"/>
    <s v="Post-IPO"/>
    <x v="2"/>
    <s v="NA"/>
    <s v="2023-10"/>
  </r>
  <r>
    <x v="147"/>
    <x v="6"/>
    <x v="5"/>
    <x v="132"/>
    <x v="166"/>
    <x v="111"/>
    <s v="Series D"/>
    <x v="2"/>
    <n v="0.05"/>
    <s v="2023-10"/>
  </r>
  <r>
    <x v="473"/>
    <x v="4"/>
    <x v="20"/>
    <x v="5"/>
    <x v="166"/>
    <x v="251"/>
    <s v="Unknown"/>
    <x v="2"/>
    <s v="NA"/>
    <s v="2023-10"/>
  </r>
  <r>
    <x v="474"/>
    <x v="6"/>
    <x v="1"/>
    <x v="3"/>
    <x v="166"/>
    <x v="12"/>
    <s v="Unknown"/>
    <x v="2"/>
    <n v="1"/>
    <s v="2023-10"/>
  </r>
  <r>
    <x v="475"/>
    <x v="107"/>
    <x v="6"/>
    <x v="3"/>
    <x v="166"/>
    <x v="12"/>
    <s v="Acquired"/>
    <x v="2"/>
    <n v="0.6"/>
    <s v="2023-10"/>
  </r>
  <r>
    <x v="476"/>
    <x v="108"/>
    <x v="7"/>
    <x v="133"/>
    <x v="167"/>
    <x v="12"/>
    <s v="Private Equity"/>
    <x v="2"/>
    <n v="0.09"/>
    <s v="2023-10"/>
  </r>
  <r>
    <x v="477"/>
    <x v="6"/>
    <x v="16"/>
    <x v="75"/>
    <x v="168"/>
    <x v="25"/>
    <s v="Post-IPO"/>
    <x v="2"/>
    <n v="0.04"/>
    <s v="2023-10"/>
  </r>
  <r>
    <x v="478"/>
    <x v="9"/>
    <x v="1"/>
    <x v="54"/>
    <x v="168"/>
    <x v="287"/>
    <s v="Private Equity"/>
    <x v="2"/>
    <n v="0.05"/>
    <s v="2023-10"/>
  </r>
  <r>
    <x v="479"/>
    <x v="6"/>
    <x v="6"/>
    <x v="3"/>
    <x v="168"/>
    <x v="92"/>
    <s v="Series B"/>
    <x v="2"/>
    <n v="0.09"/>
    <s v="2023-10"/>
  </r>
  <r>
    <x v="480"/>
    <x v="3"/>
    <x v="1"/>
    <x v="3"/>
    <x v="168"/>
    <x v="6"/>
    <s v="Unknown"/>
    <x v="2"/>
    <n v="1"/>
    <s v="2023-10"/>
  </r>
  <r>
    <x v="481"/>
    <x v="6"/>
    <x v="10"/>
    <x v="3"/>
    <x v="168"/>
    <x v="103"/>
    <s v="Post-IPO"/>
    <x v="2"/>
    <n v="1"/>
    <s v="2023-10"/>
  </r>
  <r>
    <x v="482"/>
    <x v="39"/>
    <x v="2"/>
    <x v="3"/>
    <x v="168"/>
    <x v="288"/>
    <s v="Unknown"/>
    <x v="2"/>
    <s v="NA"/>
    <s v="2023-10"/>
  </r>
  <r>
    <x v="42"/>
    <x v="6"/>
    <x v="17"/>
    <x v="120"/>
    <x v="169"/>
    <x v="36"/>
    <s v="Post-IPO"/>
    <x v="2"/>
    <s v="NA"/>
    <s v="2023-10"/>
  </r>
  <r>
    <x v="483"/>
    <x v="91"/>
    <x v="21"/>
    <x v="31"/>
    <x v="169"/>
    <x v="110"/>
    <s v="Series E"/>
    <x v="6"/>
    <s v="NA"/>
    <s v="2023-10"/>
  </r>
  <r>
    <x v="484"/>
    <x v="6"/>
    <x v="11"/>
    <x v="27"/>
    <x v="169"/>
    <x v="115"/>
    <s v="Acquired"/>
    <x v="2"/>
    <n v="0.14000000000000001"/>
    <s v="2023-10"/>
  </r>
  <r>
    <x v="27"/>
    <x v="4"/>
    <x v="15"/>
    <x v="134"/>
    <x v="169"/>
    <x v="12"/>
    <s v="Series C"/>
    <x v="2"/>
    <n v="7.0000000000000007E-2"/>
    <s v="2023-10"/>
  </r>
  <r>
    <x v="485"/>
    <x v="10"/>
    <x v="10"/>
    <x v="3"/>
    <x v="169"/>
    <x v="289"/>
    <s v="Post-IPO"/>
    <x v="3"/>
    <n v="0.25"/>
    <s v="2023-10"/>
  </r>
  <r>
    <x v="486"/>
    <x v="32"/>
    <x v="2"/>
    <x v="3"/>
    <x v="169"/>
    <x v="290"/>
    <s v="Series C"/>
    <x v="11"/>
    <n v="0.12"/>
    <s v="2023-10"/>
  </r>
  <r>
    <x v="487"/>
    <x v="28"/>
    <x v="4"/>
    <x v="135"/>
    <x v="170"/>
    <x v="59"/>
    <s v="Acquired"/>
    <x v="2"/>
    <n v="0.14000000000000001"/>
    <s v="2023-10"/>
  </r>
  <r>
    <x v="488"/>
    <x v="38"/>
    <x v="7"/>
    <x v="38"/>
    <x v="170"/>
    <x v="291"/>
    <s v="Unknown"/>
    <x v="7"/>
    <n v="0.3"/>
    <s v="2023-10"/>
  </r>
  <r>
    <x v="489"/>
    <x v="9"/>
    <x v="10"/>
    <x v="3"/>
    <x v="170"/>
    <x v="292"/>
    <s v="Post-IPO"/>
    <x v="2"/>
    <s v="NA"/>
    <s v="2023-10"/>
  </r>
  <r>
    <x v="214"/>
    <x v="6"/>
    <x v="1"/>
    <x v="3"/>
    <x v="170"/>
    <x v="157"/>
    <s v="Post-IPO"/>
    <x v="2"/>
    <s v="NA"/>
    <s v="2023-10"/>
  </r>
  <r>
    <x v="127"/>
    <x v="6"/>
    <x v="6"/>
    <x v="3"/>
    <x v="170"/>
    <x v="97"/>
    <s v="Post-IPO"/>
    <x v="2"/>
    <s v="NA"/>
    <s v="2023-10"/>
  </r>
  <r>
    <x v="490"/>
    <x v="10"/>
    <x v="17"/>
    <x v="3"/>
    <x v="171"/>
    <x v="12"/>
    <s v="Unknown"/>
    <x v="3"/>
    <s v="NA"/>
    <s v="2023-10"/>
  </r>
  <r>
    <x v="491"/>
    <x v="6"/>
    <x v="3"/>
    <x v="3"/>
    <x v="171"/>
    <x v="154"/>
    <s v="Series C"/>
    <x v="2"/>
    <s v="NA"/>
    <s v="2023-10"/>
  </r>
  <r>
    <x v="286"/>
    <x v="6"/>
    <x v="6"/>
    <x v="3"/>
    <x v="171"/>
    <x v="55"/>
    <s v="Acquired"/>
    <x v="2"/>
    <s v="NA"/>
    <s v="2023-10"/>
  </r>
  <r>
    <x v="492"/>
    <x v="3"/>
    <x v="2"/>
    <x v="0"/>
    <x v="172"/>
    <x v="138"/>
    <s v="Series F"/>
    <x v="2"/>
    <n v="0.15"/>
    <s v="2023-10"/>
  </r>
  <r>
    <x v="493"/>
    <x v="6"/>
    <x v="1"/>
    <x v="136"/>
    <x v="172"/>
    <x v="86"/>
    <s v="Series B"/>
    <x v="2"/>
    <n v="0.4"/>
    <s v="2023-10"/>
  </r>
  <r>
    <x v="494"/>
    <x v="6"/>
    <x v="2"/>
    <x v="126"/>
    <x v="172"/>
    <x v="293"/>
    <s v="Series D"/>
    <x v="2"/>
    <n v="0.37"/>
    <s v="2023-10"/>
  </r>
  <r>
    <x v="495"/>
    <x v="72"/>
    <x v="25"/>
    <x v="3"/>
    <x v="172"/>
    <x v="294"/>
    <s v="Post-IPO"/>
    <x v="2"/>
    <n v="1"/>
    <s v="2023-10"/>
  </r>
  <r>
    <x v="496"/>
    <x v="68"/>
    <x v="10"/>
    <x v="3"/>
    <x v="172"/>
    <x v="295"/>
    <s v="Post-IPO"/>
    <x v="5"/>
    <s v="NA"/>
    <s v="2023-10"/>
  </r>
  <r>
    <x v="497"/>
    <x v="6"/>
    <x v="1"/>
    <x v="26"/>
    <x v="173"/>
    <x v="208"/>
    <s v="Series B"/>
    <x v="2"/>
    <n v="0.12"/>
    <s v="2023-09"/>
  </r>
  <r>
    <x v="498"/>
    <x v="14"/>
    <x v="1"/>
    <x v="53"/>
    <x v="173"/>
    <x v="14"/>
    <s v="Series E"/>
    <x v="5"/>
    <s v="NA"/>
    <s v="2023-09"/>
  </r>
  <r>
    <x v="499"/>
    <x v="78"/>
    <x v="12"/>
    <x v="137"/>
    <x v="173"/>
    <x v="28"/>
    <s v="Series A"/>
    <x v="7"/>
    <s v="NA"/>
    <s v="2023-09"/>
  </r>
  <r>
    <x v="500"/>
    <x v="78"/>
    <x v="3"/>
    <x v="3"/>
    <x v="173"/>
    <x v="296"/>
    <s v="Series D"/>
    <x v="7"/>
    <s v="NA"/>
    <s v="2023-09"/>
  </r>
  <r>
    <x v="501"/>
    <x v="109"/>
    <x v="6"/>
    <x v="138"/>
    <x v="174"/>
    <x v="297"/>
    <s v="Unknown"/>
    <x v="2"/>
    <n v="0.16"/>
    <s v="2023-09"/>
  </r>
  <r>
    <x v="502"/>
    <x v="3"/>
    <x v="19"/>
    <x v="17"/>
    <x v="174"/>
    <x v="61"/>
    <s v="Acquired"/>
    <x v="2"/>
    <s v="NA"/>
    <s v="2023-09"/>
  </r>
  <r>
    <x v="250"/>
    <x v="72"/>
    <x v="11"/>
    <x v="3"/>
    <x v="174"/>
    <x v="180"/>
    <s v="Post-IPO"/>
    <x v="2"/>
    <s v="NA"/>
    <s v="2023-09"/>
  </r>
  <r>
    <x v="503"/>
    <x v="14"/>
    <x v="21"/>
    <x v="3"/>
    <x v="174"/>
    <x v="12"/>
    <s v="Acquired"/>
    <x v="2"/>
    <n v="1"/>
    <s v="2023-09"/>
  </r>
  <r>
    <x v="188"/>
    <x v="9"/>
    <x v="6"/>
    <x v="22"/>
    <x v="175"/>
    <x v="140"/>
    <s v="Post-IPO"/>
    <x v="2"/>
    <s v="NA"/>
    <s v="2023-09"/>
  </r>
  <r>
    <x v="504"/>
    <x v="20"/>
    <x v="1"/>
    <x v="2"/>
    <x v="175"/>
    <x v="126"/>
    <s v="Series C"/>
    <x v="6"/>
    <n v="0.1"/>
    <s v="2023-09"/>
  </r>
  <r>
    <x v="505"/>
    <x v="20"/>
    <x v="0"/>
    <x v="0"/>
    <x v="176"/>
    <x v="298"/>
    <s v="Unknown"/>
    <x v="6"/>
    <n v="0.3"/>
    <s v="2023-09"/>
  </r>
  <r>
    <x v="300"/>
    <x v="4"/>
    <x v="24"/>
    <x v="139"/>
    <x v="176"/>
    <x v="163"/>
    <s v="Series D"/>
    <x v="2"/>
    <n v="0.33"/>
    <s v="2023-09"/>
  </r>
  <r>
    <x v="506"/>
    <x v="6"/>
    <x v="18"/>
    <x v="3"/>
    <x v="176"/>
    <x v="299"/>
    <s v="Series D"/>
    <x v="2"/>
    <s v="NA"/>
    <s v="2023-09"/>
  </r>
  <r>
    <x v="507"/>
    <x v="28"/>
    <x v="4"/>
    <x v="133"/>
    <x v="177"/>
    <x v="300"/>
    <s v="Series E"/>
    <x v="2"/>
    <n v="7.0000000000000007E-2"/>
    <s v="2023-09"/>
  </r>
  <r>
    <x v="508"/>
    <x v="6"/>
    <x v="0"/>
    <x v="5"/>
    <x v="178"/>
    <x v="301"/>
    <s v="Unknown"/>
    <x v="2"/>
    <s v="NA"/>
    <s v="2023-09"/>
  </r>
  <r>
    <x v="509"/>
    <x v="6"/>
    <x v="30"/>
    <x v="78"/>
    <x v="178"/>
    <x v="302"/>
    <s v="Series B"/>
    <x v="2"/>
    <n v="0.25"/>
    <s v="2023-09"/>
  </r>
  <r>
    <x v="510"/>
    <x v="3"/>
    <x v="6"/>
    <x v="2"/>
    <x v="178"/>
    <x v="303"/>
    <s v="Post-IPO"/>
    <x v="2"/>
    <s v="NA"/>
    <s v="2023-09"/>
  </r>
  <r>
    <x v="511"/>
    <x v="42"/>
    <x v="0"/>
    <x v="3"/>
    <x v="178"/>
    <x v="304"/>
    <s v="Acquired"/>
    <x v="16"/>
    <s v="NA"/>
    <s v="2023-09"/>
  </r>
  <r>
    <x v="512"/>
    <x v="110"/>
    <x v="26"/>
    <x v="3"/>
    <x v="178"/>
    <x v="190"/>
    <s v="Series A"/>
    <x v="3"/>
    <n v="1"/>
    <s v="2023-09"/>
  </r>
  <r>
    <x v="513"/>
    <x v="20"/>
    <x v="21"/>
    <x v="80"/>
    <x v="179"/>
    <x v="17"/>
    <s v="Series E"/>
    <x v="6"/>
    <s v="NA"/>
    <s v="2023-09"/>
  </r>
  <r>
    <x v="514"/>
    <x v="34"/>
    <x v="5"/>
    <x v="1"/>
    <x v="179"/>
    <x v="12"/>
    <s v="Acquired"/>
    <x v="2"/>
    <s v="NA"/>
    <s v="2023-09"/>
  </r>
  <r>
    <x v="515"/>
    <x v="6"/>
    <x v="1"/>
    <x v="3"/>
    <x v="179"/>
    <x v="305"/>
    <s v="Post-IPO"/>
    <x v="2"/>
    <s v="NA"/>
    <s v="2023-09"/>
  </r>
  <r>
    <x v="516"/>
    <x v="20"/>
    <x v="1"/>
    <x v="3"/>
    <x v="180"/>
    <x v="144"/>
    <s v="Seed"/>
    <x v="6"/>
    <n v="1"/>
    <s v="2023-09"/>
  </r>
  <r>
    <x v="517"/>
    <x v="4"/>
    <x v="9"/>
    <x v="3"/>
    <x v="180"/>
    <x v="306"/>
    <s v="Series G"/>
    <x v="2"/>
    <n v="0.12"/>
    <s v="2023-09"/>
  </r>
  <r>
    <x v="518"/>
    <x v="6"/>
    <x v="22"/>
    <x v="3"/>
    <x v="180"/>
    <x v="12"/>
    <s v="Unknown"/>
    <x v="2"/>
    <s v="NA"/>
    <s v="2023-09"/>
  </r>
  <r>
    <x v="519"/>
    <x v="6"/>
    <x v="0"/>
    <x v="3"/>
    <x v="181"/>
    <x v="121"/>
    <s v="Seed"/>
    <x v="2"/>
    <n v="1"/>
    <s v="2023-09"/>
  </r>
  <r>
    <x v="164"/>
    <x v="6"/>
    <x v="8"/>
    <x v="62"/>
    <x v="182"/>
    <x v="78"/>
    <s v="Post-IPO"/>
    <x v="2"/>
    <s v="NA"/>
    <s v="2023-09"/>
  </r>
  <r>
    <x v="520"/>
    <x v="6"/>
    <x v="0"/>
    <x v="3"/>
    <x v="182"/>
    <x v="261"/>
    <s v="Seed"/>
    <x v="2"/>
    <n v="1"/>
    <s v="2023-09"/>
  </r>
  <r>
    <x v="521"/>
    <x v="17"/>
    <x v="5"/>
    <x v="140"/>
    <x v="183"/>
    <x v="307"/>
    <s v="Post-IPO"/>
    <x v="2"/>
    <s v="NA"/>
    <s v="2023-09"/>
  </r>
  <r>
    <x v="272"/>
    <x v="78"/>
    <x v="0"/>
    <x v="2"/>
    <x v="183"/>
    <x v="191"/>
    <s v="Series C"/>
    <x v="7"/>
    <n v="7.0000000000000007E-2"/>
    <s v="2023-09"/>
  </r>
  <r>
    <x v="522"/>
    <x v="20"/>
    <x v="1"/>
    <x v="3"/>
    <x v="183"/>
    <x v="43"/>
    <s v="Series A"/>
    <x v="6"/>
    <n v="0.14000000000000001"/>
    <s v="2023-09"/>
  </r>
  <r>
    <x v="523"/>
    <x v="6"/>
    <x v="14"/>
    <x v="141"/>
    <x v="184"/>
    <x v="52"/>
    <s v="Series F"/>
    <x v="2"/>
    <n v="0.27"/>
    <s v="2023-09"/>
  </r>
  <r>
    <x v="524"/>
    <x v="58"/>
    <x v="24"/>
    <x v="25"/>
    <x v="184"/>
    <x v="308"/>
    <s v="Unknown"/>
    <x v="2"/>
    <s v="NA"/>
    <s v="2023-09"/>
  </r>
  <r>
    <x v="312"/>
    <x v="9"/>
    <x v="3"/>
    <x v="5"/>
    <x v="184"/>
    <x v="211"/>
    <s v="Series F"/>
    <x v="2"/>
    <n v="0.1"/>
    <s v="2023-09"/>
  </r>
  <r>
    <x v="525"/>
    <x v="3"/>
    <x v="2"/>
    <x v="3"/>
    <x v="184"/>
    <x v="282"/>
    <s v="Series A"/>
    <x v="2"/>
    <n v="0.2"/>
    <s v="2023-09"/>
  </r>
  <r>
    <x v="7"/>
    <x v="6"/>
    <x v="6"/>
    <x v="133"/>
    <x v="185"/>
    <x v="7"/>
    <s v="Post-IPO"/>
    <x v="2"/>
    <s v="NA"/>
    <s v="2023-09"/>
  </r>
  <r>
    <x v="526"/>
    <x v="17"/>
    <x v="5"/>
    <x v="3"/>
    <x v="185"/>
    <x v="309"/>
    <s v="Post-IPO"/>
    <x v="2"/>
    <n v="0.4"/>
    <s v="2023-09"/>
  </r>
  <r>
    <x v="527"/>
    <x v="11"/>
    <x v="7"/>
    <x v="142"/>
    <x v="186"/>
    <x v="262"/>
    <s v="Series F"/>
    <x v="2"/>
    <n v="0.2"/>
    <s v="2023-09"/>
  </r>
  <r>
    <x v="528"/>
    <x v="6"/>
    <x v="2"/>
    <x v="1"/>
    <x v="186"/>
    <x v="12"/>
    <s v="Subsidiary"/>
    <x v="2"/>
    <n v="0.33"/>
    <s v="2023-09"/>
  </r>
  <r>
    <x v="529"/>
    <x v="38"/>
    <x v="11"/>
    <x v="143"/>
    <x v="186"/>
    <x v="310"/>
    <s v="Series D"/>
    <x v="7"/>
    <n v="0.03"/>
    <s v="2023-09"/>
  </r>
  <r>
    <x v="530"/>
    <x v="14"/>
    <x v="22"/>
    <x v="5"/>
    <x v="186"/>
    <x v="106"/>
    <s v="Unknown"/>
    <x v="5"/>
    <n v="0.2"/>
    <s v="2023-09"/>
  </r>
  <r>
    <x v="531"/>
    <x v="6"/>
    <x v="25"/>
    <x v="144"/>
    <x v="186"/>
    <x v="311"/>
    <s v="Unknown"/>
    <x v="2"/>
    <n v="0.09"/>
    <s v="2023-09"/>
  </r>
  <r>
    <x v="532"/>
    <x v="75"/>
    <x v="4"/>
    <x v="79"/>
    <x v="187"/>
    <x v="92"/>
    <s v="Series A"/>
    <x v="27"/>
    <s v="NA"/>
    <s v="2023-09"/>
  </r>
  <r>
    <x v="533"/>
    <x v="6"/>
    <x v="1"/>
    <x v="1"/>
    <x v="187"/>
    <x v="312"/>
    <s v="Series H"/>
    <x v="2"/>
    <n v="0.1"/>
    <s v="2023-09"/>
  </r>
  <r>
    <x v="534"/>
    <x v="6"/>
    <x v="22"/>
    <x v="105"/>
    <x v="187"/>
    <x v="56"/>
    <s v="Series B"/>
    <x v="2"/>
    <s v="NA"/>
    <s v="2023-09"/>
  </r>
  <r>
    <x v="535"/>
    <x v="6"/>
    <x v="0"/>
    <x v="145"/>
    <x v="187"/>
    <x v="313"/>
    <s v="Unknown"/>
    <x v="2"/>
    <n v="0.4"/>
    <s v="2023-09"/>
  </r>
  <r>
    <x v="536"/>
    <x v="16"/>
    <x v="4"/>
    <x v="3"/>
    <x v="187"/>
    <x v="12"/>
    <s v="Unknown"/>
    <x v="2"/>
    <s v="NA"/>
    <s v="2023-09"/>
  </r>
  <r>
    <x v="537"/>
    <x v="46"/>
    <x v="1"/>
    <x v="3"/>
    <x v="187"/>
    <x v="314"/>
    <s v="Series C"/>
    <x v="18"/>
    <s v="NA"/>
    <s v="2023-09"/>
  </r>
  <r>
    <x v="538"/>
    <x v="111"/>
    <x v="12"/>
    <x v="3"/>
    <x v="187"/>
    <x v="262"/>
    <s v="Series C"/>
    <x v="2"/>
    <s v="NA"/>
    <s v="2023-09"/>
  </r>
  <r>
    <x v="284"/>
    <x v="6"/>
    <x v="13"/>
    <x v="3"/>
    <x v="188"/>
    <x v="52"/>
    <s v="Unknown"/>
    <x v="2"/>
    <n v="0.1"/>
    <s v="2023-09"/>
  </r>
  <r>
    <x v="539"/>
    <x v="6"/>
    <x v="3"/>
    <x v="3"/>
    <x v="188"/>
    <x v="315"/>
    <s v="Private Equity"/>
    <x v="2"/>
    <s v="NA"/>
    <s v="2023-09"/>
  </r>
  <r>
    <x v="540"/>
    <x v="17"/>
    <x v="3"/>
    <x v="1"/>
    <x v="189"/>
    <x v="158"/>
    <s v="Acquired"/>
    <x v="2"/>
    <n v="0.25"/>
    <s v="2023-09"/>
  </r>
  <r>
    <x v="541"/>
    <x v="71"/>
    <x v="1"/>
    <x v="3"/>
    <x v="189"/>
    <x v="8"/>
    <s v="Unknown"/>
    <x v="26"/>
    <s v="NA"/>
    <s v="2023-09"/>
  </r>
  <r>
    <x v="542"/>
    <x v="6"/>
    <x v="26"/>
    <x v="146"/>
    <x v="190"/>
    <x v="316"/>
    <s v="Post-IPO"/>
    <x v="2"/>
    <n v="0.1"/>
    <s v="2023-09"/>
  </r>
  <r>
    <x v="543"/>
    <x v="1"/>
    <x v="25"/>
    <x v="5"/>
    <x v="190"/>
    <x v="317"/>
    <s v="Acquired"/>
    <x v="2"/>
    <s v="NA"/>
    <s v="2023-09"/>
  </r>
  <r>
    <x v="544"/>
    <x v="3"/>
    <x v="22"/>
    <x v="3"/>
    <x v="190"/>
    <x v="318"/>
    <s v="Unknown"/>
    <x v="2"/>
    <s v="NA"/>
    <s v="2023-09"/>
  </r>
  <r>
    <x v="473"/>
    <x v="4"/>
    <x v="20"/>
    <x v="3"/>
    <x v="190"/>
    <x v="251"/>
    <s v="Unknown"/>
    <x v="2"/>
    <s v="NA"/>
    <s v="2023-09"/>
  </r>
  <r>
    <x v="545"/>
    <x v="17"/>
    <x v="5"/>
    <x v="3"/>
    <x v="190"/>
    <x v="136"/>
    <s v="Post-IPO"/>
    <x v="2"/>
    <n v="0.2"/>
    <s v="2023-09"/>
  </r>
  <r>
    <x v="546"/>
    <x v="112"/>
    <x v="7"/>
    <x v="147"/>
    <x v="191"/>
    <x v="12"/>
    <s v="Unknown"/>
    <x v="31"/>
    <n v="0.18"/>
    <s v="2023-09"/>
  </r>
  <r>
    <x v="547"/>
    <x v="8"/>
    <x v="5"/>
    <x v="2"/>
    <x v="191"/>
    <x v="319"/>
    <s v="Post-IPO"/>
    <x v="2"/>
    <n v="0.15"/>
    <s v="2023-09"/>
  </r>
  <r>
    <x v="548"/>
    <x v="3"/>
    <x v="21"/>
    <x v="56"/>
    <x v="191"/>
    <x v="252"/>
    <s v="Seed"/>
    <x v="2"/>
    <n v="0.2"/>
    <s v="2023-09"/>
  </r>
  <r>
    <x v="549"/>
    <x v="38"/>
    <x v="15"/>
    <x v="3"/>
    <x v="191"/>
    <x v="157"/>
    <s v="Series B"/>
    <x v="7"/>
    <s v="NA"/>
    <s v="2023-09"/>
  </r>
  <r>
    <x v="550"/>
    <x v="113"/>
    <x v="5"/>
    <x v="0"/>
    <x v="192"/>
    <x v="242"/>
    <s v="Series D"/>
    <x v="32"/>
    <s v="NA"/>
    <s v="2023-09"/>
  </r>
  <r>
    <x v="551"/>
    <x v="75"/>
    <x v="1"/>
    <x v="56"/>
    <x v="192"/>
    <x v="183"/>
    <s v="Series A"/>
    <x v="27"/>
    <s v="NA"/>
    <s v="2023-09"/>
  </r>
  <r>
    <x v="552"/>
    <x v="3"/>
    <x v="10"/>
    <x v="48"/>
    <x v="192"/>
    <x v="320"/>
    <s v="Series D"/>
    <x v="2"/>
    <n v="0.14000000000000001"/>
    <s v="2023-09"/>
  </r>
  <r>
    <x v="553"/>
    <x v="20"/>
    <x v="1"/>
    <x v="148"/>
    <x v="193"/>
    <x v="167"/>
    <s v="Series C"/>
    <x v="6"/>
    <s v="NA"/>
    <s v="2023-09"/>
  </r>
  <r>
    <x v="554"/>
    <x v="58"/>
    <x v="1"/>
    <x v="3"/>
    <x v="193"/>
    <x v="321"/>
    <s v="Series D"/>
    <x v="2"/>
    <n v="0.28000000000000003"/>
    <s v="2023-09"/>
  </r>
  <r>
    <x v="555"/>
    <x v="6"/>
    <x v="4"/>
    <x v="3"/>
    <x v="193"/>
    <x v="11"/>
    <s v="Seed"/>
    <x v="2"/>
    <n v="1"/>
    <s v="2023-09"/>
  </r>
  <r>
    <x v="556"/>
    <x v="65"/>
    <x v="0"/>
    <x v="3"/>
    <x v="193"/>
    <x v="12"/>
    <s v="Acquired"/>
    <x v="9"/>
    <n v="1"/>
    <s v="2023-09"/>
  </r>
  <r>
    <x v="557"/>
    <x v="17"/>
    <x v="12"/>
    <x v="149"/>
    <x v="194"/>
    <x v="12"/>
    <s v="Post-IPO"/>
    <x v="2"/>
    <n v="0.04"/>
    <s v="2023-08"/>
  </r>
  <r>
    <x v="558"/>
    <x v="17"/>
    <x v="5"/>
    <x v="17"/>
    <x v="194"/>
    <x v="322"/>
    <s v="Series D"/>
    <x v="2"/>
    <s v="NA"/>
    <s v="2023-08"/>
  </r>
  <r>
    <x v="559"/>
    <x v="6"/>
    <x v="25"/>
    <x v="1"/>
    <x v="194"/>
    <x v="323"/>
    <s v="Series B"/>
    <x v="2"/>
    <s v="NA"/>
    <s v="2023-08"/>
  </r>
  <r>
    <x v="59"/>
    <x v="4"/>
    <x v="7"/>
    <x v="3"/>
    <x v="194"/>
    <x v="51"/>
    <s v="Post-IPO"/>
    <x v="2"/>
    <s v="NA"/>
    <s v="2023-08"/>
  </r>
  <r>
    <x v="227"/>
    <x v="6"/>
    <x v="14"/>
    <x v="3"/>
    <x v="194"/>
    <x v="12"/>
    <s v="Series D"/>
    <x v="2"/>
    <n v="0.1"/>
    <s v="2023-08"/>
  </r>
  <r>
    <x v="560"/>
    <x v="4"/>
    <x v="4"/>
    <x v="24"/>
    <x v="195"/>
    <x v="324"/>
    <s v="Unknown"/>
    <x v="2"/>
    <s v="NA"/>
    <s v="2023-08"/>
  </r>
  <r>
    <x v="561"/>
    <x v="20"/>
    <x v="21"/>
    <x v="14"/>
    <x v="195"/>
    <x v="121"/>
    <s v="Acquired"/>
    <x v="6"/>
    <n v="0.35"/>
    <s v="2023-08"/>
  </r>
  <r>
    <x v="562"/>
    <x v="91"/>
    <x v="5"/>
    <x v="31"/>
    <x v="195"/>
    <x v="190"/>
    <s v="Series A"/>
    <x v="6"/>
    <n v="0.2"/>
    <s v="2023-08"/>
  </r>
  <r>
    <x v="563"/>
    <x v="10"/>
    <x v="5"/>
    <x v="112"/>
    <x v="195"/>
    <x v="325"/>
    <s v="Unknown"/>
    <x v="3"/>
    <n v="0.1"/>
    <s v="2023-08"/>
  </r>
  <r>
    <x v="564"/>
    <x v="6"/>
    <x v="14"/>
    <x v="99"/>
    <x v="195"/>
    <x v="5"/>
    <s v="Seed"/>
    <x v="2"/>
    <n v="0.35"/>
    <s v="2023-08"/>
  </r>
  <r>
    <x v="562"/>
    <x v="91"/>
    <x v="5"/>
    <x v="31"/>
    <x v="196"/>
    <x v="190"/>
    <s v="Unknown"/>
    <x v="6"/>
    <n v="0.2"/>
    <s v="2023-08"/>
  </r>
  <r>
    <x v="565"/>
    <x v="112"/>
    <x v="7"/>
    <x v="3"/>
    <x v="196"/>
    <x v="12"/>
    <s v="Unknown"/>
    <x v="31"/>
    <s v="NA"/>
    <s v="2023-08"/>
  </r>
  <r>
    <x v="566"/>
    <x v="58"/>
    <x v="13"/>
    <x v="86"/>
    <x v="197"/>
    <x v="1"/>
    <s v="Post-IPO"/>
    <x v="2"/>
    <n v="7.0000000000000007E-2"/>
    <s v="2023-08"/>
  </r>
  <r>
    <x v="567"/>
    <x v="20"/>
    <x v="2"/>
    <x v="150"/>
    <x v="197"/>
    <x v="309"/>
    <s v="Series C"/>
    <x v="6"/>
    <s v="NA"/>
    <s v="2023-08"/>
  </r>
  <r>
    <x v="568"/>
    <x v="73"/>
    <x v="2"/>
    <x v="3"/>
    <x v="197"/>
    <x v="144"/>
    <s v="Seed"/>
    <x v="2"/>
    <n v="1"/>
    <s v="2023-08"/>
  </r>
  <r>
    <x v="569"/>
    <x v="114"/>
    <x v="23"/>
    <x v="3"/>
    <x v="197"/>
    <x v="326"/>
    <s v="Post-IPO"/>
    <x v="33"/>
    <s v="NA"/>
    <s v="2023-08"/>
  </r>
  <r>
    <x v="570"/>
    <x v="6"/>
    <x v="15"/>
    <x v="151"/>
    <x v="198"/>
    <x v="327"/>
    <s v="Series D"/>
    <x v="2"/>
    <s v="NA"/>
    <s v="2023-08"/>
  </r>
  <r>
    <x v="571"/>
    <x v="20"/>
    <x v="11"/>
    <x v="1"/>
    <x v="199"/>
    <x v="328"/>
    <s v="Unknown"/>
    <x v="6"/>
    <s v="NA"/>
    <s v="2023-08"/>
  </r>
  <r>
    <x v="572"/>
    <x v="6"/>
    <x v="25"/>
    <x v="3"/>
    <x v="200"/>
    <x v="66"/>
    <s v="Post-IPO"/>
    <x v="2"/>
    <s v="NA"/>
    <s v="2023-08"/>
  </r>
  <r>
    <x v="573"/>
    <x v="6"/>
    <x v="3"/>
    <x v="114"/>
    <x v="201"/>
    <x v="144"/>
    <s v="Unknown"/>
    <x v="2"/>
    <n v="0.03"/>
    <s v="2023-08"/>
  </r>
  <r>
    <x v="574"/>
    <x v="20"/>
    <x v="26"/>
    <x v="3"/>
    <x v="201"/>
    <x v="329"/>
    <s v="Unknown"/>
    <x v="6"/>
    <n v="0.5"/>
    <s v="2023-08"/>
  </r>
  <r>
    <x v="575"/>
    <x v="58"/>
    <x v="12"/>
    <x v="0"/>
    <x v="202"/>
    <x v="330"/>
    <s v="Series B"/>
    <x v="2"/>
    <n v="0.3"/>
    <s v="2023-08"/>
  </r>
  <r>
    <x v="576"/>
    <x v="75"/>
    <x v="25"/>
    <x v="152"/>
    <x v="202"/>
    <x v="331"/>
    <s v="Series C"/>
    <x v="27"/>
    <n v="0.21"/>
    <s v="2023-08"/>
  </r>
  <r>
    <x v="577"/>
    <x v="9"/>
    <x v="1"/>
    <x v="81"/>
    <x v="202"/>
    <x v="330"/>
    <s v="Post-IPO"/>
    <x v="2"/>
    <n v="0.05"/>
    <s v="2023-08"/>
  </r>
  <r>
    <x v="578"/>
    <x v="6"/>
    <x v="16"/>
    <x v="56"/>
    <x v="202"/>
    <x v="12"/>
    <s v="Unknown"/>
    <x v="2"/>
    <n v="0.06"/>
    <s v="2023-08"/>
  </r>
  <r>
    <x v="579"/>
    <x v="115"/>
    <x v="1"/>
    <x v="3"/>
    <x v="202"/>
    <x v="287"/>
    <s v="Series C"/>
    <x v="34"/>
    <n v="0.2"/>
    <s v="2023-08"/>
  </r>
  <r>
    <x v="580"/>
    <x v="14"/>
    <x v="15"/>
    <x v="3"/>
    <x v="202"/>
    <x v="12"/>
    <s v="Unknown"/>
    <x v="5"/>
    <s v="NA"/>
    <s v="2023-08"/>
  </r>
  <r>
    <x v="53"/>
    <x v="10"/>
    <x v="0"/>
    <x v="82"/>
    <x v="203"/>
    <x v="45"/>
    <s v="Series E"/>
    <x v="3"/>
    <n v="0.11"/>
    <s v="2023-08"/>
  </r>
  <r>
    <x v="581"/>
    <x v="91"/>
    <x v="2"/>
    <x v="3"/>
    <x v="203"/>
    <x v="72"/>
    <s v="Series D"/>
    <x v="6"/>
    <n v="0.12"/>
    <s v="2023-08"/>
  </r>
  <r>
    <x v="582"/>
    <x v="1"/>
    <x v="23"/>
    <x v="3"/>
    <x v="203"/>
    <x v="32"/>
    <s v="Series B"/>
    <x v="1"/>
    <s v="NA"/>
    <s v="2023-08"/>
  </r>
  <r>
    <x v="583"/>
    <x v="71"/>
    <x v="21"/>
    <x v="3"/>
    <x v="203"/>
    <x v="91"/>
    <s v="Series A"/>
    <x v="26"/>
    <n v="0.3"/>
    <s v="2023-08"/>
  </r>
  <r>
    <x v="584"/>
    <x v="6"/>
    <x v="4"/>
    <x v="3"/>
    <x v="203"/>
    <x v="281"/>
    <s v="Post-IPO"/>
    <x v="2"/>
    <s v="NA"/>
    <s v="2023-08"/>
  </r>
  <r>
    <x v="585"/>
    <x v="39"/>
    <x v="2"/>
    <x v="3"/>
    <x v="204"/>
    <x v="67"/>
    <s v="Series A"/>
    <x v="2"/>
    <s v="NA"/>
    <s v="2023-08"/>
  </r>
  <r>
    <x v="586"/>
    <x v="3"/>
    <x v="5"/>
    <x v="3"/>
    <x v="204"/>
    <x v="332"/>
    <s v="Series C"/>
    <x v="2"/>
    <s v="NA"/>
    <s v="2023-08"/>
  </r>
  <r>
    <x v="587"/>
    <x v="115"/>
    <x v="0"/>
    <x v="153"/>
    <x v="205"/>
    <x v="333"/>
    <s v="Series C"/>
    <x v="34"/>
    <n v="0.33"/>
    <s v="2023-08"/>
  </r>
  <r>
    <x v="588"/>
    <x v="116"/>
    <x v="6"/>
    <x v="93"/>
    <x v="206"/>
    <x v="12"/>
    <s v="Unknown"/>
    <x v="6"/>
    <n v="0.4"/>
    <s v="2023-08"/>
  </r>
  <r>
    <x v="589"/>
    <x v="48"/>
    <x v="26"/>
    <x v="1"/>
    <x v="207"/>
    <x v="12"/>
    <s v="Subsidiary"/>
    <x v="6"/>
    <n v="0.05"/>
    <s v="2023-08"/>
  </r>
  <r>
    <x v="590"/>
    <x v="55"/>
    <x v="25"/>
    <x v="2"/>
    <x v="207"/>
    <x v="92"/>
    <s v="Unknown"/>
    <x v="22"/>
    <s v="NA"/>
    <s v="2023-08"/>
  </r>
  <r>
    <x v="591"/>
    <x v="6"/>
    <x v="14"/>
    <x v="3"/>
    <x v="207"/>
    <x v="334"/>
    <s v="Unknown"/>
    <x v="2"/>
    <s v="NA"/>
    <s v="2023-08"/>
  </r>
  <r>
    <x v="592"/>
    <x v="117"/>
    <x v="4"/>
    <x v="3"/>
    <x v="207"/>
    <x v="32"/>
    <s v="Series C"/>
    <x v="2"/>
    <n v="0.1"/>
    <s v="2023-08"/>
  </r>
  <r>
    <x v="203"/>
    <x v="12"/>
    <x v="5"/>
    <x v="154"/>
    <x v="208"/>
    <x v="151"/>
    <s v="Post-IPO"/>
    <x v="2"/>
    <s v="NA"/>
    <s v="2023-08"/>
  </r>
  <r>
    <x v="593"/>
    <x v="66"/>
    <x v="22"/>
    <x v="155"/>
    <x v="208"/>
    <x v="43"/>
    <s v="Post-IPO"/>
    <x v="2"/>
    <n v="0.09"/>
    <s v="2023-08"/>
  </r>
  <r>
    <x v="81"/>
    <x v="6"/>
    <x v="16"/>
    <x v="24"/>
    <x v="208"/>
    <x v="69"/>
    <s v="Post-IPO"/>
    <x v="2"/>
    <s v="NA"/>
    <s v="2023-08"/>
  </r>
  <r>
    <x v="594"/>
    <x v="1"/>
    <x v="26"/>
    <x v="14"/>
    <x v="208"/>
    <x v="335"/>
    <s v="Series B"/>
    <x v="1"/>
    <n v="0.35"/>
    <s v="2023-08"/>
  </r>
  <r>
    <x v="208"/>
    <x v="6"/>
    <x v="14"/>
    <x v="3"/>
    <x v="208"/>
    <x v="110"/>
    <s v="Series F"/>
    <x v="2"/>
    <s v="NA"/>
    <s v="2023-08"/>
  </r>
  <r>
    <x v="595"/>
    <x v="17"/>
    <x v="10"/>
    <x v="33"/>
    <x v="209"/>
    <x v="336"/>
    <s v="Unknown"/>
    <x v="2"/>
    <s v="NA"/>
    <s v="2023-08"/>
  </r>
  <r>
    <x v="249"/>
    <x v="71"/>
    <x v="1"/>
    <x v="3"/>
    <x v="209"/>
    <x v="179"/>
    <s v="Series D"/>
    <x v="26"/>
    <s v="NA"/>
    <s v="2023-08"/>
  </r>
  <r>
    <x v="596"/>
    <x v="99"/>
    <x v="6"/>
    <x v="3"/>
    <x v="210"/>
    <x v="28"/>
    <s v="Seed"/>
    <x v="23"/>
    <s v="NA"/>
    <s v="2023-08"/>
  </r>
  <r>
    <x v="597"/>
    <x v="23"/>
    <x v="25"/>
    <x v="11"/>
    <x v="211"/>
    <x v="337"/>
    <s v="Post-IPO"/>
    <x v="2"/>
    <n v="0.15"/>
    <s v="2023-08"/>
  </r>
  <r>
    <x v="598"/>
    <x v="118"/>
    <x v="17"/>
    <x v="28"/>
    <x v="211"/>
    <x v="12"/>
    <s v="Unknown"/>
    <x v="0"/>
    <n v="0.56999999999999995"/>
    <s v="2023-08"/>
  </r>
  <r>
    <x v="599"/>
    <x v="3"/>
    <x v="2"/>
    <x v="3"/>
    <x v="211"/>
    <x v="12"/>
    <s v="Acquired"/>
    <x v="2"/>
    <s v="NA"/>
    <s v="2023-08"/>
  </r>
  <r>
    <x v="600"/>
    <x v="97"/>
    <x v="4"/>
    <x v="3"/>
    <x v="211"/>
    <x v="12"/>
    <s v="Series C"/>
    <x v="17"/>
    <s v="NA"/>
    <s v="2023-08"/>
  </r>
  <r>
    <x v="601"/>
    <x v="42"/>
    <x v="11"/>
    <x v="3"/>
    <x v="212"/>
    <x v="56"/>
    <s v="Series C"/>
    <x v="16"/>
    <s v="NA"/>
    <s v="2023-08"/>
  </r>
  <r>
    <x v="602"/>
    <x v="67"/>
    <x v="13"/>
    <x v="156"/>
    <x v="213"/>
    <x v="86"/>
    <s v="Post-IPO"/>
    <x v="2"/>
    <s v="NA"/>
    <s v="2023-08"/>
  </r>
  <r>
    <x v="603"/>
    <x v="82"/>
    <x v="4"/>
    <x v="157"/>
    <x v="213"/>
    <x v="338"/>
    <s v="Series C"/>
    <x v="2"/>
    <s v="NA"/>
    <s v="2023-08"/>
  </r>
  <r>
    <x v="604"/>
    <x v="19"/>
    <x v="6"/>
    <x v="66"/>
    <x v="213"/>
    <x v="339"/>
    <s v="Unknown"/>
    <x v="6"/>
    <s v="NA"/>
    <s v="2023-08"/>
  </r>
  <r>
    <x v="605"/>
    <x v="53"/>
    <x v="25"/>
    <x v="3"/>
    <x v="213"/>
    <x v="12"/>
    <s v="Post-IPO"/>
    <x v="3"/>
    <s v="NA"/>
    <s v="2023-08"/>
  </r>
  <r>
    <x v="606"/>
    <x v="6"/>
    <x v="1"/>
    <x v="0"/>
    <x v="214"/>
    <x v="340"/>
    <s v="Post-IPO"/>
    <x v="2"/>
    <n v="0.19"/>
    <s v="2023-08"/>
  </r>
  <r>
    <x v="607"/>
    <x v="9"/>
    <x v="4"/>
    <x v="1"/>
    <x v="214"/>
    <x v="341"/>
    <s v="Series D"/>
    <x v="2"/>
    <s v="NA"/>
    <s v="2023-08"/>
  </r>
  <r>
    <x v="608"/>
    <x v="10"/>
    <x v="5"/>
    <x v="105"/>
    <x v="214"/>
    <x v="63"/>
    <s v="Post-IPO"/>
    <x v="3"/>
    <s v="NA"/>
    <s v="2023-08"/>
  </r>
  <r>
    <x v="609"/>
    <x v="1"/>
    <x v="9"/>
    <x v="43"/>
    <x v="214"/>
    <x v="78"/>
    <s v="Acquired"/>
    <x v="2"/>
    <n v="1"/>
    <s v="2023-08"/>
  </r>
  <r>
    <x v="610"/>
    <x v="71"/>
    <x v="21"/>
    <x v="3"/>
    <x v="214"/>
    <x v="342"/>
    <s v="Post-IPO"/>
    <x v="26"/>
    <s v="NA"/>
    <s v="2023-08"/>
  </r>
  <r>
    <x v="611"/>
    <x v="45"/>
    <x v="18"/>
    <x v="3"/>
    <x v="214"/>
    <x v="343"/>
    <s v="Series D"/>
    <x v="2"/>
    <s v="NA"/>
    <s v="2023-08"/>
  </r>
  <r>
    <x v="612"/>
    <x v="48"/>
    <x v="6"/>
    <x v="3"/>
    <x v="214"/>
    <x v="12"/>
    <s v="Seed"/>
    <x v="6"/>
    <n v="1"/>
    <s v="2023-08"/>
  </r>
  <r>
    <x v="613"/>
    <x v="6"/>
    <x v="6"/>
    <x v="3"/>
    <x v="214"/>
    <x v="252"/>
    <s v="Series C"/>
    <x v="2"/>
    <n v="0.17"/>
    <s v="2023-08"/>
  </r>
  <r>
    <x v="614"/>
    <x v="58"/>
    <x v="4"/>
    <x v="34"/>
    <x v="215"/>
    <x v="344"/>
    <s v="Post-IPO"/>
    <x v="2"/>
    <n v="0.05"/>
    <s v="2023-08"/>
  </r>
  <r>
    <x v="615"/>
    <x v="17"/>
    <x v="25"/>
    <x v="158"/>
    <x v="215"/>
    <x v="66"/>
    <s v="Post-IPO"/>
    <x v="2"/>
    <n v="0.18"/>
    <s v="2023-08"/>
  </r>
  <r>
    <x v="616"/>
    <x v="20"/>
    <x v="6"/>
    <x v="62"/>
    <x v="215"/>
    <x v="345"/>
    <s v="Unknown"/>
    <x v="6"/>
    <s v="NA"/>
    <s v="2023-08"/>
  </r>
  <r>
    <x v="617"/>
    <x v="6"/>
    <x v="5"/>
    <x v="1"/>
    <x v="215"/>
    <x v="187"/>
    <s v="Post-IPO"/>
    <x v="2"/>
    <n v="0.1"/>
    <s v="2023-08"/>
  </r>
  <r>
    <x v="618"/>
    <x v="6"/>
    <x v="5"/>
    <x v="159"/>
    <x v="215"/>
    <x v="99"/>
    <s v="Post-IPO"/>
    <x v="2"/>
    <n v="0.11"/>
    <s v="2023-08"/>
  </r>
  <r>
    <x v="619"/>
    <x v="6"/>
    <x v="21"/>
    <x v="51"/>
    <x v="215"/>
    <x v="61"/>
    <s v="Series B"/>
    <x v="2"/>
    <s v="NA"/>
    <s v="2023-08"/>
  </r>
  <r>
    <x v="620"/>
    <x v="115"/>
    <x v="24"/>
    <x v="3"/>
    <x v="215"/>
    <x v="7"/>
    <s v="Series B"/>
    <x v="34"/>
    <n v="1"/>
    <s v="2023-08"/>
  </r>
  <r>
    <x v="105"/>
    <x v="16"/>
    <x v="16"/>
    <x v="3"/>
    <x v="216"/>
    <x v="12"/>
    <s v="Post-IPO"/>
    <x v="2"/>
    <s v="NA"/>
    <s v="2023-08"/>
  </r>
  <r>
    <x v="621"/>
    <x v="33"/>
    <x v="1"/>
    <x v="3"/>
    <x v="216"/>
    <x v="21"/>
    <s v="Acquired"/>
    <x v="8"/>
    <n v="1"/>
    <s v="2023-08"/>
  </r>
  <r>
    <x v="622"/>
    <x v="72"/>
    <x v="23"/>
    <x v="14"/>
    <x v="217"/>
    <x v="158"/>
    <s v="Series A"/>
    <x v="2"/>
    <s v="NA"/>
    <s v="2023-08"/>
  </r>
  <r>
    <x v="623"/>
    <x v="110"/>
    <x v="11"/>
    <x v="18"/>
    <x v="217"/>
    <x v="12"/>
    <s v="Seed"/>
    <x v="3"/>
    <n v="1"/>
    <s v="2023-08"/>
  </r>
  <r>
    <x v="197"/>
    <x v="62"/>
    <x v="11"/>
    <x v="148"/>
    <x v="217"/>
    <x v="147"/>
    <s v="Series E"/>
    <x v="7"/>
    <n v="7.0000000000000007E-2"/>
    <s v="2023-08"/>
  </r>
  <r>
    <x v="624"/>
    <x v="6"/>
    <x v="20"/>
    <x v="3"/>
    <x v="217"/>
    <x v="346"/>
    <s v="Post-IPO"/>
    <x v="2"/>
    <n v="0.25"/>
    <s v="2023-08"/>
  </r>
  <r>
    <x v="625"/>
    <x v="41"/>
    <x v="26"/>
    <x v="3"/>
    <x v="217"/>
    <x v="11"/>
    <s v="Seed"/>
    <x v="15"/>
    <n v="0.19"/>
    <s v="2023-08"/>
  </r>
  <r>
    <x v="269"/>
    <x v="6"/>
    <x v="6"/>
    <x v="99"/>
    <x v="218"/>
    <x v="188"/>
    <s v="Series H"/>
    <x v="2"/>
    <n v="0.04"/>
    <s v="2023-08"/>
  </r>
  <r>
    <x v="626"/>
    <x v="119"/>
    <x v="0"/>
    <x v="2"/>
    <x v="218"/>
    <x v="28"/>
    <s v="Seed"/>
    <x v="20"/>
    <s v="NA"/>
    <s v="2023-08"/>
  </r>
  <r>
    <x v="627"/>
    <x v="74"/>
    <x v="25"/>
    <x v="3"/>
    <x v="218"/>
    <x v="329"/>
    <s v="Series C"/>
    <x v="2"/>
    <s v="NA"/>
    <s v="2023-08"/>
  </r>
  <r>
    <x v="628"/>
    <x v="71"/>
    <x v="1"/>
    <x v="3"/>
    <x v="218"/>
    <x v="347"/>
    <s v="Series B"/>
    <x v="26"/>
    <n v="0.1"/>
    <s v="2023-08"/>
  </r>
  <r>
    <x v="629"/>
    <x v="1"/>
    <x v="1"/>
    <x v="3"/>
    <x v="218"/>
    <x v="12"/>
    <s v="Unknown"/>
    <x v="1"/>
    <s v="NA"/>
    <s v="2023-08"/>
  </r>
  <r>
    <x v="630"/>
    <x v="48"/>
    <x v="10"/>
    <x v="11"/>
    <x v="219"/>
    <x v="348"/>
    <s v="Series E"/>
    <x v="6"/>
    <n v="0.05"/>
    <s v="2023-08"/>
  </r>
  <r>
    <x v="631"/>
    <x v="20"/>
    <x v="4"/>
    <x v="11"/>
    <x v="219"/>
    <x v="349"/>
    <s v="Series D"/>
    <x v="6"/>
    <n v="0.1"/>
    <s v="2023-08"/>
  </r>
  <r>
    <x v="632"/>
    <x v="6"/>
    <x v="12"/>
    <x v="1"/>
    <x v="219"/>
    <x v="350"/>
    <s v="Series E"/>
    <x v="2"/>
    <n v="0.16"/>
    <s v="2023-08"/>
  </r>
  <r>
    <x v="633"/>
    <x v="3"/>
    <x v="13"/>
    <x v="43"/>
    <x v="219"/>
    <x v="116"/>
    <s v="Series E"/>
    <x v="2"/>
    <n v="0.18"/>
    <s v="2023-08"/>
  </r>
  <r>
    <x v="634"/>
    <x v="6"/>
    <x v="15"/>
    <x v="43"/>
    <x v="219"/>
    <x v="351"/>
    <s v="Series C"/>
    <x v="2"/>
    <s v="NA"/>
    <s v="2023-08"/>
  </r>
  <r>
    <x v="635"/>
    <x v="106"/>
    <x v="12"/>
    <x v="128"/>
    <x v="219"/>
    <x v="98"/>
    <s v="Series B"/>
    <x v="31"/>
    <n v="0.08"/>
    <s v="2023-08"/>
  </r>
  <r>
    <x v="225"/>
    <x v="34"/>
    <x v="9"/>
    <x v="31"/>
    <x v="219"/>
    <x v="164"/>
    <s v="Post-IPO"/>
    <x v="12"/>
    <s v="NA"/>
    <s v="2023-08"/>
  </r>
  <r>
    <x v="636"/>
    <x v="20"/>
    <x v="1"/>
    <x v="160"/>
    <x v="219"/>
    <x v="92"/>
    <s v="Series A"/>
    <x v="6"/>
    <s v="NA"/>
    <s v="2023-08"/>
  </r>
  <r>
    <x v="637"/>
    <x v="20"/>
    <x v="1"/>
    <x v="3"/>
    <x v="219"/>
    <x v="69"/>
    <s v="Seed"/>
    <x v="6"/>
    <n v="0.6"/>
    <s v="2023-08"/>
  </r>
  <r>
    <x v="638"/>
    <x v="48"/>
    <x v="5"/>
    <x v="3"/>
    <x v="219"/>
    <x v="78"/>
    <s v="Seed"/>
    <x v="6"/>
    <n v="1"/>
    <s v="2023-08"/>
  </r>
  <r>
    <x v="639"/>
    <x v="10"/>
    <x v="6"/>
    <x v="3"/>
    <x v="219"/>
    <x v="352"/>
    <s v="Series C"/>
    <x v="3"/>
    <s v="NA"/>
    <s v="2023-08"/>
  </r>
  <r>
    <x v="640"/>
    <x v="6"/>
    <x v="25"/>
    <x v="3"/>
    <x v="219"/>
    <x v="57"/>
    <s v="Series E"/>
    <x v="2"/>
    <n v="0.12"/>
    <s v="2023-08"/>
  </r>
  <r>
    <x v="641"/>
    <x v="38"/>
    <x v="19"/>
    <x v="3"/>
    <x v="219"/>
    <x v="249"/>
    <s v="Series A"/>
    <x v="7"/>
    <n v="1"/>
    <s v="2023-08"/>
  </r>
  <r>
    <x v="405"/>
    <x v="17"/>
    <x v="7"/>
    <x v="3"/>
    <x v="219"/>
    <x v="11"/>
    <s v="Post-IPO"/>
    <x v="2"/>
    <s v="NA"/>
    <s v="2023-08"/>
  </r>
  <r>
    <x v="642"/>
    <x v="1"/>
    <x v="1"/>
    <x v="0"/>
    <x v="220"/>
    <x v="230"/>
    <s v="Series C"/>
    <x v="1"/>
    <n v="0.75"/>
    <s v="2023-08"/>
  </r>
  <r>
    <x v="643"/>
    <x v="6"/>
    <x v="20"/>
    <x v="161"/>
    <x v="220"/>
    <x v="353"/>
    <s v="Post-IPO"/>
    <x v="2"/>
    <n v="0.1"/>
    <s v="2023-08"/>
  </r>
  <r>
    <x v="529"/>
    <x v="38"/>
    <x v="11"/>
    <x v="68"/>
    <x v="220"/>
    <x v="310"/>
    <s v="Series D"/>
    <x v="7"/>
    <n v="0.04"/>
    <s v="2023-08"/>
  </r>
  <r>
    <x v="644"/>
    <x v="6"/>
    <x v="22"/>
    <x v="5"/>
    <x v="220"/>
    <x v="196"/>
    <s v="Series B"/>
    <x v="2"/>
    <n v="0.3"/>
    <s v="2023-08"/>
  </r>
  <r>
    <x v="645"/>
    <x v="20"/>
    <x v="21"/>
    <x v="3"/>
    <x v="220"/>
    <x v="354"/>
    <s v="Series B"/>
    <x v="6"/>
    <n v="0.2"/>
    <s v="2023-08"/>
  </r>
  <r>
    <x v="205"/>
    <x v="17"/>
    <x v="4"/>
    <x v="3"/>
    <x v="220"/>
    <x v="63"/>
    <s v="Series F"/>
    <x v="2"/>
    <s v="NA"/>
    <s v="2023-08"/>
  </r>
  <r>
    <x v="646"/>
    <x v="6"/>
    <x v="10"/>
    <x v="3"/>
    <x v="220"/>
    <x v="355"/>
    <s v="Unknown"/>
    <x v="2"/>
    <n v="0.1"/>
    <s v="2023-08"/>
  </r>
  <r>
    <x v="647"/>
    <x v="4"/>
    <x v="9"/>
    <x v="3"/>
    <x v="220"/>
    <x v="306"/>
    <s v="Series G"/>
    <x v="2"/>
    <n v="0.05"/>
    <s v="2023-08"/>
  </r>
  <r>
    <x v="648"/>
    <x v="71"/>
    <x v="1"/>
    <x v="54"/>
    <x v="221"/>
    <x v="66"/>
    <s v="Series B"/>
    <x v="26"/>
    <s v="NA"/>
    <s v="2023-07"/>
  </r>
  <r>
    <x v="649"/>
    <x v="62"/>
    <x v="4"/>
    <x v="46"/>
    <x v="221"/>
    <x v="69"/>
    <s v="Series A"/>
    <x v="7"/>
    <n v="0.09"/>
    <s v="2023-07"/>
  </r>
  <r>
    <x v="552"/>
    <x v="3"/>
    <x v="10"/>
    <x v="35"/>
    <x v="221"/>
    <x v="320"/>
    <s v="Series D"/>
    <x v="2"/>
    <s v="NA"/>
    <s v="2023-07"/>
  </r>
  <r>
    <x v="650"/>
    <x v="97"/>
    <x v="16"/>
    <x v="3"/>
    <x v="221"/>
    <x v="271"/>
    <s v="Series B"/>
    <x v="17"/>
    <s v="NA"/>
    <s v="2023-07"/>
  </r>
  <r>
    <x v="651"/>
    <x v="10"/>
    <x v="25"/>
    <x v="28"/>
    <x v="222"/>
    <x v="133"/>
    <s v="Post-IPO"/>
    <x v="3"/>
    <n v="0.3"/>
    <s v="2023-07"/>
  </r>
  <r>
    <x v="652"/>
    <x v="120"/>
    <x v="10"/>
    <x v="28"/>
    <x v="223"/>
    <x v="315"/>
    <s v="Unknown"/>
    <x v="35"/>
    <n v="0.31"/>
    <s v="2023-07"/>
  </r>
  <r>
    <x v="653"/>
    <x v="10"/>
    <x v="25"/>
    <x v="12"/>
    <x v="223"/>
    <x v="133"/>
    <s v="Post-IPO"/>
    <x v="3"/>
    <s v="NA"/>
    <s v="2023-07"/>
  </r>
  <r>
    <x v="654"/>
    <x v="17"/>
    <x v="5"/>
    <x v="3"/>
    <x v="223"/>
    <x v="167"/>
    <s v="Post-IPO"/>
    <x v="2"/>
    <s v="NA"/>
    <s v="2023-07"/>
  </r>
  <r>
    <x v="655"/>
    <x v="48"/>
    <x v="0"/>
    <x v="9"/>
    <x v="224"/>
    <x v="25"/>
    <s v="Acquired"/>
    <x v="6"/>
    <n v="0.67"/>
    <s v="2023-07"/>
  </r>
  <r>
    <x v="656"/>
    <x v="6"/>
    <x v="21"/>
    <x v="162"/>
    <x v="224"/>
    <x v="112"/>
    <s v="Post-IPO"/>
    <x v="2"/>
    <n v="0.34"/>
    <s v="2023-07"/>
  </r>
  <r>
    <x v="657"/>
    <x v="6"/>
    <x v="22"/>
    <x v="163"/>
    <x v="224"/>
    <x v="320"/>
    <s v="Series C"/>
    <x v="2"/>
    <n v="0.28000000000000003"/>
    <s v="2023-07"/>
  </r>
  <r>
    <x v="658"/>
    <x v="71"/>
    <x v="1"/>
    <x v="14"/>
    <x v="224"/>
    <x v="185"/>
    <s v="Series A"/>
    <x v="26"/>
    <s v="NA"/>
    <s v="2023-07"/>
  </r>
  <r>
    <x v="131"/>
    <x v="3"/>
    <x v="27"/>
    <x v="14"/>
    <x v="224"/>
    <x v="101"/>
    <s v="Series E"/>
    <x v="2"/>
    <n v="0.06"/>
    <s v="2023-07"/>
  </r>
  <r>
    <x v="659"/>
    <x v="6"/>
    <x v="4"/>
    <x v="3"/>
    <x v="224"/>
    <x v="183"/>
    <s v="Seed"/>
    <x v="2"/>
    <n v="1"/>
    <s v="2023-07"/>
  </r>
  <r>
    <x v="660"/>
    <x v="6"/>
    <x v="11"/>
    <x v="3"/>
    <x v="224"/>
    <x v="356"/>
    <s v="Unknown"/>
    <x v="2"/>
    <s v="NA"/>
    <s v="2023-07"/>
  </r>
  <r>
    <x v="661"/>
    <x v="115"/>
    <x v="21"/>
    <x v="62"/>
    <x v="225"/>
    <x v="327"/>
    <s v="Series C"/>
    <x v="34"/>
    <n v="0.25"/>
    <s v="2023-07"/>
  </r>
  <r>
    <x v="662"/>
    <x v="6"/>
    <x v="2"/>
    <x v="58"/>
    <x v="225"/>
    <x v="113"/>
    <s v="Unknown"/>
    <x v="2"/>
    <n v="0.2"/>
    <s v="2023-07"/>
  </r>
  <r>
    <x v="663"/>
    <x v="23"/>
    <x v="4"/>
    <x v="14"/>
    <x v="225"/>
    <x v="357"/>
    <s v="Series B"/>
    <x v="2"/>
    <n v="0.1"/>
    <s v="2023-07"/>
  </r>
  <r>
    <x v="664"/>
    <x v="20"/>
    <x v="21"/>
    <x v="31"/>
    <x v="225"/>
    <x v="36"/>
    <s v="Acquired"/>
    <x v="6"/>
    <s v="NA"/>
    <s v="2023-07"/>
  </r>
  <r>
    <x v="665"/>
    <x v="121"/>
    <x v="20"/>
    <x v="3"/>
    <x v="225"/>
    <x v="354"/>
    <s v="Post-IPO"/>
    <x v="36"/>
    <n v="1"/>
    <s v="2023-07"/>
  </r>
  <r>
    <x v="666"/>
    <x v="4"/>
    <x v="3"/>
    <x v="3"/>
    <x v="225"/>
    <x v="185"/>
    <s v="Unknown"/>
    <x v="2"/>
    <s v="NA"/>
    <s v="2023-07"/>
  </r>
  <r>
    <x v="667"/>
    <x v="3"/>
    <x v="25"/>
    <x v="164"/>
    <x v="226"/>
    <x v="358"/>
    <s v="Unknown"/>
    <x v="2"/>
    <n v="0.15"/>
    <s v="2023-07"/>
  </r>
  <r>
    <x v="668"/>
    <x v="28"/>
    <x v="11"/>
    <x v="3"/>
    <x v="226"/>
    <x v="331"/>
    <s v="Acquired"/>
    <x v="2"/>
    <s v="NA"/>
    <s v="2023-07"/>
  </r>
  <r>
    <x v="669"/>
    <x v="122"/>
    <x v="0"/>
    <x v="3"/>
    <x v="227"/>
    <x v="359"/>
    <s v="Post-IPO"/>
    <x v="2"/>
    <n v="1"/>
    <s v="2023-07"/>
  </r>
  <r>
    <x v="670"/>
    <x v="68"/>
    <x v="21"/>
    <x v="3"/>
    <x v="227"/>
    <x v="129"/>
    <s v="Unknown"/>
    <x v="5"/>
    <s v="NA"/>
    <s v="2023-07"/>
  </r>
  <r>
    <x v="671"/>
    <x v="10"/>
    <x v="1"/>
    <x v="3"/>
    <x v="227"/>
    <x v="360"/>
    <s v="Series D"/>
    <x v="3"/>
    <s v="NA"/>
    <s v="2023-07"/>
  </r>
  <r>
    <x v="672"/>
    <x v="17"/>
    <x v="5"/>
    <x v="143"/>
    <x v="228"/>
    <x v="361"/>
    <s v="Series C"/>
    <x v="2"/>
    <s v="NA"/>
    <s v="2023-07"/>
  </r>
  <r>
    <x v="673"/>
    <x v="41"/>
    <x v="2"/>
    <x v="3"/>
    <x v="228"/>
    <x v="5"/>
    <s v="Seed"/>
    <x v="15"/>
    <n v="1"/>
    <s v="2023-07"/>
  </r>
  <r>
    <x v="674"/>
    <x v="55"/>
    <x v="26"/>
    <x v="165"/>
    <x v="229"/>
    <x v="12"/>
    <s v="Unknown"/>
    <x v="22"/>
    <n v="0.25"/>
    <s v="2023-07"/>
  </r>
  <r>
    <x v="675"/>
    <x v="47"/>
    <x v="22"/>
    <x v="54"/>
    <x v="229"/>
    <x v="12"/>
    <s v="Unknown"/>
    <x v="2"/>
    <n v="0.8"/>
    <s v="2023-07"/>
  </r>
  <r>
    <x v="505"/>
    <x v="20"/>
    <x v="0"/>
    <x v="3"/>
    <x v="229"/>
    <x v="362"/>
    <s v="Unknown"/>
    <x v="6"/>
    <s v="NA"/>
    <s v="2023-07"/>
  </r>
  <r>
    <x v="676"/>
    <x v="10"/>
    <x v="3"/>
    <x v="3"/>
    <x v="229"/>
    <x v="12"/>
    <s v="Private Equity"/>
    <x v="3"/>
    <s v="NA"/>
    <s v="2023-07"/>
  </r>
  <r>
    <x v="677"/>
    <x v="16"/>
    <x v="4"/>
    <x v="3"/>
    <x v="229"/>
    <x v="363"/>
    <s v="Post-IPO"/>
    <x v="2"/>
    <s v="NA"/>
    <s v="2023-07"/>
  </r>
  <r>
    <x v="678"/>
    <x v="20"/>
    <x v="18"/>
    <x v="3"/>
    <x v="229"/>
    <x v="12"/>
    <s v="Unknown"/>
    <x v="6"/>
    <s v="NA"/>
    <s v="2023-07"/>
  </r>
  <r>
    <x v="679"/>
    <x v="11"/>
    <x v="1"/>
    <x v="47"/>
    <x v="230"/>
    <x v="335"/>
    <s v="Series B"/>
    <x v="2"/>
    <n v="0.24"/>
    <s v="2023-07"/>
  </r>
  <r>
    <x v="680"/>
    <x v="11"/>
    <x v="7"/>
    <x v="31"/>
    <x v="230"/>
    <x v="71"/>
    <s v="Post-IPO"/>
    <x v="2"/>
    <n v="0.06"/>
    <s v="2023-07"/>
  </r>
  <r>
    <x v="681"/>
    <x v="6"/>
    <x v="1"/>
    <x v="26"/>
    <x v="230"/>
    <x v="10"/>
    <s v="Unknown"/>
    <x v="2"/>
    <n v="0.32"/>
    <s v="2023-07"/>
  </r>
  <r>
    <x v="682"/>
    <x v="3"/>
    <x v="0"/>
    <x v="3"/>
    <x v="230"/>
    <x v="364"/>
    <s v="Post-IPO"/>
    <x v="2"/>
    <n v="0.2"/>
    <s v="2023-07"/>
  </r>
  <r>
    <x v="5"/>
    <x v="4"/>
    <x v="4"/>
    <x v="4"/>
    <x v="231"/>
    <x v="5"/>
    <s v="Post-IPO"/>
    <x v="2"/>
    <s v="NA"/>
    <s v="2023-07"/>
  </r>
  <r>
    <x v="683"/>
    <x v="58"/>
    <x v="6"/>
    <x v="54"/>
    <x v="231"/>
    <x v="365"/>
    <s v="Unknown"/>
    <x v="2"/>
    <s v="NA"/>
    <s v="2023-07"/>
  </r>
  <r>
    <x v="684"/>
    <x v="3"/>
    <x v="0"/>
    <x v="3"/>
    <x v="231"/>
    <x v="202"/>
    <s v="Unknown"/>
    <x v="2"/>
    <s v="NA"/>
    <s v="2023-07"/>
  </r>
  <r>
    <x v="400"/>
    <x v="28"/>
    <x v="20"/>
    <x v="133"/>
    <x v="232"/>
    <x v="257"/>
    <s v="Post-IPO"/>
    <x v="2"/>
    <n v="0.25"/>
    <s v="2023-07"/>
  </r>
  <r>
    <x v="685"/>
    <x v="67"/>
    <x v="25"/>
    <x v="3"/>
    <x v="232"/>
    <x v="126"/>
    <s v="Unknown"/>
    <x v="2"/>
    <s v="NA"/>
    <s v="2023-07"/>
  </r>
  <r>
    <x v="686"/>
    <x v="12"/>
    <x v="8"/>
    <x v="3"/>
    <x v="232"/>
    <x v="25"/>
    <s v="Series A"/>
    <x v="2"/>
    <n v="0.28000000000000003"/>
    <s v="2023-07"/>
  </r>
  <r>
    <x v="120"/>
    <x v="1"/>
    <x v="16"/>
    <x v="3"/>
    <x v="232"/>
    <x v="12"/>
    <s v="Post-IPO"/>
    <x v="2"/>
    <s v="NA"/>
    <s v="2023-07"/>
  </r>
  <r>
    <x v="687"/>
    <x v="71"/>
    <x v="22"/>
    <x v="3"/>
    <x v="232"/>
    <x v="13"/>
    <s v="Acquired"/>
    <x v="26"/>
    <s v="NA"/>
    <s v="2023-07"/>
  </r>
  <r>
    <x v="688"/>
    <x v="64"/>
    <x v="2"/>
    <x v="4"/>
    <x v="233"/>
    <x v="12"/>
    <s v="Unknown"/>
    <x v="24"/>
    <s v="NA"/>
    <s v="2023-07"/>
  </r>
  <r>
    <x v="689"/>
    <x v="4"/>
    <x v="12"/>
    <x v="53"/>
    <x v="233"/>
    <x v="91"/>
    <s v="Acquired"/>
    <x v="2"/>
    <n v="0.02"/>
    <s v="2023-07"/>
  </r>
  <r>
    <x v="690"/>
    <x v="20"/>
    <x v="1"/>
    <x v="28"/>
    <x v="234"/>
    <x v="366"/>
    <s v="Unknown"/>
    <x v="6"/>
    <s v="NA"/>
    <s v="2023-07"/>
  </r>
  <r>
    <x v="691"/>
    <x v="50"/>
    <x v="11"/>
    <x v="28"/>
    <x v="234"/>
    <x v="354"/>
    <s v="Series A"/>
    <x v="6"/>
    <s v="NA"/>
    <s v="2023-07"/>
  </r>
  <r>
    <x v="90"/>
    <x v="4"/>
    <x v="21"/>
    <x v="54"/>
    <x v="234"/>
    <x v="74"/>
    <s v="Post-IPO"/>
    <x v="2"/>
    <s v="NA"/>
    <s v="2023-07"/>
  </r>
  <r>
    <x v="692"/>
    <x v="1"/>
    <x v="4"/>
    <x v="54"/>
    <x v="234"/>
    <x v="202"/>
    <s v="Post-IPO"/>
    <x v="1"/>
    <n v="0.06"/>
    <s v="2023-07"/>
  </r>
  <r>
    <x v="584"/>
    <x v="6"/>
    <x v="4"/>
    <x v="40"/>
    <x v="234"/>
    <x v="281"/>
    <s v="Post-IPO"/>
    <x v="2"/>
    <s v="NA"/>
    <s v="2023-07"/>
  </r>
  <r>
    <x v="290"/>
    <x v="6"/>
    <x v="24"/>
    <x v="5"/>
    <x v="234"/>
    <x v="200"/>
    <s v="Subsidiary"/>
    <x v="2"/>
    <s v="NA"/>
    <s v="2023-07"/>
  </r>
  <r>
    <x v="693"/>
    <x v="30"/>
    <x v="25"/>
    <x v="2"/>
    <x v="234"/>
    <x v="367"/>
    <s v="Series C"/>
    <x v="2"/>
    <n v="7.0000000000000007E-2"/>
    <s v="2023-07"/>
  </r>
  <r>
    <x v="694"/>
    <x v="51"/>
    <x v="19"/>
    <x v="57"/>
    <x v="234"/>
    <x v="12"/>
    <s v="Unknown"/>
    <x v="20"/>
    <s v="NA"/>
    <s v="2023-07"/>
  </r>
  <r>
    <x v="695"/>
    <x v="33"/>
    <x v="12"/>
    <x v="33"/>
    <x v="234"/>
    <x v="330"/>
    <s v="Series C"/>
    <x v="8"/>
    <s v="NA"/>
    <s v="2023-07"/>
  </r>
  <r>
    <x v="46"/>
    <x v="3"/>
    <x v="19"/>
    <x v="55"/>
    <x v="234"/>
    <x v="40"/>
    <s v="Post-IPO"/>
    <x v="2"/>
    <s v="NA"/>
    <s v="2023-07"/>
  </r>
  <r>
    <x v="696"/>
    <x v="3"/>
    <x v="21"/>
    <x v="3"/>
    <x v="234"/>
    <x v="368"/>
    <s v="Post-IPO"/>
    <x v="2"/>
    <n v="0.08"/>
    <s v="2023-07"/>
  </r>
  <r>
    <x v="697"/>
    <x v="16"/>
    <x v="9"/>
    <x v="3"/>
    <x v="234"/>
    <x v="205"/>
    <s v="Private Equity"/>
    <x v="2"/>
    <n v="0.05"/>
    <s v="2023-07"/>
  </r>
  <r>
    <x v="698"/>
    <x v="6"/>
    <x v="4"/>
    <x v="3"/>
    <x v="234"/>
    <x v="369"/>
    <s v="Series D"/>
    <x v="2"/>
    <s v="NA"/>
    <s v="2023-07"/>
  </r>
  <r>
    <x v="699"/>
    <x v="109"/>
    <x v="27"/>
    <x v="3"/>
    <x v="234"/>
    <x v="12"/>
    <s v="Unknown"/>
    <x v="2"/>
    <s v="NA"/>
    <s v="2023-07"/>
  </r>
  <r>
    <x v="254"/>
    <x v="15"/>
    <x v="21"/>
    <x v="9"/>
    <x v="235"/>
    <x v="34"/>
    <s v="Post-IPO"/>
    <x v="2"/>
    <s v="NA"/>
    <s v="2023-07"/>
  </r>
  <r>
    <x v="700"/>
    <x v="37"/>
    <x v="2"/>
    <x v="166"/>
    <x v="235"/>
    <x v="12"/>
    <s v="Unknown"/>
    <x v="7"/>
    <s v="NA"/>
    <s v="2023-07"/>
  </r>
  <r>
    <x v="701"/>
    <x v="34"/>
    <x v="5"/>
    <x v="31"/>
    <x v="235"/>
    <x v="132"/>
    <s v="Post-IPO"/>
    <x v="12"/>
    <n v="1"/>
    <s v="2023-07"/>
  </r>
  <r>
    <x v="702"/>
    <x v="39"/>
    <x v="24"/>
    <x v="31"/>
    <x v="235"/>
    <x v="9"/>
    <s v="Post-IPO"/>
    <x v="2"/>
    <n v="0.13"/>
    <s v="2023-07"/>
  </r>
  <r>
    <x v="703"/>
    <x v="17"/>
    <x v="2"/>
    <x v="3"/>
    <x v="235"/>
    <x v="99"/>
    <s v="Private Equity"/>
    <x v="2"/>
    <s v="NA"/>
    <s v="2023-07"/>
  </r>
  <r>
    <x v="704"/>
    <x v="11"/>
    <x v="25"/>
    <x v="3"/>
    <x v="235"/>
    <x v="370"/>
    <s v="Acquired"/>
    <x v="2"/>
    <s v="NA"/>
    <s v="2023-07"/>
  </r>
  <r>
    <x v="705"/>
    <x v="17"/>
    <x v="1"/>
    <x v="3"/>
    <x v="235"/>
    <x v="371"/>
    <s v="Acquired"/>
    <x v="2"/>
    <n v="0.09"/>
    <s v="2023-07"/>
  </r>
  <r>
    <x v="59"/>
    <x v="4"/>
    <x v="7"/>
    <x v="3"/>
    <x v="235"/>
    <x v="51"/>
    <s v="Post-IPO"/>
    <x v="2"/>
    <s v="NA"/>
    <s v="2023-07"/>
  </r>
  <r>
    <x v="144"/>
    <x v="50"/>
    <x v="0"/>
    <x v="11"/>
    <x v="236"/>
    <x v="109"/>
    <s v="Unknown"/>
    <x v="6"/>
    <n v="0.12"/>
    <s v="2023-07"/>
  </r>
  <r>
    <x v="706"/>
    <x v="6"/>
    <x v="27"/>
    <x v="22"/>
    <x v="236"/>
    <x v="372"/>
    <s v="Post-IPO"/>
    <x v="2"/>
    <n v="0.3"/>
    <s v="2023-07"/>
  </r>
  <r>
    <x v="707"/>
    <x v="123"/>
    <x v="1"/>
    <x v="1"/>
    <x v="236"/>
    <x v="373"/>
    <s v="Post-IPO"/>
    <x v="2"/>
    <s v="NA"/>
    <s v="2023-07"/>
  </r>
  <r>
    <x v="273"/>
    <x v="3"/>
    <x v="27"/>
    <x v="1"/>
    <x v="236"/>
    <x v="116"/>
    <s v="Series F"/>
    <x v="2"/>
    <n v="0.15"/>
    <s v="2023-07"/>
  </r>
  <r>
    <x v="708"/>
    <x v="88"/>
    <x v="28"/>
    <x v="3"/>
    <x v="236"/>
    <x v="107"/>
    <s v="Unknown"/>
    <x v="2"/>
    <s v="NA"/>
    <s v="2023-07"/>
  </r>
  <r>
    <x v="709"/>
    <x v="17"/>
    <x v="5"/>
    <x v="3"/>
    <x v="236"/>
    <x v="374"/>
    <s v="Post-IPO"/>
    <x v="2"/>
    <n v="0.25"/>
    <s v="2023-07"/>
  </r>
  <r>
    <x v="710"/>
    <x v="20"/>
    <x v="21"/>
    <x v="3"/>
    <x v="236"/>
    <x v="354"/>
    <s v="Series A"/>
    <x v="6"/>
    <s v="NA"/>
    <s v="2023-07"/>
  </r>
  <r>
    <x v="711"/>
    <x v="38"/>
    <x v="23"/>
    <x v="3"/>
    <x v="236"/>
    <x v="191"/>
    <s v="Series A"/>
    <x v="7"/>
    <s v="NA"/>
    <s v="2023-07"/>
  </r>
  <r>
    <x v="481"/>
    <x v="6"/>
    <x v="10"/>
    <x v="3"/>
    <x v="236"/>
    <x v="103"/>
    <s v="Post-IPO"/>
    <x v="2"/>
    <n v="0.34"/>
    <s v="2023-07"/>
  </r>
  <r>
    <x v="712"/>
    <x v="20"/>
    <x v="11"/>
    <x v="3"/>
    <x v="237"/>
    <x v="354"/>
    <s v="Series A"/>
    <x v="6"/>
    <n v="1"/>
    <s v="2023-07"/>
  </r>
  <r>
    <x v="713"/>
    <x v="17"/>
    <x v="5"/>
    <x v="3"/>
    <x v="237"/>
    <x v="375"/>
    <s v="Series C"/>
    <x v="2"/>
    <s v="NA"/>
    <s v="2023-07"/>
  </r>
  <r>
    <x v="714"/>
    <x v="3"/>
    <x v="25"/>
    <x v="3"/>
    <x v="237"/>
    <x v="376"/>
    <s v="Post-IPO"/>
    <x v="2"/>
    <n v="0.59"/>
    <s v="2023-07"/>
  </r>
  <r>
    <x v="715"/>
    <x v="6"/>
    <x v="10"/>
    <x v="3"/>
    <x v="237"/>
    <x v="350"/>
    <s v="Series F"/>
    <x v="2"/>
    <n v="0.05"/>
    <s v="2023-07"/>
  </r>
  <r>
    <x v="716"/>
    <x v="41"/>
    <x v="5"/>
    <x v="2"/>
    <x v="238"/>
    <x v="12"/>
    <s v="Unknown"/>
    <x v="15"/>
    <n v="1"/>
    <s v="2023-07"/>
  </r>
  <r>
    <x v="717"/>
    <x v="6"/>
    <x v="6"/>
    <x v="3"/>
    <x v="238"/>
    <x v="377"/>
    <s v="Acquired"/>
    <x v="2"/>
    <s v="NA"/>
    <s v="2023-07"/>
  </r>
  <r>
    <x v="718"/>
    <x v="14"/>
    <x v="7"/>
    <x v="3"/>
    <x v="238"/>
    <x v="69"/>
    <s v="Acquired"/>
    <x v="5"/>
    <s v="NA"/>
    <s v="2023-07"/>
  </r>
  <r>
    <x v="719"/>
    <x v="6"/>
    <x v="25"/>
    <x v="3"/>
    <x v="238"/>
    <x v="55"/>
    <s v="Unknown"/>
    <x v="2"/>
    <s v="NA"/>
    <s v="2023-07"/>
  </r>
  <r>
    <x v="720"/>
    <x v="93"/>
    <x v="18"/>
    <x v="67"/>
    <x v="239"/>
    <x v="12"/>
    <s v="Post-IPO"/>
    <x v="2"/>
    <n v="0.06"/>
    <s v="2023-07"/>
  </r>
  <r>
    <x v="721"/>
    <x v="10"/>
    <x v="1"/>
    <x v="4"/>
    <x v="239"/>
    <x v="52"/>
    <s v="Private Equity"/>
    <x v="3"/>
    <n v="0.15"/>
    <s v="2023-07"/>
  </r>
  <r>
    <x v="722"/>
    <x v="6"/>
    <x v="0"/>
    <x v="167"/>
    <x v="239"/>
    <x v="378"/>
    <s v="Series D"/>
    <x v="2"/>
    <n v="0.15"/>
    <s v="2023-07"/>
  </r>
  <r>
    <x v="723"/>
    <x v="26"/>
    <x v="16"/>
    <x v="168"/>
    <x v="239"/>
    <x v="12"/>
    <s v="Unknown"/>
    <x v="2"/>
    <s v="NA"/>
    <s v="2023-07"/>
  </r>
  <r>
    <x v="724"/>
    <x v="3"/>
    <x v="5"/>
    <x v="33"/>
    <x v="239"/>
    <x v="379"/>
    <s v="Series D"/>
    <x v="2"/>
    <n v="0.1"/>
    <s v="2023-07"/>
  </r>
  <r>
    <x v="725"/>
    <x v="42"/>
    <x v="3"/>
    <x v="3"/>
    <x v="239"/>
    <x v="86"/>
    <s v="Unknown"/>
    <x v="16"/>
    <s v="NA"/>
    <s v="2023-07"/>
  </r>
  <r>
    <x v="726"/>
    <x v="17"/>
    <x v="5"/>
    <x v="3"/>
    <x v="239"/>
    <x v="380"/>
    <s v="Unknown"/>
    <x v="2"/>
    <s v="NA"/>
    <s v="2023-07"/>
  </r>
  <r>
    <x v="727"/>
    <x v="6"/>
    <x v="9"/>
    <x v="3"/>
    <x v="239"/>
    <x v="274"/>
    <s v="Series D"/>
    <x v="2"/>
    <s v="NA"/>
    <s v="2023-07"/>
  </r>
  <r>
    <x v="728"/>
    <x v="6"/>
    <x v="5"/>
    <x v="3"/>
    <x v="239"/>
    <x v="242"/>
    <s v="Series B"/>
    <x v="2"/>
    <s v="NA"/>
    <s v="2023-07"/>
  </r>
  <r>
    <x v="729"/>
    <x v="101"/>
    <x v="29"/>
    <x v="2"/>
    <x v="240"/>
    <x v="381"/>
    <s v="Series B"/>
    <x v="7"/>
    <s v="NA"/>
    <s v="2023-07"/>
  </r>
  <r>
    <x v="730"/>
    <x v="120"/>
    <x v="27"/>
    <x v="3"/>
    <x v="240"/>
    <x v="12"/>
    <s v="Post-IPO"/>
    <x v="35"/>
    <n v="0.06"/>
    <s v="2023-07"/>
  </r>
  <r>
    <x v="731"/>
    <x v="14"/>
    <x v="26"/>
    <x v="56"/>
    <x v="241"/>
    <x v="115"/>
    <s v="Acquired"/>
    <x v="5"/>
    <n v="0.1"/>
    <s v="2023-07"/>
  </r>
  <r>
    <x v="732"/>
    <x v="51"/>
    <x v="1"/>
    <x v="11"/>
    <x v="242"/>
    <x v="382"/>
    <s v="Post-IPO"/>
    <x v="20"/>
    <n v="0.2"/>
    <s v="2023-07"/>
  </r>
  <r>
    <x v="733"/>
    <x v="3"/>
    <x v="6"/>
    <x v="3"/>
    <x v="243"/>
    <x v="70"/>
    <s v="Series A"/>
    <x v="2"/>
    <n v="1"/>
    <s v="2023-06"/>
  </r>
  <r>
    <x v="734"/>
    <x v="9"/>
    <x v="21"/>
    <x v="3"/>
    <x v="243"/>
    <x v="12"/>
    <s v="Unknown"/>
    <x v="2"/>
    <n v="1"/>
    <s v="2023-06"/>
  </r>
  <r>
    <x v="735"/>
    <x v="3"/>
    <x v="3"/>
    <x v="3"/>
    <x v="243"/>
    <x v="383"/>
    <s v="Private Equity"/>
    <x v="2"/>
    <n v="1"/>
    <s v="2023-06"/>
  </r>
  <r>
    <x v="736"/>
    <x v="3"/>
    <x v="1"/>
    <x v="3"/>
    <x v="243"/>
    <x v="384"/>
    <s v="Series D"/>
    <x v="2"/>
    <n v="0.2"/>
    <s v="2023-06"/>
  </r>
  <r>
    <x v="607"/>
    <x v="6"/>
    <x v="4"/>
    <x v="23"/>
    <x v="244"/>
    <x v="341"/>
    <s v="Series D"/>
    <x v="2"/>
    <s v="NA"/>
    <s v="2023-06"/>
  </r>
  <r>
    <x v="737"/>
    <x v="9"/>
    <x v="5"/>
    <x v="169"/>
    <x v="244"/>
    <x v="156"/>
    <s v="Unknown"/>
    <x v="2"/>
    <n v="0.15"/>
    <s v="2023-06"/>
  </r>
  <r>
    <x v="738"/>
    <x v="3"/>
    <x v="21"/>
    <x v="78"/>
    <x v="244"/>
    <x v="175"/>
    <s v="Series D"/>
    <x v="2"/>
    <n v="0.15"/>
    <s v="2023-06"/>
  </r>
  <r>
    <x v="739"/>
    <x v="3"/>
    <x v="2"/>
    <x v="2"/>
    <x v="244"/>
    <x v="205"/>
    <s v="Series A"/>
    <x v="2"/>
    <s v="NA"/>
    <s v="2023-06"/>
  </r>
  <r>
    <x v="740"/>
    <x v="20"/>
    <x v="4"/>
    <x v="2"/>
    <x v="244"/>
    <x v="12"/>
    <s v="Subsidiary"/>
    <x v="6"/>
    <s v="NA"/>
    <s v="2023-06"/>
  </r>
  <r>
    <x v="741"/>
    <x v="124"/>
    <x v="4"/>
    <x v="26"/>
    <x v="244"/>
    <x v="164"/>
    <s v="Series B"/>
    <x v="1"/>
    <n v="0.3"/>
    <s v="2023-06"/>
  </r>
  <r>
    <x v="742"/>
    <x v="3"/>
    <x v="26"/>
    <x v="33"/>
    <x v="244"/>
    <x v="12"/>
    <s v="Subsidiary"/>
    <x v="2"/>
    <s v="NA"/>
    <s v="2023-06"/>
  </r>
  <r>
    <x v="743"/>
    <x v="125"/>
    <x v="21"/>
    <x v="3"/>
    <x v="244"/>
    <x v="385"/>
    <s v="Series B"/>
    <x v="37"/>
    <n v="0.1"/>
    <s v="2023-06"/>
  </r>
  <r>
    <x v="744"/>
    <x v="20"/>
    <x v="4"/>
    <x v="3"/>
    <x v="244"/>
    <x v="249"/>
    <s v="Seed"/>
    <x v="6"/>
    <n v="0.3"/>
    <s v="2023-06"/>
  </r>
  <r>
    <x v="745"/>
    <x v="6"/>
    <x v="1"/>
    <x v="3"/>
    <x v="244"/>
    <x v="386"/>
    <s v="Series I"/>
    <x v="2"/>
    <s v="NA"/>
    <s v="2023-06"/>
  </r>
  <r>
    <x v="746"/>
    <x v="3"/>
    <x v="4"/>
    <x v="3"/>
    <x v="244"/>
    <x v="143"/>
    <s v="Series A"/>
    <x v="2"/>
    <n v="1"/>
    <s v="2023-06"/>
  </r>
  <r>
    <x v="747"/>
    <x v="12"/>
    <x v="4"/>
    <x v="58"/>
    <x v="245"/>
    <x v="283"/>
    <s v="Series C"/>
    <x v="2"/>
    <n v="0.1"/>
    <s v="2023-06"/>
  </r>
  <r>
    <x v="748"/>
    <x v="38"/>
    <x v="6"/>
    <x v="66"/>
    <x v="245"/>
    <x v="5"/>
    <s v="Acquired"/>
    <x v="2"/>
    <s v="NA"/>
    <s v="2023-06"/>
  </r>
  <r>
    <x v="749"/>
    <x v="4"/>
    <x v="12"/>
    <x v="170"/>
    <x v="245"/>
    <x v="387"/>
    <s v="Unknown"/>
    <x v="2"/>
    <s v="NA"/>
    <s v="2023-06"/>
  </r>
  <r>
    <x v="750"/>
    <x v="6"/>
    <x v="26"/>
    <x v="99"/>
    <x v="245"/>
    <x v="388"/>
    <s v="Unknown"/>
    <x v="2"/>
    <n v="0.2"/>
    <s v="2023-06"/>
  </r>
  <r>
    <x v="751"/>
    <x v="17"/>
    <x v="27"/>
    <x v="3"/>
    <x v="245"/>
    <x v="244"/>
    <s v="Series D"/>
    <x v="2"/>
    <n v="0.15"/>
    <s v="2023-06"/>
  </r>
  <r>
    <x v="752"/>
    <x v="6"/>
    <x v="4"/>
    <x v="3"/>
    <x v="245"/>
    <x v="5"/>
    <s v="Seed"/>
    <x v="2"/>
    <n v="0.1"/>
    <s v="2023-06"/>
  </r>
  <r>
    <x v="753"/>
    <x v="10"/>
    <x v="7"/>
    <x v="62"/>
    <x v="246"/>
    <x v="389"/>
    <s v="Post-IPO"/>
    <x v="3"/>
    <s v="NA"/>
    <s v="2023-06"/>
  </r>
  <r>
    <x v="93"/>
    <x v="6"/>
    <x v="8"/>
    <x v="162"/>
    <x v="246"/>
    <x v="26"/>
    <s v="Post-IPO"/>
    <x v="2"/>
    <n v="0.1"/>
    <s v="2023-06"/>
  </r>
  <r>
    <x v="754"/>
    <x v="126"/>
    <x v="17"/>
    <x v="31"/>
    <x v="246"/>
    <x v="123"/>
    <s v="Series C"/>
    <x v="0"/>
    <s v="NA"/>
    <s v="2023-06"/>
  </r>
  <r>
    <x v="755"/>
    <x v="53"/>
    <x v="1"/>
    <x v="3"/>
    <x v="246"/>
    <x v="390"/>
    <s v="Acquired"/>
    <x v="3"/>
    <s v="NA"/>
    <s v="2023-06"/>
  </r>
  <r>
    <x v="756"/>
    <x v="41"/>
    <x v="1"/>
    <x v="3"/>
    <x v="246"/>
    <x v="12"/>
    <s v="Unknown"/>
    <x v="15"/>
    <n v="1"/>
    <s v="2023-06"/>
  </r>
  <r>
    <x v="757"/>
    <x v="6"/>
    <x v="5"/>
    <x v="3"/>
    <x v="246"/>
    <x v="176"/>
    <s v="Unknown"/>
    <x v="2"/>
    <n v="0.15"/>
    <s v="2023-06"/>
  </r>
  <r>
    <x v="224"/>
    <x v="62"/>
    <x v="9"/>
    <x v="3"/>
    <x v="246"/>
    <x v="163"/>
    <s v="Private Equity"/>
    <x v="7"/>
    <n v="0.09"/>
    <s v="2023-06"/>
  </r>
  <r>
    <x v="758"/>
    <x v="31"/>
    <x v="10"/>
    <x v="3"/>
    <x v="246"/>
    <x v="99"/>
    <s v="Post-IPO"/>
    <x v="2"/>
    <n v="1"/>
    <s v="2023-06"/>
  </r>
  <r>
    <x v="759"/>
    <x v="6"/>
    <x v="10"/>
    <x v="3"/>
    <x v="246"/>
    <x v="8"/>
    <s v="Acquired"/>
    <x v="2"/>
    <s v="NA"/>
    <s v="2023-06"/>
  </r>
  <r>
    <x v="760"/>
    <x v="3"/>
    <x v="1"/>
    <x v="28"/>
    <x v="247"/>
    <x v="12"/>
    <s v="Post-IPO"/>
    <x v="2"/>
    <n v="0.1"/>
    <s v="2023-06"/>
  </r>
  <r>
    <x v="515"/>
    <x v="6"/>
    <x v="1"/>
    <x v="0"/>
    <x v="247"/>
    <x v="305"/>
    <s v="Post-IPO"/>
    <x v="2"/>
    <n v="7.0000000000000007E-2"/>
    <s v="2023-06"/>
  </r>
  <r>
    <x v="447"/>
    <x v="4"/>
    <x v="24"/>
    <x v="2"/>
    <x v="247"/>
    <x v="99"/>
    <s v="Series E"/>
    <x v="2"/>
    <n v="0.05"/>
    <s v="2023-06"/>
  </r>
  <r>
    <x v="21"/>
    <x v="3"/>
    <x v="15"/>
    <x v="3"/>
    <x v="248"/>
    <x v="21"/>
    <s v="Series B"/>
    <x v="2"/>
    <n v="1"/>
    <s v="2023-06"/>
  </r>
  <r>
    <x v="761"/>
    <x v="6"/>
    <x v="6"/>
    <x v="3"/>
    <x v="249"/>
    <x v="199"/>
    <s v="Series C"/>
    <x v="2"/>
    <n v="1"/>
    <s v="2023-06"/>
  </r>
  <r>
    <x v="762"/>
    <x v="6"/>
    <x v="4"/>
    <x v="3"/>
    <x v="250"/>
    <x v="391"/>
    <s v="Series C"/>
    <x v="2"/>
    <n v="0.09"/>
    <s v="2023-06"/>
  </r>
  <r>
    <x v="763"/>
    <x v="6"/>
    <x v="4"/>
    <x v="11"/>
    <x v="251"/>
    <x v="346"/>
    <s v="Acquired"/>
    <x v="2"/>
    <s v="NA"/>
    <s v="2023-06"/>
  </r>
  <r>
    <x v="764"/>
    <x v="6"/>
    <x v="10"/>
    <x v="28"/>
    <x v="251"/>
    <x v="392"/>
    <s v="Post-IPO"/>
    <x v="2"/>
    <s v="NA"/>
    <s v="2023-06"/>
  </r>
  <r>
    <x v="765"/>
    <x v="7"/>
    <x v="8"/>
    <x v="133"/>
    <x v="251"/>
    <x v="351"/>
    <s v="Series C"/>
    <x v="2"/>
    <s v="NA"/>
    <s v="2023-06"/>
  </r>
  <r>
    <x v="766"/>
    <x v="62"/>
    <x v="0"/>
    <x v="171"/>
    <x v="251"/>
    <x v="393"/>
    <s v="Series C"/>
    <x v="7"/>
    <n v="0.4"/>
    <s v="2023-06"/>
  </r>
  <r>
    <x v="767"/>
    <x v="127"/>
    <x v="5"/>
    <x v="3"/>
    <x v="251"/>
    <x v="394"/>
    <s v="Private Equity"/>
    <x v="2"/>
    <s v="NA"/>
    <s v="2023-06"/>
  </r>
  <r>
    <x v="203"/>
    <x v="12"/>
    <x v="5"/>
    <x v="3"/>
    <x v="251"/>
    <x v="151"/>
    <s v="Post-IPO"/>
    <x v="2"/>
    <s v="NA"/>
    <s v="2023-06"/>
  </r>
  <r>
    <x v="768"/>
    <x v="6"/>
    <x v="3"/>
    <x v="3"/>
    <x v="251"/>
    <x v="395"/>
    <s v="Series B"/>
    <x v="2"/>
    <n v="0.3"/>
    <s v="2023-06"/>
  </r>
  <r>
    <x v="769"/>
    <x v="42"/>
    <x v="10"/>
    <x v="4"/>
    <x v="252"/>
    <x v="396"/>
    <s v="Post-IPO"/>
    <x v="16"/>
    <n v="0.11"/>
    <s v="2023-06"/>
  </r>
  <r>
    <x v="770"/>
    <x v="46"/>
    <x v="3"/>
    <x v="19"/>
    <x v="252"/>
    <x v="12"/>
    <s v="Acquired"/>
    <x v="18"/>
    <s v="NA"/>
    <s v="2023-06"/>
  </r>
  <r>
    <x v="771"/>
    <x v="9"/>
    <x v="7"/>
    <x v="99"/>
    <x v="252"/>
    <x v="177"/>
    <s v="Private Equity"/>
    <x v="2"/>
    <s v="NA"/>
    <s v="2023-06"/>
  </r>
  <r>
    <x v="772"/>
    <x v="10"/>
    <x v="0"/>
    <x v="3"/>
    <x v="252"/>
    <x v="142"/>
    <s v="Unknown"/>
    <x v="3"/>
    <n v="1"/>
    <s v="2023-06"/>
  </r>
  <r>
    <x v="574"/>
    <x v="20"/>
    <x v="26"/>
    <x v="92"/>
    <x v="253"/>
    <x v="329"/>
    <s v="Unknown"/>
    <x v="6"/>
    <n v="0.2"/>
    <s v="2023-06"/>
  </r>
  <r>
    <x v="773"/>
    <x v="30"/>
    <x v="12"/>
    <x v="3"/>
    <x v="253"/>
    <x v="78"/>
    <s v="Seed"/>
    <x v="2"/>
    <n v="1"/>
    <s v="2023-06"/>
  </r>
  <r>
    <x v="774"/>
    <x v="6"/>
    <x v="5"/>
    <x v="3"/>
    <x v="254"/>
    <x v="323"/>
    <s v="Series C"/>
    <x v="2"/>
    <n v="1"/>
    <s v="2023-06"/>
  </r>
  <r>
    <x v="775"/>
    <x v="20"/>
    <x v="5"/>
    <x v="22"/>
    <x v="255"/>
    <x v="70"/>
    <s v="Series A"/>
    <x v="6"/>
    <n v="0.8"/>
    <s v="2023-06"/>
  </r>
  <r>
    <x v="776"/>
    <x v="47"/>
    <x v="10"/>
    <x v="172"/>
    <x v="256"/>
    <x v="51"/>
    <s v="Post-IPO"/>
    <x v="2"/>
    <s v="NA"/>
    <s v="2023-06"/>
  </r>
  <r>
    <x v="467"/>
    <x v="6"/>
    <x v="16"/>
    <x v="118"/>
    <x v="256"/>
    <x v="12"/>
    <s v="Post-IPO"/>
    <x v="2"/>
    <s v="NA"/>
    <s v="2023-06"/>
  </r>
  <r>
    <x v="777"/>
    <x v="6"/>
    <x v="1"/>
    <x v="112"/>
    <x v="256"/>
    <x v="217"/>
    <s v="Unknown"/>
    <x v="2"/>
    <n v="0.13"/>
    <s v="2023-06"/>
  </r>
  <r>
    <x v="778"/>
    <x v="10"/>
    <x v="10"/>
    <x v="3"/>
    <x v="256"/>
    <x v="144"/>
    <s v="Seed"/>
    <x v="3"/>
    <n v="1"/>
    <s v="2023-06"/>
  </r>
  <r>
    <x v="349"/>
    <x v="4"/>
    <x v="21"/>
    <x v="3"/>
    <x v="256"/>
    <x v="192"/>
    <s v="Acquired"/>
    <x v="2"/>
    <s v="NA"/>
    <s v="2023-06"/>
  </r>
  <r>
    <x v="779"/>
    <x v="9"/>
    <x v="5"/>
    <x v="1"/>
    <x v="257"/>
    <x v="302"/>
    <s v="Series A"/>
    <x v="2"/>
    <n v="0.33"/>
    <s v="2023-06"/>
  </r>
  <r>
    <x v="780"/>
    <x v="128"/>
    <x v="10"/>
    <x v="112"/>
    <x v="257"/>
    <x v="12"/>
    <s v="Subsidiary"/>
    <x v="38"/>
    <n v="0.6"/>
    <s v="2023-06"/>
  </r>
  <r>
    <x v="528"/>
    <x v="6"/>
    <x v="2"/>
    <x v="3"/>
    <x v="257"/>
    <x v="12"/>
    <s v="Subsidiary"/>
    <x v="2"/>
    <s v="NA"/>
    <s v="2023-06"/>
  </r>
  <r>
    <x v="781"/>
    <x v="102"/>
    <x v="5"/>
    <x v="3"/>
    <x v="257"/>
    <x v="12"/>
    <s v="Acquired"/>
    <x v="2"/>
    <s v="NA"/>
    <s v="2023-06"/>
  </r>
  <r>
    <x v="712"/>
    <x v="20"/>
    <x v="11"/>
    <x v="3"/>
    <x v="257"/>
    <x v="354"/>
    <s v="Series A"/>
    <x v="6"/>
    <n v="0.9"/>
    <s v="2023-06"/>
  </r>
  <r>
    <x v="782"/>
    <x v="6"/>
    <x v="2"/>
    <x v="61"/>
    <x v="258"/>
    <x v="273"/>
    <s v="Series B"/>
    <x v="2"/>
    <n v="1"/>
    <s v="2023-06"/>
  </r>
  <r>
    <x v="394"/>
    <x v="3"/>
    <x v="6"/>
    <x v="80"/>
    <x v="258"/>
    <x v="254"/>
    <s v="Post-IPO"/>
    <x v="2"/>
    <n v="7.0000000000000007E-2"/>
    <s v="2023-06"/>
  </r>
  <r>
    <x v="783"/>
    <x v="9"/>
    <x v="10"/>
    <x v="173"/>
    <x v="258"/>
    <x v="397"/>
    <s v="Post-IPO"/>
    <x v="2"/>
    <n v="0.24"/>
    <s v="2023-06"/>
  </r>
  <r>
    <x v="784"/>
    <x v="3"/>
    <x v="0"/>
    <x v="52"/>
    <x v="258"/>
    <x v="398"/>
    <s v="Post-IPO"/>
    <x v="2"/>
    <n v="0.11"/>
    <s v="2023-06"/>
  </r>
  <r>
    <x v="785"/>
    <x v="48"/>
    <x v="21"/>
    <x v="54"/>
    <x v="258"/>
    <x v="335"/>
    <s v="Unknown"/>
    <x v="6"/>
    <s v="NA"/>
    <s v="2023-06"/>
  </r>
  <r>
    <x v="493"/>
    <x v="6"/>
    <x v="1"/>
    <x v="3"/>
    <x v="258"/>
    <x v="86"/>
    <s v="Series B"/>
    <x v="2"/>
    <n v="0.18"/>
    <s v="2023-06"/>
  </r>
  <r>
    <x v="786"/>
    <x v="6"/>
    <x v="16"/>
    <x v="174"/>
    <x v="259"/>
    <x v="399"/>
    <s v="Post-IPO"/>
    <x v="2"/>
    <s v="NA"/>
    <s v="2023-06"/>
  </r>
  <r>
    <x v="787"/>
    <x v="109"/>
    <x v="25"/>
    <x v="114"/>
    <x v="259"/>
    <x v="2"/>
    <s v="Series C"/>
    <x v="2"/>
    <s v="NA"/>
    <s v="2023-06"/>
  </r>
  <r>
    <x v="788"/>
    <x v="14"/>
    <x v="21"/>
    <x v="3"/>
    <x v="259"/>
    <x v="312"/>
    <s v="Post-IPO"/>
    <x v="5"/>
    <s v="NA"/>
    <s v="2023-06"/>
  </r>
  <r>
    <x v="789"/>
    <x v="6"/>
    <x v="0"/>
    <x v="9"/>
    <x v="260"/>
    <x v="400"/>
    <s v="Acquired"/>
    <x v="2"/>
    <n v="0.15"/>
    <s v="2023-06"/>
  </r>
  <r>
    <x v="790"/>
    <x v="10"/>
    <x v="1"/>
    <x v="0"/>
    <x v="260"/>
    <x v="134"/>
    <s v="Series G"/>
    <x v="3"/>
    <n v="0.17"/>
    <s v="2023-06"/>
  </r>
  <r>
    <x v="791"/>
    <x v="109"/>
    <x v="14"/>
    <x v="1"/>
    <x v="260"/>
    <x v="401"/>
    <s v="Series F"/>
    <x v="2"/>
    <n v="0.12"/>
    <s v="2023-06"/>
  </r>
  <r>
    <x v="792"/>
    <x v="6"/>
    <x v="11"/>
    <x v="54"/>
    <x v="260"/>
    <x v="402"/>
    <s v="Post-IPO"/>
    <x v="2"/>
    <n v="0.04"/>
    <s v="2023-06"/>
  </r>
  <r>
    <x v="793"/>
    <x v="9"/>
    <x v="26"/>
    <x v="3"/>
    <x v="260"/>
    <x v="144"/>
    <s v="Seed"/>
    <x v="2"/>
    <n v="1"/>
    <s v="2023-06"/>
  </r>
  <r>
    <x v="794"/>
    <x v="6"/>
    <x v="2"/>
    <x v="54"/>
    <x v="261"/>
    <x v="403"/>
    <s v="Unknown"/>
    <x v="2"/>
    <n v="0.4"/>
    <s v="2023-06"/>
  </r>
  <r>
    <x v="795"/>
    <x v="42"/>
    <x v="6"/>
    <x v="3"/>
    <x v="261"/>
    <x v="12"/>
    <s v="Unknown"/>
    <x v="16"/>
    <n v="1"/>
    <s v="2023-06"/>
  </r>
  <r>
    <x v="796"/>
    <x v="106"/>
    <x v="11"/>
    <x v="117"/>
    <x v="262"/>
    <x v="252"/>
    <s v="Series B"/>
    <x v="31"/>
    <n v="0.35"/>
    <s v="2023-06"/>
  </r>
  <r>
    <x v="618"/>
    <x v="6"/>
    <x v="5"/>
    <x v="133"/>
    <x v="262"/>
    <x v="99"/>
    <s v="Post-IPO"/>
    <x v="2"/>
    <n v="0.09"/>
    <s v="2023-06"/>
  </r>
  <r>
    <x v="797"/>
    <x v="72"/>
    <x v="25"/>
    <x v="14"/>
    <x v="262"/>
    <x v="82"/>
    <s v="Series E"/>
    <x v="2"/>
    <n v="0.1"/>
    <s v="2023-06"/>
  </r>
  <r>
    <x v="287"/>
    <x v="74"/>
    <x v="1"/>
    <x v="175"/>
    <x v="263"/>
    <x v="127"/>
    <s v="Series C"/>
    <x v="2"/>
    <s v="NA"/>
    <s v="2023-06"/>
  </r>
  <r>
    <x v="798"/>
    <x v="3"/>
    <x v="5"/>
    <x v="176"/>
    <x v="263"/>
    <x v="404"/>
    <s v="Series D"/>
    <x v="2"/>
    <n v="0.12"/>
    <s v="2023-06"/>
  </r>
  <r>
    <x v="799"/>
    <x v="4"/>
    <x v="9"/>
    <x v="24"/>
    <x v="263"/>
    <x v="405"/>
    <s v="Series F"/>
    <x v="2"/>
    <n v="0.15"/>
    <s v="2023-06"/>
  </r>
  <r>
    <x v="800"/>
    <x v="6"/>
    <x v="27"/>
    <x v="3"/>
    <x v="263"/>
    <x v="406"/>
    <s v="Series E"/>
    <x v="2"/>
    <s v="NA"/>
    <s v="2023-06"/>
  </r>
  <r>
    <x v="801"/>
    <x v="6"/>
    <x v="18"/>
    <x v="3"/>
    <x v="263"/>
    <x v="407"/>
    <s v="Post-IPO"/>
    <x v="2"/>
    <s v="NA"/>
    <s v="2023-06"/>
  </r>
  <r>
    <x v="802"/>
    <x v="6"/>
    <x v="25"/>
    <x v="3"/>
    <x v="263"/>
    <x v="261"/>
    <s v="Seed"/>
    <x v="2"/>
    <n v="1"/>
    <s v="2023-06"/>
  </r>
  <r>
    <x v="95"/>
    <x v="20"/>
    <x v="11"/>
    <x v="4"/>
    <x v="264"/>
    <x v="76"/>
    <s v="Private Equity"/>
    <x v="6"/>
    <s v="NA"/>
    <s v="2023-06"/>
  </r>
  <r>
    <x v="803"/>
    <x v="106"/>
    <x v="1"/>
    <x v="177"/>
    <x v="264"/>
    <x v="60"/>
    <s v="Post-IPO"/>
    <x v="31"/>
    <s v="NA"/>
    <s v="2023-06"/>
  </r>
  <r>
    <x v="804"/>
    <x v="6"/>
    <x v="27"/>
    <x v="41"/>
    <x v="264"/>
    <x v="397"/>
    <s v="Acquired"/>
    <x v="2"/>
    <s v="NA"/>
    <s v="2023-06"/>
  </r>
  <r>
    <x v="805"/>
    <x v="3"/>
    <x v="5"/>
    <x v="178"/>
    <x v="264"/>
    <x v="408"/>
    <s v="Acquired"/>
    <x v="2"/>
    <s v="NA"/>
    <s v="2023-06"/>
  </r>
  <r>
    <x v="544"/>
    <x v="3"/>
    <x v="22"/>
    <x v="3"/>
    <x v="264"/>
    <x v="318"/>
    <s v="Unknown"/>
    <x v="2"/>
    <s v="NA"/>
    <s v="2023-06"/>
  </r>
  <r>
    <x v="806"/>
    <x v="6"/>
    <x v="8"/>
    <x v="3"/>
    <x v="264"/>
    <x v="409"/>
    <s v="Post-IPO"/>
    <x v="2"/>
    <n v="0.08"/>
    <s v="2023-06"/>
  </r>
  <r>
    <x v="807"/>
    <x v="11"/>
    <x v="20"/>
    <x v="3"/>
    <x v="264"/>
    <x v="410"/>
    <s v="Series D"/>
    <x v="2"/>
    <s v="NA"/>
    <s v="2023-06"/>
  </r>
  <r>
    <x v="808"/>
    <x v="6"/>
    <x v="13"/>
    <x v="179"/>
    <x v="265"/>
    <x v="12"/>
    <s v="Post-IPO"/>
    <x v="2"/>
    <s v="NA"/>
    <s v="2023-06"/>
  </r>
  <r>
    <x v="132"/>
    <x v="47"/>
    <x v="8"/>
    <x v="167"/>
    <x v="265"/>
    <x v="102"/>
    <s v="Post-IPO"/>
    <x v="2"/>
    <n v="0.12"/>
    <s v="2023-06"/>
  </r>
  <r>
    <x v="809"/>
    <x v="6"/>
    <x v="6"/>
    <x v="58"/>
    <x v="265"/>
    <x v="22"/>
    <s v="Series F"/>
    <x v="2"/>
    <n v="0.05"/>
    <s v="2023-06"/>
  </r>
  <r>
    <x v="810"/>
    <x v="119"/>
    <x v="6"/>
    <x v="14"/>
    <x v="265"/>
    <x v="365"/>
    <s v="Unknown"/>
    <x v="20"/>
    <n v="0.27"/>
    <s v="2023-06"/>
  </r>
  <r>
    <x v="811"/>
    <x v="59"/>
    <x v="25"/>
    <x v="31"/>
    <x v="265"/>
    <x v="411"/>
    <s v="Series D"/>
    <x v="2"/>
    <n v="0.09"/>
    <s v="2023-06"/>
  </r>
  <r>
    <x v="297"/>
    <x v="6"/>
    <x v="4"/>
    <x v="31"/>
    <x v="265"/>
    <x v="22"/>
    <s v="Post-IPO"/>
    <x v="2"/>
    <s v="NA"/>
    <s v="2023-06"/>
  </r>
  <r>
    <x v="812"/>
    <x v="115"/>
    <x v="2"/>
    <x v="180"/>
    <x v="265"/>
    <x v="412"/>
    <s v="Seed"/>
    <x v="34"/>
    <s v="NA"/>
    <s v="2023-06"/>
  </r>
  <r>
    <x v="813"/>
    <x v="3"/>
    <x v="5"/>
    <x v="3"/>
    <x v="265"/>
    <x v="12"/>
    <s v="Unknown"/>
    <x v="2"/>
    <n v="1"/>
    <s v="2023-06"/>
  </r>
  <r>
    <x v="361"/>
    <x v="55"/>
    <x v="26"/>
    <x v="28"/>
    <x v="266"/>
    <x v="236"/>
    <s v="Post-IPO"/>
    <x v="22"/>
    <n v="0.02"/>
    <s v="2023-06"/>
  </r>
  <r>
    <x v="814"/>
    <x v="129"/>
    <x v="1"/>
    <x v="3"/>
    <x v="266"/>
    <x v="249"/>
    <s v="Series A"/>
    <x v="2"/>
    <s v="NA"/>
    <s v="2023-06"/>
  </r>
  <r>
    <x v="336"/>
    <x v="4"/>
    <x v="22"/>
    <x v="3"/>
    <x v="266"/>
    <x v="224"/>
    <s v="Series C"/>
    <x v="2"/>
    <s v="NA"/>
    <s v="2023-06"/>
  </r>
  <r>
    <x v="815"/>
    <x v="11"/>
    <x v="0"/>
    <x v="3"/>
    <x v="267"/>
    <x v="116"/>
    <s v="Series C"/>
    <x v="2"/>
    <n v="0.05"/>
    <s v="2023-06"/>
  </r>
  <r>
    <x v="816"/>
    <x v="37"/>
    <x v="9"/>
    <x v="17"/>
    <x v="268"/>
    <x v="261"/>
    <s v="Post-IPO"/>
    <x v="2"/>
    <n v="0.03"/>
    <s v="2023-06"/>
  </r>
  <r>
    <x v="817"/>
    <x v="130"/>
    <x v="4"/>
    <x v="58"/>
    <x v="268"/>
    <x v="243"/>
    <s v="Series E"/>
    <x v="5"/>
    <s v="NA"/>
    <s v="2023-06"/>
  </r>
  <r>
    <x v="818"/>
    <x v="6"/>
    <x v="0"/>
    <x v="3"/>
    <x v="268"/>
    <x v="413"/>
    <s v="Unknown"/>
    <x v="2"/>
    <n v="1"/>
    <s v="2023-06"/>
  </r>
  <r>
    <x v="819"/>
    <x v="3"/>
    <x v="1"/>
    <x v="45"/>
    <x v="269"/>
    <x v="12"/>
    <s v="Subsidiary"/>
    <x v="2"/>
    <n v="0.7"/>
    <s v="2023-06"/>
  </r>
  <r>
    <x v="820"/>
    <x v="6"/>
    <x v="14"/>
    <x v="22"/>
    <x v="269"/>
    <x v="331"/>
    <s v="Series C"/>
    <x v="2"/>
    <s v="NA"/>
    <s v="2023-06"/>
  </r>
  <r>
    <x v="821"/>
    <x v="19"/>
    <x v="5"/>
    <x v="71"/>
    <x v="269"/>
    <x v="185"/>
    <s v="Series B"/>
    <x v="6"/>
    <s v="NA"/>
    <s v="2023-06"/>
  </r>
  <r>
    <x v="822"/>
    <x v="3"/>
    <x v="3"/>
    <x v="58"/>
    <x v="269"/>
    <x v="414"/>
    <s v="Post-IPO"/>
    <x v="2"/>
    <n v="0.1"/>
    <s v="2023-06"/>
  </r>
  <r>
    <x v="823"/>
    <x v="6"/>
    <x v="24"/>
    <x v="3"/>
    <x v="269"/>
    <x v="391"/>
    <s v="Series B"/>
    <x v="2"/>
    <s v="NA"/>
    <s v="2023-06"/>
  </r>
  <r>
    <x v="824"/>
    <x v="14"/>
    <x v="12"/>
    <x v="3"/>
    <x v="269"/>
    <x v="169"/>
    <s v="Series C"/>
    <x v="5"/>
    <n v="0.1"/>
    <s v="2023-06"/>
  </r>
  <r>
    <x v="825"/>
    <x v="3"/>
    <x v="4"/>
    <x v="3"/>
    <x v="269"/>
    <x v="12"/>
    <s v="Unknown"/>
    <x v="2"/>
    <s v="NA"/>
    <s v="2023-06"/>
  </r>
  <r>
    <x v="826"/>
    <x v="6"/>
    <x v="25"/>
    <x v="3"/>
    <x v="269"/>
    <x v="114"/>
    <s v="Post-IPO"/>
    <x v="2"/>
    <n v="0.05"/>
    <s v="2023-06"/>
  </r>
  <r>
    <x v="827"/>
    <x v="3"/>
    <x v="1"/>
    <x v="3"/>
    <x v="269"/>
    <x v="415"/>
    <s v="Series D"/>
    <x v="2"/>
    <n v="0.19"/>
    <s v="2023-06"/>
  </r>
  <r>
    <x v="828"/>
    <x v="6"/>
    <x v="18"/>
    <x v="60"/>
    <x v="270"/>
    <x v="390"/>
    <s v="Acquired"/>
    <x v="2"/>
    <n v="0.08"/>
    <s v="2023-05"/>
  </r>
  <r>
    <x v="829"/>
    <x v="9"/>
    <x v="15"/>
    <x v="172"/>
    <x v="270"/>
    <x v="416"/>
    <s v="Post-IPO"/>
    <x v="2"/>
    <n v="0.2"/>
    <s v="2023-05"/>
  </r>
  <r>
    <x v="266"/>
    <x v="17"/>
    <x v="4"/>
    <x v="1"/>
    <x v="270"/>
    <x v="156"/>
    <s v="Series B"/>
    <x v="2"/>
    <n v="0.25"/>
    <s v="2023-05"/>
  </r>
  <r>
    <x v="381"/>
    <x v="14"/>
    <x v="22"/>
    <x v="14"/>
    <x v="270"/>
    <x v="26"/>
    <s v="Unknown"/>
    <x v="5"/>
    <s v="NA"/>
    <s v="2023-05"/>
  </r>
  <r>
    <x v="830"/>
    <x v="6"/>
    <x v="8"/>
    <x v="5"/>
    <x v="270"/>
    <x v="417"/>
    <s v="Series D"/>
    <x v="2"/>
    <n v="0.3"/>
    <s v="2023-05"/>
  </r>
  <r>
    <x v="166"/>
    <x v="3"/>
    <x v="21"/>
    <x v="57"/>
    <x v="270"/>
    <x v="123"/>
    <s v="Series D"/>
    <x v="2"/>
    <n v="0.08"/>
    <s v="2023-05"/>
  </r>
  <r>
    <x v="831"/>
    <x v="14"/>
    <x v="1"/>
    <x v="17"/>
    <x v="271"/>
    <x v="418"/>
    <s v="Series D"/>
    <x v="5"/>
    <n v="0.2"/>
    <s v="2023-05"/>
  </r>
  <r>
    <x v="832"/>
    <x v="20"/>
    <x v="21"/>
    <x v="2"/>
    <x v="271"/>
    <x v="419"/>
    <s v="Unknown"/>
    <x v="6"/>
    <s v="NA"/>
    <s v="2023-05"/>
  </r>
  <r>
    <x v="833"/>
    <x v="6"/>
    <x v="1"/>
    <x v="3"/>
    <x v="271"/>
    <x v="420"/>
    <s v="Acquired"/>
    <x v="2"/>
    <s v="NA"/>
    <s v="2023-05"/>
  </r>
  <r>
    <x v="834"/>
    <x v="42"/>
    <x v="2"/>
    <x v="3"/>
    <x v="271"/>
    <x v="329"/>
    <s v="Series B"/>
    <x v="16"/>
    <s v="NA"/>
    <s v="2023-05"/>
  </r>
  <r>
    <x v="835"/>
    <x v="9"/>
    <x v="8"/>
    <x v="3"/>
    <x v="271"/>
    <x v="79"/>
    <s v="Unknown"/>
    <x v="2"/>
    <s v="NA"/>
    <s v="2023-05"/>
  </r>
  <r>
    <x v="527"/>
    <x v="11"/>
    <x v="7"/>
    <x v="181"/>
    <x v="272"/>
    <x v="262"/>
    <s v="Series F"/>
    <x v="2"/>
    <n v="0.14000000000000001"/>
    <s v="2023-05"/>
  </r>
  <r>
    <x v="524"/>
    <x v="58"/>
    <x v="24"/>
    <x v="80"/>
    <x v="273"/>
    <x v="308"/>
    <s v="Unknown"/>
    <x v="2"/>
    <n v="0.1"/>
    <s v="2023-05"/>
  </r>
  <r>
    <x v="836"/>
    <x v="3"/>
    <x v="15"/>
    <x v="151"/>
    <x v="273"/>
    <x v="12"/>
    <s v="Post-IPO"/>
    <x v="2"/>
    <n v="0.1"/>
    <s v="2023-05"/>
  </r>
  <r>
    <x v="837"/>
    <x v="10"/>
    <x v="5"/>
    <x v="12"/>
    <x v="274"/>
    <x v="421"/>
    <s v="Private Equity"/>
    <x v="3"/>
    <s v="NA"/>
    <s v="2023-05"/>
  </r>
  <r>
    <x v="110"/>
    <x v="20"/>
    <x v="3"/>
    <x v="133"/>
    <x v="274"/>
    <x v="86"/>
    <s v="Series B"/>
    <x v="6"/>
    <n v="0.3"/>
    <s v="2023-05"/>
  </r>
  <r>
    <x v="838"/>
    <x v="77"/>
    <x v="0"/>
    <x v="78"/>
    <x v="274"/>
    <x v="69"/>
    <s v="Seed"/>
    <x v="5"/>
    <s v="NA"/>
    <s v="2023-05"/>
  </r>
  <r>
    <x v="329"/>
    <x v="32"/>
    <x v="26"/>
    <x v="46"/>
    <x v="274"/>
    <x v="219"/>
    <s v="Series C"/>
    <x v="11"/>
    <s v="NA"/>
    <s v="2023-05"/>
  </r>
  <r>
    <x v="839"/>
    <x v="6"/>
    <x v="6"/>
    <x v="3"/>
    <x v="274"/>
    <x v="422"/>
    <s v="Acquired"/>
    <x v="2"/>
    <n v="0.12"/>
    <s v="2023-05"/>
  </r>
  <r>
    <x v="18"/>
    <x v="11"/>
    <x v="11"/>
    <x v="130"/>
    <x v="275"/>
    <x v="18"/>
    <s v="Series F"/>
    <x v="2"/>
    <n v="0.12"/>
    <s v="2023-05"/>
  </r>
  <r>
    <x v="840"/>
    <x v="131"/>
    <x v="3"/>
    <x v="17"/>
    <x v="275"/>
    <x v="12"/>
    <s v="Acquired"/>
    <x v="2"/>
    <n v="0.11"/>
    <s v="2023-05"/>
  </r>
  <r>
    <x v="841"/>
    <x v="14"/>
    <x v="0"/>
    <x v="1"/>
    <x v="275"/>
    <x v="35"/>
    <s v="Series B"/>
    <x v="5"/>
    <n v="0.16"/>
    <s v="2023-05"/>
  </r>
  <r>
    <x v="786"/>
    <x v="132"/>
    <x v="16"/>
    <x v="14"/>
    <x v="275"/>
    <x v="399"/>
    <s v="Post-IPO"/>
    <x v="1"/>
    <n v="7.0000000000000007E-2"/>
    <s v="2023-05"/>
  </r>
  <r>
    <x v="842"/>
    <x v="133"/>
    <x v="27"/>
    <x v="3"/>
    <x v="275"/>
    <x v="12"/>
    <s v="Subsidiary"/>
    <x v="17"/>
    <n v="7.0000000000000007E-2"/>
    <s v="2023-05"/>
  </r>
  <r>
    <x v="843"/>
    <x v="52"/>
    <x v="11"/>
    <x v="3"/>
    <x v="275"/>
    <x v="351"/>
    <s v="Series D"/>
    <x v="21"/>
    <n v="0.3"/>
    <s v="2023-05"/>
  </r>
  <r>
    <x v="844"/>
    <x v="91"/>
    <x v="0"/>
    <x v="4"/>
    <x v="276"/>
    <x v="12"/>
    <s v="Subsidiary"/>
    <x v="6"/>
    <s v="NA"/>
    <s v="2023-05"/>
  </r>
  <r>
    <x v="467"/>
    <x v="85"/>
    <x v="16"/>
    <x v="2"/>
    <x v="276"/>
    <x v="12"/>
    <s v="Post-IPO"/>
    <x v="1"/>
    <s v="NA"/>
    <s v="2023-05"/>
  </r>
  <r>
    <x v="845"/>
    <x v="14"/>
    <x v="6"/>
    <x v="3"/>
    <x v="276"/>
    <x v="423"/>
    <s v="Unknown"/>
    <x v="5"/>
    <n v="0.08"/>
    <s v="2023-05"/>
  </r>
  <r>
    <x v="846"/>
    <x v="10"/>
    <x v="1"/>
    <x v="3"/>
    <x v="276"/>
    <x v="2"/>
    <s v="Series D"/>
    <x v="2"/>
    <s v="NA"/>
    <s v="2023-05"/>
  </r>
  <r>
    <x v="593"/>
    <x v="66"/>
    <x v="22"/>
    <x v="40"/>
    <x v="277"/>
    <x v="43"/>
    <s v="Post-IPO"/>
    <x v="2"/>
    <s v="NA"/>
    <s v="2023-05"/>
  </r>
  <r>
    <x v="847"/>
    <x v="9"/>
    <x v="1"/>
    <x v="3"/>
    <x v="277"/>
    <x v="132"/>
    <s v="Series A"/>
    <x v="2"/>
    <n v="1"/>
    <s v="2023-05"/>
  </r>
  <r>
    <x v="848"/>
    <x v="134"/>
    <x v="5"/>
    <x v="3"/>
    <x v="277"/>
    <x v="12"/>
    <s v="Unknown"/>
    <x v="2"/>
    <n v="1"/>
    <s v="2023-05"/>
  </r>
  <r>
    <x v="849"/>
    <x v="17"/>
    <x v="13"/>
    <x v="3"/>
    <x v="277"/>
    <x v="43"/>
    <s v="Series B"/>
    <x v="2"/>
    <s v="NA"/>
    <s v="2023-05"/>
  </r>
  <r>
    <x v="850"/>
    <x v="17"/>
    <x v="5"/>
    <x v="3"/>
    <x v="278"/>
    <x v="12"/>
    <s v="Acquired"/>
    <x v="2"/>
    <s v="NA"/>
    <s v="2023-05"/>
  </r>
  <r>
    <x v="851"/>
    <x v="14"/>
    <x v="1"/>
    <x v="2"/>
    <x v="279"/>
    <x v="157"/>
    <s v="Series B"/>
    <x v="5"/>
    <s v="NA"/>
    <s v="2023-05"/>
  </r>
  <r>
    <x v="852"/>
    <x v="72"/>
    <x v="1"/>
    <x v="98"/>
    <x v="280"/>
    <x v="424"/>
    <s v="Series D"/>
    <x v="2"/>
    <n v="0.14000000000000001"/>
    <s v="2023-05"/>
  </r>
  <r>
    <x v="853"/>
    <x v="6"/>
    <x v="9"/>
    <x v="3"/>
    <x v="280"/>
    <x v="354"/>
    <s v="Series A"/>
    <x v="2"/>
    <s v="NA"/>
    <s v="2023-05"/>
  </r>
  <r>
    <x v="854"/>
    <x v="15"/>
    <x v="27"/>
    <x v="3"/>
    <x v="280"/>
    <x v="244"/>
    <s v="Series D"/>
    <x v="2"/>
    <n v="0.15"/>
    <s v="2023-05"/>
  </r>
  <r>
    <x v="855"/>
    <x v="1"/>
    <x v="4"/>
    <x v="3"/>
    <x v="280"/>
    <x v="128"/>
    <s v="Seed"/>
    <x v="1"/>
    <n v="1"/>
    <s v="2023-05"/>
  </r>
  <r>
    <x v="856"/>
    <x v="11"/>
    <x v="0"/>
    <x v="3"/>
    <x v="280"/>
    <x v="157"/>
    <s v="Series C"/>
    <x v="2"/>
    <s v="NA"/>
    <s v="2023-05"/>
  </r>
  <r>
    <x v="362"/>
    <x v="12"/>
    <x v="10"/>
    <x v="3"/>
    <x v="280"/>
    <x v="237"/>
    <s v="Post-IPO"/>
    <x v="2"/>
    <n v="0.3"/>
    <s v="2023-05"/>
  </r>
  <r>
    <x v="118"/>
    <x v="3"/>
    <x v="1"/>
    <x v="5"/>
    <x v="281"/>
    <x v="93"/>
    <s v="Unknown"/>
    <x v="2"/>
    <n v="0.1"/>
    <s v="2023-05"/>
  </r>
  <r>
    <x v="857"/>
    <x v="117"/>
    <x v="4"/>
    <x v="3"/>
    <x v="281"/>
    <x v="425"/>
    <s v="Private Equity"/>
    <x v="2"/>
    <n v="0.4"/>
    <s v="2023-05"/>
  </r>
  <r>
    <x v="781"/>
    <x v="102"/>
    <x v="5"/>
    <x v="106"/>
    <x v="282"/>
    <x v="12"/>
    <s v="Acquired"/>
    <x v="2"/>
    <n v="0.11"/>
    <s v="2023-05"/>
  </r>
  <r>
    <x v="368"/>
    <x v="10"/>
    <x v="1"/>
    <x v="182"/>
    <x v="282"/>
    <x v="240"/>
    <s v="Series E"/>
    <x v="3"/>
    <n v="0.26"/>
    <s v="2023-05"/>
  </r>
  <r>
    <x v="858"/>
    <x v="3"/>
    <x v="1"/>
    <x v="112"/>
    <x v="282"/>
    <x v="426"/>
    <s v="Post-IPO"/>
    <x v="2"/>
    <n v="0.03"/>
    <s v="2023-05"/>
  </r>
  <r>
    <x v="859"/>
    <x v="135"/>
    <x v="24"/>
    <x v="3"/>
    <x v="282"/>
    <x v="261"/>
    <s v="Unknown"/>
    <x v="2"/>
    <s v="NA"/>
    <s v="2023-05"/>
  </r>
  <r>
    <x v="860"/>
    <x v="106"/>
    <x v="1"/>
    <x v="3"/>
    <x v="282"/>
    <x v="132"/>
    <s v="Series A"/>
    <x v="31"/>
    <n v="0.85"/>
    <s v="2023-05"/>
  </r>
  <r>
    <x v="861"/>
    <x v="6"/>
    <x v="0"/>
    <x v="3"/>
    <x v="283"/>
    <x v="43"/>
    <s v="Unknown"/>
    <x v="2"/>
    <n v="1"/>
    <s v="2023-05"/>
  </r>
  <r>
    <x v="862"/>
    <x v="6"/>
    <x v="10"/>
    <x v="183"/>
    <x v="284"/>
    <x v="236"/>
    <s v="Series D"/>
    <x v="2"/>
    <n v="0.3"/>
    <s v="2023-05"/>
  </r>
  <r>
    <x v="863"/>
    <x v="136"/>
    <x v="10"/>
    <x v="130"/>
    <x v="284"/>
    <x v="43"/>
    <s v="Post-IPO"/>
    <x v="29"/>
    <s v="NA"/>
    <s v="2023-05"/>
  </r>
  <r>
    <x v="864"/>
    <x v="20"/>
    <x v="1"/>
    <x v="71"/>
    <x v="284"/>
    <x v="178"/>
    <s v="Acquired"/>
    <x v="6"/>
    <n v="0.35"/>
    <s v="2023-05"/>
  </r>
  <r>
    <x v="865"/>
    <x v="137"/>
    <x v="21"/>
    <x v="41"/>
    <x v="284"/>
    <x v="12"/>
    <s v="Unknown"/>
    <x v="2"/>
    <n v="0.33"/>
    <s v="2023-05"/>
  </r>
  <r>
    <x v="866"/>
    <x v="91"/>
    <x v="5"/>
    <x v="33"/>
    <x v="284"/>
    <x v="363"/>
    <s v="Series C"/>
    <x v="6"/>
    <s v="NA"/>
    <s v="2023-05"/>
  </r>
  <r>
    <x v="867"/>
    <x v="6"/>
    <x v="29"/>
    <x v="3"/>
    <x v="284"/>
    <x v="427"/>
    <s v="Series D"/>
    <x v="2"/>
    <n v="0.1"/>
    <s v="2023-05"/>
  </r>
  <r>
    <x v="868"/>
    <x v="3"/>
    <x v="2"/>
    <x v="3"/>
    <x v="284"/>
    <x v="347"/>
    <s v="Series A"/>
    <x v="2"/>
    <n v="1"/>
    <s v="2023-05"/>
  </r>
  <r>
    <x v="78"/>
    <x v="35"/>
    <x v="0"/>
    <x v="38"/>
    <x v="285"/>
    <x v="136"/>
    <s v="Acquired"/>
    <x v="13"/>
    <n v="0.11"/>
    <s v="2023-05"/>
  </r>
  <r>
    <x v="869"/>
    <x v="6"/>
    <x v="1"/>
    <x v="184"/>
    <x v="285"/>
    <x v="428"/>
    <s v="Series E"/>
    <x v="2"/>
    <s v="NA"/>
    <s v="2023-05"/>
  </r>
  <r>
    <x v="870"/>
    <x v="16"/>
    <x v="29"/>
    <x v="3"/>
    <x v="285"/>
    <x v="410"/>
    <s v="Post-IPO"/>
    <x v="2"/>
    <n v="0.08"/>
    <s v="2023-05"/>
  </r>
  <r>
    <x v="5"/>
    <x v="4"/>
    <x v="4"/>
    <x v="185"/>
    <x v="286"/>
    <x v="5"/>
    <s v="Post-IPO"/>
    <x v="2"/>
    <s v="NA"/>
    <s v="2023-05"/>
  </r>
  <r>
    <x v="871"/>
    <x v="119"/>
    <x v="21"/>
    <x v="43"/>
    <x v="286"/>
    <x v="67"/>
    <s v="Post-IPO"/>
    <x v="20"/>
    <n v="0.23"/>
    <s v="2023-05"/>
  </r>
  <r>
    <x v="872"/>
    <x v="3"/>
    <x v="4"/>
    <x v="14"/>
    <x v="286"/>
    <x v="429"/>
    <s v="Post-IPO"/>
    <x v="2"/>
    <n v="0.06"/>
    <s v="2023-05"/>
  </r>
  <r>
    <x v="463"/>
    <x v="3"/>
    <x v="15"/>
    <x v="128"/>
    <x v="286"/>
    <x v="182"/>
    <s v="Acquired"/>
    <x v="2"/>
    <n v="0.1"/>
    <s v="2023-05"/>
  </r>
  <r>
    <x v="873"/>
    <x v="17"/>
    <x v="25"/>
    <x v="140"/>
    <x v="287"/>
    <x v="55"/>
    <s v="Post-IPO"/>
    <x v="2"/>
    <n v="0.03"/>
    <s v="2023-05"/>
  </r>
  <r>
    <x v="874"/>
    <x v="59"/>
    <x v="25"/>
    <x v="1"/>
    <x v="287"/>
    <x v="281"/>
    <s v="Acquired"/>
    <x v="2"/>
    <n v="0.14000000000000001"/>
    <s v="2023-05"/>
  </r>
  <r>
    <x v="692"/>
    <x v="1"/>
    <x v="4"/>
    <x v="54"/>
    <x v="287"/>
    <x v="202"/>
    <s v="Post-IPO"/>
    <x v="1"/>
    <n v="0.06"/>
    <s v="2023-05"/>
  </r>
  <r>
    <x v="733"/>
    <x v="3"/>
    <x v="26"/>
    <x v="3"/>
    <x v="287"/>
    <x v="10"/>
    <s v="Unknown"/>
    <x v="2"/>
    <s v="NA"/>
    <s v="2023-05"/>
  </r>
  <r>
    <x v="875"/>
    <x v="6"/>
    <x v="1"/>
    <x v="3"/>
    <x v="287"/>
    <x v="374"/>
    <s v="Post-IPO"/>
    <x v="2"/>
    <n v="0.15"/>
    <s v="2023-05"/>
  </r>
  <r>
    <x v="458"/>
    <x v="6"/>
    <x v="15"/>
    <x v="186"/>
    <x v="288"/>
    <x v="281"/>
    <s v="Acquired"/>
    <x v="2"/>
    <n v="0.04"/>
    <s v="2023-05"/>
  </r>
  <r>
    <x v="571"/>
    <x v="20"/>
    <x v="11"/>
    <x v="1"/>
    <x v="288"/>
    <x v="328"/>
    <s v="Unknown"/>
    <x v="6"/>
    <s v="NA"/>
    <s v="2023-05"/>
  </r>
  <r>
    <x v="876"/>
    <x v="1"/>
    <x v="5"/>
    <x v="43"/>
    <x v="288"/>
    <x v="12"/>
    <s v="Series D"/>
    <x v="1"/>
    <n v="0.6"/>
    <s v="2023-05"/>
  </r>
  <r>
    <x v="877"/>
    <x v="3"/>
    <x v="1"/>
    <x v="187"/>
    <x v="288"/>
    <x v="183"/>
    <s v="Seed"/>
    <x v="2"/>
    <s v="NA"/>
    <s v="2023-05"/>
  </r>
  <r>
    <x v="878"/>
    <x v="138"/>
    <x v="2"/>
    <x v="3"/>
    <x v="288"/>
    <x v="168"/>
    <s v="Unknown"/>
    <x v="20"/>
    <n v="1"/>
    <s v="2023-05"/>
  </r>
  <r>
    <x v="879"/>
    <x v="6"/>
    <x v="5"/>
    <x v="172"/>
    <x v="289"/>
    <x v="430"/>
    <s v="Post-IPO"/>
    <x v="2"/>
    <n v="0.25"/>
    <s v="2023-05"/>
  </r>
  <r>
    <x v="880"/>
    <x v="20"/>
    <x v="21"/>
    <x v="188"/>
    <x v="289"/>
    <x v="99"/>
    <s v="Series F"/>
    <x v="6"/>
    <n v="0.15"/>
    <s v="2023-05"/>
  </r>
  <r>
    <x v="881"/>
    <x v="20"/>
    <x v="11"/>
    <x v="43"/>
    <x v="289"/>
    <x v="9"/>
    <s v="Series B"/>
    <x v="6"/>
    <s v="NA"/>
    <s v="2023-05"/>
  </r>
  <r>
    <x v="882"/>
    <x v="16"/>
    <x v="1"/>
    <x v="3"/>
    <x v="289"/>
    <x v="431"/>
    <s v="Series B"/>
    <x v="2"/>
    <n v="0.33"/>
    <s v="2023-05"/>
  </r>
  <r>
    <x v="883"/>
    <x v="21"/>
    <x v="21"/>
    <x v="189"/>
    <x v="290"/>
    <x v="270"/>
    <s v="Post-IPO"/>
    <x v="7"/>
    <n v="0.2"/>
    <s v="2023-05"/>
  </r>
  <r>
    <x v="884"/>
    <x v="73"/>
    <x v="7"/>
    <x v="102"/>
    <x v="290"/>
    <x v="14"/>
    <s v="Post-IPO"/>
    <x v="2"/>
    <n v="0.15"/>
    <s v="2023-05"/>
  </r>
  <r>
    <x v="885"/>
    <x v="16"/>
    <x v="3"/>
    <x v="58"/>
    <x v="290"/>
    <x v="12"/>
    <s v="Unknown"/>
    <x v="2"/>
    <n v="1"/>
    <s v="2023-05"/>
  </r>
  <r>
    <x v="886"/>
    <x v="9"/>
    <x v="2"/>
    <x v="2"/>
    <x v="290"/>
    <x v="432"/>
    <s v="Series B"/>
    <x v="2"/>
    <n v="0.33"/>
    <s v="2023-05"/>
  </r>
  <r>
    <x v="887"/>
    <x v="1"/>
    <x v="1"/>
    <x v="2"/>
    <x v="290"/>
    <x v="175"/>
    <s v="Unknown"/>
    <x v="1"/>
    <n v="0.1"/>
    <s v="2023-05"/>
  </r>
  <r>
    <x v="888"/>
    <x v="1"/>
    <x v="21"/>
    <x v="33"/>
    <x v="290"/>
    <x v="433"/>
    <s v="Series A"/>
    <x v="1"/>
    <n v="0.28000000000000003"/>
    <s v="2023-05"/>
  </r>
  <r>
    <x v="889"/>
    <x v="10"/>
    <x v="27"/>
    <x v="3"/>
    <x v="290"/>
    <x v="293"/>
    <s v="Series C"/>
    <x v="3"/>
    <n v="0.14000000000000001"/>
    <s v="2023-05"/>
  </r>
  <r>
    <x v="297"/>
    <x v="6"/>
    <x v="4"/>
    <x v="190"/>
    <x v="291"/>
    <x v="22"/>
    <s v="Post-IPO"/>
    <x v="2"/>
    <n v="0.08"/>
    <s v="2023-05"/>
  </r>
  <r>
    <x v="890"/>
    <x v="6"/>
    <x v="4"/>
    <x v="191"/>
    <x v="291"/>
    <x v="195"/>
    <s v="Post-IPO"/>
    <x v="2"/>
    <n v="0.15"/>
    <s v="2023-05"/>
  </r>
  <r>
    <x v="891"/>
    <x v="71"/>
    <x v="10"/>
    <x v="1"/>
    <x v="291"/>
    <x v="22"/>
    <s v="Series G"/>
    <x v="26"/>
    <s v="NA"/>
    <s v="2023-05"/>
  </r>
  <r>
    <x v="892"/>
    <x v="17"/>
    <x v="3"/>
    <x v="43"/>
    <x v="291"/>
    <x v="50"/>
    <s v="Post-IPO"/>
    <x v="2"/>
    <n v="0.1"/>
    <s v="2023-05"/>
  </r>
  <r>
    <x v="893"/>
    <x v="1"/>
    <x v="5"/>
    <x v="43"/>
    <x v="291"/>
    <x v="238"/>
    <s v="Series D"/>
    <x v="2"/>
    <n v="0.33"/>
    <s v="2023-05"/>
  </r>
  <r>
    <x v="894"/>
    <x v="6"/>
    <x v="4"/>
    <x v="144"/>
    <x v="291"/>
    <x v="434"/>
    <s v="Acquired"/>
    <x v="2"/>
    <s v="NA"/>
    <s v="2023-05"/>
  </r>
  <r>
    <x v="895"/>
    <x v="3"/>
    <x v="26"/>
    <x v="57"/>
    <x v="291"/>
    <x v="151"/>
    <s v="Series C"/>
    <x v="2"/>
    <n v="0.13"/>
    <s v="2023-05"/>
  </r>
  <r>
    <x v="896"/>
    <x v="6"/>
    <x v="5"/>
    <x v="3"/>
    <x v="291"/>
    <x v="369"/>
    <s v="Series C"/>
    <x v="2"/>
    <n v="0.2"/>
    <s v="2023-05"/>
  </r>
  <r>
    <x v="897"/>
    <x v="47"/>
    <x v="25"/>
    <x v="31"/>
    <x v="292"/>
    <x v="435"/>
    <s v="Series B"/>
    <x v="2"/>
    <n v="0.13"/>
    <s v="2023-05"/>
  </r>
  <r>
    <x v="898"/>
    <x v="51"/>
    <x v="10"/>
    <x v="144"/>
    <x v="292"/>
    <x v="98"/>
    <s v="Series B"/>
    <x v="20"/>
    <n v="0.08"/>
    <s v="2023-05"/>
  </r>
  <r>
    <x v="899"/>
    <x v="32"/>
    <x v="27"/>
    <x v="3"/>
    <x v="292"/>
    <x v="12"/>
    <s v="Seed"/>
    <x v="11"/>
    <n v="1"/>
    <s v="2023-05"/>
  </r>
  <r>
    <x v="699"/>
    <x v="109"/>
    <x v="27"/>
    <x v="38"/>
    <x v="293"/>
    <x v="12"/>
    <s v="Unknown"/>
    <x v="2"/>
    <s v="NA"/>
    <s v="2023-05"/>
  </r>
  <r>
    <x v="900"/>
    <x v="3"/>
    <x v="22"/>
    <x v="145"/>
    <x v="293"/>
    <x v="436"/>
    <s v="Series B"/>
    <x v="2"/>
    <s v="NA"/>
    <s v="2023-05"/>
  </r>
  <r>
    <x v="901"/>
    <x v="91"/>
    <x v="5"/>
    <x v="3"/>
    <x v="293"/>
    <x v="112"/>
    <s v="Unknown"/>
    <x v="6"/>
    <s v="NA"/>
    <s v="2023-05"/>
  </r>
  <r>
    <x v="902"/>
    <x v="20"/>
    <x v="11"/>
    <x v="0"/>
    <x v="294"/>
    <x v="78"/>
    <s v="Seed"/>
    <x v="6"/>
    <s v="NA"/>
    <s v="2023-04"/>
  </r>
  <r>
    <x v="903"/>
    <x v="19"/>
    <x v="27"/>
    <x v="192"/>
    <x v="295"/>
    <x v="12"/>
    <s v="Unknown"/>
    <x v="6"/>
    <s v="NA"/>
    <s v="2023-04"/>
  </r>
  <r>
    <x v="19"/>
    <x v="12"/>
    <x v="5"/>
    <x v="193"/>
    <x v="296"/>
    <x v="19"/>
    <s v="Post-IPO"/>
    <x v="2"/>
    <n v="0.3"/>
    <s v="2023-04"/>
  </r>
  <r>
    <x v="498"/>
    <x v="14"/>
    <x v="1"/>
    <x v="159"/>
    <x v="296"/>
    <x v="14"/>
    <s v="Series E"/>
    <x v="2"/>
    <n v="0.04"/>
    <s v="2023-04"/>
  </r>
  <r>
    <x v="904"/>
    <x v="17"/>
    <x v="5"/>
    <x v="26"/>
    <x v="296"/>
    <x v="313"/>
    <s v="Series B"/>
    <x v="2"/>
    <s v="NA"/>
    <s v="2023-04"/>
  </r>
  <r>
    <x v="905"/>
    <x v="9"/>
    <x v="6"/>
    <x v="3"/>
    <x v="296"/>
    <x v="128"/>
    <s v="Series A"/>
    <x v="2"/>
    <n v="1"/>
    <s v="2023-04"/>
  </r>
  <r>
    <x v="906"/>
    <x v="119"/>
    <x v="0"/>
    <x v="3"/>
    <x v="296"/>
    <x v="12"/>
    <s v="Unknown"/>
    <x v="20"/>
    <n v="1"/>
    <s v="2023-04"/>
  </r>
  <r>
    <x v="907"/>
    <x v="6"/>
    <x v="4"/>
    <x v="30"/>
    <x v="297"/>
    <x v="14"/>
    <s v="Post-IPO"/>
    <x v="2"/>
    <n v="0.16"/>
    <s v="2023-04"/>
  </r>
  <r>
    <x v="908"/>
    <x v="9"/>
    <x v="27"/>
    <x v="60"/>
    <x v="297"/>
    <x v="437"/>
    <s v="Post-IPO"/>
    <x v="2"/>
    <n v="0.11"/>
    <s v="2023-04"/>
  </r>
  <r>
    <x v="242"/>
    <x v="3"/>
    <x v="10"/>
    <x v="17"/>
    <x v="297"/>
    <x v="22"/>
    <s v="Post-IPO"/>
    <x v="2"/>
    <n v="0.11"/>
    <s v="2023-04"/>
  </r>
  <r>
    <x v="909"/>
    <x v="3"/>
    <x v="15"/>
    <x v="1"/>
    <x v="297"/>
    <x v="230"/>
    <s v="Private Equity"/>
    <x v="2"/>
    <n v="0.12"/>
    <s v="2023-04"/>
  </r>
  <r>
    <x v="910"/>
    <x v="72"/>
    <x v="27"/>
    <x v="58"/>
    <x v="297"/>
    <x v="157"/>
    <s v="Series B"/>
    <x v="2"/>
    <s v="NA"/>
    <s v="2023-04"/>
  </r>
  <r>
    <x v="911"/>
    <x v="11"/>
    <x v="12"/>
    <x v="97"/>
    <x v="297"/>
    <x v="43"/>
    <s v="Acquired"/>
    <x v="2"/>
    <s v="NA"/>
    <s v="2023-04"/>
  </r>
  <r>
    <x v="912"/>
    <x v="138"/>
    <x v="8"/>
    <x v="31"/>
    <x v="297"/>
    <x v="438"/>
    <s v="Post-IPO"/>
    <x v="20"/>
    <n v="0.16"/>
    <s v="2023-04"/>
  </r>
  <r>
    <x v="913"/>
    <x v="51"/>
    <x v="21"/>
    <x v="112"/>
    <x v="297"/>
    <x v="7"/>
    <s v="Series C"/>
    <x v="20"/>
    <n v="0.2"/>
    <s v="2023-04"/>
  </r>
  <r>
    <x v="277"/>
    <x v="3"/>
    <x v="4"/>
    <x v="194"/>
    <x v="297"/>
    <x v="193"/>
    <s v="Series B"/>
    <x v="2"/>
    <n v="0.14000000000000001"/>
    <s v="2023-04"/>
  </r>
  <r>
    <x v="914"/>
    <x v="20"/>
    <x v="1"/>
    <x v="27"/>
    <x v="297"/>
    <x v="28"/>
    <s v="Seed"/>
    <x v="6"/>
    <n v="0.28999999999999998"/>
    <s v="2023-04"/>
  </r>
  <r>
    <x v="915"/>
    <x v="6"/>
    <x v="6"/>
    <x v="3"/>
    <x v="297"/>
    <x v="230"/>
    <s v="Series C"/>
    <x v="2"/>
    <n v="0.5"/>
    <s v="2023-04"/>
  </r>
  <r>
    <x v="916"/>
    <x v="42"/>
    <x v="0"/>
    <x v="3"/>
    <x v="297"/>
    <x v="185"/>
    <s v="Series B"/>
    <x v="16"/>
    <n v="0.25"/>
    <s v="2023-04"/>
  </r>
  <r>
    <x v="917"/>
    <x v="83"/>
    <x v="11"/>
    <x v="11"/>
    <x v="298"/>
    <x v="12"/>
    <s v="Unknown"/>
    <x v="6"/>
    <s v="NA"/>
    <s v="2023-04"/>
  </r>
  <r>
    <x v="918"/>
    <x v="3"/>
    <x v="1"/>
    <x v="2"/>
    <x v="298"/>
    <x v="34"/>
    <s v="Series B"/>
    <x v="2"/>
    <n v="0.33"/>
    <s v="2023-04"/>
  </r>
  <r>
    <x v="919"/>
    <x v="38"/>
    <x v="28"/>
    <x v="3"/>
    <x v="298"/>
    <x v="439"/>
    <s v="Series B"/>
    <x v="7"/>
    <n v="1"/>
    <s v="2023-04"/>
  </r>
  <r>
    <x v="691"/>
    <x v="50"/>
    <x v="11"/>
    <x v="9"/>
    <x v="299"/>
    <x v="354"/>
    <s v="Series A"/>
    <x v="6"/>
    <s v="NA"/>
    <s v="2023-04"/>
  </r>
  <r>
    <x v="920"/>
    <x v="6"/>
    <x v="1"/>
    <x v="119"/>
    <x v="299"/>
    <x v="20"/>
    <s v="Series D"/>
    <x v="2"/>
    <n v="0.5"/>
    <s v="2023-04"/>
  </r>
  <r>
    <x v="920"/>
    <x v="6"/>
    <x v="1"/>
    <x v="43"/>
    <x v="299"/>
    <x v="20"/>
    <s v="Series D"/>
    <x v="2"/>
    <n v="0.3"/>
    <s v="2023-04"/>
  </r>
  <r>
    <x v="841"/>
    <x v="14"/>
    <x v="0"/>
    <x v="88"/>
    <x v="300"/>
    <x v="35"/>
    <s v="Series B"/>
    <x v="5"/>
    <n v="0.4"/>
    <s v="2023-04"/>
  </r>
  <r>
    <x v="921"/>
    <x v="109"/>
    <x v="4"/>
    <x v="195"/>
    <x v="300"/>
    <x v="12"/>
    <s v="Acquired"/>
    <x v="2"/>
    <n v="0.04"/>
    <s v="2023-04"/>
  </r>
  <r>
    <x v="922"/>
    <x v="6"/>
    <x v="8"/>
    <x v="5"/>
    <x v="300"/>
    <x v="440"/>
    <s v="Series E"/>
    <x v="2"/>
    <n v="0.13"/>
    <s v="2023-04"/>
  </r>
  <r>
    <x v="923"/>
    <x v="6"/>
    <x v="10"/>
    <x v="196"/>
    <x v="301"/>
    <x v="140"/>
    <s v="Post-IPO"/>
    <x v="2"/>
    <n v="0.26"/>
    <s v="2023-04"/>
  </r>
  <r>
    <x v="924"/>
    <x v="6"/>
    <x v="4"/>
    <x v="96"/>
    <x v="301"/>
    <x v="441"/>
    <s v="Series F"/>
    <x v="2"/>
    <n v="0.09"/>
    <s v="2023-04"/>
  </r>
  <r>
    <x v="668"/>
    <x v="28"/>
    <x v="11"/>
    <x v="3"/>
    <x v="301"/>
    <x v="331"/>
    <s v="Acquired"/>
    <x v="2"/>
    <s v="NA"/>
    <s v="2023-04"/>
  </r>
  <r>
    <x v="151"/>
    <x v="3"/>
    <x v="26"/>
    <x v="12"/>
    <x v="302"/>
    <x v="114"/>
    <s v="Post-IPO"/>
    <x v="2"/>
    <n v="0.15"/>
    <s v="2023-04"/>
  </r>
  <r>
    <x v="925"/>
    <x v="20"/>
    <x v="6"/>
    <x v="197"/>
    <x v="302"/>
    <x v="86"/>
    <s v="Series B"/>
    <x v="6"/>
    <n v="0.3"/>
    <s v="2023-04"/>
  </r>
  <r>
    <x v="926"/>
    <x v="20"/>
    <x v="1"/>
    <x v="170"/>
    <x v="302"/>
    <x v="442"/>
    <s v="Series D"/>
    <x v="6"/>
    <s v="NA"/>
    <s v="2023-04"/>
  </r>
  <r>
    <x v="927"/>
    <x v="3"/>
    <x v="12"/>
    <x v="78"/>
    <x v="302"/>
    <x v="331"/>
    <s v="Series D"/>
    <x v="2"/>
    <n v="0.12"/>
    <s v="2023-04"/>
  </r>
  <r>
    <x v="928"/>
    <x v="3"/>
    <x v="26"/>
    <x v="3"/>
    <x v="302"/>
    <x v="12"/>
    <s v="Unknown"/>
    <x v="2"/>
    <n v="0.1"/>
    <s v="2023-04"/>
  </r>
  <r>
    <x v="929"/>
    <x v="119"/>
    <x v="1"/>
    <x v="3"/>
    <x v="302"/>
    <x v="12"/>
    <s v="Unknown"/>
    <x v="20"/>
    <n v="0.1"/>
    <s v="2023-04"/>
  </r>
  <r>
    <x v="930"/>
    <x v="109"/>
    <x v="16"/>
    <x v="3"/>
    <x v="302"/>
    <x v="443"/>
    <s v="Post-IPO"/>
    <x v="2"/>
    <s v="NA"/>
    <s v="2023-04"/>
  </r>
  <r>
    <x v="419"/>
    <x v="4"/>
    <x v="25"/>
    <x v="198"/>
    <x v="303"/>
    <x v="12"/>
    <s v="Post-IPO"/>
    <x v="2"/>
    <n v="0.09"/>
    <s v="2023-04"/>
  </r>
  <r>
    <x v="931"/>
    <x v="6"/>
    <x v="4"/>
    <x v="29"/>
    <x v="303"/>
    <x v="243"/>
    <s v="Post-IPO"/>
    <x v="2"/>
    <n v="0.1"/>
    <s v="2023-04"/>
  </r>
  <r>
    <x v="932"/>
    <x v="6"/>
    <x v="22"/>
    <x v="199"/>
    <x v="304"/>
    <x v="40"/>
    <s v="Post-IPO"/>
    <x v="2"/>
    <n v="0.22"/>
    <s v="2023-04"/>
  </r>
  <r>
    <x v="933"/>
    <x v="139"/>
    <x v="21"/>
    <x v="183"/>
    <x v="304"/>
    <x v="12"/>
    <s v="Unknown"/>
    <x v="39"/>
    <n v="0.1"/>
    <s v="2023-04"/>
  </r>
  <r>
    <x v="934"/>
    <x v="119"/>
    <x v="12"/>
    <x v="58"/>
    <x v="304"/>
    <x v="444"/>
    <s v="Series F"/>
    <x v="20"/>
    <n v="0.09"/>
    <s v="2023-04"/>
  </r>
  <r>
    <x v="935"/>
    <x v="6"/>
    <x v="2"/>
    <x v="134"/>
    <x v="304"/>
    <x v="320"/>
    <s v="Series B"/>
    <x v="2"/>
    <n v="0.09"/>
    <s v="2023-04"/>
  </r>
  <r>
    <x v="936"/>
    <x v="51"/>
    <x v="0"/>
    <x v="3"/>
    <x v="304"/>
    <x v="11"/>
    <s v="Seed"/>
    <x v="20"/>
    <n v="1"/>
    <s v="2023-04"/>
  </r>
  <r>
    <x v="937"/>
    <x v="140"/>
    <x v="6"/>
    <x v="17"/>
    <x v="305"/>
    <x v="12"/>
    <s v="Seed"/>
    <x v="21"/>
    <n v="0.25"/>
    <s v="2023-04"/>
  </r>
  <r>
    <x v="554"/>
    <x v="58"/>
    <x v="1"/>
    <x v="52"/>
    <x v="305"/>
    <x v="321"/>
    <s v="Series D"/>
    <x v="2"/>
    <n v="0.15"/>
    <s v="2023-04"/>
  </r>
  <r>
    <x v="529"/>
    <x v="38"/>
    <x v="11"/>
    <x v="52"/>
    <x v="305"/>
    <x v="310"/>
    <s v="Series D"/>
    <x v="7"/>
    <n v="0.03"/>
    <s v="2023-04"/>
  </r>
  <r>
    <x v="938"/>
    <x v="32"/>
    <x v="0"/>
    <x v="48"/>
    <x v="305"/>
    <x v="445"/>
    <s v="Series D"/>
    <x v="11"/>
    <n v="0.25"/>
    <s v="2023-04"/>
  </r>
  <r>
    <x v="636"/>
    <x v="20"/>
    <x v="1"/>
    <x v="3"/>
    <x v="305"/>
    <x v="92"/>
    <s v="Series A"/>
    <x v="6"/>
    <s v="NA"/>
    <s v="2023-04"/>
  </r>
  <r>
    <x v="939"/>
    <x v="141"/>
    <x v="26"/>
    <x v="3"/>
    <x v="305"/>
    <x v="313"/>
    <s v="Series C"/>
    <x v="40"/>
    <s v="NA"/>
    <s v="2023-04"/>
  </r>
  <r>
    <x v="940"/>
    <x v="142"/>
    <x v="4"/>
    <x v="3"/>
    <x v="305"/>
    <x v="12"/>
    <s v="Series B"/>
    <x v="30"/>
    <n v="0.15"/>
    <s v="2023-04"/>
  </r>
  <r>
    <x v="941"/>
    <x v="1"/>
    <x v="25"/>
    <x v="3"/>
    <x v="306"/>
    <x v="12"/>
    <s v="Unknown"/>
    <x v="1"/>
    <n v="1"/>
    <s v="2023-04"/>
  </r>
  <r>
    <x v="942"/>
    <x v="6"/>
    <x v="1"/>
    <x v="133"/>
    <x v="307"/>
    <x v="390"/>
    <s v="Series C"/>
    <x v="2"/>
    <n v="0.2"/>
    <s v="2023-04"/>
  </r>
  <r>
    <x v="943"/>
    <x v="3"/>
    <x v="2"/>
    <x v="48"/>
    <x v="307"/>
    <x v="143"/>
    <s v="Series A"/>
    <x v="2"/>
    <n v="0.17"/>
    <s v="2023-04"/>
  </r>
  <r>
    <x v="944"/>
    <x v="3"/>
    <x v="5"/>
    <x v="3"/>
    <x v="307"/>
    <x v="295"/>
    <s v="Series B"/>
    <x v="2"/>
    <n v="0.18"/>
    <s v="2023-04"/>
  </r>
  <r>
    <x v="945"/>
    <x v="32"/>
    <x v="11"/>
    <x v="3"/>
    <x v="307"/>
    <x v="157"/>
    <s v="Series C"/>
    <x v="11"/>
    <n v="0.25"/>
    <s v="2023-04"/>
  </r>
  <r>
    <x v="946"/>
    <x v="71"/>
    <x v="0"/>
    <x v="3"/>
    <x v="307"/>
    <x v="446"/>
    <s v="Series C"/>
    <x v="26"/>
    <s v="NA"/>
    <s v="2023-04"/>
  </r>
  <r>
    <x v="947"/>
    <x v="17"/>
    <x v="25"/>
    <x v="117"/>
    <x v="308"/>
    <x v="447"/>
    <s v="Series F"/>
    <x v="2"/>
    <s v="NA"/>
    <s v="2023-04"/>
  </r>
  <r>
    <x v="948"/>
    <x v="143"/>
    <x v="27"/>
    <x v="1"/>
    <x v="308"/>
    <x v="368"/>
    <s v="Series C"/>
    <x v="2"/>
    <n v="0.4"/>
    <s v="2023-04"/>
  </r>
  <r>
    <x v="949"/>
    <x v="20"/>
    <x v="26"/>
    <x v="3"/>
    <x v="308"/>
    <x v="12"/>
    <s v="Seed"/>
    <x v="6"/>
    <n v="1"/>
    <s v="2023-04"/>
  </r>
  <r>
    <x v="950"/>
    <x v="10"/>
    <x v="7"/>
    <x v="3"/>
    <x v="308"/>
    <x v="132"/>
    <s v="Series A"/>
    <x v="3"/>
    <n v="1"/>
    <s v="2023-04"/>
  </r>
  <r>
    <x v="951"/>
    <x v="41"/>
    <x v="2"/>
    <x v="3"/>
    <x v="308"/>
    <x v="12"/>
    <s v="Unknown"/>
    <x v="15"/>
    <n v="1"/>
    <s v="2023-04"/>
  </r>
  <r>
    <x v="952"/>
    <x v="58"/>
    <x v="9"/>
    <x v="3"/>
    <x v="308"/>
    <x v="448"/>
    <s v="Private Equity"/>
    <x v="2"/>
    <s v="NA"/>
    <s v="2023-04"/>
  </r>
  <r>
    <x v="422"/>
    <x v="12"/>
    <x v="4"/>
    <x v="11"/>
    <x v="309"/>
    <x v="269"/>
    <s v="Post-IPO"/>
    <x v="2"/>
    <n v="0.04"/>
    <s v="2023-04"/>
  </r>
  <r>
    <x v="953"/>
    <x v="9"/>
    <x v="5"/>
    <x v="24"/>
    <x v="309"/>
    <x v="256"/>
    <s v="Post-IPO"/>
    <x v="2"/>
    <s v="NA"/>
    <s v="2023-04"/>
  </r>
  <r>
    <x v="954"/>
    <x v="6"/>
    <x v="5"/>
    <x v="157"/>
    <x v="309"/>
    <x v="449"/>
    <s v="Post-IPO"/>
    <x v="2"/>
    <s v="NA"/>
    <s v="2023-04"/>
  </r>
  <r>
    <x v="955"/>
    <x v="51"/>
    <x v="0"/>
    <x v="9"/>
    <x v="310"/>
    <x v="6"/>
    <s v="Series A"/>
    <x v="20"/>
    <n v="1"/>
    <s v="2023-04"/>
  </r>
  <r>
    <x v="956"/>
    <x v="4"/>
    <x v="22"/>
    <x v="200"/>
    <x v="310"/>
    <x v="189"/>
    <s v="Post-IPO"/>
    <x v="2"/>
    <n v="0.04"/>
    <s v="2023-04"/>
  </r>
  <r>
    <x v="957"/>
    <x v="10"/>
    <x v="3"/>
    <x v="54"/>
    <x v="310"/>
    <x v="98"/>
    <s v="Series C"/>
    <x v="3"/>
    <n v="0.4"/>
    <s v="2023-04"/>
  </r>
  <r>
    <x v="958"/>
    <x v="35"/>
    <x v="5"/>
    <x v="112"/>
    <x v="310"/>
    <x v="249"/>
    <s v="Unknown"/>
    <x v="13"/>
    <n v="0.25"/>
    <s v="2023-04"/>
  </r>
  <r>
    <x v="959"/>
    <x v="144"/>
    <x v="3"/>
    <x v="3"/>
    <x v="310"/>
    <x v="12"/>
    <s v="Post-IPO"/>
    <x v="2"/>
    <s v="NA"/>
    <s v="2023-04"/>
  </r>
  <r>
    <x v="960"/>
    <x v="19"/>
    <x v="10"/>
    <x v="3"/>
    <x v="310"/>
    <x v="450"/>
    <s v="Series C"/>
    <x v="6"/>
    <n v="0.1"/>
    <s v="2023-04"/>
  </r>
  <r>
    <x v="961"/>
    <x v="6"/>
    <x v="11"/>
    <x v="3"/>
    <x v="310"/>
    <x v="388"/>
    <s v="Series B"/>
    <x v="2"/>
    <s v="NA"/>
    <s v="2023-04"/>
  </r>
  <r>
    <x v="113"/>
    <x v="12"/>
    <x v="24"/>
    <x v="112"/>
    <x v="311"/>
    <x v="88"/>
    <s v="Series D"/>
    <x v="2"/>
    <n v="0.08"/>
    <s v="2023-04"/>
  </r>
  <r>
    <x v="962"/>
    <x v="4"/>
    <x v="17"/>
    <x v="100"/>
    <x v="311"/>
    <x v="142"/>
    <s v="Unknown"/>
    <x v="2"/>
    <n v="0.37"/>
    <s v="2023-04"/>
  </r>
  <r>
    <x v="37"/>
    <x v="20"/>
    <x v="1"/>
    <x v="0"/>
    <x v="312"/>
    <x v="106"/>
    <s v="Series B"/>
    <x v="6"/>
    <n v="0.25"/>
    <s v="2023-04"/>
  </r>
  <r>
    <x v="963"/>
    <x v="20"/>
    <x v="5"/>
    <x v="201"/>
    <x v="313"/>
    <x v="23"/>
    <s v="Series D"/>
    <x v="6"/>
    <s v="NA"/>
    <s v="2023-04"/>
  </r>
  <r>
    <x v="964"/>
    <x v="17"/>
    <x v="5"/>
    <x v="22"/>
    <x v="314"/>
    <x v="372"/>
    <s v="Post-IPO"/>
    <x v="2"/>
    <n v="0.92"/>
    <s v="2023-04"/>
  </r>
  <r>
    <x v="965"/>
    <x v="56"/>
    <x v="5"/>
    <x v="1"/>
    <x v="314"/>
    <x v="205"/>
    <s v="Series C"/>
    <x v="2"/>
    <s v="NA"/>
    <s v="2023-04"/>
  </r>
  <r>
    <x v="354"/>
    <x v="20"/>
    <x v="1"/>
    <x v="1"/>
    <x v="314"/>
    <x v="233"/>
    <s v="Series C"/>
    <x v="6"/>
    <n v="0.2"/>
    <s v="2023-04"/>
  </r>
  <r>
    <x v="966"/>
    <x v="37"/>
    <x v="25"/>
    <x v="5"/>
    <x v="315"/>
    <x v="12"/>
    <s v="Post-IPO"/>
    <x v="7"/>
    <n v="0.05"/>
    <s v="2023-04"/>
  </r>
  <r>
    <x v="967"/>
    <x v="14"/>
    <x v="10"/>
    <x v="134"/>
    <x v="315"/>
    <x v="12"/>
    <s v="Seed"/>
    <x v="5"/>
    <n v="1"/>
    <s v="2023-04"/>
  </r>
  <r>
    <x v="505"/>
    <x v="20"/>
    <x v="0"/>
    <x v="11"/>
    <x v="316"/>
    <x v="362"/>
    <s v="Unknown"/>
    <x v="6"/>
    <n v="0.3"/>
    <s v="2023-04"/>
  </r>
  <r>
    <x v="968"/>
    <x v="6"/>
    <x v="27"/>
    <x v="104"/>
    <x v="316"/>
    <x v="451"/>
    <s v="Post-IPO"/>
    <x v="2"/>
    <n v="0.13"/>
    <s v="2023-04"/>
  </r>
  <r>
    <x v="549"/>
    <x v="38"/>
    <x v="15"/>
    <x v="136"/>
    <x v="316"/>
    <x v="157"/>
    <s v="Series B"/>
    <x v="7"/>
    <n v="0.18"/>
    <s v="2023-04"/>
  </r>
  <r>
    <x v="969"/>
    <x v="48"/>
    <x v="21"/>
    <x v="190"/>
    <x v="317"/>
    <x v="12"/>
    <s v="Series B"/>
    <x v="6"/>
    <n v="0.4"/>
    <s v="2023-04"/>
  </r>
  <r>
    <x v="970"/>
    <x v="17"/>
    <x v="5"/>
    <x v="202"/>
    <x v="317"/>
    <x v="452"/>
    <s v="Acquired"/>
    <x v="2"/>
    <s v="NA"/>
    <s v="2023-04"/>
  </r>
  <r>
    <x v="150"/>
    <x v="51"/>
    <x v="21"/>
    <x v="5"/>
    <x v="317"/>
    <x v="43"/>
    <s v="Unknown"/>
    <x v="20"/>
    <s v="NA"/>
    <s v="2023-04"/>
  </r>
  <r>
    <x v="971"/>
    <x v="3"/>
    <x v="1"/>
    <x v="8"/>
    <x v="317"/>
    <x v="129"/>
    <s v="Series B"/>
    <x v="2"/>
    <n v="0.2"/>
    <s v="2023-04"/>
  </r>
  <r>
    <x v="972"/>
    <x v="120"/>
    <x v="21"/>
    <x v="3"/>
    <x v="317"/>
    <x v="12"/>
    <s v="Private Equity"/>
    <x v="35"/>
    <s v="NA"/>
    <s v="2023-04"/>
  </r>
  <r>
    <x v="973"/>
    <x v="145"/>
    <x v="4"/>
    <x v="4"/>
    <x v="318"/>
    <x v="12"/>
    <s v="Acquired"/>
    <x v="2"/>
    <n v="0.2"/>
    <s v="2023-04"/>
  </r>
  <r>
    <x v="974"/>
    <x v="6"/>
    <x v="4"/>
    <x v="22"/>
    <x v="318"/>
    <x v="453"/>
    <s v="Post-IPO"/>
    <x v="2"/>
    <n v="0.23"/>
    <s v="2023-04"/>
  </r>
  <r>
    <x v="975"/>
    <x v="6"/>
    <x v="1"/>
    <x v="92"/>
    <x v="318"/>
    <x v="454"/>
    <s v="Series E"/>
    <x v="2"/>
    <n v="0.11"/>
    <s v="2023-04"/>
  </r>
  <r>
    <x v="117"/>
    <x v="4"/>
    <x v="15"/>
    <x v="8"/>
    <x v="318"/>
    <x v="92"/>
    <s v="Unknown"/>
    <x v="2"/>
    <n v="0.12"/>
    <s v="2023-04"/>
  </r>
  <r>
    <x v="85"/>
    <x v="6"/>
    <x v="21"/>
    <x v="3"/>
    <x v="318"/>
    <x v="455"/>
    <s v="Post-IPO"/>
    <x v="2"/>
    <s v="NA"/>
    <s v="2023-04"/>
  </r>
  <r>
    <x v="326"/>
    <x v="10"/>
    <x v="1"/>
    <x v="3"/>
    <x v="318"/>
    <x v="45"/>
    <s v="Series D"/>
    <x v="3"/>
    <s v="NA"/>
    <s v="2023-04"/>
  </r>
  <r>
    <x v="976"/>
    <x v="24"/>
    <x v="11"/>
    <x v="203"/>
    <x v="319"/>
    <x v="48"/>
    <s v="Series D"/>
    <x v="8"/>
    <n v="0.45"/>
    <s v="2023-03"/>
  </r>
  <r>
    <x v="977"/>
    <x v="6"/>
    <x v="27"/>
    <x v="3"/>
    <x v="319"/>
    <x v="123"/>
    <s v="Series B"/>
    <x v="2"/>
    <s v="NA"/>
    <s v="2023-03"/>
  </r>
  <r>
    <x v="978"/>
    <x v="97"/>
    <x v="26"/>
    <x v="28"/>
    <x v="320"/>
    <x v="456"/>
    <s v="Acquired"/>
    <x v="17"/>
    <s v="NA"/>
    <s v="2023-03"/>
  </r>
  <r>
    <x v="542"/>
    <x v="6"/>
    <x v="26"/>
    <x v="28"/>
    <x v="320"/>
    <x v="316"/>
    <s v="Post-IPO"/>
    <x v="2"/>
    <n v="0.06"/>
    <s v="2023-03"/>
  </r>
  <r>
    <x v="979"/>
    <x v="111"/>
    <x v="1"/>
    <x v="0"/>
    <x v="320"/>
    <x v="12"/>
    <s v="Post-IPO"/>
    <x v="2"/>
    <n v="0.13"/>
    <s v="2023-03"/>
  </r>
  <r>
    <x v="980"/>
    <x v="48"/>
    <x v="6"/>
    <x v="1"/>
    <x v="320"/>
    <x v="86"/>
    <s v="Series B"/>
    <x v="6"/>
    <n v="0.75"/>
    <s v="2023-03"/>
  </r>
  <r>
    <x v="981"/>
    <x v="16"/>
    <x v="1"/>
    <x v="70"/>
    <x v="320"/>
    <x v="70"/>
    <s v="Series A"/>
    <x v="2"/>
    <n v="0.25"/>
    <s v="2023-03"/>
  </r>
  <r>
    <x v="982"/>
    <x v="15"/>
    <x v="9"/>
    <x v="48"/>
    <x v="320"/>
    <x v="217"/>
    <s v="Series C"/>
    <x v="2"/>
    <n v="0.15"/>
    <s v="2023-03"/>
  </r>
  <r>
    <x v="361"/>
    <x v="55"/>
    <x v="26"/>
    <x v="8"/>
    <x v="320"/>
    <x v="236"/>
    <s v="Post-IPO"/>
    <x v="22"/>
    <s v="NA"/>
    <s v="2023-03"/>
  </r>
  <r>
    <x v="983"/>
    <x v="6"/>
    <x v="3"/>
    <x v="3"/>
    <x v="320"/>
    <x v="12"/>
    <s v="Unknown"/>
    <x v="2"/>
    <n v="0.17"/>
    <s v="2023-03"/>
  </r>
  <r>
    <x v="984"/>
    <x v="42"/>
    <x v="1"/>
    <x v="3"/>
    <x v="320"/>
    <x v="94"/>
    <s v="Unknown"/>
    <x v="16"/>
    <s v="NA"/>
    <s v="2023-03"/>
  </r>
  <r>
    <x v="985"/>
    <x v="42"/>
    <x v="15"/>
    <x v="3"/>
    <x v="320"/>
    <x v="12"/>
    <s v="Acquired"/>
    <x v="16"/>
    <n v="0.9"/>
    <s v="2023-03"/>
  </r>
  <r>
    <x v="986"/>
    <x v="3"/>
    <x v="8"/>
    <x v="3"/>
    <x v="320"/>
    <x v="12"/>
    <s v="Post-IPO"/>
    <x v="2"/>
    <s v="NA"/>
    <s v="2023-03"/>
  </r>
  <r>
    <x v="987"/>
    <x v="146"/>
    <x v="24"/>
    <x v="3"/>
    <x v="320"/>
    <x v="12"/>
    <s v="Series C"/>
    <x v="37"/>
    <n v="0.15"/>
    <s v="2023-03"/>
  </r>
  <r>
    <x v="988"/>
    <x v="20"/>
    <x v="11"/>
    <x v="3"/>
    <x v="320"/>
    <x v="457"/>
    <s v="Series H"/>
    <x v="6"/>
    <n v="0.12"/>
    <s v="2023-03"/>
  </r>
  <r>
    <x v="989"/>
    <x v="74"/>
    <x v="5"/>
    <x v="19"/>
    <x v="321"/>
    <x v="28"/>
    <s v="Acquired"/>
    <x v="2"/>
    <s v="NA"/>
    <s v="2023-03"/>
  </r>
  <r>
    <x v="139"/>
    <x v="6"/>
    <x v="6"/>
    <x v="135"/>
    <x v="321"/>
    <x v="78"/>
    <s v="Post-IPO"/>
    <x v="2"/>
    <n v="0.06"/>
    <s v="2023-03"/>
  </r>
  <r>
    <x v="990"/>
    <x v="6"/>
    <x v="16"/>
    <x v="204"/>
    <x v="321"/>
    <x v="12"/>
    <s v="Post-IPO"/>
    <x v="2"/>
    <s v="NA"/>
    <s v="2023-03"/>
  </r>
  <r>
    <x v="189"/>
    <x v="17"/>
    <x v="21"/>
    <x v="1"/>
    <x v="321"/>
    <x v="2"/>
    <s v="Acquired"/>
    <x v="2"/>
    <s v="NA"/>
    <s v="2023-03"/>
  </r>
  <r>
    <x v="991"/>
    <x v="147"/>
    <x v="5"/>
    <x v="121"/>
    <x v="321"/>
    <x v="448"/>
    <s v="Post-IPO"/>
    <x v="2"/>
    <n v="0.28000000000000003"/>
    <s v="2023-03"/>
  </r>
  <r>
    <x v="992"/>
    <x v="70"/>
    <x v="4"/>
    <x v="3"/>
    <x v="321"/>
    <x v="129"/>
    <s v="Series B"/>
    <x v="25"/>
    <n v="0.25"/>
    <s v="2023-03"/>
  </r>
  <r>
    <x v="993"/>
    <x v="41"/>
    <x v="1"/>
    <x v="3"/>
    <x v="321"/>
    <x v="185"/>
    <s v="Seed"/>
    <x v="15"/>
    <s v="NA"/>
    <s v="2023-03"/>
  </r>
  <r>
    <x v="481"/>
    <x v="6"/>
    <x v="10"/>
    <x v="3"/>
    <x v="321"/>
    <x v="103"/>
    <s v="Post-IPO"/>
    <x v="2"/>
    <n v="0.3"/>
    <s v="2023-03"/>
  </r>
  <r>
    <x v="16"/>
    <x v="6"/>
    <x v="10"/>
    <x v="205"/>
    <x v="322"/>
    <x v="16"/>
    <s v="Post-IPO"/>
    <x v="2"/>
    <n v="0.18"/>
    <s v="2023-03"/>
  </r>
  <r>
    <x v="994"/>
    <x v="4"/>
    <x v="21"/>
    <x v="125"/>
    <x v="322"/>
    <x v="267"/>
    <s v="Acquired"/>
    <x v="2"/>
    <s v="NA"/>
    <s v="2023-03"/>
  </r>
  <r>
    <x v="995"/>
    <x v="6"/>
    <x v="10"/>
    <x v="164"/>
    <x v="322"/>
    <x v="458"/>
    <s v="Post-IPO"/>
    <x v="2"/>
    <n v="0.33"/>
    <s v="2023-03"/>
  </r>
  <r>
    <x v="996"/>
    <x v="148"/>
    <x v="27"/>
    <x v="73"/>
    <x v="323"/>
    <x v="354"/>
    <s v="Acquired"/>
    <x v="2"/>
    <s v="NA"/>
    <s v="2023-03"/>
  </r>
  <r>
    <x v="997"/>
    <x v="6"/>
    <x v="5"/>
    <x v="3"/>
    <x v="323"/>
    <x v="459"/>
    <s v="Post-IPO"/>
    <x v="2"/>
    <n v="0.35"/>
    <s v="2023-03"/>
  </r>
  <r>
    <x v="998"/>
    <x v="9"/>
    <x v="1"/>
    <x v="22"/>
    <x v="324"/>
    <x v="460"/>
    <s v="Unknown"/>
    <x v="2"/>
    <s v="NA"/>
    <s v="2023-03"/>
  </r>
  <r>
    <x v="999"/>
    <x v="149"/>
    <x v="6"/>
    <x v="3"/>
    <x v="324"/>
    <x v="12"/>
    <s v="Acquired"/>
    <x v="2"/>
    <s v="NA"/>
    <s v="2023-03"/>
  </r>
  <r>
    <x v="1000"/>
    <x v="32"/>
    <x v="21"/>
    <x v="30"/>
    <x v="325"/>
    <x v="346"/>
    <s v="Post-IPO"/>
    <x v="11"/>
    <s v="NA"/>
    <s v="2023-03"/>
  </r>
  <r>
    <x v="261"/>
    <x v="74"/>
    <x v="27"/>
    <x v="28"/>
    <x v="325"/>
    <x v="186"/>
    <s v="Acquired"/>
    <x v="2"/>
    <s v="NA"/>
    <s v="2023-03"/>
  </r>
  <r>
    <x v="73"/>
    <x v="33"/>
    <x v="0"/>
    <x v="24"/>
    <x v="325"/>
    <x v="63"/>
    <s v="Acquired"/>
    <x v="8"/>
    <s v="NA"/>
    <s v="2023-03"/>
  </r>
  <r>
    <x v="1001"/>
    <x v="150"/>
    <x v="21"/>
    <x v="31"/>
    <x v="325"/>
    <x v="435"/>
    <s v="Unknown"/>
    <x v="41"/>
    <s v="NA"/>
    <s v="2023-03"/>
  </r>
  <r>
    <x v="1002"/>
    <x v="32"/>
    <x v="4"/>
    <x v="100"/>
    <x v="325"/>
    <x v="128"/>
    <s v="Series A"/>
    <x v="11"/>
    <n v="0.25"/>
    <s v="2023-03"/>
  </r>
  <r>
    <x v="31"/>
    <x v="16"/>
    <x v="12"/>
    <x v="206"/>
    <x v="326"/>
    <x v="28"/>
    <s v="Acquired"/>
    <x v="2"/>
    <n v="0.15"/>
    <s v="2023-03"/>
  </r>
  <r>
    <x v="1003"/>
    <x v="151"/>
    <x v="16"/>
    <x v="11"/>
    <x v="326"/>
    <x v="12"/>
    <s v="Post-IPO"/>
    <x v="30"/>
    <s v="NA"/>
    <s v="2023-03"/>
  </r>
  <r>
    <x v="1004"/>
    <x v="6"/>
    <x v="12"/>
    <x v="24"/>
    <x v="326"/>
    <x v="461"/>
    <s v="Acquired"/>
    <x v="2"/>
    <n v="0.15"/>
    <s v="2023-03"/>
  </r>
  <r>
    <x v="1005"/>
    <x v="152"/>
    <x v="10"/>
    <x v="5"/>
    <x v="326"/>
    <x v="462"/>
    <s v="Post-IPO"/>
    <x v="3"/>
    <n v="0.16"/>
    <s v="2023-03"/>
  </r>
  <r>
    <x v="1006"/>
    <x v="10"/>
    <x v="2"/>
    <x v="3"/>
    <x v="326"/>
    <x v="463"/>
    <s v="Series C"/>
    <x v="3"/>
    <n v="0.15"/>
    <s v="2023-03"/>
  </r>
  <r>
    <x v="1007"/>
    <x v="21"/>
    <x v="27"/>
    <x v="3"/>
    <x v="326"/>
    <x v="323"/>
    <s v="Series B"/>
    <x v="7"/>
    <s v="NA"/>
    <s v="2023-03"/>
  </r>
  <r>
    <x v="1008"/>
    <x v="6"/>
    <x v="22"/>
    <x v="3"/>
    <x v="326"/>
    <x v="278"/>
    <s v="Series E"/>
    <x v="2"/>
    <n v="0.27"/>
    <s v="2023-03"/>
  </r>
  <r>
    <x v="1009"/>
    <x v="10"/>
    <x v="0"/>
    <x v="207"/>
    <x v="327"/>
    <x v="12"/>
    <s v="Acquired"/>
    <x v="3"/>
    <s v="NA"/>
    <s v="2023-03"/>
  </r>
  <r>
    <x v="1010"/>
    <x v="6"/>
    <x v="16"/>
    <x v="60"/>
    <x v="327"/>
    <x v="12"/>
    <s v="Post-IPO"/>
    <x v="2"/>
    <n v="0.04"/>
    <s v="2023-03"/>
  </r>
  <r>
    <x v="1011"/>
    <x v="34"/>
    <x v="12"/>
    <x v="80"/>
    <x v="327"/>
    <x v="191"/>
    <s v="Unknown"/>
    <x v="12"/>
    <n v="0.1"/>
    <s v="2023-03"/>
  </r>
  <r>
    <x v="396"/>
    <x v="62"/>
    <x v="1"/>
    <x v="54"/>
    <x v="327"/>
    <x v="255"/>
    <s v="Unknown"/>
    <x v="7"/>
    <n v="0.1"/>
    <s v="2023-03"/>
  </r>
  <r>
    <x v="1012"/>
    <x v="77"/>
    <x v="12"/>
    <x v="94"/>
    <x v="327"/>
    <x v="12"/>
    <s v="Series A"/>
    <x v="5"/>
    <s v="NA"/>
    <s v="2023-03"/>
  </r>
  <r>
    <x v="1013"/>
    <x v="119"/>
    <x v="0"/>
    <x v="5"/>
    <x v="327"/>
    <x v="464"/>
    <s v="Series A"/>
    <x v="20"/>
    <s v="NA"/>
    <s v="2023-03"/>
  </r>
  <r>
    <x v="1014"/>
    <x v="20"/>
    <x v="1"/>
    <x v="8"/>
    <x v="327"/>
    <x v="267"/>
    <s v="Series C"/>
    <x v="6"/>
    <n v="0.04"/>
    <s v="2023-03"/>
  </r>
  <r>
    <x v="59"/>
    <x v="4"/>
    <x v="7"/>
    <x v="3"/>
    <x v="327"/>
    <x v="51"/>
    <s v="Post-IPO"/>
    <x v="2"/>
    <s v="NA"/>
    <s v="2023-03"/>
  </r>
  <r>
    <x v="1015"/>
    <x v="51"/>
    <x v="6"/>
    <x v="3"/>
    <x v="327"/>
    <x v="354"/>
    <s v="Series A"/>
    <x v="20"/>
    <s v="NA"/>
    <s v="2023-03"/>
  </r>
  <r>
    <x v="58"/>
    <x v="26"/>
    <x v="3"/>
    <x v="3"/>
    <x v="327"/>
    <x v="50"/>
    <s v="Series B"/>
    <x v="2"/>
    <s v="NA"/>
    <s v="2023-03"/>
  </r>
  <r>
    <x v="1016"/>
    <x v="120"/>
    <x v="1"/>
    <x v="3"/>
    <x v="327"/>
    <x v="48"/>
    <s v="Post-IPO"/>
    <x v="35"/>
    <n v="0.1"/>
    <s v="2023-03"/>
  </r>
  <r>
    <x v="90"/>
    <x v="4"/>
    <x v="21"/>
    <x v="208"/>
    <x v="328"/>
    <x v="74"/>
    <s v="Post-IPO"/>
    <x v="2"/>
    <s v="NA"/>
    <s v="2023-03"/>
  </r>
  <r>
    <x v="1017"/>
    <x v="153"/>
    <x v="6"/>
    <x v="3"/>
    <x v="328"/>
    <x v="196"/>
    <s v="Series C"/>
    <x v="21"/>
    <n v="0.1"/>
    <s v="2023-03"/>
  </r>
  <r>
    <x v="1018"/>
    <x v="20"/>
    <x v="21"/>
    <x v="1"/>
    <x v="329"/>
    <x v="465"/>
    <s v="Series F"/>
    <x v="6"/>
    <n v="0.02"/>
    <s v="2023-03"/>
  </r>
  <r>
    <x v="1019"/>
    <x v="101"/>
    <x v="4"/>
    <x v="31"/>
    <x v="329"/>
    <x v="351"/>
    <s v="Series C"/>
    <x v="7"/>
    <n v="0.25"/>
    <s v="2023-03"/>
  </r>
  <r>
    <x v="1020"/>
    <x v="23"/>
    <x v="22"/>
    <x v="3"/>
    <x v="329"/>
    <x v="412"/>
    <s v="Unknown"/>
    <x v="2"/>
    <s v="NA"/>
    <s v="2023-03"/>
  </r>
  <r>
    <x v="801"/>
    <x v="6"/>
    <x v="18"/>
    <x v="132"/>
    <x v="330"/>
    <x v="407"/>
    <s v="Post-IPO"/>
    <x v="2"/>
    <n v="0.02"/>
    <s v="2023-03"/>
  </r>
  <r>
    <x v="808"/>
    <x v="6"/>
    <x v="13"/>
    <x v="209"/>
    <x v="330"/>
    <x v="12"/>
    <s v="Post-IPO"/>
    <x v="2"/>
    <s v="NA"/>
    <s v="2023-03"/>
  </r>
  <r>
    <x v="1021"/>
    <x v="154"/>
    <x v="19"/>
    <x v="43"/>
    <x v="330"/>
    <x v="12"/>
    <s v="Acquired"/>
    <x v="25"/>
    <n v="0.28000000000000003"/>
    <s v="2023-03"/>
  </r>
  <r>
    <x v="358"/>
    <x v="6"/>
    <x v="11"/>
    <x v="148"/>
    <x v="330"/>
    <x v="235"/>
    <s v="Series C"/>
    <x v="2"/>
    <n v="0.15"/>
    <s v="2023-03"/>
  </r>
  <r>
    <x v="1022"/>
    <x v="4"/>
    <x v="21"/>
    <x v="5"/>
    <x v="330"/>
    <x v="106"/>
    <s v="Post-IPO"/>
    <x v="2"/>
    <n v="0.21"/>
    <s v="2023-03"/>
  </r>
  <r>
    <x v="1023"/>
    <x v="54"/>
    <x v="12"/>
    <x v="3"/>
    <x v="330"/>
    <x v="136"/>
    <s v="Series B"/>
    <x v="2"/>
    <s v="NA"/>
    <s v="2023-03"/>
  </r>
  <r>
    <x v="1024"/>
    <x v="17"/>
    <x v="3"/>
    <x v="24"/>
    <x v="331"/>
    <x v="466"/>
    <s v="Unknown"/>
    <x v="2"/>
    <s v="NA"/>
    <s v="2023-03"/>
  </r>
  <r>
    <x v="710"/>
    <x v="20"/>
    <x v="21"/>
    <x v="65"/>
    <x v="331"/>
    <x v="354"/>
    <s v="Series A"/>
    <x v="6"/>
    <n v="0.3"/>
    <s v="2023-03"/>
  </r>
  <r>
    <x v="1025"/>
    <x v="3"/>
    <x v="21"/>
    <x v="210"/>
    <x v="331"/>
    <x v="278"/>
    <s v="Post-IPO"/>
    <x v="2"/>
    <n v="0.25"/>
    <s v="2023-03"/>
  </r>
  <r>
    <x v="803"/>
    <x v="106"/>
    <x v="1"/>
    <x v="2"/>
    <x v="331"/>
    <x v="60"/>
    <s v="Post-IPO"/>
    <x v="31"/>
    <s v="NA"/>
    <s v="2023-03"/>
  </r>
  <r>
    <x v="1026"/>
    <x v="120"/>
    <x v="1"/>
    <x v="37"/>
    <x v="331"/>
    <x v="70"/>
    <s v="Series B"/>
    <x v="35"/>
    <n v="0.3"/>
    <s v="2023-03"/>
  </r>
  <r>
    <x v="1027"/>
    <x v="17"/>
    <x v="22"/>
    <x v="3"/>
    <x v="331"/>
    <x v="229"/>
    <s v="Unknown"/>
    <x v="2"/>
    <s v="NA"/>
    <s v="2023-03"/>
  </r>
  <r>
    <x v="127"/>
    <x v="6"/>
    <x v="6"/>
    <x v="211"/>
    <x v="332"/>
    <x v="97"/>
    <s v="Post-IPO"/>
    <x v="2"/>
    <s v="NA"/>
    <s v="2023-03"/>
  </r>
  <r>
    <x v="1028"/>
    <x v="155"/>
    <x v="21"/>
    <x v="1"/>
    <x v="332"/>
    <x v="467"/>
    <s v="Series E"/>
    <x v="2"/>
    <n v="0.1"/>
    <s v="2023-03"/>
  </r>
  <r>
    <x v="1029"/>
    <x v="6"/>
    <x v="2"/>
    <x v="133"/>
    <x v="332"/>
    <x v="468"/>
    <s v="Series D"/>
    <x v="2"/>
    <n v="0.2"/>
    <s v="2023-03"/>
  </r>
  <r>
    <x v="1030"/>
    <x v="156"/>
    <x v="16"/>
    <x v="31"/>
    <x v="332"/>
    <x v="274"/>
    <s v="Series C"/>
    <x v="7"/>
    <n v="0.14000000000000001"/>
    <s v="2023-03"/>
  </r>
  <r>
    <x v="1031"/>
    <x v="6"/>
    <x v="16"/>
    <x v="2"/>
    <x v="332"/>
    <x v="12"/>
    <s v="Post-IPO"/>
    <x v="2"/>
    <s v="NA"/>
    <s v="2023-03"/>
  </r>
  <r>
    <x v="1032"/>
    <x v="67"/>
    <x v="1"/>
    <x v="8"/>
    <x v="332"/>
    <x v="90"/>
    <s v="Series A"/>
    <x v="2"/>
    <n v="0.3"/>
    <s v="2023-03"/>
  </r>
  <r>
    <x v="1033"/>
    <x v="71"/>
    <x v="10"/>
    <x v="190"/>
    <x v="333"/>
    <x v="22"/>
    <s v="Post-IPO"/>
    <x v="26"/>
    <s v="NA"/>
    <s v="2023-03"/>
  </r>
  <r>
    <x v="1034"/>
    <x v="13"/>
    <x v="6"/>
    <x v="54"/>
    <x v="333"/>
    <x v="12"/>
    <s v="Unknown"/>
    <x v="4"/>
    <s v="NA"/>
    <s v="2023-03"/>
  </r>
  <r>
    <x v="1035"/>
    <x v="157"/>
    <x v="1"/>
    <x v="19"/>
    <x v="334"/>
    <x v="469"/>
    <s v="Post-IPO"/>
    <x v="35"/>
    <n v="0.15"/>
    <s v="2023-03"/>
  </r>
  <r>
    <x v="1036"/>
    <x v="71"/>
    <x v="0"/>
    <x v="28"/>
    <x v="334"/>
    <x v="12"/>
    <s v="Unknown"/>
    <x v="26"/>
    <s v="NA"/>
    <s v="2023-03"/>
  </r>
  <r>
    <x v="25"/>
    <x v="15"/>
    <x v="0"/>
    <x v="1"/>
    <x v="334"/>
    <x v="24"/>
    <s v="Series H"/>
    <x v="2"/>
    <n v="0.02"/>
    <s v="2023-03"/>
  </r>
  <r>
    <x v="1037"/>
    <x v="62"/>
    <x v="1"/>
    <x v="31"/>
    <x v="334"/>
    <x v="34"/>
    <s v="Acquired"/>
    <x v="7"/>
    <s v="NA"/>
    <s v="2023-03"/>
  </r>
  <r>
    <x v="1038"/>
    <x v="3"/>
    <x v="26"/>
    <x v="5"/>
    <x v="334"/>
    <x v="12"/>
    <s v="Acquired"/>
    <x v="2"/>
    <s v="NA"/>
    <s v="2023-03"/>
  </r>
  <r>
    <x v="1023"/>
    <x v="54"/>
    <x v="12"/>
    <x v="3"/>
    <x v="334"/>
    <x v="136"/>
    <s v="Series B"/>
    <x v="2"/>
    <s v="NA"/>
    <s v="2023-03"/>
  </r>
  <r>
    <x v="1039"/>
    <x v="4"/>
    <x v="5"/>
    <x v="3"/>
    <x v="334"/>
    <x v="333"/>
    <s v="Post-IPO"/>
    <x v="2"/>
    <n v="0.7"/>
    <s v="2023-03"/>
  </r>
  <r>
    <x v="1040"/>
    <x v="9"/>
    <x v="11"/>
    <x v="3"/>
    <x v="334"/>
    <x v="12"/>
    <s v="Series A"/>
    <x v="2"/>
    <n v="1"/>
    <s v="2023-03"/>
  </r>
  <r>
    <x v="217"/>
    <x v="62"/>
    <x v="26"/>
    <x v="148"/>
    <x v="335"/>
    <x v="4"/>
    <s v="Acquired"/>
    <x v="7"/>
    <n v="0.15"/>
    <s v="2023-03"/>
  </r>
  <r>
    <x v="1041"/>
    <x v="17"/>
    <x v="27"/>
    <x v="3"/>
    <x v="335"/>
    <x v="80"/>
    <s v="Series B"/>
    <x v="2"/>
    <n v="0.15"/>
    <s v="2023-03"/>
  </r>
  <r>
    <x v="136"/>
    <x v="48"/>
    <x v="5"/>
    <x v="11"/>
    <x v="336"/>
    <x v="104"/>
    <s v="Series E"/>
    <x v="6"/>
    <n v="0.15"/>
    <s v="2023-03"/>
  </r>
  <r>
    <x v="196"/>
    <x v="9"/>
    <x v="19"/>
    <x v="54"/>
    <x v="336"/>
    <x v="146"/>
    <s v="Series C"/>
    <x v="2"/>
    <n v="0.15"/>
    <s v="2023-03"/>
  </r>
  <r>
    <x v="1042"/>
    <x v="3"/>
    <x v="1"/>
    <x v="3"/>
    <x v="336"/>
    <x v="143"/>
    <s v="Series A"/>
    <x v="2"/>
    <n v="1"/>
    <s v="2023-03"/>
  </r>
  <r>
    <x v="1043"/>
    <x v="10"/>
    <x v="2"/>
    <x v="3"/>
    <x v="336"/>
    <x v="47"/>
    <s v="Unknown"/>
    <x v="3"/>
    <n v="0.25"/>
    <s v="2023-03"/>
  </r>
  <r>
    <x v="1044"/>
    <x v="3"/>
    <x v="6"/>
    <x v="3"/>
    <x v="336"/>
    <x v="200"/>
    <s v="Post-IPO"/>
    <x v="2"/>
    <s v="NA"/>
    <s v="2023-03"/>
  </r>
  <r>
    <x v="349"/>
    <x v="4"/>
    <x v="21"/>
    <x v="3"/>
    <x v="336"/>
    <x v="192"/>
    <s v="Acquired"/>
    <x v="2"/>
    <s v="NA"/>
    <s v="2023-03"/>
  </r>
  <r>
    <x v="1045"/>
    <x v="51"/>
    <x v="4"/>
    <x v="30"/>
    <x v="337"/>
    <x v="470"/>
    <s v="Post-IPO"/>
    <x v="20"/>
    <n v="0.05"/>
    <s v="2023-03"/>
  </r>
  <r>
    <x v="174"/>
    <x v="3"/>
    <x v="26"/>
    <x v="212"/>
    <x v="337"/>
    <x v="130"/>
    <s v="Post-IPO"/>
    <x v="2"/>
    <n v="0.08"/>
    <s v="2023-03"/>
  </r>
  <r>
    <x v="380"/>
    <x v="92"/>
    <x v="21"/>
    <x v="9"/>
    <x v="337"/>
    <x v="90"/>
    <s v="Series B"/>
    <x v="15"/>
    <s v="NA"/>
    <s v="2023-03"/>
  </r>
  <r>
    <x v="1046"/>
    <x v="39"/>
    <x v="12"/>
    <x v="115"/>
    <x v="337"/>
    <x v="12"/>
    <s v="Unknown"/>
    <x v="2"/>
    <s v="NA"/>
    <s v="2023-03"/>
  </r>
  <r>
    <x v="1047"/>
    <x v="91"/>
    <x v="11"/>
    <x v="17"/>
    <x v="337"/>
    <x v="471"/>
    <s v="Unknown"/>
    <x v="6"/>
    <s v="NA"/>
    <s v="2023-03"/>
  </r>
  <r>
    <x v="1048"/>
    <x v="20"/>
    <x v="21"/>
    <x v="2"/>
    <x v="337"/>
    <x v="217"/>
    <s v="Series E"/>
    <x v="6"/>
    <s v="NA"/>
    <s v="2023-03"/>
  </r>
  <r>
    <x v="1049"/>
    <x v="32"/>
    <x v="21"/>
    <x v="3"/>
    <x v="337"/>
    <x v="278"/>
    <s v="Series C"/>
    <x v="11"/>
    <s v="NA"/>
    <s v="2023-03"/>
  </r>
  <r>
    <x v="1050"/>
    <x v="158"/>
    <x v="12"/>
    <x v="46"/>
    <x v="338"/>
    <x v="12"/>
    <s v="Acquired"/>
    <x v="21"/>
    <s v="NA"/>
    <s v="2023-03"/>
  </r>
  <r>
    <x v="1051"/>
    <x v="106"/>
    <x v="22"/>
    <x v="183"/>
    <x v="339"/>
    <x v="472"/>
    <s v="Unknown"/>
    <x v="31"/>
    <n v="0.15"/>
    <s v="2023-03"/>
  </r>
  <r>
    <x v="1052"/>
    <x v="6"/>
    <x v="10"/>
    <x v="23"/>
    <x v="339"/>
    <x v="473"/>
    <s v="Post-IPO"/>
    <x v="2"/>
    <n v="0.7"/>
    <s v="2023-03"/>
  </r>
  <r>
    <x v="1053"/>
    <x v="51"/>
    <x v="22"/>
    <x v="1"/>
    <x v="339"/>
    <x v="448"/>
    <s v="Unknown"/>
    <x v="20"/>
    <s v="NA"/>
    <s v="2023-03"/>
  </r>
  <r>
    <x v="1054"/>
    <x v="6"/>
    <x v="3"/>
    <x v="98"/>
    <x v="339"/>
    <x v="154"/>
    <s v="Acquired"/>
    <x v="2"/>
    <s v="NA"/>
    <s v="2023-03"/>
  </r>
  <r>
    <x v="1055"/>
    <x v="6"/>
    <x v="7"/>
    <x v="2"/>
    <x v="339"/>
    <x v="297"/>
    <s v="Post-IPO"/>
    <x v="2"/>
    <s v="NA"/>
    <s v="2023-03"/>
  </r>
  <r>
    <x v="1056"/>
    <x v="4"/>
    <x v="5"/>
    <x v="3"/>
    <x v="339"/>
    <x v="298"/>
    <s v="Post-IPO"/>
    <x v="2"/>
    <s v="NA"/>
    <s v="2023-03"/>
  </r>
  <r>
    <x v="205"/>
    <x v="17"/>
    <x v="4"/>
    <x v="3"/>
    <x v="339"/>
    <x v="63"/>
    <s v="Series F"/>
    <x v="2"/>
    <s v="NA"/>
    <s v="2023-03"/>
  </r>
  <r>
    <x v="1057"/>
    <x v="6"/>
    <x v="25"/>
    <x v="192"/>
    <x v="340"/>
    <x v="351"/>
    <s v="Post-IPO"/>
    <x v="2"/>
    <n v="0.03"/>
    <s v="2023-03"/>
  </r>
  <r>
    <x v="1058"/>
    <x v="6"/>
    <x v="11"/>
    <x v="41"/>
    <x v="340"/>
    <x v="474"/>
    <s v="Series E"/>
    <x v="2"/>
    <s v="NA"/>
    <s v="2023-03"/>
  </r>
  <r>
    <x v="1059"/>
    <x v="159"/>
    <x v="0"/>
    <x v="31"/>
    <x v="340"/>
    <x v="12"/>
    <s v="Acquired"/>
    <x v="31"/>
    <s v="NA"/>
    <s v="2023-03"/>
  </r>
  <r>
    <x v="1060"/>
    <x v="40"/>
    <x v="19"/>
    <x v="2"/>
    <x v="340"/>
    <x v="142"/>
    <s v="Series A"/>
    <x v="6"/>
    <n v="0.11"/>
    <s v="2023-03"/>
  </r>
  <r>
    <x v="1061"/>
    <x v="6"/>
    <x v="26"/>
    <x v="35"/>
    <x v="340"/>
    <x v="132"/>
    <s v="Acquired"/>
    <x v="2"/>
    <n v="0.1"/>
    <s v="2023-03"/>
  </r>
  <r>
    <x v="1062"/>
    <x v="105"/>
    <x v="1"/>
    <x v="3"/>
    <x v="340"/>
    <x v="12"/>
    <s v="Unknown"/>
    <x v="30"/>
    <n v="0.1"/>
    <s v="2023-03"/>
  </r>
  <r>
    <x v="298"/>
    <x v="20"/>
    <x v="21"/>
    <x v="3"/>
    <x v="340"/>
    <x v="203"/>
    <s v="Acquired"/>
    <x v="6"/>
    <s v="NA"/>
    <s v="2023-03"/>
  </r>
  <r>
    <x v="1063"/>
    <x v="9"/>
    <x v="6"/>
    <x v="3"/>
    <x v="340"/>
    <x v="12"/>
    <s v="Acquired"/>
    <x v="2"/>
    <n v="1"/>
    <s v="2023-03"/>
  </r>
  <r>
    <x v="425"/>
    <x v="3"/>
    <x v="22"/>
    <x v="3"/>
    <x v="340"/>
    <x v="272"/>
    <s v="Series D"/>
    <x v="2"/>
    <s v="NA"/>
    <s v="2023-03"/>
  </r>
  <r>
    <x v="1064"/>
    <x v="7"/>
    <x v="24"/>
    <x v="3"/>
    <x v="340"/>
    <x v="12"/>
    <s v="Acquired"/>
    <x v="2"/>
    <s v="NA"/>
    <s v="2023-03"/>
  </r>
  <r>
    <x v="614"/>
    <x v="58"/>
    <x v="4"/>
    <x v="30"/>
    <x v="341"/>
    <x v="344"/>
    <s v="Post-IPO"/>
    <x v="2"/>
    <n v="0.04"/>
    <s v="2023-03"/>
  </r>
  <r>
    <x v="1065"/>
    <x v="106"/>
    <x v="0"/>
    <x v="213"/>
    <x v="341"/>
    <x v="236"/>
    <s v="Subsidiary"/>
    <x v="31"/>
    <n v="0.06"/>
    <s v="2023-03"/>
  </r>
  <r>
    <x v="1066"/>
    <x v="6"/>
    <x v="5"/>
    <x v="11"/>
    <x v="341"/>
    <x v="475"/>
    <s v="Series E"/>
    <x v="2"/>
    <s v="NA"/>
    <s v="2023-03"/>
  </r>
  <r>
    <x v="457"/>
    <x v="6"/>
    <x v="10"/>
    <x v="214"/>
    <x v="341"/>
    <x v="76"/>
    <s v="Subsidiary"/>
    <x v="2"/>
    <n v="0.08"/>
    <s v="2023-03"/>
  </r>
  <r>
    <x v="1067"/>
    <x v="32"/>
    <x v="12"/>
    <x v="28"/>
    <x v="341"/>
    <x v="476"/>
    <s v="Series E"/>
    <x v="11"/>
    <n v="0.2"/>
    <s v="2023-03"/>
  </r>
  <r>
    <x v="1068"/>
    <x v="6"/>
    <x v="18"/>
    <x v="28"/>
    <x v="341"/>
    <x v="477"/>
    <s v="Series C"/>
    <x v="2"/>
    <s v="NA"/>
    <s v="2023-03"/>
  </r>
  <r>
    <x v="160"/>
    <x v="6"/>
    <x v="7"/>
    <x v="1"/>
    <x v="341"/>
    <x v="119"/>
    <s v="Post-IPO"/>
    <x v="2"/>
    <n v="0.14000000000000001"/>
    <s v="2023-03"/>
  </r>
  <r>
    <x v="1069"/>
    <x v="4"/>
    <x v="2"/>
    <x v="3"/>
    <x v="341"/>
    <x v="293"/>
    <s v="Series A"/>
    <x v="2"/>
    <n v="0.5"/>
    <s v="2023-03"/>
  </r>
  <r>
    <x v="139"/>
    <x v="160"/>
    <x v="6"/>
    <x v="28"/>
    <x v="342"/>
    <x v="78"/>
    <s v="Post-IPO"/>
    <x v="2"/>
    <s v="NA"/>
    <s v="2023-02"/>
  </r>
  <r>
    <x v="1070"/>
    <x v="6"/>
    <x v="6"/>
    <x v="54"/>
    <x v="342"/>
    <x v="478"/>
    <s v="Post-IPO"/>
    <x v="2"/>
    <n v="0.08"/>
    <s v="2023-02"/>
  </r>
  <r>
    <x v="686"/>
    <x v="12"/>
    <x v="8"/>
    <x v="100"/>
    <x v="342"/>
    <x v="25"/>
    <s v="Series A"/>
    <x v="2"/>
    <s v="NA"/>
    <s v="2023-02"/>
  </r>
  <r>
    <x v="1071"/>
    <x v="20"/>
    <x v="11"/>
    <x v="3"/>
    <x v="342"/>
    <x v="12"/>
    <s v="Unknown"/>
    <x v="6"/>
    <n v="1"/>
    <s v="2023-02"/>
  </r>
  <r>
    <x v="306"/>
    <x v="9"/>
    <x v="1"/>
    <x v="3"/>
    <x v="342"/>
    <x v="207"/>
    <s v="Post-IPO"/>
    <x v="2"/>
    <n v="0.09"/>
    <s v="2023-02"/>
  </r>
  <r>
    <x v="496"/>
    <x v="68"/>
    <x v="10"/>
    <x v="11"/>
    <x v="343"/>
    <x v="479"/>
    <s v="Post-IPO"/>
    <x v="5"/>
    <s v="NA"/>
    <s v="2023-02"/>
  </r>
  <r>
    <x v="1072"/>
    <x v="6"/>
    <x v="5"/>
    <x v="215"/>
    <x v="343"/>
    <x v="102"/>
    <s v="Series C"/>
    <x v="2"/>
    <n v="0.15"/>
    <s v="2023-02"/>
  </r>
  <r>
    <x v="1073"/>
    <x v="58"/>
    <x v="1"/>
    <x v="80"/>
    <x v="343"/>
    <x v="480"/>
    <s v="Unknown"/>
    <x v="2"/>
    <n v="0.25"/>
    <s v="2023-02"/>
  </r>
  <r>
    <x v="1074"/>
    <x v="11"/>
    <x v="27"/>
    <x v="133"/>
    <x v="343"/>
    <x v="197"/>
    <s v="Post-IPO"/>
    <x v="2"/>
    <n v="0.02"/>
    <s v="2023-02"/>
  </r>
  <r>
    <x v="517"/>
    <x v="4"/>
    <x v="9"/>
    <x v="43"/>
    <x v="343"/>
    <x v="306"/>
    <s v="Series G"/>
    <x v="2"/>
    <n v="7.0000000000000007E-2"/>
    <s v="2023-02"/>
  </r>
  <r>
    <x v="1075"/>
    <x v="6"/>
    <x v="25"/>
    <x v="70"/>
    <x v="343"/>
    <x v="479"/>
    <s v="Series B"/>
    <x v="2"/>
    <n v="0.25"/>
    <s v="2023-02"/>
  </r>
  <r>
    <x v="1076"/>
    <x v="1"/>
    <x v="25"/>
    <x v="5"/>
    <x v="344"/>
    <x v="481"/>
    <s v="Unknown"/>
    <x v="1"/>
    <s v="NA"/>
    <s v="2023-02"/>
  </r>
  <r>
    <x v="1077"/>
    <x v="6"/>
    <x v="6"/>
    <x v="28"/>
    <x v="345"/>
    <x v="203"/>
    <s v="Post-IPO"/>
    <x v="2"/>
    <n v="0.1"/>
    <s v="2023-02"/>
  </r>
  <r>
    <x v="1078"/>
    <x v="55"/>
    <x v="4"/>
    <x v="216"/>
    <x v="346"/>
    <x v="482"/>
    <s v="Post-IPO"/>
    <x v="22"/>
    <n v="0.08"/>
    <s v="2023-02"/>
  </r>
  <r>
    <x v="1079"/>
    <x v="20"/>
    <x v="4"/>
    <x v="11"/>
    <x v="346"/>
    <x v="22"/>
    <s v="Subsidiary"/>
    <x v="6"/>
    <s v="NA"/>
    <s v="2023-02"/>
  </r>
  <r>
    <x v="1080"/>
    <x v="6"/>
    <x v="10"/>
    <x v="217"/>
    <x v="346"/>
    <x v="483"/>
    <s v="Acquired"/>
    <x v="2"/>
    <s v="NA"/>
    <s v="2023-02"/>
  </r>
  <r>
    <x v="1081"/>
    <x v="6"/>
    <x v="18"/>
    <x v="157"/>
    <x v="346"/>
    <x v="484"/>
    <s v="Acquired"/>
    <x v="2"/>
    <s v="NA"/>
    <s v="2023-02"/>
  </r>
  <r>
    <x v="508"/>
    <x v="6"/>
    <x v="0"/>
    <x v="5"/>
    <x v="346"/>
    <x v="301"/>
    <s v="Unknown"/>
    <x v="2"/>
    <s v="NA"/>
    <s v="2023-02"/>
  </r>
  <r>
    <x v="1082"/>
    <x v="6"/>
    <x v="5"/>
    <x v="126"/>
    <x v="346"/>
    <x v="485"/>
    <s v="Post-IPO"/>
    <x v="2"/>
    <s v="NA"/>
    <s v="2023-02"/>
  </r>
  <r>
    <x v="1083"/>
    <x v="22"/>
    <x v="1"/>
    <x v="56"/>
    <x v="346"/>
    <x v="163"/>
    <s v="Series D"/>
    <x v="2"/>
    <s v="NA"/>
    <s v="2023-02"/>
  </r>
  <r>
    <x v="1084"/>
    <x v="17"/>
    <x v="5"/>
    <x v="3"/>
    <x v="346"/>
    <x v="40"/>
    <s v="Post-IPO"/>
    <x v="2"/>
    <n v="0.18"/>
    <s v="2023-02"/>
  </r>
  <r>
    <x v="1085"/>
    <x v="6"/>
    <x v="21"/>
    <x v="3"/>
    <x v="346"/>
    <x v="182"/>
    <s v="Acquired"/>
    <x v="2"/>
    <n v="0.02"/>
    <s v="2023-02"/>
  </r>
  <r>
    <x v="514"/>
    <x v="56"/>
    <x v="5"/>
    <x v="28"/>
    <x v="347"/>
    <x v="12"/>
    <s v="Acquired"/>
    <x v="2"/>
    <n v="0.1"/>
    <s v="2023-02"/>
  </r>
  <r>
    <x v="1086"/>
    <x v="14"/>
    <x v="3"/>
    <x v="0"/>
    <x v="347"/>
    <x v="486"/>
    <s v="Series D"/>
    <x v="5"/>
    <n v="0.32"/>
    <s v="2023-02"/>
  </r>
  <r>
    <x v="1087"/>
    <x v="51"/>
    <x v="21"/>
    <x v="218"/>
    <x v="347"/>
    <x v="12"/>
    <s v="Unknown"/>
    <x v="20"/>
    <n v="0.06"/>
    <s v="2023-02"/>
  </r>
  <r>
    <x v="1088"/>
    <x v="9"/>
    <x v="10"/>
    <x v="5"/>
    <x v="347"/>
    <x v="59"/>
    <s v="Post-IPO"/>
    <x v="2"/>
    <s v="NA"/>
    <s v="2023-02"/>
  </r>
  <r>
    <x v="1089"/>
    <x v="6"/>
    <x v="8"/>
    <x v="5"/>
    <x v="347"/>
    <x v="223"/>
    <s v="Series B"/>
    <x v="2"/>
    <s v="NA"/>
    <s v="2023-02"/>
  </r>
  <r>
    <x v="700"/>
    <x v="37"/>
    <x v="2"/>
    <x v="3"/>
    <x v="347"/>
    <x v="383"/>
    <s v="Series D"/>
    <x v="2"/>
    <n v="0.2"/>
    <s v="2023-02"/>
  </r>
  <r>
    <x v="1090"/>
    <x v="3"/>
    <x v="2"/>
    <x v="3"/>
    <x v="347"/>
    <x v="62"/>
    <s v="Series B"/>
    <x v="2"/>
    <n v="0.15"/>
    <s v="2023-02"/>
  </r>
  <r>
    <x v="1091"/>
    <x v="72"/>
    <x v="5"/>
    <x v="3"/>
    <x v="347"/>
    <x v="12"/>
    <s v="Unknown"/>
    <x v="2"/>
    <n v="0.13"/>
    <s v="2023-02"/>
  </r>
  <r>
    <x v="1092"/>
    <x v="10"/>
    <x v="26"/>
    <x v="28"/>
    <x v="348"/>
    <x v="12"/>
    <s v="Unknown"/>
    <x v="3"/>
    <n v="0.12"/>
    <s v="2023-02"/>
  </r>
  <r>
    <x v="1093"/>
    <x v="148"/>
    <x v="18"/>
    <x v="175"/>
    <x v="348"/>
    <x v="487"/>
    <s v="Post-IPO"/>
    <x v="2"/>
    <s v="NA"/>
    <s v="2023-02"/>
  </r>
  <r>
    <x v="1094"/>
    <x v="93"/>
    <x v="5"/>
    <x v="3"/>
    <x v="348"/>
    <x v="181"/>
    <s v="Series C"/>
    <x v="2"/>
    <s v="NA"/>
    <s v="2023-02"/>
  </r>
  <r>
    <x v="1095"/>
    <x v="51"/>
    <x v="2"/>
    <x v="3"/>
    <x v="348"/>
    <x v="487"/>
    <s v="Series C"/>
    <x v="20"/>
    <n v="0.11"/>
    <s v="2023-02"/>
  </r>
  <r>
    <x v="1096"/>
    <x v="17"/>
    <x v="5"/>
    <x v="3"/>
    <x v="348"/>
    <x v="192"/>
    <s v="Acquired"/>
    <x v="2"/>
    <n v="0.56999999999999995"/>
    <s v="2023-02"/>
  </r>
  <r>
    <x v="1097"/>
    <x v="18"/>
    <x v="10"/>
    <x v="3"/>
    <x v="348"/>
    <x v="196"/>
    <s v="Seed"/>
    <x v="2"/>
    <n v="1"/>
    <s v="2023-02"/>
  </r>
  <r>
    <x v="1098"/>
    <x v="128"/>
    <x v="0"/>
    <x v="62"/>
    <x v="349"/>
    <x v="26"/>
    <s v="Series C"/>
    <x v="38"/>
    <n v="0.7"/>
    <s v="2023-02"/>
  </r>
  <r>
    <x v="204"/>
    <x v="20"/>
    <x v="2"/>
    <x v="1"/>
    <x v="349"/>
    <x v="152"/>
    <s v="Unknown"/>
    <x v="6"/>
    <n v="0.2"/>
    <s v="2023-02"/>
  </r>
  <r>
    <x v="1099"/>
    <x v="13"/>
    <x v="26"/>
    <x v="97"/>
    <x v="349"/>
    <x v="7"/>
    <s v="Unknown"/>
    <x v="4"/>
    <s v="NA"/>
    <s v="2023-02"/>
  </r>
  <r>
    <x v="1100"/>
    <x v="6"/>
    <x v="1"/>
    <x v="31"/>
    <x v="349"/>
    <x v="488"/>
    <s v="Series D"/>
    <x v="2"/>
    <s v="NA"/>
    <s v="2023-02"/>
  </r>
  <r>
    <x v="1101"/>
    <x v="58"/>
    <x v="3"/>
    <x v="5"/>
    <x v="349"/>
    <x v="80"/>
    <s v="Series B"/>
    <x v="2"/>
    <n v="0.04"/>
    <s v="2023-02"/>
  </r>
  <r>
    <x v="333"/>
    <x v="41"/>
    <x v="10"/>
    <x v="48"/>
    <x v="349"/>
    <x v="12"/>
    <s v="Series F"/>
    <x v="15"/>
    <s v="NA"/>
    <s v="2023-02"/>
  </r>
  <r>
    <x v="72"/>
    <x v="32"/>
    <x v="3"/>
    <x v="3"/>
    <x v="349"/>
    <x v="62"/>
    <s v="Post-IPO"/>
    <x v="11"/>
    <s v="NA"/>
    <s v="2023-02"/>
  </r>
  <r>
    <x v="1102"/>
    <x v="9"/>
    <x v="22"/>
    <x v="3"/>
    <x v="349"/>
    <x v="328"/>
    <s v="Series C"/>
    <x v="2"/>
    <s v="NA"/>
    <s v="2023-02"/>
  </r>
  <r>
    <x v="788"/>
    <x v="14"/>
    <x v="21"/>
    <x v="3"/>
    <x v="349"/>
    <x v="489"/>
    <s v="Post-IPO"/>
    <x v="5"/>
    <s v="NA"/>
    <s v="2023-02"/>
  </r>
  <r>
    <x v="1103"/>
    <x v="20"/>
    <x v="4"/>
    <x v="28"/>
    <x v="350"/>
    <x v="34"/>
    <s v="Series B"/>
    <x v="6"/>
    <n v="0.3"/>
    <s v="2023-02"/>
  </r>
  <r>
    <x v="183"/>
    <x v="3"/>
    <x v="2"/>
    <x v="2"/>
    <x v="350"/>
    <x v="35"/>
    <s v="Series E"/>
    <x v="2"/>
    <n v="0.05"/>
    <s v="2023-02"/>
  </r>
  <r>
    <x v="1104"/>
    <x v="51"/>
    <x v="4"/>
    <x v="114"/>
    <x v="350"/>
    <x v="121"/>
    <s v="Seed"/>
    <x v="20"/>
    <n v="0.28000000000000003"/>
    <s v="2023-02"/>
  </r>
  <r>
    <x v="1105"/>
    <x v="50"/>
    <x v="0"/>
    <x v="3"/>
    <x v="350"/>
    <x v="185"/>
    <s v="Series A"/>
    <x v="2"/>
    <n v="1"/>
    <s v="2023-02"/>
  </r>
  <r>
    <x v="1106"/>
    <x v="1"/>
    <x v="16"/>
    <x v="1"/>
    <x v="351"/>
    <x v="490"/>
    <s v="Post-IPO"/>
    <x v="1"/>
    <s v="NA"/>
    <s v="2023-02"/>
  </r>
  <r>
    <x v="1107"/>
    <x v="7"/>
    <x v="16"/>
    <x v="219"/>
    <x v="352"/>
    <x v="86"/>
    <s v="Post-IPO"/>
    <x v="2"/>
    <n v="0.05"/>
    <s v="2023-02"/>
  </r>
  <r>
    <x v="1108"/>
    <x v="100"/>
    <x v="6"/>
    <x v="11"/>
    <x v="352"/>
    <x v="491"/>
    <s v="Post-IPO"/>
    <x v="17"/>
    <s v="NA"/>
    <s v="2023-02"/>
  </r>
  <r>
    <x v="717"/>
    <x v="6"/>
    <x v="6"/>
    <x v="220"/>
    <x v="352"/>
    <x v="377"/>
    <s v="Acquired"/>
    <x v="2"/>
    <s v="NA"/>
    <s v="2023-02"/>
  </r>
  <r>
    <x v="114"/>
    <x v="6"/>
    <x v="1"/>
    <x v="1"/>
    <x v="352"/>
    <x v="89"/>
    <s v="Series C"/>
    <x v="2"/>
    <n v="0.33"/>
    <s v="2023-02"/>
  </r>
  <r>
    <x v="1109"/>
    <x v="8"/>
    <x v="4"/>
    <x v="3"/>
    <x v="352"/>
    <x v="98"/>
    <s v="Post-IPO"/>
    <x v="2"/>
    <s v="NA"/>
    <s v="2023-02"/>
  </r>
  <r>
    <x v="1110"/>
    <x v="6"/>
    <x v="2"/>
    <x v="3"/>
    <x v="352"/>
    <x v="12"/>
    <s v="Unknown"/>
    <x v="2"/>
    <s v="NA"/>
    <s v="2023-02"/>
  </r>
  <r>
    <x v="186"/>
    <x v="6"/>
    <x v="9"/>
    <x v="221"/>
    <x v="353"/>
    <x v="138"/>
    <s v="Post-IPO"/>
    <x v="2"/>
    <n v="0.1"/>
    <s v="2023-02"/>
  </r>
  <r>
    <x v="418"/>
    <x v="6"/>
    <x v="4"/>
    <x v="9"/>
    <x v="353"/>
    <x v="267"/>
    <s v="Acquired"/>
    <x v="2"/>
    <n v="0.2"/>
    <s v="2023-02"/>
  </r>
  <r>
    <x v="1111"/>
    <x v="6"/>
    <x v="21"/>
    <x v="23"/>
    <x v="353"/>
    <x v="210"/>
    <s v="Post-IPO"/>
    <x v="2"/>
    <n v="7.0000000000000007E-2"/>
    <s v="2023-02"/>
  </r>
  <r>
    <x v="1112"/>
    <x v="4"/>
    <x v="4"/>
    <x v="97"/>
    <x v="353"/>
    <x v="154"/>
    <s v="Post-IPO"/>
    <x v="2"/>
    <n v="0.03"/>
    <s v="2023-02"/>
  </r>
  <r>
    <x v="447"/>
    <x v="23"/>
    <x v="24"/>
    <x v="3"/>
    <x v="353"/>
    <x v="99"/>
    <s v="Series E"/>
    <x v="2"/>
    <s v="NA"/>
    <s v="2023-02"/>
  </r>
  <r>
    <x v="1113"/>
    <x v="1"/>
    <x v="3"/>
    <x v="222"/>
    <x v="354"/>
    <x v="492"/>
    <s v="Post-IPO"/>
    <x v="1"/>
    <n v="0.06"/>
    <s v="2023-02"/>
  </r>
  <r>
    <x v="1114"/>
    <x v="9"/>
    <x v="9"/>
    <x v="223"/>
    <x v="354"/>
    <x v="99"/>
    <s v="Series G"/>
    <x v="2"/>
    <n v="0.08"/>
    <s v="2023-02"/>
  </r>
  <r>
    <x v="472"/>
    <x v="106"/>
    <x v="1"/>
    <x v="224"/>
    <x v="354"/>
    <x v="493"/>
    <s v="Series D"/>
    <x v="31"/>
    <n v="0.09"/>
    <s v="2023-02"/>
  </r>
  <r>
    <x v="329"/>
    <x v="32"/>
    <x v="26"/>
    <x v="225"/>
    <x v="354"/>
    <x v="219"/>
    <s v="Series C"/>
    <x v="11"/>
    <s v="NA"/>
    <s v="2023-02"/>
  </r>
  <r>
    <x v="1115"/>
    <x v="3"/>
    <x v="8"/>
    <x v="28"/>
    <x v="354"/>
    <x v="494"/>
    <s v="Post-IPO"/>
    <x v="2"/>
    <n v="0.11"/>
    <s v="2023-02"/>
  </r>
  <r>
    <x v="44"/>
    <x v="3"/>
    <x v="18"/>
    <x v="1"/>
    <x v="354"/>
    <x v="38"/>
    <s v="Post-IPO"/>
    <x v="2"/>
    <n v="0.04"/>
    <s v="2023-02"/>
  </r>
  <r>
    <x v="1116"/>
    <x v="3"/>
    <x v="1"/>
    <x v="26"/>
    <x v="354"/>
    <x v="349"/>
    <s v="Series F"/>
    <x v="2"/>
    <s v="NA"/>
    <s v="2023-02"/>
  </r>
  <r>
    <x v="534"/>
    <x v="6"/>
    <x v="22"/>
    <x v="3"/>
    <x v="354"/>
    <x v="56"/>
    <s v="Series B"/>
    <x v="2"/>
    <s v="NA"/>
    <s v="2023-02"/>
  </r>
  <r>
    <x v="955"/>
    <x v="51"/>
    <x v="0"/>
    <x v="3"/>
    <x v="354"/>
    <x v="6"/>
    <s v="Series A"/>
    <x v="20"/>
    <n v="0.2"/>
    <s v="2023-02"/>
  </r>
  <r>
    <x v="1117"/>
    <x v="6"/>
    <x v="3"/>
    <x v="3"/>
    <x v="354"/>
    <x v="99"/>
    <s v="Post-IPO"/>
    <x v="2"/>
    <n v="0.14000000000000001"/>
    <s v="2023-02"/>
  </r>
  <r>
    <x v="1118"/>
    <x v="6"/>
    <x v="18"/>
    <x v="3"/>
    <x v="354"/>
    <x v="26"/>
    <s v="Series C"/>
    <x v="2"/>
    <s v="NA"/>
    <s v="2023-02"/>
  </r>
  <r>
    <x v="1119"/>
    <x v="9"/>
    <x v="26"/>
    <x v="3"/>
    <x v="354"/>
    <x v="495"/>
    <s v="Series B"/>
    <x v="2"/>
    <s v="NA"/>
    <s v="2023-02"/>
  </r>
  <r>
    <x v="1120"/>
    <x v="7"/>
    <x v="4"/>
    <x v="3"/>
    <x v="354"/>
    <x v="351"/>
    <s v="Series C"/>
    <x v="2"/>
    <n v="0.15"/>
    <s v="2023-02"/>
  </r>
  <r>
    <x v="1121"/>
    <x v="17"/>
    <x v="5"/>
    <x v="3"/>
    <x v="354"/>
    <x v="238"/>
    <s v="Post-IPO"/>
    <x v="2"/>
    <n v="0.14000000000000001"/>
    <s v="2023-02"/>
  </r>
  <r>
    <x v="1122"/>
    <x v="84"/>
    <x v="4"/>
    <x v="30"/>
    <x v="355"/>
    <x v="12"/>
    <s v="Post-IPO"/>
    <x v="2"/>
    <n v="0.14000000000000001"/>
    <s v="2023-02"/>
  </r>
  <r>
    <x v="1123"/>
    <x v="161"/>
    <x v="21"/>
    <x v="226"/>
    <x v="355"/>
    <x v="12"/>
    <s v="Acquired"/>
    <x v="2"/>
    <n v="0.31"/>
    <s v="2023-02"/>
  </r>
  <r>
    <x v="1124"/>
    <x v="14"/>
    <x v="21"/>
    <x v="14"/>
    <x v="355"/>
    <x v="78"/>
    <s v="Unknown"/>
    <x v="5"/>
    <n v="1"/>
    <s v="2023-02"/>
  </r>
  <r>
    <x v="1125"/>
    <x v="6"/>
    <x v="12"/>
    <x v="3"/>
    <x v="355"/>
    <x v="183"/>
    <s v="Series B"/>
    <x v="2"/>
    <n v="0.08"/>
    <s v="2023-02"/>
  </r>
  <r>
    <x v="1126"/>
    <x v="20"/>
    <x v="5"/>
    <x v="3"/>
    <x v="355"/>
    <x v="252"/>
    <s v="Series B"/>
    <x v="6"/>
    <s v="0.7000000000000001"/>
    <s v="2023-02"/>
  </r>
  <r>
    <x v="1127"/>
    <x v="6"/>
    <x v="11"/>
    <x v="3"/>
    <x v="355"/>
    <x v="451"/>
    <s v="Post-IPO"/>
    <x v="2"/>
    <n v="0.1"/>
    <s v="2023-02"/>
  </r>
  <r>
    <x v="365"/>
    <x v="6"/>
    <x v="4"/>
    <x v="63"/>
    <x v="356"/>
    <x v="239"/>
    <s v="Post-IPO"/>
    <x v="2"/>
    <n v="0.17"/>
    <s v="2023-02"/>
  </r>
  <r>
    <x v="1128"/>
    <x v="3"/>
    <x v="4"/>
    <x v="227"/>
    <x v="356"/>
    <x v="369"/>
    <s v="Series D"/>
    <x v="2"/>
    <n v="0.25"/>
    <s v="2023-02"/>
  </r>
  <r>
    <x v="1129"/>
    <x v="3"/>
    <x v="3"/>
    <x v="1"/>
    <x v="356"/>
    <x v="12"/>
    <s v="Unknown"/>
    <x v="2"/>
    <n v="1"/>
    <s v="2023-02"/>
  </r>
  <r>
    <x v="1130"/>
    <x v="106"/>
    <x v="21"/>
    <x v="105"/>
    <x v="356"/>
    <x v="496"/>
    <s v="Series C"/>
    <x v="31"/>
    <s v="NA"/>
    <s v="2023-02"/>
  </r>
  <r>
    <x v="222"/>
    <x v="17"/>
    <x v="6"/>
    <x v="97"/>
    <x v="356"/>
    <x v="43"/>
    <s v="Acquired"/>
    <x v="2"/>
    <n v="7.0000000000000007E-2"/>
    <s v="2023-02"/>
  </r>
  <r>
    <x v="1131"/>
    <x v="6"/>
    <x v="5"/>
    <x v="51"/>
    <x v="356"/>
    <x v="497"/>
    <s v="Series F"/>
    <x v="2"/>
    <s v="NA"/>
    <s v="2023-02"/>
  </r>
  <r>
    <x v="1132"/>
    <x v="6"/>
    <x v="2"/>
    <x v="57"/>
    <x v="356"/>
    <x v="300"/>
    <s v="Series B"/>
    <x v="2"/>
    <s v="NA"/>
    <s v="2023-02"/>
  </r>
  <r>
    <x v="1133"/>
    <x v="162"/>
    <x v="22"/>
    <x v="3"/>
    <x v="356"/>
    <x v="498"/>
    <s v="Unknown"/>
    <x v="42"/>
    <n v="0.3"/>
    <s v="2023-02"/>
  </r>
  <r>
    <x v="511"/>
    <x v="42"/>
    <x v="0"/>
    <x v="3"/>
    <x v="356"/>
    <x v="304"/>
    <s v="Acquired"/>
    <x v="16"/>
    <s v="NA"/>
    <s v="2023-02"/>
  </r>
  <r>
    <x v="53"/>
    <x v="10"/>
    <x v="0"/>
    <x v="3"/>
    <x v="356"/>
    <x v="45"/>
    <s v="Series E"/>
    <x v="3"/>
    <s v="NA"/>
    <s v="2023-02"/>
  </r>
  <r>
    <x v="458"/>
    <x v="6"/>
    <x v="15"/>
    <x v="3"/>
    <x v="356"/>
    <x v="281"/>
    <s v="Acquired"/>
    <x v="2"/>
    <s v="NA"/>
    <s v="2023-02"/>
  </r>
  <r>
    <x v="1134"/>
    <x v="71"/>
    <x v="10"/>
    <x v="146"/>
    <x v="357"/>
    <x v="205"/>
    <s v="Series B"/>
    <x v="26"/>
    <n v="0.11"/>
    <s v="2023-02"/>
  </r>
  <r>
    <x v="1135"/>
    <x v="3"/>
    <x v="3"/>
    <x v="1"/>
    <x v="358"/>
    <x v="90"/>
    <s v="Acquired"/>
    <x v="2"/>
    <n v="0.2"/>
    <s v="2023-02"/>
  </r>
  <r>
    <x v="1136"/>
    <x v="62"/>
    <x v="5"/>
    <x v="92"/>
    <x v="358"/>
    <x v="499"/>
    <s v="Post-IPO"/>
    <x v="7"/>
    <n v="0.72"/>
    <s v="2023-02"/>
  </r>
  <r>
    <x v="1137"/>
    <x v="91"/>
    <x v="6"/>
    <x v="5"/>
    <x v="358"/>
    <x v="247"/>
    <s v="Acquired"/>
    <x v="6"/>
    <s v="NA"/>
    <s v="2023-02"/>
  </r>
  <r>
    <x v="1138"/>
    <x v="120"/>
    <x v="13"/>
    <x v="2"/>
    <x v="358"/>
    <x v="12"/>
    <s v="Private Equity"/>
    <x v="35"/>
    <n v="0.2"/>
    <s v="2023-02"/>
  </r>
  <r>
    <x v="1139"/>
    <x v="106"/>
    <x v="1"/>
    <x v="3"/>
    <x v="358"/>
    <x v="193"/>
    <s v="Series D"/>
    <x v="31"/>
    <s v="NA"/>
    <s v="2023-02"/>
  </r>
  <r>
    <x v="1140"/>
    <x v="6"/>
    <x v="16"/>
    <x v="3"/>
    <x v="358"/>
    <x v="427"/>
    <s v="Post-IPO"/>
    <x v="2"/>
    <n v="0.28000000000000003"/>
    <s v="2023-02"/>
  </r>
  <r>
    <x v="1141"/>
    <x v="6"/>
    <x v="11"/>
    <x v="3"/>
    <x v="358"/>
    <x v="70"/>
    <s v="Series A"/>
    <x v="2"/>
    <s v="NA"/>
    <s v="2023-02"/>
  </r>
  <r>
    <x v="360"/>
    <x v="6"/>
    <x v="6"/>
    <x v="228"/>
    <x v="359"/>
    <x v="47"/>
    <s v="Acquired"/>
    <x v="2"/>
    <n v="0.2"/>
    <s v="2023-02"/>
  </r>
  <r>
    <x v="1142"/>
    <x v="15"/>
    <x v="0"/>
    <x v="229"/>
    <x v="359"/>
    <x v="201"/>
    <s v="Series C"/>
    <x v="2"/>
    <n v="0.33"/>
    <s v="2023-02"/>
  </r>
  <r>
    <x v="1143"/>
    <x v="10"/>
    <x v="0"/>
    <x v="62"/>
    <x v="359"/>
    <x v="14"/>
    <s v="Post-IPO"/>
    <x v="3"/>
    <n v="0.09"/>
    <s v="2023-02"/>
  </r>
  <r>
    <x v="1144"/>
    <x v="74"/>
    <x v="5"/>
    <x v="123"/>
    <x v="359"/>
    <x v="275"/>
    <s v="Series H"/>
    <x v="2"/>
    <s v="0.35000000000000003"/>
    <s v="2023-02"/>
  </r>
  <r>
    <x v="412"/>
    <x v="6"/>
    <x v="1"/>
    <x v="176"/>
    <x v="359"/>
    <x v="500"/>
    <s v="Post-IPO"/>
    <x v="2"/>
    <n v="0.1"/>
    <s v="2023-02"/>
  </r>
  <r>
    <x v="1145"/>
    <x v="6"/>
    <x v="14"/>
    <x v="80"/>
    <x v="359"/>
    <x v="501"/>
    <s v="Post-IPO"/>
    <x v="2"/>
    <n v="7.0000000000000007E-2"/>
    <s v="2023-02"/>
  </r>
  <r>
    <x v="696"/>
    <x v="3"/>
    <x v="21"/>
    <x v="230"/>
    <x v="359"/>
    <x v="12"/>
    <s v="Post-IPO"/>
    <x v="2"/>
    <n v="0.12"/>
    <s v="2023-02"/>
  </r>
  <r>
    <x v="576"/>
    <x v="75"/>
    <x v="25"/>
    <x v="231"/>
    <x v="359"/>
    <x v="331"/>
    <s v="Series C"/>
    <x v="27"/>
    <n v="0.12"/>
    <s v="2023-02"/>
  </r>
  <r>
    <x v="1146"/>
    <x v="1"/>
    <x v="10"/>
    <x v="111"/>
    <x v="359"/>
    <x v="473"/>
    <s v="Post-IPO"/>
    <x v="1"/>
    <n v="0.11"/>
    <s v="2023-02"/>
  </r>
  <r>
    <x v="1147"/>
    <x v="6"/>
    <x v="14"/>
    <x v="3"/>
    <x v="359"/>
    <x v="234"/>
    <s v="Acquired"/>
    <x v="2"/>
    <n v="0.1"/>
    <s v="2023-02"/>
  </r>
  <r>
    <x v="1148"/>
    <x v="93"/>
    <x v="26"/>
    <x v="3"/>
    <x v="359"/>
    <x v="12"/>
    <s v="Unknown"/>
    <x v="2"/>
    <s v="NA"/>
    <s v="2023-02"/>
  </r>
  <r>
    <x v="1149"/>
    <x v="20"/>
    <x v="2"/>
    <x v="3"/>
    <x v="359"/>
    <x v="12"/>
    <s v="Unknown"/>
    <x v="6"/>
    <n v="1"/>
    <s v="2023-02"/>
  </r>
  <r>
    <x v="1150"/>
    <x v="47"/>
    <x v="3"/>
    <x v="90"/>
    <x v="360"/>
    <x v="502"/>
    <s v="Post-IPO"/>
    <x v="2"/>
    <n v="0.08"/>
    <s v="2023-02"/>
  </r>
  <r>
    <x v="149"/>
    <x v="6"/>
    <x v="1"/>
    <x v="30"/>
    <x v="360"/>
    <x v="113"/>
    <s v="Post-IPO"/>
    <x v="2"/>
    <n v="0.19"/>
    <s v="2023-02"/>
  </r>
  <r>
    <x v="1151"/>
    <x v="6"/>
    <x v="12"/>
    <x v="230"/>
    <x v="360"/>
    <x v="15"/>
    <s v="Series E"/>
    <x v="2"/>
    <n v="0.05"/>
    <s v="2023-02"/>
  </r>
  <r>
    <x v="1152"/>
    <x v="6"/>
    <x v="9"/>
    <x v="54"/>
    <x v="360"/>
    <x v="503"/>
    <s v="Series E"/>
    <x v="2"/>
    <n v="7.0000000000000007E-2"/>
    <s v="2023-02"/>
  </r>
  <r>
    <x v="282"/>
    <x v="74"/>
    <x v="5"/>
    <x v="111"/>
    <x v="360"/>
    <x v="195"/>
    <s v="Series E"/>
    <x v="2"/>
    <n v="0.08"/>
    <s v="2023-02"/>
  </r>
  <r>
    <x v="1153"/>
    <x v="6"/>
    <x v="1"/>
    <x v="56"/>
    <x v="360"/>
    <x v="390"/>
    <s v="Series B"/>
    <x v="2"/>
    <n v="0.25"/>
    <s v="2023-02"/>
  </r>
  <r>
    <x v="1154"/>
    <x v="51"/>
    <x v="10"/>
    <x v="3"/>
    <x v="360"/>
    <x v="495"/>
    <s v="Unknown"/>
    <x v="20"/>
    <n v="0.75"/>
    <s v="2023-02"/>
  </r>
  <r>
    <x v="1155"/>
    <x v="62"/>
    <x v="1"/>
    <x v="3"/>
    <x v="360"/>
    <x v="499"/>
    <s v="Series D"/>
    <x v="7"/>
    <n v="0.14000000000000001"/>
    <s v="2023-02"/>
  </r>
  <r>
    <x v="1156"/>
    <x v="3"/>
    <x v="5"/>
    <x v="3"/>
    <x v="360"/>
    <x v="175"/>
    <s v="Series C"/>
    <x v="2"/>
    <n v="1"/>
    <s v="2023-02"/>
  </r>
  <r>
    <x v="1157"/>
    <x v="51"/>
    <x v="28"/>
    <x v="3"/>
    <x v="360"/>
    <x v="128"/>
    <s v="Acquired"/>
    <x v="20"/>
    <n v="0.2"/>
    <s v="2023-02"/>
  </r>
  <r>
    <x v="202"/>
    <x v="6"/>
    <x v="4"/>
    <x v="205"/>
    <x v="361"/>
    <x v="150"/>
    <s v="Post-IPO"/>
    <x v="2"/>
    <n v="0.15"/>
    <s v="2023-02"/>
  </r>
  <r>
    <x v="241"/>
    <x v="6"/>
    <x v="21"/>
    <x v="30"/>
    <x v="361"/>
    <x v="63"/>
    <s v="Post-IPO"/>
    <x v="2"/>
    <n v="0.04"/>
    <s v="2023-02"/>
  </r>
  <r>
    <x v="597"/>
    <x v="23"/>
    <x v="25"/>
    <x v="232"/>
    <x v="361"/>
    <x v="337"/>
    <s v="Post-IPO"/>
    <x v="2"/>
    <n v="0.09"/>
    <s v="2023-02"/>
  </r>
  <r>
    <x v="1158"/>
    <x v="23"/>
    <x v="9"/>
    <x v="1"/>
    <x v="361"/>
    <x v="258"/>
    <s v="Acquired"/>
    <x v="2"/>
    <n v="0.1"/>
    <s v="2023-02"/>
  </r>
  <r>
    <x v="1159"/>
    <x v="119"/>
    <x v="1"/>
    <x v="233"/>
    <x v="361"/>
    <x v="53"/>
    <s v="Post-IPO"/>
    <x v="20"/>
    <n v="1"/>
    <s v="2023-02"/>
  </r>
  <r>
    <x v="1160"/>
    <x v="34"/>
    <x v="11"/>
    <x v="144"/>
    <x v="361"/>
    <x v="13"/>
    <s v="Private Equity"/>
    <x v="12"/>
    <n v="0.09"/>
    <s v="2023-02"/>
  </r>
  <r>
    <x v="430"/>
    <x v="16"/>
    <x v="12"/>
    <x v="3"/>
    <x v="361"/>
    <x v="274"/>
    <s v="Series B"/>
    <x v="2"/>
    <n v="0.19"/>
    <s v="2023-02"/>
  </r>
  <r>
    <x v="105"/>
    <x v="16"/>
    <x v="16"/>
    <x v="234"/>
    <x v="362"/>
    <x v="12"/>
    <s v="Post-IPO"/>
    <x v="2"/>
    <n v="0.05"/>
    <s v="2023-02"/>
  </r>
  <r>
    <x v="1161"/>
    <x v="106"/>
    <x v="24"/>
    <x v="11"/>
    <x v="362"/>
    <x v="504"/>
    <s v="Series F"/>
    <x v="31"/>
    <n v="7.0000000000000007E-2"/>
    <s v="2023-02"/>
  </r>
  <r>
    <x v="1162"/>
    <x v="119"/>
    <x v="21"/>
    <x v="1"/>
    <x v="362"/>
    <x v="323"/>
    <s v="Acquired"/>
    <x v="20"/>
    <s v="NA"/>
    <s v="2023-02"/>
  </r>
  <r>
    <x v="1163"/>
    <x v="9"/>
    <x v="10"/>
    <x v="54"/>
    <x v="362"/>
    <x v="12"/>
    <s v="Subsidiary"/>
    <x v="2"/>
    <s v="NA"/>
    <s v="2023-02"/>
  </r>
  <r>
    <x v="540"/>
    <x v="17"/>
    <x v="3"/>
    <x v="157"/>
    <x v="362"/>
    <x v="158"/>
    <s v="Acquired"/>
    <x v="2"/>
    <s v="NA"/>
    <s v="2023-02"/>
  </r>
  <r>
    <x v="1164"/>
    <x v="91"/>
    <x v="26"/>
    <x v="31"/>
    <x v="362"/>
    <x v="249"/>
    <s v="Unknown"/>
    <x v="6"/>
    <n v="0.25"/>
    <s v="2023-02"/>
  </r>
  <r>
    <x v="1165"/>
    <x v="6"/>
    <x v="9"/>
    <x v="33"/>
    <x v="362"/>
    <x v="505"/>
    <s v="Series F"/>
    <x v="2"/>
    <s v="NA"/>
    <s v="2023-02"/>
  </r>
  <r>
    <x v="1166"/>
    <x v="106"/>
    <x v="1"/>
    <x v="3"/>
    <x v="362"/>
    <x v="453"/>
    <s v="Unknown"/>
    <x v="31"/>
    <s v="NA"/>
    <s v="2023-02"/>
  </r>
  <r>
    <x v="145"/>
    <x v="42"/>
    <x v="21"/>
    <x v="3"/>
    <x v="362"/>
    <x v="12"/>
    <s v="Unknown"/>
    <x v="16"/>
    <n v="0.11"/>
    <s v="2023-02"/>
  </r>
  <r>
    <x v="1167"/>
    <x v="1"/>
    <x v="1"/>
    <x v="3"/>
    <x v="362"/>
    <x v="47"/>
    <s v="Seed"/>
    <x v="1"/>
    <s v="NA"/>
    <s v="2023-02"/>
  </r>
  <r>
    <x v="1168"/>
    <x v="17"/>
    <x v="5"/>
    <x v="43"/>
    <x v="363"/>
    <x v="184"/>
    <s v="Unknown"/>
    <x v="2"/>
    <s v="NA"/>
    <s v="2023-02"/>
  </r>
  <r>
    <x v="1169"/>
    <x v="1"/>
    <x v="1"/>
    <x v="33"/>
    <x v="363"/>
    <x v="92"/>
    <s v="Series B"/>
    <x v="1"/>
    <n v="0.25"/>
    <s v="2023-02"/>
  </r>
  <r>
    <x v="1170"/>
    <x v="6"/>
    <x v="12"/>
    <x v="58"/>
    <x v="364"/>
    <x v="506"/>
    <s v="Series E"/>
    <x v="2"/>
    <n v="0.15"/>
    <s v="2023-02"/>
  </r>
  <r>
    <x v="1171"/>
    <x v="19"/>
    <x v="24"/>
    <x v="58"/>
    <x v="364"/>
    <x v="157"/>
    <s v="Series E"/>
    <x v="6"/>
    <s v="NA"/>
    <s v="2023-02"/>
  </r>
  <r>
    <x v="1172"/>
    <x v="6"/>
    <x v="2"/>
    <x v="203"/>
    <x v="364"/>
    <x v="121"/>
    <s v="Unknown"/>
    <x v="2"/>
    <n v="0.2"/>
    <s v="2023-02"/>
  </r>
  <r>
    <x v="1173"/>
    <x v="88"/>
    <x v="28"/>
    <x v="3"/>
    <x v="364"/>
    <x v="107"/>
    <s v="Unknown"/>
    <x v="2"/>
    <n v="0.08"/>
    <s v="2023-02"/>
  </r>
  <r>
    <x v="150"/>
    <x v="51"/>
    <x v="21"/>
    <x v="3"/>
    <x v="364"/>
    <x v="43"/>
    <s v="Unknown"/>
    <x v="20"/>
    <n v="0.15"/>
    <s v="2023-02"/>
  </r>
  <r>
    <x v="95"/>
    <x v="20"/>
    <x v="11"/>
    <x v="63"/>
    <x v="365"/>
    <x v="76"/>
    <s v="Private Equity"/>
    <x v="6"/>
    <s v="NA"/>
    <s v="2023-02"/>
  </r>
  <r>
    <x v="201"/>
    <x v="6"/>
    <x v="25"/>
    <x v="11"/>
    <x v="365"/>
    <x v="63"/>
    <s v="Post-IPO"/>
    <x v="2"/>
    <n v="0.05"/>
    <s v="2023-02"/>
  </r>
  <r>
    <x v="1174"/>
    <x v="6"/>
    <x v="4"/>
    <x v="38"/>
    <x v="365"/>
    <x v="12"/>
    <s v="Post-IPO"/>
    <x v="2"/>
    <n v="0.02"/>
    <s v="2023-02"/>
  </r>
  <r>
    <x v="1175"/>
    <x v="6"/>
    <x v="5"/>
    <x v="235"/>
    <x v="365"/>
    <x v="380"/>
    <s v="Series C"/>
    <x v="2"/>
    <s v="NA"/>
    <s v="2023-02"/>
  </r>
  <r>
    <x v="605"/>
    <x v="53"/>
    <x v="25"/>
    <x v="93"/>
    <x v="365"/>
    <x v="12"/>
    <s v="Post-IPO"/>
    <x v="3"/>
    <n v="7.0000000000000007E-2"/>
    <s v="2023-02"/>
  </r>
  <r>
    <x v="1176"/>
    <x v="6"/>
    <x v="4"/>
    <x v="125"/>
    <x v="365"/>
    <x v="507"/>
    <s v="Series C"/>
    <x v="2"/>
    <n v="7.0000000000000007E-2"/>
    <s v="2023-02"/>
  </r>
  <r>
    <x v="53"/>
    <x v="3"/>
    <x v="0"/>
    <x v="1"/>
    <x v="365"/>
    <x v="45"/>
    <s v="Series E"/>
    <x v="2"/>
    <s v="NA"/>
    <s v="2023-02"/>
  </r>
  <r>
    <x v="799"/>
    <x v="4"/>
    <x v="9"/>
    <x v="1"/>
    <x v="365"/>
    <x v="405"/>
    <s v="Series F"/>
    <x v="2"/>
    <n v="0.1"/>
    <s v="2023-02"/>
  </r>
  <r>
    <x v="1177"/>
    <x v="4"/>
    <x v="2"/>
    <x v="54"/>
    <x v="365"/>
    <x v="12"/>
    <s v="Unknown"/>
    <x v="2"/>
    <s v="NA"/>
    <s v="2023-02"/>
  </r>
  <r>
    <x v="1178"/>
    <x v="10"/>
    <x v="27"/>
    <x v="5"/>
    <x v="365"/>
    <x v="67"/>
    <s v="Series B"/>
    <x v="2"/>
    <s v="NA"/>
    <s v="2023-02"/>
  </r>
  <r>
    <x v="1179"/>
    <x v="3"/>
    <x v="11"/>
    <x v="171"/>
    <x v="365"/>
    <x v="113"/>
    <s v="Series A"/>
    <x v="2"/>
    <s v="NA"/>
    <s v="2023-02"/>
  </r>
  <r>
    <x v="238"/>
    <x v="17"/>
    <x v="4"/>
    <x v="3"/>
    <x v="365"/>
    <x v="174"/>
    <s v="Post-IPO"/>
    <x v="2"/>
    <s v="NA"/>
    <s v="2023-02"/>
  </r>
  <r>
    <x v="180"/>
    <x v="6"/>
    <x v="10"/>
    <x v="3"/>
    <x v="365"/>
    <x v="135"/>
    <s v="Post-IPO"/>
    <x v="2"/>
    <n v="0.1"/>
    <s v="2023-02"/>
  </r>
  <r>
    <x v="1180"/>
    <x v="128"/>
    <x v="6"/>
    <x v="3"/>
    <x v="365"/>
    <x v="508"/>
    <s v="Post-IPO"/>
    <x v="38"/>
    <n v="0.2"/>
    <s v="2023-02"/>
  </r>
  <r>
    <x v="1181"/>
    <x v="157"/>
    <x v="1"/>
    <x v="3"/>
    <x v="365"/>
    <x v="73"/>
    <s v="Series C"/>
    <x v="35"/>
    <s v="NA"/>
    <s v="2023-02"/>
  </r>
  <r>
    <x v="506"/>
    <x v="6"/>
    <x v="18"/>
    <x v="3"/>
    <x v="365"/>
    <x v="299"/>
    <s v="Series D"/>
    <x v="2"/>
    <s v="NA"/>
    <s v="2023-02"/>
  </r>
  <r>
    <x v="428"/>
    <x v="6"/>
    <x v="27"/>
    <x v="236"/>
    <x v="366"/>
    <x v="165"/>
    <s v="Post-IPO"/>
    <x v="2"/>
    <n v="0.04"/>
    <s v="2023-02"/>
  </r>
  <r>
    <x v="1182"/>
    <x v="6"/>
    <x v="6"/>
    <x v="0"/>
    <x v="366"/>
    <x v="113"/>
    <s v="Post-IPO"/>
    <x v="2"/>
    <s v="NA"/>
    <s v="2023-02"/>
  </r>
  <r>
    <x v="1183"/>
    <x v="17"/>
    <x v="6"/>
    <x v="24"/>
    <x v="366"/>
    <x v="497"/>
    <s v="Post-IPO"/>
    <x v="2"/>
    <n v="0.04"/>
    <s v="2023-02"/>
  </r>
  <r>
    <x v="1184"/>
    <x v="72"/>
    <x v="25"/>
    <x v="237"/>
    <x v="366"/>
    <x v="415"/>
    <s v="Post-IPO"/>
    <x v="2"/>
    <s v="NA"/>
    <s v="2023-02"/>
  </r>
  <r>
    <x v="1185"/>
    <x v="6"/>
    <x v="4"/>
    <x v="58"/>
    <x v="366"/>
    <x v="509"/>
    <s v="Series E"/>
    <x v="2"/>
    <n v="0.1"/>
    <s v="2023-02"/>
  </r>
  <r>
    <x v="1186"/>
    <x v="62"/>
    <x v="26"/>
    <x v="14"/>
    <x v="366"/>
    <x v="12"/>
    <s v="Post-IPO"/>
    <x v="7"/>
    <n v="0.22"/>
    <s v="2023-02"/>
  </r>
  <r>
    <x v="1187"/>
    <x v="16"/>
    <x v="5"/>
    <x v="65"/>
    <x v="366"/>
    <x v="510"/>
    <s v="Series C"/>
    <x v="2"/>
    <n v="0.28000000000000003"/>
    <s v="2023-02"/>
  </r>
  <r>
    <x v="492"/>
    <x v="3"/>
    <x v="2"/>
    <x v="150"/>
    <x v="366"/>
    <x v="138"/>
    <s v="Series F"/>
    <x v="2"/>
    <n v="0.05"/>
    <s v="2023-02"/>
  </r>
  <r>
    <x v="1188"/>
    <x v="39"/>
    <x v="25"/>
    <x v="145"/>
    <x v="366"/>
    <x v="12"/>
    <s v="Post-IPO"/>
    <x v="2"/>
    <n v="0.08"/>
    <s v="2023-02"/>
  </r>
  <r>
    <x v="1189"/>
    <x v="8"/>
    <x v="29"/>
    <x v="56"/>
    <x v="366"/>
    <x v="175"/>
    <s v="Private Equity"/>
    <x v="2"/>
    <n v="0.03"/>
    <s v="2023-02"/>
  </r>
  <r>
    <x v="895"/>
    <x v="3"/>
    <x v="26"/>
    <x v="48"/>
    <x v="366"/>
    <x v="151"/>
    <s v="Series C"/>
    <x v="2"/>
    <n v="0.1"/>
    <s v="2023-02"/>
  </r>
  <r>
    <x v="1190"/>
    <x v="62"/>
    <x v="18"/>
    <x v="3"/>
    <x v="366"/>
    <x v="442"/>
    <s v="Series C"/>
    <x v="7"/>
    <s v="NA"/>
    <s v="2023-02"/>
  </r>
  <r>
    <x v="1191"/>
    <x v="3"/>
    <x v="26"/>
    <x v="3"/>
    <x v="366"/>
    <x v="323"/>
    <s v="Series E"/>
    <x v="2"/>
    <n v="0.08"/>
    <s v="2023-02"/>
  </r>
  <r>
    <x v="1192"/>
    <x v="17"/>
    <x v="5"/>
    <x v="3"/>
    <x v="366"/>
    <x v="223"/>
    <s v="Post-IPO"/>
    <x v="2"/>
    <n v="0.5"/>
    <s v="2023-02"/>
  </r>
  <r>
    <x v="469"/>
    <x v="99"/>
    <x v="27"/>
    <x v="3"/>
    <x v="366"/>
    <x v="258"/>
    <s v="Post-IPO"/>
    <x v="23"/>
    <n v="0.08"/>
    <s v="2023-02"/>
  </r>
  <r>
    <x v="1193"/>
    <x v="3"/>
    <x v="6"/>
    <x v="3"/>
    <x v="366"/>
    <x v="12"/>
    <s v="Post-IPO"/>
    <x v="2"/>
    <n v="0.08"/>
    <s v="2023-02"/>
  </r>
  <r>
    <x v="1194"/>
    <x v="10"/>
    <x v="12"/>
    <x v="3"/>
    <x v="366"/>
    <x v="126"/>
    <s v="Series B"/>
    <x v="2"/>
    <s v="NA"/>
    <s v="2023-02"/>
  </r>
  <r>
    <x v="1195"/>
    <x v="4"/>
    <x v="0"/>
    <x v="3"/>
    <x v="366"/>
    <x v="80"/>
    <s v="Unknown"/>
    <x v="2"/>
    <s v="NA"/>
    <s v="2023-02"/>
  </r>
  <r>
    <x v="33"/>
    <x v="31"/>
    <x v="10"/>
    <x v="3"/>
    <x v="366"/>
    <x v="29"/>
    <s v="Post-IPO"/>
    <x v="2"/>
    <n v="0.06"/>
    <s v="2023-02"/>
  </r>
  <r>
    <x v="213"/>
    <x v="6"/>
    <x v="1"/>
    <x v="67"/>
    <x v="367"/>
    <x v="156"/>
    <s v="Post-IPO"/>
    <x v="2"/>
    <n v="7.0000000000000007E-2"/>
    <s v="2023-01"/>
  </r>
  <r>
    <x v="1196"/>
    <x v="6"/>
    <x v="27"/>
    <x v="238"/>
    <x v="367"/>
    <x v="12"/>
    <s v="Post-IPO"/>
    <x v="2"/>
    <n v="0.08"/>
    <s v="2023-01"/>
  </r>
  <r>
    <x v="1197"/>
    <x v="6"/>
    <x v="12"/>
    <x v="239"/>
    <x v="367"/>
    <x v="81"/>
    <s v="Post-IPO"/>
    <x v="2"/>
    <n v="0.03"/>
    <s v="2023-01"/>
  </r>
  <r>
    <x v="239"/>
    <x v="17"/>
    <x v="3"/>
    <x v="30"/>
    <x v="367"/>
    <x v="175"/>
    <s v="Post-IPO"/>
    <x v="2"/>
    <n v="7.0000000000000007E-2"/>
    <s v="2023-01"/>
  </r>
  <r>
    <x v="1198"/>
    <x v="6"/>
    <x v="1"/>
    <x v="240"/>
    <x v="367"/>
    <x v="511"/>
    <s v="Post-IPO"/>
    <x v="2"/>
    <n v="0.2"/>
    <s v="2023-01"/>
  </r>
  <r>
    <x v="1199"/>
    <x v="163"/>
    <x v="27"/>
    <x v="28"/>
    <x v="367"/>
    <x v="512"/>
    <s v="Post-IPO"/>
    <x v="5"/>
    <n v="0.04"/>
    <s v="2023-01"/>
  </r>
  <r>
    <x v="656"/>
    <x v="6"/>
    <x v="21"/>
    <x v="0"/>
    <x v="367"/>
    <x v="112"/>
    <s v="Post-IPO"/>
    <x v="2"/>
    <n v="0.17"/>
    <s v="2023-01"/>
  </r>
  <r>
    <x v="23"/>
    <x v="14"/>
    <x v="1"/>
    <x v="1"/>
    <x v="367"/>
    <x v="22"/>
    <s v="Series D"/>
    <x v="5"/>
    <s v="NA"/>
    <s v="2023-01"/>
  </r>
  <r>
    <x v="1200"/>
    <x v="3"/>
    <x v="6"/>
    <x v="14"/>
    <x v="367"/>
    <x v="429"/>
    <s v="Unknown"/>
    <x v="2"/>
    <n v="0.14000000000000001"/>
    <s v="2023-01"/>
  </r>
  <r>
    <x v="1201"/>
    <x v="41"/>
    <x v="10"/>
    <x v="51"/>
    <x v="367"/>
    <x v="69"/>
    <s v="Unknown"/>
    <x v="15"/>
    <s v="NA"/>
    <s v="2023-01"/>
  </r>
  <r>
    <x v="803"/>
    <x v="106"/>
    <x v="1"/>
    <x v="5"/>
    <x v="367"/>
    <x v="60"/>
    <s v="Post-IPO"/>
    <x v="31"/>
    <s v="NA"/>
    <s v="2023-01"/>
  </r>
  <r>
    <x v="1202"/>
    <x v="1"/>
    <x v="25"/>
    <x v="70"/>
    <x v="367"/>
    <x v="323"/>
    <s v="Unknown"/>
    <x v="1"/>
    <n v="0.09"/>
    <s v="2023-01"/>
  </r>
  <r>
    <x v="1203"/>
    <x v="16"/>
    <x v="16"/>
    <x v="3"/>
    <x v="367"/>
    <x v="12"/>
    <s v="Post-IPO"/>
    <x v="2"/>
    <n v="0.04"/>
    <s v="2023-01"/>
  </r>
  <r>
    <x v="1204"/>
    <x v="164"/>
    <x v="27"/>
    <x v="3"/>
    <x v="367"/>
    <x v="99"/>
    <s v="Post-IPO"/>
    <x v="7"/>
    <n v="0.08"/>
    <s v="2023-01"/>
  </r>
  <r>
    <x v="1205"/>
    <x v="46"/>
    <x v="5"/>
    <x v="49"/>
    <x v="368"/>
    <x v="12"/>
    <s v="Post-IPO"/>
    <x v="18"/>
    <n v="0.13"/>
    <s v="2023-01"/>
  </r>
  <r>
    <x v="770"/>
    <x v="46"/>
    <x v="3"/>
    <x v="63"/>
    <x v="368"/>
    <x v="12"/>
    <s v="Acquired"/>
    <x v="18"/>
    <n v="0.15"/>
    <s v="2023-01"/>
  </r>
  <r>
    <x v="485"/>
    <x v="10"/>
    <x v="10"/>
    <x v="19"/>
    <x v="368"/>
    <x v="289"/>
    <s v="Post-IPO"/>
    <x v="3"/>
    <n v="0.5"/>
    <s v="2023-01"/>
  </r>
  <r>
    <x v="1206"/>
    <x v="58"/>
    <x v="21"/>
    <x v="30"/>
    <x v="368"/>
    <x v="52"/>
    <s v="Post-IPO"/>
    <x v="2"/>
    <s v="NA"/>
    <s v="2023-01"/>
  </r>
  <r>
    <x v="81"/>
    <x v="6"/>
    <x v="16"/>
    <x v="241"/>
    <x v="368"/>
    <x v="69"/>
    <s v="Post-IPO"/>
    <x v="2"/>
    <s v="NA"/>
    <s v="2023-01"/>
  </r>
  <r>
    <x v="73"/>
    <x v="33"/>
    <x v="0"/>
    <x v="38"/>
    <x v="368"/>
    <x v="63"/>
    <s v="Acquired"/>
    <x v="8"/>
    <n v="0.06"/>
    <s v="2023-01"/>
  </r>
  <r>
    <x v="328"/>
    <x v="14"/>
    <x v="0"/>
    <x v="242"/>
    <x v="368"/>
    <x v="218"/>
    <s v="Post-IPO"/>
    <x v="5"/>
    <n v="0.04"/>
    <s v="2023-01"/>
  </r>
  <r>
    <x v="1207"/>
    <x v="6"/>
    <x v="0"/>
    <x v="24"/>
    <x v="368"/>
    <x v="40"/>
    <s v="Series H"/>
    <x v="2"/>
    <n v="0.2"/>
    <s v="2023-01"/>
  </r>
  <r>
    <x v="1208"/>
    <x v="165"/>
    <x v="21"/>
    <x v="74"/>
    <x v="368"/>
    <x v="432"/>
    <s v="Series C"/>
    <x v="5"/>
    <n v="0.13"/>
    <s v="2023-01"/>
  </r>
  <r>
    <x v="1209"/>
    <x v="15"/>
    <x v="1"/>
    <x v="3"/>
    <x v="368"/>
    <x v="12"/>
    <s v="Post-IPO"/>
    <x v="2"/>
    <n v="0.25"/>
    <s v="2023-01"/>
  </r>
  <r>
    <x v="1210"/>
    <x v="166"/>
    <x v="21"/>
    <x v="3"/>
    <x v="368"/>
    <x v="358"/>
    <s v="Series E"/>
    <x v="31"/>
    <s v="NA"/>
    <s v="2023-01"/>
  </r>
  <r>
    <x v="538"/>
    <x v="111"/>
    <x v="12"/>
    <x v="3"/>
    <x v="368"/>
    <x v="262"/>
    <s v="Series C"/>
    <x v="2"/>
    <s v="NA"/>
    <s v="2023-01"/>
  </r>
  <r>
    <x v="1211"/>
    <x v="137"/>
    <x v="2"/>
    <x v="3"/>
    <x v="368"/>
    <x v="87"/>
    <s v="Series B"/>
    <x v="2"/>
    <n v="0.33"/>
    <s v="2023-01"/>
  </r>
  <r>
    <x v="1212"/>
    <x v="167"/>
    <x v="5"/>
    <x v="3"/>
    <x v="368"/>
    <x v="425"/>
    <s v="Post-IPO"/>
    <x v="2"/>
    <n v="0.12"/>
    <s v="2023-01"/>
  </r>
  <r>
    <x v="285"/>
    <x v="6"/>
    <x v="1"/>
    <x v="3"/>
    <x v="368"/>
    <x v="197"/>
    <s v="Post-IPO"/>
    <x v="2"/>
    <s v="NA"/>
    <s v="2023-01"/>
  </r>
  <r>
    <x v="1213"/>
    <x v="99"/>
    <x v="25"/>
    <x v="3"/>
    <x v="369"/>
    <x v="347"/>
    <s v="Series B"/>
    <x v="23"/>
    <s v="NA"/>
    <s v="2023-01"/>
  </r>
  <r>
    <x v="1214"/>
    <x v="106"/>
    <x v="1"/>
    <x v="14"/>
    <x v="370"/>
    <x v="12"/>
    <s v="Unknown"/>
    <x v="31"/>
    <n v="0.5"/>
    <s v="2023-01"/>
  </r>
  <r>
    <x v="1215"/>
    <x v="6"/>
    <x v="2"/>
    <x v="70"/>
    <x v="370"/>
    <x v="464"/>
    <s v="Series A"/>
    <x v="2"/>
    <s v="NA"/>
    <s v="2023-01"/>
  </r>
  <r>
    <x v="1216"/>
    <x v="38"/>
    <x v="21"/>
    <x v="243"/>
    <x v="371"/>
    <x v="12"/>
    <s v="Series A"/>
    <x v="7"/>
    <n v="7.0000000000000007E-2"/>
    <s v="2023-01"/>
  </r>
  <r>
    <x v="513"/>
    <x v="20"/>
    <x v="21"/>
    <x v="1"/>
    <x v="371"/>
    <x v="17"/>
    <s v="Series E"/>
    <x v="6"/>
    <n v="0.06"/>
    <s v="2023-01"/>
  </r>
  <r>
    <x v="1217"/>
    <x v="9"/>
    <x v="21"/>
    <x v="1"/>
    <x v="371"/>
    <x v="12"/>
    <s v="Seed"/>
    <x v="2"/>
    <s v="NA"/>
    <s v="2023-01"/>
  </r>
  <r>
    <x v="1218"/>
    <x v="6"/>
    <x v="4"/>
    <x v="1"/>
    <x v="371"/>
    <x v="12"/>
    <s v="Post-IPO"/>
    <x v="2"/>
    <s v="NA"/>
    <s v="2023-01"/>
  </r>
  <r>
    <x v="1219"/>
    <x v="14"/>
    <x v="10"/>
    <x v="6"/>
    <x v="371"/>
    <x v="12"/>
    <s v="Unknown"/>
    <x v="5"/>
    <s v="NA"/>
    <s v="2023-01"/>
  </r>
  <r>
    <x v="1220"/>
    <x v="42"/>
    <x v="2"/>
    <x v="27"/>
    <x v="371"/>
    <x v="175"/>
    <s v="Series C"/>
    <x v="16"/>
    <n v="0.1"/>
    <s v="2023-01"/>
  </r>
  <r>
    <x v="1221"/>
    <x v="38"/>
    <x v="2"/>
    <x v="72"/>
    <x v="371"/>
    <x v="431"/>
    <s v="Series A"/>
    <x v="7"/>
    <n v="0.25"/>
    <s v="2023-01"/>
  </r>
  <r>
    <x v="1222"/>
    <x v="62"/>
    <x v="3"/>
    <x v="70"/>
    <x v="371"/>
    <x v="178"/>
    <s v="Series B"/>
    <x v="7"/>
    <n v="0.17"/>
    <s v="2023-01"/>
  </r>
  <r>
    <x v="1223"/>
    <x v="6"/>
    <x v="5"/>
    <x v="3"/>
    <x v="371"/>
    <x v="143"/>
    <s v="Series A"/>
    <x v="2"/>
    <s v="NA"/>
    <s v="2023-01"/>
  </r>
  <r>
    <x v="1224"/>
    <x v="168"/>
    <x v="1"/>
    <x v="3"/>
    <x v="371"/>
    <x v="513"/>
    <s v="Unknown"/>
    <x v="43"/>
    <s v="NA"/>
    <s v="2023-01"/>
  </r>
  <r>
    <x v="1225"/>
    <x v="3"/>
    <x v="21"/>
    <x v="3"/>
    <x v="371"/>
    <x v="381"/>
    <s v="Series A"/>
    <x v="2"/>
    <s v="NA"/>
    <s v="2023-01"/>
  </r>
  <r>
    <x v="1226"/>
    <x v="14"/>
    <x v="4"/>
    <x v="3"/>
    <x v="371"/>
    <x v="12"/>
    <s v="Unknown"/>
    <x v="5"/>
    <n v="0.08"/>
    <s v="2023-01"/>
  </r>
  <r>
    <x v="240"/>
    <x v="69"/>
    <x v="4"/>
    <x v="106"/>
    <x v="372"/>
    <x v="22"/>
    <s v="Post-IPO"/>
    <x v="5"/>
    <n v="0.03"/>
    <s v="2023-01"/>
  </r>
  <r>
    <x v="1227"/>
    <x v="6"/>
    <x v="27"/>
    <x v="223"/>
    <x v="372"/>
    <x v="514"/>
    <s v="Post-IPO"/>
    <x v="2"/>
    <n v="0.08"/>
    <s v="2023-01"/>
  </r>
  <r>
    <x v="1228"/>
    <x v="10"/>
    <x v="7"/>
    <x v="37"/>
    <x v="372"/>
    <x v="5"/>
    <s v="Unknown"/>
    <x v="3"/>
    <n v="1"/>
    <s v="2023-01"/>
  </r>
  <r>
    <x v="1229"/>
    <x v="169"/>
    <x v="1"/>
    <x v="3"/>
    <x v="372"/>
    <x v="515"/>
    <s v="Series D"/>
    <x v="2"/>
    <n v="0.2"/>
    <s v="2023-01"/>
  </r>
  <r>
    <x v="1230"/>
    <x v="10"/>
    <x v="1"/>
    <x v="3"/>
    <x v="372"/>
    <x v="12"/>
    <s v="Post-IPO"/>
    <x v="3"/>
    <n v="1"/>
    <s v="2023-01"/>
  </r>
  <r>
    <x v="1231"/>
    <x v="148"/>
    <x v="4"/>
    <x v="3"/>
    <x v="372"/>
    <x v="347"/>
    <s v="Series B"/>
    <x v="2"/>
    <n v="0.1"/>
    <s v="2023-01"/>
  </r>
  <r>
    <x v="1232"/>
    <x v="6"/>
    <x v="6"/>
    <x v="3"/>
    <x v="372"/>
    <x v="516"/>
    <s v="Series D"/>
    <x v="2"/>
    <s v="NA"/>
    <s v="2023-01"/>
  </r>
  <r>
    <x v="120"/>
    <x v="3"/>
    <x v="16"/>
    <x v="244"/>
    <x v="373"/>
    <x v="12"/>
    <s v="Post-IPO"/>
    <x v="2"/>
    <n v="0.02"/>
    <s v="2023-01"/>
  </r>
  <r>
    <x v="1233"/>
    <x v="6"/>
    <x v="16"/>
    <x v="205"/>
    <x v="373"/>
    <x v="12"/>
    <s v="Post-IPO"/>
    <x v="2"/>
    <n v="7.0000000000000007E-2"/>
    <s v="2023-01"/>
  </r>
  <r>
    <x v="602"/>
    <x v="6"/>
    <x v="21"/>
    <x v="146"/>
    <x v="373"/>
    <x v="86"/>
    <s v="Acquired"/>
    <x v="2"/>
    <s v="NA"/>
    <s v="2023-01"/>
  </r>
  <r>
    <x v="1234"/>
    <x v="10"/>
    <x v="2"/>
    <x v="95"/>
    <x v="373"/>
    <x v="142"/>
    <s v="Acquired"/>
    <x v="3"/>
    <s v="0.35000000000000003"/>
    <s v="2023-01"/>
  </r>
  <r>
    <x v="1235"/>
    <x v="129"/>
    <x v="22"/>
    <x v="38"/>
    <x v="373"/>
    <x v="12"/>
    <s v="Unknown"/>
    <x v="2"/>
    <n v="0.25"/>
    <s v="2023-01"/>
  </r>
  <r>
    <x v="1236"/>
    <x v="6"/>
    <x v="5"/>
    <x v="80"/>
    <x v="373"/>
    <x v="515"/>
    <s v="Post-IPO"/>
    <x v="2"/>
    <n v="7.0000000000000007E-2"/>
    <s v="2023-01"/>
  </r>
  <r>
    <x v="1237"/>
    <x v="4"/>
    <x v="29"/>
    <x v="80"/>
    <x v="373"/>
    <x v="375"/>
    <s v="Series D"/>
    <x v="2"/>
    <n v="0.15"/>
    <s v="2023-01"/>
  </r>
  <r>
    <x v="375"/>
    <x v="14"/>
    <x v="10"/>
    <x v="54"/>
    <x v="373"/>
    <x v="245"/>
    <s v="Series D"/>
    <x v="5"/>
    <n v="7.0000000000000007E-2"/>
    <s v="2023-01"/>
  </r>
  <r>
    <x v="779"/>
    <x v="9"/>
    <x v="5"/>
    <x v="3"/>
    <x v="373"/>
    <x v="302"/>
    <s v="Series A"/>
    <x v="2"/>
    <s v="NA"/>
    <s v="2023-01"/>
  </r>
  <r>
    <x v="629"/>
    <x v="1"/>
    <x v="1"/>
    <x v="3"/>
    <x v="373"/>
    <x v="12"/>
    <s v="Unknown"/>
    <x v="1"/>
    <s v="NA"/>
    <s v="2023-01"/>
  </r>
  <r>
    <x v="219"/>
    <x v="3"/>
    <x v="19"/>
    <x v="3"/>
    <x v="373"/>
    <x v="160"/>
    <s v="Series F"/>
    <x v="2"/>
    <s v="NA"/>
    <s v="2023-01"/>
  </r>
  <r>
    <x v="1238"/>
    <x v="106"/>
    <x v="1"/>
    <x v="3"/>
    <x v="373"/>
    <x v="12"/>
    <s v="Post-IPO"/>
    <x v="31"/>
    <n v="7.0000000000000007E-2"/>
    <s v="2023-01"/>
  </r>
  <r>
    <x v="1239"/>
    <x v="46"/>
    <x v="4"/>
    <x v="3"/>
    <x v="373"/>
    <x v="12"/>
    <s v="Unknown"/>
    <x v="18"/>
    <n v="0.3"/>
    <s v="2023-01"/>
  </r>
  <r>
    <x v="34"/>
    <x v="8"/>
    <x v="7"/>
    <x v="205"/>
    <x v="374"/>
    <x v="30"/>
    <s v="Post-IPO"/>
    <x v="2"/>
    <n v="0.17"/>
    <s v="2023-01"/>
  </r>
  <r>
    <x v="1240"/>
    <x v="6"/>
    <x v="5"/>
    <x v="77"/>
    <x v="374"/>
    <x v="517"/>
    <s v="Series E"/>
    <x v="2"/>
    <n v="0.15"/>
    <s v="2023-01"/>
  </r>
  <r>
    <x v="333"/>
    <x v="6"/>
    <x v="1"/>
    <x v="31"/>
    <x v="374"/>
    <x v="22"/>
    <s v="Series E"/>
    <x v="2"/>
    <n v="0.1"/>
    <s v="2023-01"/>
  </r>
  <r>
    <x v="1241"/>
    <x v="62"/>
    <x v="9"/>
    <x v="5"/>
    <x v="374"/>
    <x v="518"/>
    <s v="Series B"/>
    <x v="7"/>
    <n v="0.2"/>
    <s v="2023-01"/>
  </r>
  <r>
    <x v="1242"/>
    <x v="170"/>
    <x v="14"/>
    <x v="72"/>
    <x v="374"/>
    <x v="149"/>
    <s v="Series A"/>
    <x v="5"/>
    <n v="0.28000000000000003"/>
    <s v="2023-01"/>
  </r>
  <r>
    <x v="1243"/>
    <x v="74"/>
    <x v="5"/>
    <x v="134"/>
    <x v="374"/>
    <x v="190"/>
    <s v="Series A"/>
    <x v="2"/>
    <s v="NA"/>
    <s v="2023-01"/>
  </r>
  <r>
    <x v="1244"/>
    <x v="62"/>
    <x v="3"/>
    <x v="55"/>
    <x v="374"/>
    <x v="12"/>
    <s v="Unknown"/>
    <x v="7"/>
    <n v="0.2"/>
    <s v="2023-01"/>
  </r>
  <r>
    <x v="824"/>
    <x v="14"/>
    <x v="12"/>
    <x v="3"/>
    <x v="374"/>
    <x v="169"/>
    <s v="Series C"/>
    <x v="5"/>
    <n v="0.1"/>
    <s v="2023-01"/>
  </r>
  <r>
    <x v="1245"/>
    <x v="17"/>
    <x v="1"/>
    <x v="3"/>
    <x v="374"/>
    <x v="380"/>
    <s v="Series C"/>
    <x v="2"/>
    <n v="0.14000000000000001"/>
    <s v="2023-01"/>
  </r>
  <r>
    <x v="1246"/>
    <x v="16"/>
    <x v="28"/>
    <x v="3"/>
    <x v="374"/>
    <x v="152"/>
    <s v="Series B"/>
    <x v="2"/>
    <s v="NA"/>
    <s v="2023-01"/>
  </r>
  <r>
    <x v="1247"/>
    <x v="6"/>
    <x v="14"/>
    <x v="3"/>
    <x v="374"/>
    <x v="417"/>
    <s v="Post-IPO"/>
    <x v="2"/>
    <n v="7.0000000000000007E-2"/>
    <s v="2023-01"/>
  </r>
  <r>
    <x v="1248"/>
    <x v="10"/>
    <x v="12"/>
    <x v="3"/>
    <x v="374"/>
    <x v="412"/>
    <s v="Series B"/>
    <x v="3"/>
    <n v="0.09"/>
    <s v="2023-01"/>
  </r>
  <r>
    <x v="361"/>
    <x v="55"/>
    <x v="26"/>
    <x v="190"/>
    <x v="375"/>
    <x v="236"/>
    <s v="Post-IPO"/>
    <x v="22"/>
    <n v="0.06"/>
    <s v="2023-01"/>
  </r>
  <r>
    <x v="290"/>
    <x v="6"/>
    <x v="24"/>
    <x v="0"/>
    <x v="375"/>
    <x v="200"/>
    <s v="Subsidiary"/>
    <x v="2"/>
    <n v="0.03"/>
    <s v="2023-01"/>
  </r>
  <r>
    <x v="270"/>
    <x v="20"/>
    <x v="3"/>
    <x v="31"/>
    <x v="375"/>
    <x v="189"/>
    <s v="Unknown"/>
    <x v="6"/>
    <s v="NA"/>
    <s v="2023-01"/>
  </r>
  <r>
    <x v="1249"/>
    <x v="3"/>
    <x v="3"/>
    <x v="5"/>
    <x v="375"/>
    <x v="519"/>
    <s v="Post-IPO"/>
    <x v="2"/>
    <n v="0.1"/>
    <s v="2023-01"/>
  </r>
  <r>
    <x v="1250"/>
    <x v="51"/>
    <x v="21"/>
    <x v="2"/>
    <x v="375"/>
    <x v="412"/>
    <s v="Series A"/>
    <x v="20"/>
    <s v="NA"/>
    <s v="2023-01"/>
  </r>
  <r>
    <x v="1251"/>
    <x v="6"/>
    <x v="25"/>
    <x v="2"/>
    <x v="375"/>
    <x v="227"/>
    <s v="Series B"/>
    <x v="2"/>
    <n v="0.17"/>
    <s v="2023-01"/>
  </r>
  <r>
    <x v="1252"/>
    <x v="1"/>
    <x v="3"/>
    <x v="33"/>
    <x v="375"/>
    <x v="395"/>
    <s v="Series C"/>
    <x v="2"/>
    <n v="0.15"/>
    <s v="2023-01"/>
  </r>
  <r>
    <x v="1253"/>
    <x v="48"/>
    <x v="11"/>
    <x v="3"/>
    <x v="375"/>
    <x v="90"/>
    <s v="Series A"/>
    <x v="6"/>
    <s v="0.7000000000000001"/>
    <s v="2023-01"/>
  </r>
  <r>
    <x v="1254"/>
    <x v="3"/>
    <x v="2"/>
    <x v="3"/>
    <x v="375"/>
    <x v="413"/>
    <s v="Unknown"/>
    <x v="2"/>
    <n v="0.1"/>
    <s v="2023-01"/>
  </r>
  <r>
    <x v="4"/>
    <x v="3"/>
    <x v="3"/>
    <x v="3"/>
    <x v="375"/>
    <x v="4"/>
    <s v="Post-IPO"/>
    <x v="2"/>
    <n v="0.08"/>
    <s v="2023-01"/>
  </r>
  <r>
    <x v="1255"/>
    <x v="46"/>
    <x v="1"/>
    <x v="3"/>
    <x v="376"/>
    <x v="520"/>
    <s v="Series C"/>
    <x v="18"/>
    <s v="NA"/>
    <s v="2023-01"/>
  </r>
  <r>
    <x v="7"/>
    <x v="6"/>
    <x v="6"/>
    <x v="245"/>
    <x v="377"/>
    <x v="7"/>
    <s v="Post-IPO"/>
    <x v="2"/>
    <n v="0.06"/>
    <s v="2023-01"/>
  </r>
  <r>
    <x v="252"/>
    <x v="17"/>
    <x v="21"/>
    <x v="246"/>
    <x v="377"/>
    <x v="14"/>
    <s v="Post-IPO"/>
    <x v="2"/>
    <n v="0.1"/>
    <s v="2023-01"/>
  </r>
  <r>
    <x v="228"/>
    <x v="20"/>
    <x v="0"/>
    <x v="247"/>
    <x v="377"/>
    <x v="166"/>
    <s v="Unknown"/>
    <x v="6"/>
    <n v="0.06"/>
    <s v="2023-01"/>
  </r>
  <r>
    <x v="1256"/>
    <x v="20"/>
    <x v="5"/>
    <x v="28"/>
    <x v="377"/>
    <x v="331"/>
    <s v="Acquired"/>
    <x v="6"/>
    <n v="0.08"/>
    <s v="2023-01"/>
  </r>
  <r>
    <x v="372"/>
    <x v="72"/>
    <x v="26"/>
    <x v="80"/>
    <x v="377"/>
    <x v="243"/>
    <s v="Series F"/>
    <x v="2"/>
    <n v="7.0000000000000007E-2"/>
    <s v="2023-01"/>
  </r>
  <r>
    <x v="1257"/>
    <x v="6"/>
    <x v="8"/>
    <x v="248"/>
    <x v="377"/>
    <x v="12"/>
    <s v="Acquired"/>
    <x v="2"/>
    <s v="NA"/>
    <s v="2023-01"/>
  </r>
  <r>
    <x v="749"/>
    <x v="4"/>
    <x v="12"/>
    <x v="170"/>
    <x v="377"/>
    <x v="387"/>
    <s v="Unknown"/>
    <x v="2"/>
    <s v="NA"/>
    <s v="2023-01"/>
  </r>
  <r>
    <x v="1258"/>
    <x v="106"/>
    <x v="21"/>
    <x v="111"/>
    <x v="377"/>
    <x v="190"/>
    <s v="Unknown"/>
    <x v="31"/>
    <n v="0.1"/>
    <s v="2023-01"/>
  </r>
  <r>
    <x v="1259"/>
    <x v="4"/>
    <x v="5"/>
    <x v="2"/>
    <x v="377"/>
    <x v="5"/>
    <s v="Unknown"/>
    <x v="2"/>
    <s v="NA"/>
    <s v="2023-01"/>
  </r>
  <r>
    <x v="1260"/>
    <x v="6"/>
    <x v="27"/>
    <x v="57"/>
    <x v="377"/>
    <x v="33"/>
    <s v="Series C"/>
    <x v="2"/>
    <n v="0.27"/>
    <s v="2023-01"/>
  </r>
  <r>
    <x v="1261"/>
    <x v="4"/>
    <x v="1"/>
    <x v="3"/>
    <x v="377"/>
    <x v="521"/>
    <s v="Acquired"/>
    <x v="2"/>
    <s v="NA"/>
    <s v="2023-01"/>
  </r>
  <r>
    <x v="1262"/>
    <x v="17"/>
    <x v="5"/>
    <x v="3"/>
    <x v="377"/>
    <x v="379"/>
    <s v="Series C"/>
    <x v="2"/>
    <s v="0.7000000000000001"/>
    <s v="2023-01"/>
  </r>
  <r>
    <x v="295"/>
    <x v="72"/>
    <x v="27"/>
    <x v="3"/>
    <x v="377"/>
    <x v="202"/>
    <s v="Series B"/>
    <x v="2"/>
    <s v="NA"/>
    <s v="2023-01"/>
  </r>
  <r>
    <x v="74"/>
    <x v="9"/>
    <x v="6"/>
    <x v="3"/>
    <x v="377"/>
    <x v="12"/>
    <s v="Acquired"/>
    <x v="2"/>
    <s v="NA"/>
    <s v="2023-01"/>
  </r>
  <r>
    <x v="1263"/>
    <x v="137"/>
    <x v="21"/>
    <x v="3"/>
    <x v="377"/>
    <x v="267"/>
    <s v="Acquired"/>
    <x v="2"/>
    <s v="NA"/>
    <s v="2023-01"/>
  </r>
  <r>
    <x v="1264"/>
    <x v="72"/>
    <x v="1"/>
    <x v="102"/>
    <x v="378"/>
    <x v="12"/>
    <s v="Post-IPO"/>
    <x v="2"/>
    <s v="NA"/>
    <s v="2023-01"/>
  </r>
  <r>
    <x v="1265"/>
    <x v="6"/>
    <x v="10"/>
    <x v="11"/>
    <x v="378"/>
    <x v="63"/>
    <s v="Post-IPO"/>
    <x v="2"/>
    <s v="NA"/>
    <s v="2023-01"/>
  </r>
  <r>
    <x v="1266"/>
    <x v="3"/>
    <x v="22"/>
    <x v="11"/>
    <x v="378"/>
    <x v="522"/>
    <s v="Post-IPO"/>
    <x v="2"/>
    <s v="NA"/>
    <s v="2023-01"/>
  </r>
  <r>
    <x v="433"/>
    <x v="6"/>
    <x v="4"/>
    <x v="119"/>
    <x v="378"/>
    <x v="182"/>
    <s v="Series B"/>
    <x v="2"/>
    <s v="0.35000000000000003"/>
    <s v="2023-01"/>
  </r>
  <r>
    <x v="1267"/>
    <x v="3"/>
    <x v="21"/>
    <x v="1"/>
    <x v="378"/>
    <x v="523"/>
    <s v="Unknown"/>
    <x v="2"/>
    <n v="0.05"/>
    <s v="2023-01"/>
  </r>
  <r>
    <x v="870"/>
    <x v="16"/>
    <x v="29"/>
    <x v="40"/>
    <x v="378"/>
    <x v="410"/>
    <s v="Post-IPO"/>
    <x v="2"/>
    <n v="0.09"/>
    <s v="2023-01"/>
  </r>
  <r>
    <x v="248"/>
    <x v="9"/>
    <x v="6"/>
    <x v="164"/>
    <x v="378"/>
    <x v="178"/>
    <s v="Acquired"/>
    <x v="2"/>
    <s v="NA"/>
    <s v="2023-01"/>
  </r>
  <r>
    <x v="1268"/>
    <x v="17"/>
    <x v="19"/>
    <x v="2"/>
    <x v="378"/>
    <x v="524"/>
    <s v="Series D"/>
    <x v="2"/>
    <s v="NA"/>
    <s v="2023-01"/>
  </r>
  <r>
    <x v="1269"/>
    <x v="88"/>
    <x v="10"/>
    <x v="3"/>
    <x v="378"/>
    <x v="78"/>
    <s v="Unknown"/>
    <x v="2"/>
    <n v="1"/>
    <s v="2023-01"/>
  </r>
  <r>
    <x v="1270"/>
    <x v="6"/>
    <x v="26"/>
    <x v="3"/>
    <x v="378"/>
    <x v="50"/>
    <s v="Series E"/>
    <x v="2"/>
    <s v="NA"/>
    <s v="2023-01"/>
  </r>
  <r>
    <x v="1271"/>
    <x v="18"/>
    <x v="16"/>
    <x v="3"/>
    <x v="378"/>
    <x v="178"/>
    <s v="Unknown"/>
    <x v="2"/>
    <s v="NA"/>
    <s v="2023-01"/>
  </r>
  <r>
    <x v="1272"/>
    <x v="4"/>
    <x v="29"/>
    <x v="3"/>
    <x v="378"/>
    <x v="525"/>
    <s v="Unknown"/>
    <x v="2"/>
    <s v="NA"/>
    <s v="2023-01"/>
  </r>
  <r>
    <x v="1273"/>
    <x v="9"/>
    <x v="3"/>
    <x v="3"/>
    <x v="378"/>
    <x v="59"/>
    <s v="Post-IPO"/>
    <x v="2"/>
    <n v="0.06"/>
    <s v="2023-01"/>
  </r>
  <r>
    <x v="1274"/>
    <x v="125"/>
    <x v="22"/>
    <x v="3"/>
    <x v="378"/>
    <x v="142"/>
    <s v="Series A"/>
    <x v="2"/>
    <s v="0.7000000000000001"/>
    <s v="2023-01"/>
  </r>
  <r>
    <x v="1275"/>
    <x v="6"/>
    <x v="5"/>
    <x v="3"/>
    <x v="378"/>
    <x v="496"/>
    <s v="Post-IPO"/>
    <x v="2"/>
    <n v="0.3"/>
    <s v="2023-01"/>
  </r>
  <r>
    <x v="1276"/>
    <x v="6"/>
    <x v="27"/>
    <x v="3"/>
    <x v="378"/>
    <x v="13"/>
    <s v="Series B"/>
    <x v="2"/>
    <n v="0.28000000000000003"/>
    <s v="2023-01"/>
  </r>
  <r>
    <x v="1277"/>
    <x v="51"/>
    <x v="1"/>
    <x v="3"/>
    <x v="378"/>
    <x v="149"/>
    <s v="Series A"/>
    <x v="20"/>
    <s v="NA"/>
    <s v="2023-01"/>
  </r>
  <r>
    <x v="1278"/>
    <x v="33"/>
    <x v="17"/>
    <x v="3"/>
    <x v="378"/>
    <x v="251"/>
    <s v="Post-IPO"/>
    <x v="8"/>
    <n v="0.15"/>
    <s v="2023-01"/>
  </r>
  <r>
    <x v="5"/>
    <x v="4"/>
    <x v="4"/>
    <x v="211"/>
    <x v="379"/>
    <x v="5"/>
    <s v="Post-IPO"/>
    <x v="2"/>
    <n v="0.05"/>
    <s v="2023-01"/>
  </r>
  <r>
    <x v="1279"/>
    <x v="171"/>
    <x v="25"/>
    <x v="165"/>
    <x v="379"/>
    <x v="317"/>
    <s v="Acquired"/>
    <x v="2"/>
    <n v="0.1"/>
    <s v="2023-01"/>
  </r>
  <r>
    <x v="1280"/>
    <x v="3"/>
    <x v="5"/>
    <x v="11"/>
    <x v="379"/>
    <x v="229"/>
    <s v="Post-IPO"/>
    <x v="2"/>
    <n v="0.06"/>
    <s v="2023-01"/>
  </r>
  <r>
    <x v="242"/>
    <x v="3"/>
    <x v="10"/>
    <x v="73"/>
    <x v="379"/>
    <x v="22"/>
    <s v="Post-IPO"/>
    <x v="2"/>
    <n v="0.2"/>
    <s v="2023-01"/>
  </r>
  <r>
    <x v="1281"/>
    <x v="6"/>
    <x v="18"/>
    <x v="176"/>
    <x v="379"/>
    <x v="403"/>
    <s v="Post-IPO"/>
    <x v="2"/>
    <n v="7.0000000000000007E-2"/>
    <s v="2023-01"/>
  </r>
  <r>
    <x v="1"/>
    <x v="1"/>
    <x v="1"/>
    <x v="24"/>
    <x v="379"/>
    <x v="526"/>
    <s v="Post-IPO"/>
    <x v="1"/>
    <n v="0.2"/>
    <s v="2023-01"/>
  </r>
  <r>
    <x v="1282"/>
    <x v="101"/>
    <x v="4"/>
    <x v="191"/>
    <x v="379"/>
    <x v="395"/>
    <s v="Unknown"/>
    <x v="7"/>
    <n v="0.14000000000000001"/>
    <s v="2023-01"/>
  </r>
  <r>
    <x v="680"/>
    <x v="11"/>
    <x v="7"/>
    <x v="110"/>
    <x v="379"/>
    <x v="71"/>
    <s v="Post-IPO"/>
    <x v="2"/>
    <n v="0.12"/>
    <s v="2023-01"/>
  </r>
  <r>
    <x v="1283"/>
    <x v="54"/>
    <x v="25"/>
    <x v="1"/>
    <x v="379"/>
    <x v="527"/>
    <s v="Series F"/>
    <x v="2"/>
    <n v="0.12"/>
    <s v="2023-01"/>
  </r>
  <r>
    <x v="1284"/>
    <x v="172"/>
    <x v="1"/>
    <x v="1"/>
    <x v="379"/>
    <x v="99"/>
    <s v="Post-IPO"/>
    <x v="2"/>
    <n v="7.0000000000000007E-2"/>
    <s v="2023-01"/>
  </r>
  <r>
    <x v="1285"/>
    <x v="17"/>
    <x v="4"/>
    <x v="1"/>
    <x v="379"/>
    <x v="528"/>
    <s v="Post-IPO"/>
    <x v="2"/>
    <n v="0.24"/>
    <s v="2023-01"/>
  </r>
  <r>
    <x v="1286"/>
    <x v="37"/>
    <x v="3"/>
    <x v="43"/>
    <x v="379"/>
    <x v="346"/>
    <s v="Series C"/>
    <x v="7"/>
    <n v="7.0000000000000007E-2"/>
    <s v="2023-01"/>
  </r>
  <r>
    <x v="1287"/>
    <x v="14"/>
    <x v="5"/>
    <x v="111"/>
    <x v="379"/>
    <x v="381"/>
    <s v="Unknown"/>
    <x v="5"/>
    <n v="0.31"/>
    <s v="2023-01"/>
  </r>
  <r>
    <x v="1288"/>
    <x v="6"/>
    <x v="1"/>
    <x v="33"/>
    <x v="379"/>
    <x v="494"/>
    <s v="Series F"/>
    <x v="2"/>
    <n v="0.03"/>
    <s v="2023-01"/>
  </r>
  <r>
    <x v="1289"/>
    <x v="143"/>
    <x v="0"/>
    <x v="3"/>
    <x v="379"/>
    <x v="172"/>
    <s v="Unknown"/>
    <x v="2"/>
    <n v="0.1"/>
    <s v="2023-01"/>
  </r>
  <r>
    <x v="1290"/>
    <x v="99"/>
    <x v="8"/>
    <x v="3"/>
    <x v="379"/>
    <x v="529"/>
    <s v="Series D"/>
    <x v="23"/>
    <n v="0.2"/>
    <s v="2023-01"/>
  </r>
  <r>
    <x v="1291"/>
    <x v="173"/>
    <x v="6"/>
    <x v="3"/>
    <x v="379"/>
    <x v="530"/>
    <s v="Post-IPO"/>
    <x v="2"/>
    <n v="0.15"/>
    <s v="2023-01"/>
  </r>
  <r>
    <x v="1292"/>
    <x v="35"/>
    <x v="5"/>
    <x v="3"/>
    <x v="379"/>
    <x v="461"/>
    <s v="Series C"/>
    <x v="13"/>
    <n v="0.3"/>
    <s v="2023-01"/>
  </r>
  <r>
    <x v="1293"/>
    <x v="10"/>
    <x v="10"/>
    <x v="3"/>
    <x v="379"/>
    <x v="1"/>
    <s v="Post-IPO"/>
    <x v="3"/>
    <s v="NA"/>
    <s v="2023-01"/>
  </r>
  <r>
    <x v="1294"/>
    <x v="6"/>
    <x v="4"/>
    <x v="3"/>
    <x v="379"/>
    <x v="508"/>
    <s v="Series D"/>
    <x v="2"/>
    <s v="NA"/>
    <s v="2023-01"/>
  </r>
  <r>
    <x v="1295"/>
    <x v="23"/>
    <x v="14"/>
    <x v="3"/>
    <x v="379"/>
    <x v="287"/>
    <s v="Series B"/>
    <x v="2"/>
    <s v="NA"/>
    <s v="2023-01"/>
  </r>
  <r>
    <x v="1296"/>
    <x v="3"/>
    <x v="5"/>
    <x v="3"/>
    <x v="379"/>
    <x v="12"/>
    <s v="Post-IPO"/>
    <x v="2"/>
    <n v="0.2"/>
    <s v="2023-01"/>
  </r>
  <r>
    <x v="1297"/>
    <x v="73"/>
    <x v="8"/>
    <x v="3"/>
    <x v="379"/>
    <x v="531"/>
    <s v="Acquired"/>
    <x v="2"/>
    <s v="NA"/>
    <s v="2023-01"/>
  </r>
  <r>
    <x v="871"/>
    <x v="119"/>
    <x v="21"/>
    <x v="3"/>
    <x v="379"/>
    <x v="67"/>
    <s v="Post-IPO"/>
    <x v="20"/>
    <n v="0.14000000000000001"/>
    <s v="2023-01"/>
  </r>
  <r>
    <x v="87"/>
    <x v="38"/>
    <x v="21"/>
    <x v="11"/>
    <x v="380"/>
    <x v="63"/>
    <s v="Post-IPO"/>
    <x v="7"/>
    <n v="0.1"/>
    <s v="2023-01"/>
  </r>
  <r>
    <x v="297"/>
    <x v="6"/>
    <x v="4"/>
    <x v="249"/>
    <x v="380"/>
    <x v="22"/>
    <s v="Post-IPO"/>
    <x v="2"/>
    <n v="0.03"/>
    <s v="2023-01"/>
  </r>
  <r>
    <x v="1298"/>
    <x v="10"/>
    <x v="10"/>
    <x v="250"/>
    <x v="380"/>
    <x v="165"/>
    <s v="Unknown"/>
    <x v="3"/>
    <n v="1"/>
    <s v="2023-01"/>
  </r>
  <r>
    <x v="1299"/>
    <x v="62"/>
    <x v="10"/>
    <x v="0"/>
    <x v="380"/>
    <x v="403"/>
    <s v="Unknown"/>
    <x v="7"/>
    <s v="NA"/>
    <s v="2023-01"/>
  </r>
  <r>
    <x v="1300"/>
    <x v="20"/>
    <x v="18"/>
    <x v="251"/>
    <x v="380"/>
    <x v="363"/>
    <s v="Series D"/>
    <x v="6"/>
    <n v="0.15"/>
    <s v="2023-01"/>
  </r>
  <r>
    <x v="1301"/>
    <x v="106"/>
    <x v="4"/>
    <x v="124"/>
    <x v="380"/>
    <x v="64"/>
    <s v="Series D"/>
    <x v="31"/>
    <n v="0.1"/>
    <s v="2023-01"/>
  </r>
  <r>
    <x v="1302"/>
    <x v="174"/>
    <x v="28"/>
    <x v="1"/>
    <x v="380"/>
    <x v="145"/>
    <s v="Series B"/>
    <x v="44"/>
    <s v="NA"/>
    <s v="2023-01"/>
  </r>
  <r>
    <x v="1303"/>
    <x v="17"/>
    <x v="4"/>
    <x v="31"/>
    <x v="380"/>
    <x v="450"/>
    <s v="Acquired"/>
    <x v="2"/>
    <n v="0.65"/>
    <s v="2023-01"/>
  </r>
  <r>
    <x v="1304"/>
    <x v="9"/>
    <x v="22"/>
    <x v="150"/>
    <x v="380"/>
    <x v="136"/>
    <s v="Series B"/>
    <x v="2"/>
    <s v="NA"/>
    <s v="2023-01"/>
  </r>
  <r>
    <x v="1305"/>
    <x v="6"/>
    <x v="4"/>
    <x v="2"/>
    <x v="380"/>
    <x v="94"/>
    <s v="Post-IPO"/>
    <x v="2"/>
    <s v="NA"/>
    <s v="2023-01"/>
  </r>
  <r>
    <x v="1306"/>
    <x v="175"/>
    <x v="4"/>
    <x v="3"/>
    <x v="380"/>
    <x v="240"/>
    <s v="Post-IPO"/>
    <x v="2"/>
    <s v="NA"/>
    <s v="2023-01"/>
  </r>
  <r>
    <x v="1307"/>
    <x v="55"/>
    <x v="6"/>
    <x v="3"/>
    <x v="380"/>
    <x v="448"/>
    <s v="Unknown"/>
    <x v="2"/>
    <s v="NA"/>
    <s v="2023-01"/>
  </r>
  <r>
    <x v="1308"/>
    <x v="48"/>
    <x v="10"/>
    <x v="3"/>
    <x v="380"/>
    <x v="287"/>
    <s v="Series C"/>
    <x v="6"/>
    <s v="0.7000000000000001"/>
    <s v="2023-01"/>
  </r>
  <r>
    <x v="307"/>
    <x v="6"/>
    <x v="18"/>
    <x v="3"/>
    <x v="380"/>
    <x v="69"/>
    <s v="Post-IPO"/>
    <x v="2"/>
    <n v="0.16"/>
    <s v="2023-01"/>
  </r>
  <r>
    <x v="1309"/>
    <x v="6"/>
    <x v="4"/>
    <x v="3"/>
    <x v="380"/>
    <x v="12"/>
    <s v="Post-IPO"/>
    <x v="2"/>
    <s v="NA"/>
    <s v="2023-01"/>
  </r>
  <r>
    <x v="1310"/>
    <x v="176"/>
    <x v="0"/>
    <x v="3"/>
    <x v="380"/>
    <x v="453"/>
    <s v="Unknown"/>
    <x v="45"/>
    <s v="NA"/>
    <s v="2023-01"/>
  </r>
  <r>
    <x v="1311"/>
    <x v="16"/>
    <x v="1"/>
    <x v="3"/>
    <x v="380"/>
    <x v="78"/>
    <s v="Acquired"/>
    <x v="2"/>
    <s v="NA"/>
    <s v="2023-01"/>
  </r>
  <r>
    <x v="1312"/>
    <x v="106"/>
    <x v="1"/>
    <x v="3"/>
    <x v="380"/>
    <x v="12"/>
    <s v="Post-IPO"/>
    <x v="31"/>
    <s v="NA"/>
    <s v="2023-01"/>
  </r>
  <r>
    <x v="1313"/>
    <x v="106"/>
    <x v="1"/>
    <x v="30"/>
    <x v="381"/>
    <x v="12"/>
    <s v="Post-IPO"/>
    <x v="31"/>
    <n v="7.0000000000000007E-2"/>
    <s v="2023-01"/>
  </r>
  <r>
    <x v="321"/>
    <x v="20"/>
    <x v="6"/>
    <x v="30"/>
    <x v="381"/>
    <x v="14"/>
    <s v="Series H"/>
    <x v="6"/>
    <n v="0.2"/>
    <s v="2023-01"/>
  </r>
  <r>
    <x v="1314"/>
    <x v="177"/>
    <x v="0"/>
    <x v="133"/>
    <x v="381"/>
    <x v="354"/>
    <s v="Series B"/>
    <x v="6"/>
    <s v="NA"/>
    <s v="2023-01"/>
  </r>
  <r>
    <x v="1315"/>
    <x v="62"/>
    <x v="1"/>
    <x v="31"/>
    <x v="381"/>
    <x v="532"/>
    <s v="Series C"/>
    <x v="7"/>
    <n v="0.3"/>
    <s v="2023-01"/>
  </r>
  <r>
    <x v="505"/>
    <x v="20"/>
    <x v="0"/>
    <x v="3"/>
    <x v="381"/>
    <x v="362"/>
    <s v="Unknown"/>
    <x v="6"/>
    <n v="0.03"/>
    <s v="2023-01"/>
  </r>
  <r>
    <x v="1316"/>
    <x v="51"/>
    <x v="1"/>
    <x v="3"/>
    <x v="381"/>
    <x v="148"/>
    <s v="Series C"/>
    <x v="20"/>
    <n v="0.1"/>
    <s v="2023-01"/>
  </r>
  <r>
    <x v="1317"/>
    <x v="91"/>
    <x v="0"/>
    <x v="3"/>
    <x v="381"/>
    <x v="533"/>
    <s v="Unknown"/>
    <x v="6"/>
    <n v="0.02"/>
    <s v="2023-01"/>
  </r>
  <r>
    <x v="1318"/>
    <x v="20"/>
    <x v="0"/>
    <x v="17"/>
    <x v="382"/>
    <x v="479"/>
    <s v="Series C"/>
    <x v="6"/>
    <s v="NA"/>
    <s v="2023-01"/>
  </r>
  <r>
    <x v="1319"/>
    <x v="3"/>
    <x v="3"/>
    <x v="1"/>
    <x v="382"/>
    <x v="77"/>
    <s v="Series C"/>
    <x v="2"/>
    <n v="0.3"/>
    <s v="2023-01"/>
  </r>
  <r>
    <x v="1320"/>
    <x v="91"/>
    <x v="0"/>
    <x v="5"/>
    <x v="382"/>
    <x v="178"/>
    <s v="Series A"/>
    <x v="6"/>
    <n v="0.43"/>
    <s v="2023-01"/>
  </r>
  <r>
    <x v="1321"/>
    <x v="178"/>
    <x v="0"/>
    <x v="3"/>
    <x v="382"/>
    <x v="419"/>
    <s v="Series E"/>
    <x v="6"/>
    <n v="0.05"/>
    <s v="2023-01"/>
  </r>
  <r>
    <x v="1322"/>
    <x v="100"/>
    <x v="16"/>
    <x v="61"/>
    <x v="383"/>
    <x v="12"/>
    <s v="Unknown"/>
    <x v="17"/>
    <s v="NA"/>
    <s v="2023-01"/>
  </r>
  <r>
    <x v="54"/>
    <x v="20"/>
    <x v="10"/>
    <x v="28"/>
    <x v="383"/>
    <x v="46"/>
    <s v="Series J"/>
    <x v="6"/>
    <s v="NA"/>
    <s v="2023-01"/>
  </r>
  <r>
    <x v="536"/>
    <x v="16"/>
    <x v="4"/>
    <x v="24"/>
    <x v="383"/>
    <x v="12"/>
    <s v="Unknown"/>
    <x v="2"/>
    <n v="0.1"/>
    <s v="2023-01"/>
  </r>
  <r>
    <x v="1323"/>
    <x v="6"/>
    <x v="5"/>
    <x v="5"/>
    <x v="383"/>
    <x v="464"/>
    <s v="Series B"/>
    <x v="2"/>
    <s v="NA"/>
    <s v="2023-01"/>
  </r>
  <r>
    <x v="1094"/>
    <x v="138"/>
    <x v="5"/>
    <x v="3"/>
    <x v="383"/>
    <x v="181"/>
    <s v="Series C"/>
    <x v="2"/>
    <n v="1"/>
    <s v="2023-01"/>
  </r>
  <r>
    <x v="1324"/>
    <x v="47"/>
    <x v="10"/>
    <x v="3"/>
    <x v="383"/>
    <x v="112"/>
    <s v="Post-IPO"/>
    <x v="2"/>
    <s v="NA"/>
    <s v="2023-01"/>
  </r>
  <r>
    <x v="1325"/>
    <x v="179"/>
    <x v="3"/>
    <x v="3"/>
    <x v="383"/>
    <x v="78"/>
    <s v="Unknown"/>
    <x v="2"/>
    <s v="NA"/>
    <s v="2023-01"/>
  </r>
  <r>
    <x v="1326"/>
    <x v="72"/>
    <x v="4"/>
    <x v="3"/>
    <x v="383"/>
    <x v="178"/>
    <s v="Acquired"/>
    <x v="2"/>
    <s v="NA"/>
    <s v="2023-01"/>
  </r>
  <r>
    <x v="1327"/>
    <x v="17"/>
    <x v="14"/>
    <x v="3"/>
    <x v="383"/>
    <x v="436"/>
    <s v="Series C"/>
    <x v="2"/>
    <n v="0.09"/>
    <s v="2023-01"/>
  </r>
  <r>
    <x v="468"/>
    <x v="6"/>
    <x v="1"/>
    <x v="109"/>
    <x v="384"/>
    <x v="284"/>
    <s v="Post-IPO"/>
    <x v="2"/>
    <n v="0.14000000000000001"/>
    <s v="2023-01"/>
  </r>
  <r>
    <x v="1328"/>
    <x v="13"/>
    <x v="26"/>
    <x v="17"/>
    <x v="384"/>
    <x v="534"/>
    <s v="Series F"/>
    <x v="2"/>
    <n v="0.4"/>
    <s v="2023-01"/>
  </r>
  <r>
    <x v="1329"/>
    <x v="20"/>
    <x v="18"/>
    <x v="119"/>
    <x v="384"/>
    <x v="151"/>
    <s v="Series B"/>
    <x v="6"/>
    <s v="NA"/>
    <s v="2023-01"/>
  </r>
  <r>
    <x v="1330"/>
    <x v="106"/>
    <x v="1"/>
    <x v="79"/>
    <x v="384"/>
    <x v="92"/>
    <s v="Series B"/>
    <x v="31"/>
    <n v="0.39"/>
    <s v="2023-01"/>
  </r>
  <r>
    <x v="1331"/>
    <x v="10"/>
    <x v="2"/>
    <x v="124"/>
    <x v="384"/>
    <x v="131"/>
    <s v="Series D"/>
    <x v="3"/>
    <n v="0.28000000000000003"/>
    <s v="2023-01"/>
  </r>
  <r>
    <x v="1332"/>
    <x v="6"/>
    <x v="12"/>
    <x v="10"/>
    <x v="384"/>
    <x v="535"/>
    <s v="Series F"/>
    <x v="2"/>
    <n v="0.15"/>
    <s v="2023-01"/>
  </r>
  <r>
    <x v="1333"/>
    <x v="23"/>
    <x v="1"/>
    <x v="252"/>
    <x v="384"/>
    <x v="198"/>
    <s v="Series D"/>
    <x v="2"/>
    <n v="0.21"/>
    <s v="2023-01"/>
  </r>
  <r>
    <x v="1334"/>
    <x v="20"/>
    <x v="1"/>
    <x v="1"/>
    <x v="384"/>
    <x v="149"/>
    <s v="Series B"/>
    <x v="6"/>
    <s v="NA"/>
    <s v="2023-01"/>
  </r>
  <r>
    <x v="1335"/>
    <x v="72"/>
    <x v="27"/>
    <x v="253"/>
    <x v="384"/>
    <x v="536"/>
    <s v="Unknown"/>
    <x v="2"/>
    <s v="NA"/>
    <s v="2023-01"/>
  </r>
  <r>
    <x v="1336"/>
    <x v="17"/>
    <x v="5"/>
    <x v="66"/>
    <x v="384"/>
    <x v="12"/>
    <s v="Post-IPO"/>
    <x v="2"/>
    <n v="0.06"/>
    <s v="2023-01"/>
  </r>
  <r>
    <x v="526"/>
    <x v="17"/>
    <x v="5"/>
    <x v="164"/>
    <x v="384"/>
    <x v="309"/>
    <s v="Post-IPO"/>
    <x v="2"/>
    <n v="0.3"/>
    <s v="2023-01"/>
  </r>
  <r>
    <x v="1337"/>
    <x v="6"/>
    <x v="11"/>
    <x v="57"/>
    <x v="384"/>
    <x v="302"/>
    <s v="Series B"/>
    <x v="2"/>
    <s v="NA"/>
    <s v="2023-01"/>
  </r>
  <r>
    <x v="1338"/>
    <x v="42"/>
    <x v="2"/>
    <x v="3"/>
    <x v="384"/>
    <x v="12"/>
    <s v="Unknown"/>
    <x v="2"/>
    <n v="0.2"/>
    <s v="2023-01"/>
  </r>
  <r>
    <x v="1339"/>
    <x v="6"/>
    <x v="6"/>
    <x v="3"/>
    <x v="384"/>
    <x v="49"/>
    <s v="Post-IPO"/>
    <x v="2"/>
    <n v="0.14000000000000001"/>
    <s v="2023-01"/>
  </r>
  <r>
    <x v="1340"/>
    <x v="39"/>
    <x v="3"/>
    <x v="3"/>
    <x v="384"/>
    <x v="433"/>
    <s v="Series B"/>
    <x v="2"/>
    <n v="0.15"/>
    <s v="2023-01"/>
  </r>
  <r>
    <x v="226"/>
    <x v="6"/>
    <x v="24"/>
    <x v="254"/>
    <x v="385"/>
    <x v="165"/>
    <s v="Series E"/>
    <x v="2"/>
    <n v="0.2"/>
    <s v="2023-01"/>
  </r>
  <r>
    <x v="487"/>
    <x v="28"/>
    <x v="4"/>
    <x v="172"/>
    <x v="385"/>
    <x v="59"/>
    <s v="Post-IPO"/>
    <x v="2"/>
    <n v="0.05"/>
    <s v="2023-01"/>
  </r>
  <r>
    <x v="106"/>
    <x v="6"/>
    <x v="5"/>
    <x v="38"/>
    <x v="385"/>
    <x v="83"/>
    <s v="Unknown"/>
    <x v="2"/>
    <n v="0.15"/>
    <s v="2023-01"/>
  </r>
  <r>
    <x v="1341"/>
    <x v="6"/>
    <x v="1"/>
    <x v="255"/>
    <x v="385"/>
    <x v="137"/>
    <s v="Series F"/>
    <x v="2"/>
    <n v="0.11"/>
    <s v="2023-01"/>
  </r>
  <r>
    <x v="1342"/>
    <x v="6"/>
    <x v="25"/>
    <x v="1"/>
    <x v="385"/>
    <x v="432"/>
    <s v="Private Equity"/>
    <x v="2"/>
    <n v="0.06"/>
    <s v="2023-01"/>
  </r>
  <r>
    <x v="581"/>
    <x v="91"/>
    <x v="2"/>
    <x v="54"/>
    <x v="385"/>
    <x v="422"/>
    <s v="Series D"/>
    <x v="6"/>
    <s v="NA"/>
    <s v="2023-01"/>
  </r>
  <r>
    <x v="806"/>
    <x v="6"/>
    <x v="25"/>
    <x v="218"/>
    <x v="385"/>
    <x v="409"/>
    <s v="Post-IPO"/>
    <x v="2"/>
    <s v="NA"/>
    <s v="2023-01"/>
  </r>
  <r>
    <x v="904"/>
    <x v="17"/>
    <x v="5"/>
    <x v="201"/>
    <x v="385"/>
    <x v="313"/>
    <s v="Series B"/>
    <x v="2"/>
    <s v="NA"/>
    <s v="2023-01"/>
  </r>
  <r>
    <x v="1343"/>
    <x v="6"/>
    <x v="4"/>
    <x v="5"/>
    <x v="385"/>
    <x v="12"/>
    <s v="Acquired"/>
    <x v="2"/>
    <n v="0.2"/>
    <s v="2023-01"/>
  </r>
  <r>
    <x v="1344"/>
    <x v="3"/>
    <x v="6"/>
    <x v="7"/>
    <x v="385"/>
    <x v="139"/>
    <s v="Series C"/>
    <x v="2"/>
    <s v="NA"/>
    <s v="2023-01"/>
  </r>
  <r>
    <x v="407"/>
    <x v="6"/>
    <x v="12"/>
    <x v="3"/>
    <x v="385"/>
    <x v="99"/>
    <s v="Series G"/>
    <x v="2"/>
    <n v="0.1"/>
    <s v="2023-01"/>
  </r>
  <r>
    <x v="1345"/>
    <x v="4"/>
    <x v="12"/>
    <x v="3"/>
    <x v="385"/>
    <x v="91"/>
    <s v="Series C"/>
    <x v="2"/>
    <n v="0.15"/>
    <s v="2023-01"/>
  </r>
  <r>
    <x v="538"/>
    <x v="111"/>
    <x v="12"/>
    <x v="3"/>
    <x v="385"/>
    <x v="262"/>
    <s v="Series C"/>
    <x v="2"/>
    <s v="NA"/>
    <s v="2023-01"/>
  </r>
  <r>
    <x v="1346"/>
    <x v="10"/>
    <x v="1"/>
    <x v="3"/>
    <x v="385"/>
    <x v="537"/>
    <s v="Series D"/>
    <x v="3"/>
    <n v="0.08"/>
    <s v="2023-01"/>
  </r>
  <r>
    <x v="1347"/>
    <x v="6"/>
    <x v="2"/>
    <x v="256"/>
    <x v="386"/>
    <x v="538"/>
    <s v="Post-IPO"/>
    <x v="2"/>
    <n v="0.2"/>
    <s v="2023-01"/>
  </r>
  <r>
    <x v="427"/>
    <x v="6"/>
    <x v="27"/>
    <x v="165"/>
    <x v="386"/>
    <x v="12"/>
    <s v="Post-IPO"/>
    <x v="2"/>
    <n v="7.0000000000000007E-2"/>
    <s v="2023-01"/>
  </r>
  <r>
    <x v="606"/>
    <x v="6"/>
    <x v="1"/>
    <x v="183"/>
    <x v="386"/>
    <x v="340"/>
    <s v="Post-IPO"/>
    <x v="2"/>
    <n v="0.28000000000000003"/>
    <s v="2023-01"/>
  </r>
  <r>
    <x v="1348"/>
    <x v="51"/>
    <x v="1"/>
    <x v="17"/>
    <x v="386"/>
    <x v="539"/>
    <s v="Series C"/>
    <x v="20"/>
    <s v="NA"/>
    <s v="2023-01"/>
  </r>
  <r>
    <x v="1349"/>
    <x v="3"/>
    <x v="2"/>
    <x v="1"/>
    <x v="386"/>
    <x v="540"/>
    <s v="Series D"/>
    <x v="2"/>
    <n v="0.11"/>
    <s v="2023-01"/>
  </r>
  <r>
    <x v="543"/>
    <x v="1"/>
    <x v="25"/>
    <x v="1"/>
    <x v="386"/>
    <x v="317"/>
    <s v="Acquired"/>
    <x v="2"/>
    <n v="0.1"/>
    <s v="2023-01"/>
  </r>
  <r>
    <x v="1350"/>
    <x v="37"/>
    <x v="11"/>
    <x v="257"/>
    <x v="386"/>
    <x v="219"/>
    <s v="Post-IPO"/>
    <x v="7"/>
    <n v="0.19"/>
    <s v="2023-01"/>
  </r>
  <r>
    <x v="1351"/>
    <x v="91"/>
    <x v="11"/>
    <x v="14"/>
    <x v="386"/>
    <x v="442"/>
    <s v="Series E"/>
    <x v="6"/>
    <s v="NA"/>
    <s v="2023-01"/>
  </r>
  <r>
    <x v="1352"/>
    <x v="88"/>
    <x v="6"/>
    <x v="14"/>
    <x v="386"/>
    <x v="518"/>
    <s v="Series B"/>
    <x v="2"/>
    <n v="0.75"/>
    <s v="2023-01"/>
  </r>
  <r>
    <x v="1353"/>
    <x v="62"/>
    <x v="24"/>
    <x v="66"/>
    <x v="386"/>
    <x v="296"/>
    <s v="Series C"/>
    <x v="7"/>
    <n v="0.05"/>
    <s v="2023-01"/>
  </r>
  <r>
    <x v="1354"/>
    <x v="20"/>
    <x v="12"/>
    <x v="5"/>
    <x v="386"/>
    <x v="12"/>
    <s v="Unknown"/>
    <x v="6"/>
    <n v="0.2"/>
    <s v="2023-01"/>
  </r>
  <r>
    <x v="594"/>
    <x v="1"/>
    <x v="26"/>
    <x v="5"/>
    <x v="386"/>
    <x v="335"/>
    <s v="Series B"/>
    <x v="1"/>
    <n v="0.2"/>
    <s v="2023-01"/>
  </r>
  <r>
    <x v="1355"/>
    <x v="16"/>
    <x v="21"/>
    <x v="37"/>
    <x v="386"/>
    <x v="541"/>
    <s v="Unknown"/>
    <x v="2"/>
    <n v="0.04"/>
    <s v="2023-01"/>
  </r>
  <r>
    <x v="1356"/>
    <x v="9"/>
    <x v="21"/>
    <x v="3"/>
    <x v="386"/>
    <x v="233"/>
    <s v="Series C"/>
    <x v="2"/>
    <s v="NA"/>
    <s v="2023-01"/>
  </r>
  <r>
    <x v="393"/>
    <x v="10"/>
    <x v="12"/>
    <x v="3"/>
    <x v="386"/>
    <x v="253"/>
    <s v="Series D"/>
    <x v="2"/>
    <n v="0.12"/>
    <s v="2023-01"/>
  </r>
  <r>
    <x v="1355"/>
    <x v="16"/>
    <x v="21"/>
    <x v="3"/>
    <x v="386"/>
    <x v="541"/>
    <s v="Unknown"/>
    <x v="2"/>
    <s v="NA"/>
    <s v="2023-01"/>
  </r>
  <r>
    <x v="279"/>
    <x v="39"/>
    <x v="8"/>
    <x v="3"/>
    <x v="386"/>
    <x v="132"/>
    <s v="Acquired"/>
    <x v="2"/>
    <n v="0.15"/>
    <s v="2023-01"/>
  </r>
  <r>
    <x v="1357"/>
    <x v="4"/>
    <x v="4"/>
    <x v="3"/>
    <x v="386"/>
    <x v="121"/>
    <s v="Series A"/>
    <x v="2"/>
    <n v="0.21"/>
    <s v="2023-01"/>
  </r>
  <r>
    <x v="1358"/>
    <x v="17"/>
    <x v="19"/>
    <x v="3"/>
    <x v="386"/>
    <x v="542"/>
    <s v="Series F"/>
    <x v="2"/>
    <n v="0.04"/>
    <s v="2023-01"/>
  </r>
  <r>
    <x v="1359"/>
    <x v="12"/>
    <x v="5"/>
    <x v="258"/>
    <x v="387"/>
    <x v="63"/>
    <s v="Post-IPO"/>
    <x v="2"/>
    <s v="0.5700000000000001"/>
    <s v="2023-01"/>
  </r>
  <r>
    <x v="1360"/>
    <x v="15"/>
    <x v="5"/>
    <x v="3"/>
    <x v="387"/>
    <x v="543"/>
    <s v="Post-IPO"/>
    <x v="2"/>
    <s v="NA"/>
    <s v="2023-01"/>
  </r>
  <r>
    <x v="1361"/>
    <x v="17"/>
    <x v="5"/>
    <x v="3"/>
    <x v="387"/>
    <x v="544"/>
    <s v="Post-IPO"/>
    <x v="2"/>
    <n v="0.2"/>
    <s v="2023-01"/>
  </r>
  <r>
    <x v="1362"/>
    <x v="6"/>
    <x v="27"/>
    <x v="3"/>
    <x v="387"/>
    <x v="545"/>
    <s v="Series E"/>
    <x v="2"/>
    <n v="0.2"/>
    <s v="2023-01"/>
  </r>
  <r>
    <x v="1363"/>
    <x v="10"/>
    <x v="26"/>
    <x v="31"/>
    <x v="388"/>
    <x v="380"/>
    <s v="Series I"/>
    <x v="3"/>
    <n v="0.1"/>
    <s v="2023-01"/>
  </r>
  <r>
    <x v="931"/>
    <x v="6"/>
    <x v="4"/>
    <x v="194"/>
    <x v="388"/>
    <x v="243"/>
    <s v="Post-IPO"/>
    <x v="2"/>
    <n v="0.03"/>
    <s v="2023-01"/>
  </r>
  <r>
    <x v="1364"/>
    <x v="47"/>
    <x v="3"/>
    <x v="3"/>
    <x v="389"/>
    <x v="323"/>
    <s v="Acquired"/>
    <x v="2"/>
    <s v="NA"/>
    <s v="2023-01"/>
  </r>
  <r>
    <x v="1365"/>
    <x v="97"/>
    <x v="2"/>
    <x v="73"/>
    <x v="390"/>
    <x v="78"/>
    <s v="Unknown"/>
    <x v="17"/>
    <n v="0.2"/>
    <s v="2023-01"/>
  </r>
  <r>
    <x v="147"/>
    <x v="6"/>
    <x v="5"/>
    <x v="28"/>
    <x v="390"/>
    <x v="111"/>
    <s v="Series D"/>
    <x v="2"/>
    <s v="NA"/>
    <s v="2023-01"/>
  </r>
  <r>
    <x v="1366"/>
    <x v="20"/>
    <x v="10"/>
    <x v="5"/>
    <x v="390"/>
    <x v="26"/>
    <s v="Series D"/>
    <x v="6"/>
    <n v="0.05"/>
    <s v="2023-01"/>
  </r>
  <r>
    <x v="627"/>
    <x v="74"/>
    <x v="25"/>
    <x v="3"/>
    <x v="390"/>
    <x v="329"/>
    <s v="Series C"/>
    <x v="2"/>
    <s v="NA"/>
    <s v="2023-01"/>
  </r>
  <r>
    <x v="1367"/>
    <x v="9"/>
    <x v="12"/>
    <x v="3"/>
    <x v="390"/>
    <x v="43"/>
    <s v="Private Equity"/>
    <x v="2"/>
    <s v="NA"/>
    <s v="2023-01"/>
  </r>
  <r>
    <x v="1368"/>
    <x v="6"/>
    <x v="13"/>
    <x v="3"/>
    <x v="390"/>
    <x v="12"/>
    <s v="Unknown"/>
    <x v="2"/>
    <s v="NA"/>
    <s v="2023-01"/>
  </r>
  <r>
    <x v="1369"/>
    <x v="180"/>
    <x v="21"/>
    <x v="3"/>
    <x v="390"/>
    <x v="252"/>
    <s v="Seed"/>
    <x v="2"/>
    <n v="1"/>
    <s v="2023-01"/>
  </r>
  <r>
    <x v="1370"/>
    <x v="6"/>
    <x v="16"/>
    <x v="3"/>
    <x v="390"/>
    <x v="461"/>
    <s v="Series B"/>
    <x v="2"/>
    <n v="0.75"/>
    <s v="2023-01"/>
  </r>
  <r>
    <x v="1371"/>
    <x v="172"/>
    <x v="2"/>
    <x v="3"/>
    <x v="390"/>
    <x v="185"/>
    <s v="Series A"/>
    <x v="2"/>
    <n v="0.3"/>
    <s v="2023-01"/>
  </r>
  <r>
    <x v="1372"/>
    <x v="12"/>
    <x v="5"/>
    <x v="259"/>
    <x v="391"/>
    <x v="546"/>
    <s v="Post-IPO"/>
    <x v="2"/>
    <s v="NA"/>
    <s v="2023-01"/>
  </r>
  <r>
    <x v="1373"/>
    <x v="6"/>
    <x v="4"/>
    <x v="28"/>
    <x v="391"/>
    <x v="547"/>
    <s v="Post-IPO"/>
    <x v="2"/>
    <n v="0.5"/>
    <s v="2023-01"/>
  </r>
  <r>
    <x v="1374"/>
    <x v="129"/>
    <x v="1"/>
    <x v="252"/>
    <x v="391"/>
    <x v="245"/>
    <s v="Series E"/>
    <x v="2"/>
    <n v="0.19"/>
    <s v="2023-01"/>
  </r>
  <r>
    <x v="1375"/>
    <x v="3"/>
    <x v="2"/>
    <x v="14"/>
    <x v="391"/>
    <x v="12"/>
    <s v="Series A"/>
    <x v="2"/>
    <n v="0.3"/>
    <s v="2023-01"/>
  </r>
  <r>
    <x v="1376"/>
    <x v="42"/>
    <x v="21"/>
    <x v="5"/>
    <x v="391"/>
    <x v="272"/>
    <s v="Series F"/>
    <x v="16"/>
    <n v="0.02"/>
    <s v="2023-01"/>
  </r>
  <r>
    <x v="1077"/>
    <x v="6"/>
    <x v="6"/>
    <x v="5"/>
    <x v="391"/>
    <x v="203"/>
    <s v="Post-IPO"/>
    <x v="2"/>
    <s v="NA"/>
    <s v="2023-01"/>
  </r>
  <r>
    <x v="1377"/>
    <x v="6"/>
    <x v="21"/>
    <x v="2"/>
    <x v="391"/>
    <x v="87"/>
    <s v="Unknown"/>
    <x v="2"/>
    <n v="0.17"/>
    <s v="2023-01"/>
  </r>
  <r>
    <x v="1378"/>
    <x v="1"/>
    <x v="27"/>
    <x v="2"/>
    <x v="391"/>
    <x v="217"/>
    <s v="Series C"/>
    <x v="1"/>
    <n v="0.25"/>
    <s v="2023-01"/>
  </r>
  <r>
    <x v="1379"/>
    <x v="3"/>
    <x v="18"/>
    <x v="2"/>
    <x v="391"/>
    <x v="296"/>
    <s v="Private Equity"/>
    <x v="2"/>
    <n v="0.08"/>
    <s v="2023-01"/>
  </r>
  <r>
    <x v="1380"/>
    <x v="1"/>
    <x v="16"/>
    <x v="2"/>
    <x v="391"/>
    <x v="86"/>
    <s v="Unknown"/>
    <x v="1"/>
    <n v="0.33"/>
    <s v="2023-01"/>
  </r>
  <r>
    <x v="1381"/>
    <x v="48"/>
    <x v="21"/>
    <x v="37"/>
    <x v="391"/>
    <x v="267"/>
    <s v="Series B"/>
    <x v="6"/>
    <n v="0.15"/>
    <s v="2023-01"/>
  </r>
  <r>
    <x v="1382"/>
    <x v="3"/>
    <x v="3"/>
    <x v="3"/>
    <x v="391"/>
    <x v="548"/>
    <s v="Series E"/>
    <x v="2"/>
    <n v="0.15"/>
    <s v="2023-01"/>
  </r>
  <r>
    <x v="1383"/>
    <x v="3"/>
    <x v="22"/>
    <x v="3"/>
    <x v="391"/>
    <x v="112"/>
    <s v="Post-IPO"/>
    <x v="2"/>
    <s v="NA"/>
    <s v="2023-01"/>
  </r>
  <r>
    <x v="912"/>
    <x v="138"/>
    <x v="8"/>
    <x v="3"/>
    <x v="391"/>
    <x v="438"/>
    <s v="Post-IPO"/>
    <x v="20"/>
    <s v="NA"/>
    <s v="2023-01"/>
  </r>
  <r>
    <x v="254"/>
    <x v="6"/>
    <x v="21"/>
    <x v="3"/>
    <x v="391"/>
    <x v="34"/>
    <s v="Post-IPO"/>
    <x v="2"/>
    <n v="0.2"/>
    <s v="2023-01"/>
  </r>
  <r>
    <x v="1384"/>
    <x v="17"/>
    <x v="5"/>
    <x v="3"/>
    <x v="391"/>
    <x v="417"/>
    <s v="Post-IPO"/>
    <x v="2"/>
    <n v="0.4"/>
    <s v="2023-01"/>
  </r>
  <r>
    <x v="90"/>
    <x v="4"/>
    <x v="21"/>
    <x v="88"/>
    <x v="392"/>
    <x v="74"/>
    <s v="Post-IPO"/>
    <x v="2"/>
    <n v="0.02"/>
    <s v="2023-01"/>
  </r>
  <r>
    <x v="225"/>
    <x v="6"/>
    <x v="9"/>
    <x v="88"/>
    <x v="392"/>
    <x v="164"/>
    <s v="Post-IPO"/>
    <x v="2"/>
    <n v="0.1"/>
    <s v="2023-01"/>
  </r>
  <r>
    <x v="948"/>
    <x v="143"/>
    <x v="27"/>
    <x v="257"/>
    <x v="392"/>
    <x v="368"/>
    <s v="Series C"/>
    <x v="2"/>
    <n v="0.2"/>
    <s v="2023-01"/>
  </r>
  <r>
    <x v="1385"/>
    <x v="3"/>
    <x v="26"/>
    <x v="133"/>
    <x v="392"/>
    <x v="549"/>
    <s v="Post-IPO"/>
    <x v="2"/>
    <n v="0.11"/>
    <s v="2023-01"/>
  </r>
  <r>
    <x v="633"/>
    <x v="3"/>
    <x v="13"/>
    <x v="33"/>
    <x v="392"/>
    <x v="116"/>
    <s v="Series E"/>
    <x v="2"/>
    <n v="0.05"/>
    <s v="2023-01"/>
  </r>
  <r>
    <x v="1386"/>
    <x v="17"/>
    <x v="5"/>
    <x v="3"/>
    <x v="392"/>
    <x v="374"/>
    <s v="Post-IPO"/>
    <x v="2"/>
    <n v="0.25"/>
    <s v="2023-01"/>
  </r>
  <r>
    <x v="1387"/>
    <x v="3"/>
    <x v="6"/>
    <x v="3"/>
    <x v="392"/>
    <x v="288"/>
    <s v="Post-IPO"/>
    <x v="2"/>
    <n v="0.11"/>
    <s v="2023-01"/>
  </r>
  <r>
    <x v="1388"/>
    <x v="6"/>
    <x v="2"/>
    <x v="3"/>
    <x v="392"/>
    <x v="550"/>
    <s v="Unknown"/>
    <x v="2"/>
    <n v="1"/>
    <s v="2023-01"/>
  </r>
  <r>
    <x v="557"/>
    <x v="17"/>
    <x v="12"/>
    <x v="77"/>
    <x v="393"/>
    <x v="12"/>
    <s v="Post-IPO"/>
    <x v="2"/>
    <n v="0.04"/>
    <s v="2023-01"/>
  </r>
  <r>
    <x v="1389"/>
    <x v="6"/>
    <x v="18"/>
    <x v="257"/>
    <x v="393"/>
    <x v="551"/>
    <s v="Series E"/>
    <x v="2"/>
    <n v="0.1"/>
    <s v="2023-01"/>
  </r>
  <r>
    <x v="1390"/>
    <x v="19"/>
    <x v="11"/>
    <x v="14"/>
    <x v="393"/>
    <x v="12"/>
    <s v="Acquired"/>
    <x v="6"/>
    <n v="0.3"/>
    <s v="2023-01"/>
  </r>
  <r>
    <x v="377"/>
    <x v="86"/>
    <x v="6"/>
    <x v="3"/>
    <x v="393"/>
    <x v="247"/>
    <s v="Unknown"/>
    <x v="17"/>
    <n v="0.1"/>
    <s v="2023-01"/>
  </r>
  <r>
    <x v="720"/>
    <x v="93"/>
    <x v="18"/>
    <x v="86"/>
    <x v="394"/>
    <x v="12"/>
    <s v="Post-IPO"/>
    <x v="2"/>
    <n v="0.03"/>
    <s v="2023-01"/>
  </r>
  <r>
    <x v="1107"/>
    <x v="7"/>
    <x v="16"/>
    <x v="260"/>
    <x v="395"/>
    <x v="86"/>
    <s v="Post-IPO"/>
    <x v="2"/>
    <n v="0.1"/>
    <s v="2023-01"/>
  </r>
  <r>
    <x v="1391"/>
    <x v="97"/>
    <x v="16"/>
    <x v="3"/>
    <x v="395"/>
    <x v="552"/>
    <s v="Series E"/>
    <x v="17"/>
    <s v="NA"/>
    <s v="2023-01"/>
  </r>
  <r>
    <x v="686"/>
    <x v="12"/>
    <x v="8"/>
    <x v="78"/>
    <x v="396"/>
    <x v="25"/>
    <s v="Series A"/>
    <x v="2"/>
    <s v="NA"/>
    <s v="2022-12"/>
  </r>
  <r>
    <x v="1392"/>
    <x v="10"/>
    <x v="0"/>
    <x v="3"/>
    <x v="396"/>
    <x v="553"/>
    <s v="Unknown"/>
    <x v="3"/>
    <n v="0.14000000000000001"/>
    <s v="2022-12"/>
  </r>
  <r>
    <x v="812"/>
    <x v="115"/>
    <x v="2"/>
    <x v="3"/>
    <x v="396"/>
    <x v="412"/>
    <s v="Seed"/>
    <x v="34"/>
    <s v="NA"/>
    <s v="2022-12"/>
  </r>
  <r>
    <x v="1393"/>
    <x v="86"/>
    <x v="26"/>
    <x v="3"/>
    <x v="397"/>
    <x v="173"/>
    <s v="Post-IPO"/>
    <x v="17"/>
    <n v="0.3"/>
    <s v="2022-12"/>
  </r>
  <r>
    <x v="1394"/>
    <x v="181"/>
    <x v="2"/>
    <x v="3"/>
    <x v="397"/>
    <x v="115"/>
    <s v="Series A"/>
    <x v="46"/>
    <n v="0.4"/>
    <s v="2022-12"/>
  </r>
  <r>
    <x v="1395"/>
    <x v="46"/>
    <x v="1"/>
    <x v="0"/>
    <x v="398"/>
    <x v="12"/>
    <s v="Acquired"/>
    <x v="18"/>
    <n v="0.06"/>
    <s v="2022-12"/>
  </r>
  <r>
    <x v="1396"/>
    <x v="10"/>
    <x v="4"/>
    <x v="3"/>
    <x v="399"/>
    <x v="452"/>
    <s v="Series B"/>
    <x v="3"/>
    <n v="0.15"/>
    <s v="2022-12"/>
  </r>
  <r>
    <x v="1397"/>
    <x v="51"/>
    <x v="22"/>
    <x v="104"/>
    <x v="400"/>
    <x v="12"/>
    <s v="Unknown"/>
    <x v="20"/>
    <n v="0.22"/>
    <s v="2022-12"/>
  </r>
  <r>
    <x v="1398"/>
    <x v="32"/>
    <x v="21"/>
    <x v="261"/>
    <x v="400"/>
    <x v="35"/>
    <s v="Series E"/>
    <x v="11"/>
    <n v="0.13"/>
    <s v="2022-12"/>
  </r>
  <r>
    <x v="1399"/>
    <x v="10"/>
    <x v="22"/>
    <x v="31"/>
    <x v="400"/>
    <x v="225"/>
    <s v="Series C"/>
    <x v="3"/>
    <s v="NA"/>
    <s v="2022-12"/>
  </r>
  <r>
    <x v="467"/>
    <x v="12"/>
    <x v="16"/>
    <x v="262"/>
    <x v="401"/>
    <x v="12"/>
    <s v="Post-IPO"/>
    <x v="2"/>
    <s v="NA"/>
    <s v="2022-12"/>
  </r>
  <r>
    <x v="362"/>
    <x v="12"/>
    <x v="10"/>
    <x v="62"/>
    <x v="402"/>
    <x v="237"/>
    <s v="Post-IPO"/>
    <x v="2"/>
    <n v="0.25"/>
    <s v="2022-12"/>
  </r>
  <r>
    <x v="1400"/>
    <x v="14"/>
    <x v="4"/>
    <x v="3"/>
    <x v="402"/>
    <x v="242"/>
    <s v="Series A"/>
    <x v="5"/>
    <n v="0.5"/>
    <s v="2022-12"/>
  </r>
  <r>
    <x v="1401"/>
    <x v="42"/>
    <x v="0"/>
    <x v="74"/>
    <x v="403"/>
    <x v="86"/>
    <s v="Series E"/>
    <x v="16"/>
    <n v="0.24"/>
    <s v="2022-12"/>
  </r>
  <r>
    <x v="1402"/>
    <x v="62"/>
    <x v="1"/>
    <x v="126"/>
    <x v="403"/>
    <x v="121"/>
    <s v="Series A"/>
    <x v="7"/>
    <n v="0.4"/>
    <s v="2022-12"/>
  </r>
  <r>
    <x v="1403"/>
    <x v="10"/>
    <x v="27"/>
    <x v="3"/>
    <x v="403"/>
    <x v="495"/>
    <s v="Unknown"/>
    <x v="3"/>
    <s v="NA"/>
    <s v="2022-12"/>
  </r>
  <r>
    <x v="1404"/>
    <x v="97"/>
    <x v="6"/>
    <x v="3"/>
    <x v="403"/>
    <x v="554"/>
    <s v="Series F"/>
    <x v="17"/>
    <n v="0.1"/>
    <s v="2022-12"/>
  </r>
  <r>
    <x v="1405"/>
    <x v="11"/>
    <x v="22"/>
    <x v="160"/>
    <x v="404"/>
    <x v="144"/>
    <s v="Acquired"/>
    <x v="2"/>
    <n v="0.13"/>
    <s v="2022-12"/>
  </r>
  <r>
    <x v="1406"/>
    <x v="6"/>
    <x v="5"/>
    <x v="3"/>
    <x v="404"/>
    <x v="555"/>
    <s v="Series D"/>
    <x v="2"/>
    <s v="NA"/>
    <s v="2022-12"/>
  </r>
  <r>
    <x v="1407"/>
    <x v="97"/>
    <x v="6"/>
    <x v="3"/>
    <x v="404"/>
    <x v="556"/>
    <s v="Post-IPO"/>
    <x v="2"/>
    <s v="NA"/>
    <s v="2022-12"/>
  </r>
  <r>
    <x v="1408"/>
    <x v="119"/>
    <x v="0"/>
    <x v="3"/>
    <x v="404"/>
    <x v="78"/>
    <s v="Unknown"/>
    <x v="20"/>
    <n v="1"/>
    <s v="2022-12"/>
  </r>
  <r>
    <x v="1409"/>
    <x v="77"/>
    <x v="1"/>
    <x v="2"/>
    <x v="405"/>
    <x v="550"/>
    <s v="Unknown"/>
    <x v="5"/>
    <n v="0.25"/>
    <s v="2022-12"/>
  </r>
  <r>
    <x v="1410"/>
    <x v="38"/>
    <x v="27"/>
    <x v="56"/>
    <x v="405"/>
    <x v="7"/>
    <s v="Series A"/>
    <x v="7"/>
    <n v="0.3"/>
    <s v="2022-12"/>
  </r>
  <r>
    <x v="1411"/>
    <x v="62"/>
    <x v="10"/>
    <x v="3"/>
    <x v="405"/>
    <x v="12"/>
    <s v="Post-IPO"/>
    <x v="7"/>
    <s v="NA"/>
    <s v="2022-12"/>
  </r>
  <r>
    <x v="886"/>
    <x v="9"/>
    <x v="2"/>
    <x v="3"/>
    <x v="405"/>
    <x v="432"/>
    <s v="Series B"/>
    <x v="2"/>
    <s v="NA"/>
    <s v="2022-12"/>
  </r>
  <r>
    <x v="396"/>
    <x v="62"/>
    <x v="1"/>
    <x v="3"/>
    <x v="405"/>
    <x v="255"/>
    <s v="Unknown"/>
    <x v="7"/>
    <s v="NA"/>
    <s v="2022-12"/>
  </r>
  <r>
    <x v="1412"/>
    <x v="10"/>
    <x v="4"/>
    <x v="3"/>
    <x v="405"/>
    <x v="384"/>
    <s v="Unknown"/>
    <x v="3"/>
    <n v="0.1"/>
    <s v="2022-12"/>
  </r>
  <r>
    <x v="1413"/>
    <x v="6"/>
    <x v="1"/>
    <x v="3"/>
    <x v="405"/>
    <x v="184"/>
    <s v="Series C"/>
    <x v="2"/>
    <n v="0.18"/>
    <s v="2022-12"/>
  </r>
  <r>
    <x v="1414"/>
    <x v="101"/>
    <x v="21"/>
    <x v="3"/>
    <x v="405"/>
    <x v="43"/>
    <s v="Series A"/>
    <x v="7"/>
    <n v="0.12"/>
    <s v="2022-12"/>
  </r>
  <r>
    <x v="257"/>
    <x v="11"/>
    <x v="5"/>
    <x v="3"/>
    <x v="405"/>
    <x v="184"/>
    <s v="Series C"/>
    <x v="2"/>
    <n v="0.15"/>
    <s v="2022-12"/>
  </r>
  <r>
    <x v="410"/>
    <x v="16"/>
    <x v="21"/>
    <x v="12"/>
    <x v="406"/>
    <x v="262"/>
    <s v="Post-IPO"/>
    <x v="2"/>
    <n v="0.13"/>
    <s v="2022-12"/>
  </r>
  <r>
    <x v="801"/>
    <x v="6"/>
    <x v="18"/>
    <x v="58"/>
    <x v="406"/>
    <x v="407"/>
    <s v="Post-IPO"/>
    <x v="2"/>
    <n v="0.02"/>
    <s v="2022-12"/>
  </r>
  <r>
    <x v="1415"/>
    <x v="3"/>
    <x v="4"/>
    <x v="54"/>
    <x v="406"/>
    <x v="517"/>
    <s v="Series C"/>
    <x v="2"/>
    <n v="0.31"/>
    <s v="2022-12"/>
  </r>
  <r>
    <x v="1416"/>
    <x v="14"/>
    <x v="12"/>
    <x v="14"/>
    <x v="406"/>
    <x v="223"/>
    <s v="Series B"/>
    <x v="2"/>
    <n v="0.2"/>
    <s v="2022-12"/>
  </r>
  <r>
    <x v="1417"/>
    <x v="6"/>
    <x v="14"/>
    <x v="3"/>
    <x v="406"/>
    <x v="184"/>
    <s v="Series D"/>
    <x v="2"/>
    <n v="0.15"/>
    <s v="2022-12"/>
  </r>
  <r>
    <x v="1418"/>
    <x v="71"/>
    <x v="21"/>
    <x v="28"/>
    <x v="407"/>
    <x v="557"/>
    <s v="Post-IPO"/>
    <x v="26"/>
    <n v="0.3"/>
    <s v="2022-12"/>
  </r>
  <r>
    <x v="245"/>
    <x v="70"/>
    <x v="11"/>
    <x v="1"/>
    <x v="407"/>
    <x v="177"/>
    <s v="Series D"/>
    <x v="25"/>
    <s v="NA"/>
    <s v="2022-12"/>
  </r>
  <r>
    <x v="1419"/>
    <x v="6"/>
    <x v="10"/>
    <x v="263"/>
    <x v="407"/>
    <x v="105"/>
    <s v="Post-IPO"/>
    <x v="2"/>
    <s v="NA"/>
    <s v="2022-12"/>
  </r>
  <r>
    <x v="737"/>
    <x v="9"/>
    <x v="5"/>
    <x v="31"/>
    <x v="407"/>
    <x v="510"/>
    <s v="Unknown"/>
    <x v="2"/>
    <n v="0.04"/>
    <s v="2022-12"/>
  </r>
  <r>
    <x v="102"/>
    <x v="9"/>
    <x v="0"/>
    <x v="5"/>
    <x v="407"/>
    <x v="33"/>
    <s v="Series C"/>
    <x v="2"/>
    <n v="0.1"/>
    <s v="2022-12"/>
  </r>
  <r>
    <x v="397"/>
    <x v="96"/>
    <x v="22"/>
    <x v="3"/>
    <x v="407"/>
    <x v="256"/>
    <s v="Series C"/>
    <x v="2"/>
    <s v="NA"/>
    <s v="2022-12"/>
  </r>
  <r>
    <x v="1420"/>
    <x v="6"/>
    <x v="6"/>
    <x v="71"/>
    <x v="408"/>
    <x v="532"/>
    <s v="Series I"/>
    <x v="2"/>
    <n v="0.14000000000000001"/>
    <s v="2022-12"/>
  </r>
  <r>
    <x v="132"/>
    <x v="47"/>
    <x v="8"/>
    <x v="81"/>
    <x v="408"/>
    <x v="102"/>
    <s v="Post-IPO"/>
    <x v="2"/>
    <n v="0.1"/>
    <s v="2022-12"/>
  </r>
  <r>
    <x v="1421"/>
    <x v="6"/>
    <x v="5"/>
    <x v="197"/>
    <x v="408"/>
    <x v="558"/>
    <s v="Series E"/>
    <x v="2"/>
    <n v="0.09"/>
    <s v="2022-12"/>
  </r>
  <r>
    <x v="1422"/>
    <x v="9"/>
    <x v="3"/>
    <x v="164"/>
    <x v="408"/>
    <x v="12"/>
    <s v="Post-IPO"/>
    <x v="2"/>
    <n v="0.13"/>
    <s v="2022-12"/>
  </r>
  <r>
    <x v="794"/>
    <x v="28"/>
    <x v="2"/>
    <x v="3"/>
    <x v="408"/>
    <x v="429"/>
    <s v="Series B"/>
    <x v="2"/>
    <s v="NA"/>
    <s v="2022-12"/>
  </r>
  <r>
    <x v="668"/>
    <x v="28"/>
    <x v="11"/>
    <x v="9"/>
    <x v="409"/>
    <x v="331"/>
    <s v="Acquired"/>
    <x v="2"/>
    <n v="0.2"/>
    <s v="2022-12"/>
  </r>
  <r>
    <x v="1423"/>
    <x v="47"/>
    <x v="0"/>
    <x v="264"/>
    <x v="409"/>
    <x v="158"/>
    <s v="Acquired"/>
    <x v="2"/>
    <s v="NA"/>
    <s v="2022-12"/>
  </r>
  <r>
    <x v="1424"/>
    <x v="93"/>
    <x v="9"/>
    <x v="78"/>
    <x v="409"/>
    <x v="302"/>
    <s v="Series B"/>
    <x v="2"/>
    <s v="NA"/>
    <s v="2022-12"/>
  </r>
  <r>
    <x v="1425"/>
    <x v="72"/>
    <x v="1"/>
    <x v="3"/>
    <x v="409"/>
    <x v="559"/>
    <s v="Series C"/>
    <x v="2"/>
    <s v="NA"/>
    <s v="2022-12"/>
  </r>
  <r>
    <x v="1426"/>
    <x v="6"/>
    <x v="11"/>
    <x v="194"/>
    <x v="410"/>
    <x v="508"/>
    <s v="Series D"/>
    <x v="2"/>
    <n v="0.25"/>
    <s v="2022-12"/>
  </r>
  <r>
    <x v="1427"/>
    <x v="68"/>
    <x v="14"/>
    <x v="33"/>
    <x v="410"/>
    <x v="313"/>
    <s v="Series B"/>
    <x v="5"/>
    <n v="0.1"/>
    <s v="2022-12"/>
  </r>
  <r>
    <x v="1428"/>
    <x v="31"/>
    <x v="1"/>
    <x v="3"/>
    <x v="410"/>
    <x v="227"/>
    <s v="Series C"/>
    <x v="2"/>
    <s v="NA"/>
    <s v="2022-12"/>
  </r>
  <r>
    <x v="1429"/>
    <x v="3"/>
    <x v="22"/>
    <x v="3"/>
    <x v="410"/>
    <x v="463"/>
    <s v="Unknown"/>
    <x v="2"/>
    <s v="NA"/>
    <s v="2022-12"/>
  </r>
  <r>
    <x v="901"/>
    <x v="91"/>
    <x v="5"/>
    <x v="3"/>
    <x v="410"/>
    <x v="112"/>
    <s v="Unknown"/>
    <x v="6"/>
    <s v="NA"/>
    <s v="2022-12"/>
  </r>
  <r>
    <x v="268"/>
    <x v="1"/>
    <x v="6"/>
    <x v="190"/>
    <x v="411"/>
    <x v="12"/>
    <s v="Post-IPO"/>
    <x v="1"/>
    <n v="0.15"/>
    <s v="2022-12"/>
  </r>
  <r>
    <x v="1430"/>
    <x v="182"/>
    <x v="21"/>
    <x v="11"/>
    <x v="411"/>
    <x v="12"/>
    <s v="Acquired"/>
    <x v="18"/>
    <n v="0.1"/>
    <s v="2022-12"/>
  </r>
  <r>
    <x v="1431"/>
    <x v="14"/>
    <x v="10"/>
    <x v="0"/>
    <x v="411"/>
    <x v="12"/>
    <s v="Acquired"/>
    <x v="5"/>
    <n v="0.36"/>
    <s v="2022-12"/>
  </r>
  <r>
    <x v="1432"/>
    <x v="106"/>
    <x v="5"/>
    <x v="265"/>
    <x v="411"/>
    <x v="58"/>
    <s v="Series C"/>
    <x v="31"/>
    <n v="0.16"/>
    <s v="2022-12"/>
  </r>
  <r>
    <x v="1433"/>
    <x v="10"/>
    <x v="1"/>
    <x v="97"/>
    <x v="411"/>
    <x v="560"/>
    <s v="Series B"/>
    <x v="3"/>
    <n v="0.33"/>
    <s v="2022-12"/>
  </r>
  <r>
    <x v="1086"/>
    <x v="14"/>
    <x v="3"/>
    <x v="40"/>
    <x v="411"/>
    <x v="486"/>
    <s v="Series D"/>
    <x v="5"/>
    <n v="0.115"/>
    <s v="2022-12"/>
  </r>
  <r>
    <x v="460"/>
    <x v="102"/>
    <x v="1"/>
    <x v="33"/>
    <x v="411"/>
    <x v="283"/>
    <s v="Series H"/>
    <x v="2"/>
    <n v="0.02"/>
    <s v="2022-12"/>
  </r>
  <r>
    <x v="1434"/>
    <x v="1"/>
    <x v="4"/>
    <x v="3"/>
    <x v="411"/>
    <x v="225"/>
    <s v="Series A"/>
    <x v="1"/>
    <n v="1"/>
    <s v="2022-12"/>
  </r>
  <r>
    <x v="1435"/>
    <x v="138"/>
    <x v="2"/>
    <x v="3"/>
    <x v="411"/>
    <x v="12"/>
    <s v="Unknown"/>
    <x v="20"/>
    <n v="1"/>
    <s v="2022-12"/>
  </r>
  <r>
    <x v="1436"/>
    <x v="109"/>
    <x v="4"/>
    <x v="3"/>
    <x v="411"/>
    <x v="496"/>
    <s v="Post-IPO"/>
    <x v="2"/>
    <s v="NA"/>
    <s v="2022-12"/>
  </r>
  <r>
    <x v="1437"/>
    <x v="4"/>
    <x v="2"/>
    <x v="3"/>
    <x v="411"/>
    <x v="225"/>
    <s v="Series B"/>
    <x v="2"/>
    <n v="0.1"/>
    <s v="2022-12"/>
  </r>
  <r>
    <x v="523"/>
    <x v="6"/>
    <x v="14"/>
    <x v="266"/>
    <x v="412"/>
    <x v="52"/>
    <s v="Series F"/>
    <x v="2"/>
    <n v="0.2"/>
    <s v="2022-12"/>
  </r>
  <r>
    <x v="228"/>
    <x v="20"/>
    <x v="0"/>
    <x v="38"/>
    <x v="412"/>
    <x v="166"/>
    <s v="Unknown"/>
    <x v="6"/>
    <n v="0.03"/>
    <s v="2022-12"/>
  </r>
  <r>
    <x v="1438"/>
    <x v="42"/>
    <x v="12"/>
    <x v="267"/>
    <x v="412"/>
    <x v="187"/>
    <s v="Series D"/>
    <x v="16"/>
    <n v="0.18"/>
    <s v="2022-12"/>
  </r>
  <r>
    <x v="1439"/>
    <x v="106"/>
    <x v="10"/>
    <x v="71"/>
    <x v="412"/>
    <x v="205"/>
    <s v="Series C"/>
    <x v="31"/>
    <n v="0.3"/>
    <s v="2022-12"/>
  </r>
  <r>
    <x v="577"/>
    <x v="9"/>
    <x v="1"/>
    <x v="81"/>
    <x v="412"/>
    <x v="330"/>
    <s v="Private Equity"/>
    <x v="2"/>
    <n v="0.05"/>
    <s v="2022-12"/>
  </r>
  <r>
    <x v="1208"/>
    <x v="165"/>
    <x v="21"/>
    <x v="54"/>
    <x v="412"/>
    <x v="432"/>
    <s v="Series C"/>
    <x v="5"/>
    <s v="NA"/>
    <s v="2022-12"/>
  </r>
  <r>
    <x v="1440"/>
    <x v="1"/>
    <x v="10"/>
    <x v="54"/>
    <x v="412"/>
    <x v="561"/>
    <s v="Post-IPO"/>
    <x v="1"/>
    <n v="0.5"/>
    <s v="2022-12"/>
  </r>
  <r>
    <x v="1441"/>
    <x v="17"/>
    <x v="3"/>
    <x v="14"/>
    <x v="412"/>
    <x v="520"/>
    <s v="Post-IPO"/>
    <x v="2"/>
    <n v="0.05"/>
    <s v="2022-12"/>
  </r>
  <r>
    <x v="1442"/>
    <x v="54"/>
    <x v="5"/>
    <x v="194"/>
    <x v="412"/>
    <x v="562"/>
    <s v="Series E"/>
    <x v="2"/>
    <s v="NA"/>
    <s v="2022-12"/>
  </r>
  <r>
    <x v="1443"/>
    <x v="6"/>
    <x v="25"/>
    <x v="2"/>
    <x v="412"/>
    <x v="182"/>
    <s v="Series C"/>
    <x v="2"/>
    <n v="0.15"/>
    <s v="2022-12"/>
  </r>
  <r>
    <x v="1444"/>
    <x v="6"/>
    <x v="25"/>
    <x v="37"/>
    <x v="412"/>
    <x v="283"/>
    <s v="Private Equity"/>
    <x v="2"/>
    <n v="0.04"/>
    <s v="2022-12"/>
  </r>
  <r>
    <x v="45"/>
    <x v="23"/>
    <x v="2"/>
    <x v="3"/>
    <x v="412"/>
    <x v="39"/>
    <s v="Post-IPO"/>
    <x v="2"/>
    <n v="0.15"/>
    <s v="2022-12"/>
  </r>
  <r>
    <x v="682"/>
    <x v="3"/>
    <x v="0"/>
    <x v="3"/>
    <x v="412"/>
    <x v="563"/>
    <s v="Post-IPO"/>
    <x v="2"/>
    <n v="0.1"/>
    <s v="2022-12"/>
  </r>
  <r>
    <x v="1445"/>
    <x v="3"/>
    <x v="8"/>
    <x v="3"/>
    <x v="412"/>
    <x v="10"/>
    <s v="Series B"/>
    <x v="2"/>
    <s v="NA"/>
    <s v="2022-12"/>
  </r>
  <r>
    <x v="930"/>
    <x v="109"/>
    <x v="16"/>
    <x v="3"/>
    <x v="412"/>
    <x v="443"/>
    <s v="Post-IPO"/>
    <x v="2"/>
    <s v="NA"/>
    <s v="2022-12"/>
  </r>
  <r>
    <x v="1446"/>
    <x v="93"/>
    <x v="11"/>
    <x v="3"/>
    <x v="412"/>
    <x v="157"/>
    <s v="Post-IPO"/>
    <x v="2"/>
    <n v="0.17"/>
    <s v="2022-12"/>
  </r>
  <r>
    <x v="1447"/>
    <x v="6"/>
    <x v="25"/>
    <x v="3"/>
    <x v="412"/>
    <x v="564"/>
    <s v="Series B"/>
    <x v="2"/>
    <n v="0.14000000000000001"/>
    <s v="2022-12"/>
  </r>
  <r>
    <x v="1448"/>
    <x v="20"/>
    <x v="11"/>
    <x v="268"/>
    <x v="413"/>
    <x v="421"/>
    <s v="Series E"/>
    <x v="6"/>
    <s v="NA"/>
    <s v="2022-12"/>
  </r>
  <r>
    <x v="1051"/>
    <x v="106"/>
    <x v="22"/>
    <x v="269"/>
    <x v="413"/>
    <x v="472"/>
    <s v="Unknown"/>
    <x v="31"/>
    <n v="0.12"/>
    <s v="2022-12"/>
  </r>
  <r>
    <x v="1449"/>
    <x v="6"/>
    <x v="1"/>
    <x v="270"/>
    <x v="413"/>
    <x v="565"/>
    <s v="Series D"/>
    <x v="2"/>
    <n v="0.2"/>
    <s v="2022-12"/>
  </r>
  <r>
    <x v="715"/>
    <x v="6"/>
    <x v="10"/>
    <x v="141"/>
    <x v="413"/>
    <x v="350"/>
    <s v="Series F"/>
    <x v="2"/>
    <n v="0.06"/>
    <s v="2022-12"/>
  </r>
  <r>
    <x v="1450"/>
    <x v="39"/>
    <x v="2"/>
    <x v="108"/>
    <x v="413"/>
    <x v="67"/>
    <s v="Series A"/>
    <x v="2"/>
    <s v="NA"/>
    <s v="2022-12"/>
  </r>
  <r>
    <x v="1451"/>
    <x v="58"/>
    <x v="29"/>
    <x v="0"/>
    <x v="413"/>
    <x v="317"/>
    <s v="Private Equity"/>
    <x v="2"/>
    <n v="0.1"/>
    <s v="2022-12"/>
  </r>
  <r>
    <x v="158"/>
    <x v="55"/>
    <x v="10"/>
    <x v="80"/>
    <x v="413"/>
    <x v="117"/>
    <s v="Series D"/>
    <x v="2"/>
    <n v="0.13"/>
    <s v="2022-12"/>
  </r>
  <r>
    <x v="1452"/>
    <x v="3"/>
    <x v="3"/>
    <x v="17"/>
    <x v="413"/>
    <x v="217"/>
    <s v="Acquired"/>
    <x v="2"/>
    <n v="0.13"/>
    <s v="2022-12"/>
  </r>
  <r>
    <x v="1453"/>
    <x v="6"/>
    <x v="6"/>
    <x v="81"/>
    <x v="413"/>
    <x v="437"/>
    <s v="Series E"/>
    <x v="2"/>
    <n v="0.08"/>
    <s v="2022-12"/>
  </r>
  <r>
    <x v="1454"/>
    <x v="14"/>
    <x v="21"/>
    <x v="5"/>
    <x v="413"/>
    <x v="453"/>
    <s v="Unknown"/>
    <x v="2"/>
    <n v="0.1"/>
    <s v="2022-12"/>
  </r>
  <r>
    <x v="900"/>
    <x v="3"/>
    <x v="22"/>
    <x v="2"/>
    <x v="413"/>
    <x v="436"/>
    <s v="Series B"/>
    <x v="2"/>
    <n v="0.3"/>
    <s v="2022-12"/>
  </r>
  <r>
    <x v="1455"/>
    <x v="3"/>
    <x v="1"/>
    <x v="144"/>
    <x v="413"/>
    <x v="520"/>
    <s v="Series C"/>
    <x v="2"/>
    <n v="0.18"/>
    <s v="2022-12"/>
  </r>
  <r>
    <x v="208"/>
    <x v="6"/>
    <x v="14"/>
    <x v="3"/>
    <x v="413"/>
    <x v="110"/>
    <s v="Series F"/>
    <x v="2"/>
    <n v="0.17"/>
    <s v="2022-12"/>
  </r>
  <r>
    <x v="590"/>
    <x v="55"/>
    <x v="25"/>
    <x v="3"/>
    <x v="413"/>
    <x v="92"/>
    <s v="Unknown"/>
    <x v="22"/>
    <s v="NA"/>
    <s v="2022-12"/>
  </r>
  <r>
    <x v="946"/>
    <x v="71"/>
    <x v="0"/>
    <x v="3"/>
    <x v="413"/>
    <x v="446"/>
    <s v="Series C"/>
    <x v="26"/>
    <n v="0.05"/>
    <s v="2022-12"/>
  </r>
  <r>
    <x v="1456"/>
    <x v="82"/>
    <x v="1"/>
    <x v="3"/>
    <x v="413"/>
    <x v="12"/>
    <s v="Acquired"/>
    <x v="2"/>
    <s v="NA"/>
    <s v="2022-12"/>
  </r>
  <r>
    <x v="1457"/>
    <x v="6"/>
    <x v="1"/>
    <x v="271"/>
    <x v="414"/>
    <x v="68"/>
    <s v="Post-IPO"/>
    <x v="2"/>
    <n v="0.4"/>
    <s v="2022-12"/>
  </r>
  <r>
    <x v="81"/>
    <x v="6"/>
    <x v="16"/>
    <x v="200"/>
    <x v="414"/>
    <x v="69"/>
    <s v="Post-IPO"/>
    <x v="2"/>
    <s v="NA"/>
    <s v="2022-12"/>
  </r>
  <r>
    <x v="151"/>
    <x v="3"/>
    <x v="26"/>
    <x v="12"/>
    <x v="414"/>
    <x v="114"/>
    <s v="Post-IPO"/>
    <x v="2"/>
    <n v="0.12"/>
    <s v="2022-12"/>
  </r>
  <r>
    <x v="1458"/>
    <x v="9"/>
    <x v="4"/>
    <x v="142"/>
    <x v="414"/>
    <x v="12"/>
    <s v="Acquired"/>
    <x v="2"/>
    <n v="0.25"/>
    <s v="2022-12"/>
  </r>
  <r>
    <x v="1459"/>
    <x v="6"/>
    <x v="3"/>
    <x v="1"/>
    <x v="414"/>
    <x v="78"/>
    <s v="Post-IPO"/>
    <x v="2"/>
    <s v="NA"/>
    <s v="2022-12"/>
  </r>
  <r>
    <x v="114"/>
    <x v="6"/>
    <x v="1"/>
    <x v="31"/>
    <x v="414"/>
    <x v="89"/>
    <s v="Series C"/>
    <x v="2"/>
    <n v="0.125"/>
    <s v="2022-12"/>
  </r>
  <r>
    <x v="118"/>
    <x v="3"/>
    <x v="1"/>
    <x v="210"/>
    <x v="414"/>
    <x v="93"/>
    <s v="Unknown"/>
    <x v="2"/>
    <n v="0.08"/>
    <s v="2022-12"/>
  </r>
  <r>
    <x v="1460"/>
    <x v="1"/>
    <x v="25"/>
    <x v="33"/>
    <x v="414"/>
    <x v="365"/>
    <s v="Series C"/>
    <x v="1"/>
    <n v="0.08"/>
    <s v="2022-12"/>
  </r>
  <r>
    <x v="1461"/>
    <x v="10"/>
    <x v="2"/>
    <x v="134"/>
    <x v="414"/>
    <x v="12"/>
    <s v="Unknown"/>
    <x v="3"/>
    <n v="0.14000000000000001"/>
    <s v="2022-12"/>
  </r>
  <r>
    <x v="1462"/>
    <x v="164"/>
    <x v="28"/>
    <x v="46"/>
    <x v="414"/>
    <x v="518"/>
    <s v="Series B"/>
    <x v="7"/>
    <n v="0.13"/>
    <s v="2022-12"/>
  </r>
  <r>
    <x v="1463"/>
    <x v="28"/>
    <x v="29"/>
    <x v="3"/>
    <x v="414"/>
    <x v="516"/>
    <s v="Series D"/>
    <x v="2"/>
    <s v="NA"/>
    <s v="2022-12"/>
  </r>
  <r>
    <x v="1464"/>
    <x v="41"/>
    <x v="10"/>
    <x v="3"/>
    <x v="414"/>
    <x v="566"/>
    <s v="Unknown"/>
    <x v="15"/>
    <s v="NA"/>
    <s v="2022-12"/>
  </r>
  <r>
    <x v="1465"/>
    <x v="47"/>
    <x v="4"/>
    <x v="3"/>
    <x v="414"/>
    <x v="271"/>
    <s v="Private Equity"/>
    <x v="2"/>
    <n v="0.17"/>
    <s v="2022-12"/>
  </r>
  <r>
    <x v="1466"/>
    <x v="17"/>
    <x v="5"/>
    <x v="3"/>
    <x v="414"/>
    <x v="567"/>
    <s v="Series D"/>
    <x v="2"/>
    <n v="0.25"/>
    <s v="2022-12"/>
  </r>
  <r>
    <x v="212"/>
    <x v="6"/>
    <x v="1"/>
    <x v="3"/>
    <x v="414"/>
    <x v="155"/>
    <s v="Post-IPO"/>
    <x v="2"/>
    <n v="0.11"/>
    <s v="2022-12"/>
  </r>
  <r>
    <x v="1467"/>
    <x v="138"/>
    <x v="2"/>
    <x v="58"/>
    <x v="415"/>
    <x v="12"/>
    <s v="Unknown"/>
    <x v="20"/>
    <n v="0.4"/>
    <s v="2022-12"/>
  </r>
  <r>
    <x v="1468"/>
    <x v="17"/>
    <x v="25"/>
    <x v="74"/>
    <x v="415"/>
    <x v="568"/>
    <s v="Series E"/>
    <x v="2"/>
    <n v="0.1"/>
    <s v="2022-12"/>
  </r>
  <r>
    <x v="1469"/>
    <x v="1"/>
    <x v="1"/>
    <x v="2"/>
    <x v="415"/>
    <x v="327"/>
    <s v="Series B"/>
    <x v="1"/>
    <n v="0.18"/>
    <s v="2022-12"/>
  </r>
  <r>
    <x v="1470"/>
    <x v="6"/>
    <x v="5"/>
    <x v="3"/>
    <x v="415"/>
    <x v="569"/>
    <s v="Series B"/>
    <x v="2"/>
    <s v="NA"/>
    <s v="2022-12"/>
  </r>
  <r>
    <x v="1471"/>
    <x v="45"/>
    <x v="21"/>
    <x v="3"/>
    <x v="415"/>
    <x v="426"/>
    <s v="Unknown"/>
    <x v="2"/>
    <s v="NA"/>
    <s v="2022-12"/>
  </r>
  <r>
    <x v="1350"/>
    <x v="37"/>
    <x v="11"/>
    <x v="3"/>
    <x v="415"/>
    <x v="219"/>
    <s v="Post-IPO"/>
    <x v="7"/>
    <s v="NA"/>
    <s v="2022-12"/>
  </r>
  <r>
    <x v="1472"/>
    <x v="48"/>
    <x v="7"/>
    <x v="190"/>
    <x v="416"/>
    <x v="570"/>
    <s v="Series F"/>
    <x v="6"/>
    <s v="NA"/>
    <s v="2022-12"/>
  </r>
  <r>
    <x v="56"/>
    <x v="20"/>
    <x v="19"/>
    <x v="0"/>
    <x v="416"/>
    <x v="175"/>
    <s v="Series C"/>
    <x v="6"/>
    <s v="NA"/>
    <s v="2022-12"/>
  </r>
  <r>
    <x v="1473"/>
    <x v="42"/>
    <x v="2"/>
    <x v="3"/>
    <x v="416"/>
    <x v="12"/>
    <s v="Unknown"/>
    <x v="16"/>
    <n v="0.3"/>
    <s v="2022-12"/>
  </r>
  <r>
    <x v="1474"/>
    <x v="1"/>
    <x v="25"/>
    <x v="1"/>
    <x v="417"/>
    <x v="12"/>
    <s v="Unknown"/>
    <x v="1"/>
    <n v="0.05"/>
    <s v="2022-12"/>
  </r>
  <r>
    <x v="321"/>
    <x v="20"/>
    <x v="6"/>
    <x v="1"/>
    <x v="417"/>
    <x v="14"/>
    <s v="Unknown"/>
    <x v="6"/>
    <s v="NA"/>
    <s v="2022-12"/>
  </r>
  <r>
    <x v="1475"/>
    <x v="183"/>
    <x v="1"/>
    <x v="170"/>
    <x v="417"/>
    <x v="398"/>
    <s v="Series C"/>
    <x v="2"/>
    <n v="0.15"/>
    <s v="2022-12"/>
  </r>
  <r>
    <x v="1476"/>
    <x v="6"/>
    <x v="22"/>
    <x v="3"/>
    <x v="417"/>
    <x v="259"/>
    <s v="Unknown"/>
    <x v="2"/>
    <s v="NA"/>
    <s v="2022-12"/>
  </r>
  <r>
    <x v="1477"/>
    <x v="184"/>
    <x v="6"/>
    <x v="3"/>
    <x v="417"/>
    <x v="185"/>
    <s v="Unknown"/>
    <x v="2"/>
    <n v="1"/>
    <s v="2022-12"/>
  </r>
  <r>
    <x v="1478"/>
    <x v="42"/>
    <x v="21"/>
    <x v="124"/>
    <x v="418"/>
    <x v="571"/>
    <s v="Private Equity"/>
    <x v="16"/>
    <n v="0.1"/>
    <s v="2022-12"/>
  </r>
  <r>
    <x v="1479"/>
    <x v="3"/>
    <x v="3"/>
    <x v="1"/>
    <x v="418"/>
    <x v="192"/>
    <s v="Series E"/>
    <x v="2"/>
    <n v="0.37"/>
    <s v="2022-12"/>
  </r>
  <r>
    <x v="1480"/>
    <x v="6"/>
    <x v="11"/>
    <x v="85"/>
    <x v="418"/>
    <x v="12"/>
    <s v="Unknown"/>
    <x v="2"/>
    <n v="0.5"/>
    <s v="2022-12"/>
  </r>
  <r>
    <x v="698"/>
    <x v="6"/>
    <x v="14"/>
    <x v="92"/>
    <x v="418"/>
    <x v="369"/>
    <s v="Series D"/>
    <x v="2"/>
    <n v="0.16"/>
    <s v="2022-12"/>
  </r>
  <r>
    <x v="1481"/>
    <x v="39"/>
    <x v="9"/>
    <x v="99"/>
    <x v="418"/>
    <x v="10"/>
    <s v="Post-IPO"/>
    <x v="2"/>
    <n v="0.23"/>
    <s v="2022-12"/>
  </r>
  <r>
    <x v="611"/>
    <x v="45"/>
    <x v="18"/>
    <x v="3"/>
    <x v="418"/>
    <x v="343"/>
    <s v="Series D"/>
    <x v="2"/>
    <n v="0.12"/>
    <s v="2022-12"/>
  </r>
  <r>
    <x v="1482"/>
    <x v="17"/>
    <x v="5"/>
    <x v="3"/>
    <x v="418"/>
    <x v="127"/>
    <s v="Post-IPO"/>
    <x v="2"/>
    <n v="0.6"/>
    <s v="2022-12"/>
  </r>
  <r>
    <x v="1483"/>
    <x v="6"/>
    <x v="19"/>
    <x v="3"/>
    <x v="418"/>
    <x v="265"/>
    <s v="Series F"/>
    <x v="2"/>
    <n v="0.14000000000000001"/>
    <s v="2022-12"/>
  </r>
  <r>
    <x v="1484"/>
    <x v="17"/>
    <x v="5"/>
    <x v="3"/>
    <x v="418"/>
    <x v="572"/>
    <s v="Post-IPO"/>
    <x v="2"/>
    <n v="0.25"/>
    <s v="2022-12"/>
  </r>
  <r>
    <x v="1485"/>
    <x v="10"/>
    <x v="1"/>
    <x v="3"/>
    <x v="418"/>
    <x v="395"/>
    <s v="Series A"/>
    <x v="3"/>
    <s v="NA"/>
    <s v="2022-12"/>
  </r>
  <r>
    <x v="1486"/>
    <x v="6"/>
    <x v="0"/>
    <x v="272"/>
    <x v="419"/>
    <x v="226"/>
    <s v="Post-IPO"/>
    <x v="2"/>
    <n v="0.06"/>
    <s v="2022-11"/>
  </r>
  <r>
    <x v="1487"/>
    <x v="6"/>
    <x v="2"/>
    <x v="102"/>
    <x v="419"/>
    <x v="393"/>
    <s v="Unknown"/>
    <x v="2"/>
    <n v="0.3"/>
    <s v="2022-11"/>
  </r>
  <r>
    <x v="1488"/>
    <x v="9"/>
    <x v="1"/>
    <x v="185"/>
    <x v="419"/>
    <x v="573"/>
    <s v="Series D"/>
    <x v="2"/>
    <n v="0.34"/>
    <s v="2022-11"/>
  </r>
  <r>
    <x v="1489"/>
    <x v="71"/>
    <x v="21"/>
    <x v="167"/>
    <x v="419"/>
    <x v="193"/>
    <s v="Series B"/>
    <x v="26"/>
    <n v="0.23"/>
    <s v="2022-11"/>
  </r>
  <r>
    <x v="1490"/>
    <x v="3"/>
    <x v="0"/>
    <x v="80"/>
    <x v="419"/>
    <x v="443"/>
    <s v="Series B"/>
    <x v="2"/>
    <n v="7.0000000000000007E-2"/>
    <s v="2022-11"/>
  </r>
  <r>
    <x v="1491"/>
    <x v="14"/>
    <x v="11"/>
    <x v="43"/>
    <x v="419"/>
    <x v="33"/>
    <s v="Series A"/>
    <x v="5"/>
    <s v="NA"/>
    <s v="2022-11"/>
  </r>
  <r>
    <x v="58"/>
    <x v="26"/>
    <x v="3"/>
    <x v="14"/>
    <x v="419"/>
    <x v="50"/>
    <s v="Series B"/>
    <x v="2"/>
    <n v="0.13"/>
    <s v="2022-11"/>
  </r>
  <r>
    <x v="1492"/>
    <x v="176"/>
    <x v="1"/>
    <x v="151"/>
    <x v="419"/>
    <x v="574"/>
    <s v="Series D"/>
    <x v="45"/>
    <n v="0.03"/>
    <s v="2022-11"/>
  </r>
  <r>
    <x v="881"/>
    <x v="20"/>
    <x v="11"/>
    <x v="112"/>
    <x v="419"/>
    <x v="9"/>
    <s v="Series B"/>
    <x v="6"/>
    <n v="0.05"/>
    <s v="2022-11"/>
  </r>
  <r>
    <x v="1493"/>
    <x v="176"/>
    <x v="4"/>
    <x v="5"/>
    <x v="419"/>
    <x v="12"/>
    <s v="Unknown"/>
    <x v="45"/>
    <s v="NA"/>
    <s v="2022-11"/>
  </r>
  <r>
    <x v="1494"/>
    <x v="10"/>
    <x v="21"/>
    <x v="2"/>
    <x v="419"/>
    <x v="252"/>
    <s v="Acquired"/>
    <x v="3"/>
    <n v="0.5"/>
    <s v="2022-11"/>
  </r>
  <r>
    <x v="552"/>
    <x v="3"/>
    <x v="10"/>
    <x v="37"/>
    <x v="419"/>
    <x v="320"/>
    <s v="Series D"/>
    <x v="2"/>
    <s v="NA"/>
    <s v="2022-11"/>
  </r>
  <r>
    <x v="1495"/>
    <x v="6"/>
    <x v="27"/>
    <x v="3"/>
    <x v="419"/>
    <x v="575"/>
    <s v="Post-IPO"/>
    <x v="2"/>
    <n v="0.13"/>
    <s v="2022-11"/>
  </r>
  <r>
    <x v="32"/>
    <x v="17"/>
    <x v="10"/>
    <x v="3"/>
    <x v="419"/>
    <x v="12"/>
    <s v="Unknown"/>
    <x v="2"/>
    <s v="NA"/>
    <s v="2022-11"/>
  </r>
  <r>
    <x v="1182"/>
    <x v="6"/>
    <x v="6"/>
    <x v="3"/>
    <x v="419"/>
    <x v="113"/>
    <s v="Post-IPO"/>
    <x v="2"/>
    <s v="NA"/>
    <s v="2022-11"/>
  </r>
  <r>
    <x v="1496"/>
    <x v="4"/>
    <x v="5"/>
    <x v="3"/>
    <x v="419"/>
    <x v="240"/>
    <s v="Series A"/>
    <x v="2"/>
    <n v="0.15"/>
    <s v="2022-11"/>
  </r>
  <r>
    <x v="1497"/>
    <x v="28"/>
    <x v="25"/>
    <x v="3"/>
    <x v="419"/>
    <x v="251"/>
    <s v="Acquired"/>
    <x v="2"/>
    <s v="NA"/>
    <s v="2022-11"/>
  </r>
  <r>
    <x v="1498"/>
    <x v="125"/>
    <x v="2"/>
    <x v="1"/>
    <x v="420"/>
    <x v="576"/>
    <s v="Series C"/>
    <x v="37"/>
    <s v="NA"/>
    <s v="2022-11"/>
  </r>
  <r>
    <x v="1499"/>
    <x v="10"/>
    <x v="21"/>
    <x v="31"/>
    <x v="420"/>
    <x v="511"/>
    <s v="Unknown"/>
    <x v="3"/>
    <n v="0.25"/>
    <s v="2022-11"/>
  </r>
  <r>
    <x v="1500"/>
    <x v="119"/>
    <x v="2"/>
    <x v="100"/>
    <x v="420"/>
    <x v="5"/>
    <s v="Unknown"/>
    <x v="20"/>
    <n v="0.2"/>
    <s v="2022-11"/>
  </r>
  <r>
    <x v="1501"/>
    <x v="6"/>
    <x v="2"/>
    <x v="3"/>
    <x v="420"/>
    <x v="12"/>
    <s v="Unknown"/>
    <x v="2"/>
    <n v="1"/>
    <s v="2022-11"/>
  </r>
  <r>
    <x v="1502"/>
    <x v="6"/>
    <x v="5"/>
    <x v="3"/>
    <x v="420"/>
    <x v="575"/>
    <s v="Post-IPO"/>
    <x v="2"/>
    <n v="0.18"/>
    <s v="2022-11"/>
  </r>
  <r>
    <x v="1503"/>
    <x v="6"/>
    <x v="21"/>
    <x v="3"/>
    <x v="420"/>
    <x v="524"/>
    <s v="Series B"/>
    <x v="2"/>
    <n v="0.1"/>
    <s v="2022-11"/>
  </r>
  <r>
    <x v="951"/>
    <x v="41"/>
    <x v="2"/>
    <x v="3"/>
    <x v="420"/>
    <x v="12"/>
    <s v="Unknown"/>
    <x v="15"/>
    <s v="NA"/>
    <s v="2022-11"/>
  </r>
  <r>
    <x v="129"/>
    <x v="46"/>
    <x v="4"/>
    <x v="3"/>
    <x v="420"/>
    <x v="99"/>
    <s v="Series C"/>
    <x v="18"/>
    <n v="0.31"/>
    <s v="2022-11"/>
  </r>
  <r>
    <x v="1504"/>
    <x v="185"/>
    <x v="1"/>
    <x v="3"/>
    <x v="420"/>
    <x v="142"/>
    <s v="Series A"/>
    <x v="37"/>
    <n v="0.4"/>
    <s v="2022-11"/>
  </r>
  <r>
    <x v="1505"/>
    <x v="17"/>
    <x v="9"/>
    <x v="3"/>
    <x v="420"/>
    <x v="132"/>
    <s v="Series A"/>
    <x v="2"/>
    <s v="NA"/>
    <s v="2022-11"/>
  </r>
  <r>
    <x v="1506"/>
    <x v="14"/>
    <x v="4"/>
    <x v="30"/>
    <x v="421"/>
    <x v="577"/>
    <s v="Series D"/>
    <x v="5"/>
    <n v="0.5"/>
    <s v="2022-11"/>
  </r>
  <r>
    <x v="1507"/>
    <x v="106"/>
    <x v="6"/>
    <x v="11"/>
    <x v="421"/>
    <x v="528"/>
    <s v="Unknown"/>
    <x v="31"/>
    <n v="0.2"/>
    <s v="2022-11"/>
  </r>
  <r>
    <x v="1508"/>
    <x v="20"/>
    <x v="15"/>
    <x v="28"/>
    <x v="421"/>
    <x v="12"/>
    <s v="Series A"/>
    <x v="6"/>
    <n v="0.4"/>
    <s v="2022-11"/>
  </r>
  <r>
    <x v="1509"/>
    <x v="164"/>
    <x v="11"/>
    <x v="58"/>
    <x v="421"/>
    <x v="578"/>
    <s v="Series D"/>
    <x v="7"/>
    <n v="0.06"/>
    <s v="2022-11"/>
  </r>
  <r>
    <x v="1510"/>
    <x v="71"/>
    <x v="1"/>
    <x v="47"/>
    <x v="421"/>
    <x v="258"/>
    <s v="Unknown"/>
    <x v="26"/>
    <n v="0.08"/>
    <s v="2022-11"/>
  </r>
  <r>
    <x v="739"/>
    <x v="3"/>
    <x v="2"/>
    <x v="7"/>
    <x v="421"/>
    <x v="175"/>
    <s v="Series A"/>
    <x v="2"/>
    <n v="0.33"/>
    <s v="2022-11"/>
  </r>
  <r>
    <x v="1511"/>
    <x v="14"/>
    <x v="4"/>
    <x v="37"/>
    <x v="421"/>
    <x v="363"/>
    <s v="Series D"/>
    <x v="5"/>
    <n v="0.1"/>
    <s v="2022-11"/>
  </r>
  <r>
    <x v="1512"/>
    <x v="3"/>
    <x v="2"/>
    <x v="3"/>
    <x v="421"/>
    <x v="35"/>
    <s v="Series E"/>
    <x v="2"/>
    <n v="1"/>
    <s v="2022-11"/>
  </r>
  <r>
    <x v="1513"/>
    <x v="10"/>
    <x v="11"/>
    <x v="3"/>
    <x v="421"/>
    <x v="86"/>
    <s v="Unknown"/>
    <x v="3"/>
    <s v="NA"/>
    <s v="2022-11"/>
  </r>
  <r>
    <x v="1514"/>
    <x v="4"/>
    <x v="22"/>
    <x v="3"/>
    <x v="421"/>
    <x v="183"/>
    <s v="Series A"/>
    <x v="2"/>
    <s v="NA"/>
    <s v="2022-11"/>
  </r>
  <r>
    <x v="1515"/>
    <x v="62"/>
    <x v="2"/>
    <x v="3"/>
    <x v="421"/>
    <x v="327"/>
    <s v="Series B"/>
    <x v="7"/>
    <s v="NA"/>
    <s v="2022-11"/>
  </r>
  <r>
    <x v="1516"/>
    <x v="6"/>
    <x v="17"/>
    <x v="3"/>
    <x v="421"/>
    <x v="579"/>
    <s v="Series B"/>
    <x v="2"/>
    <n v="0.4"/>
    <s v="2022-11"/>
  </r>
  <r>
    <x v="1517"/>
    <x v="6"/>
    <x v="5"/>
    <x v="3"/>
    <x v="421"/>
    <x v="144"/>
    <s v="Seed"/>
    <x v="2"/>
    <n v="1"/>
    <s v="2022-11"/>
  </r>
  <r>
    <x v="1518"/>
    <x v="46"/>
    <x v="1"/>
    <x v="3"/>
    <x v="422"/>
    <x v="219"/>
    <s v="Unknown"/>
    <x v="18"/>
    <n v="0.24"/>
    <s v="2022-11"/>
  </r>
  <r>
    <x v="1519"/>
    <x v="10"/>
    <x v="1"/>
    <x v="3"/>
    <x v="423"/>
    <x v="310"/>
    <s v="Unknown"/>
    <x v="3"/>
    <s v="NA"/>
    <s v="2022-11"/>
  </r>
  <r>
    <x v="1520"/>
    <x v="20"/>
    <x v="26"/>
    <x v="0"/>
    <x v="424"/>
    <x v="14"/>
    <s v="Series J"/>
    <x v="6"/>
    <n v="0.05"/>
    <s v="2022-11"/>
  </r>
  <r>
    <x v="1521"/>
    <x v="10"/>
    <x v="10"/>
    <x v="43"/>
    <x v="424"/>
    <x v="333"/>
    <s v="Unknown"/>
    <x v="3"/>
    <n v="0.2"/>
    <s v="2022-11"/>
  </r>
  <r>
    <x v="1522"/>
    <x v="41"/>
    <x v="0"/>
    <x v="144"/>
    <x v="424"/>
    <x v="347"/>
    <s v="Series A"/>
    <x v="15"/>
    <n v="0.09"/>
    <s v="2022-11"/>
  </r>
  <r>
    <x v="1523"/>
    <x v="176"/>
    <x v="2"/>
    <x v="1"/>
    <x v="425"/>
    <x v="354"/>
    <s v="Series A"/>
    <x v="45"/>
    <n v="0.38"/>
    <s v="2022-11"/>
  </r>
  <r>
    <x v="1524"/>
    <x v="41"/>
    <x v="2"/>
    <x v="33"/>
    <x v="425"/>
    <x v="11"/>
    <s v="Unknown"/>
    <x v="15"/>
    <n v="0.2"/>
    <s v="2022-11"/>
  </r>
  <r>
    <x v="1525"/>
    <x v="51"/>
    <x v="0"/>
    <x v="3"/>
    <x v="425"/>
    <x v="12"/>
    <s v="Acquired"/>
    <x v="20"/>
    <s v="NA"/>
    <s v="2022-11"/>
  </r>
  <r>
    <x v="940"/>
    <x v="142"/>
    <x v="26"/>
    <x v="3"/>
    <x v="425"/>
    <x v="12"/>
    <s v="Series B"/>
    <x v="30"/>
    <s v="NA"/>
    <s v="2022-11"/>
  </r>
  <r>
    <x v="1526"/>
    <x v="28"/>
    <x v="1"/>
    <x v="3"/>
    <x v="426"/>
    <x v="78"/>
    <s v="Seed"/>
    <x v="2"/>
    <n v="1"/>
    <s v="2022-11"/>
  </r>
  <r>
    <x v="1527"/>
    <x v="62"/>
    <x v="21"/>
    <x v="3"/>
    <x v="426"/>
    <x v="47"/>
    <s v="Seed"/>
    <x v="7"/>
    <n v="1"/>
    <s v="2022-11"/>
  </r>
  <r>
    <x v="1528"/>
    <x v="174"/>
    <x v="4"/>
    <x v="3"/>
    <x v="426"/>
    <x v="132"/>
    <s v="Series A"/>
    <x v="44"/>
    <n v="1"/>
    <s v="2022-11"/>
  </r>
  <r>
    <x v="1529"/>
    <x v="186"/>
    <x v="10"/>
    <x v="3"/>
    <x v="426"/>
    <x v="580"/>
    <s v="Post-IPO"/>
    <x v="47"/>
    <n v="0.5"/>
    <s v="2022-11"/>
  </r>
  <r>
    <x v="786"/>
    <x v="6"/>
    <x v="16"/>
    <x v="188"/>
    <x v="427"/>
    <x v="399"/>
    <s v="Post-IPO"/>
    <x v="2"/>
    <s v="NA"/>
    <s v="2022-11"/>
  </r>
  <r>
    <x v="1530"/>
    <x v="71"/>
    <x v="21"/>
    <x v="71"/>
    <x v="427"/>
    <x v="450"/>
    <s v="Series B"/>
    <x v="26"/>
    <n v="0.08"/>
    <s v="2022-11"/>
  </r>
  <r>
    <x v="1531"/>
    <x v="159"/>
    <x v="18"/>
    <x v="273"/>
    <x v="427"/>
    <x v="183"/>
    <s v="Acquired"/>
    <x v="31"/>
    <s v="NA"/>
    <s v="2022-11"/>
  </r>
  <r>
    <x v="1532"/>
    <x v="42"/>
    <x v="21"/>
    <x v="54"/>
    <x v="427"/>
    <x v="35"/>
    <s v="Series E"/>
    <x v="16"/>
    <n v="0.08"/>
    <s v="2022-11"/>
  </r>
  <r>
    <x v="1533"/>
    <x v="42"/>
    <x v="0"/>
    <x v="3"/>
    <x v="427"/>
    <x v="196"/>
    <s v="Series B"/>
    <x v="16"/>
    <s v="NA"/>
    <s v="2022-11"/>
  </r>
  <r>
    <x v="1534"/>
    <x v="6"/>
    <x v="5"/>
    <x v="3"/>
    <x v="427"/>
    <x v="581"/>
    <s v="Post-IPO"/>
    <x v="2"/>
    <s v="NA"/>
    <s v="2022-11"/>
  </r>
  <r>
    <x v="1535"/>
    <x v="1"/>
    <x v="1"/>
    <x v="3"/>
    <x v="427"/>
    <x v="341"/>
    <s v="Unknown"/>
    <x v="1"/>
    <s v="NA"/>
    <s v="2022-11"/>
  </r>
  <r>
    <x v="1536"/>
    <x v="46"/>
    <x v="29"/>
    <x v="3"/>
    <x v="427"/>
    <x v="412"/>
    <s v="Unknown"/>
    <x v="18"/>
    <s v="NA"/>
    <s v="2022-11"/>
  </r>
  <r>
    <x v="1537"/>
    <x v="41"/>
    <x v="21"/>
    <x v="61"/>
    <x v="428"/>
    <x v="63"/>
    <s v="Post-IPO"/>
    <x v="15"/>
    <n v="0.2"/>
    <s v="2022-11"/>
  </r>
  <r>
    <x v="1538"/>
    <x v="187"/>
    <x v="0"/>
    <x v="261"/>
    <x v="428"/>
    <x v="582"/>
    <s v="Series C"/>
    <x v="2"/>
    <n v="0.1"/>
    <s v="2022-11"/>
  </r>
  <r>
    <x v="1539"/>
    <x v="17"/>
    <x v="25"/>
    <x v="3"/>
    <x v="428"/>
    <x v="426"/>
    <s v="Series F"/>
    <x v="2"/>
    <n v="0.15"/>
    <s v="2022-11"/>
  </r>
  <r>
    <x v="1540"/>
    <x v="73"/>
    <x v="1"/>
    <x v="3"/>
    <x v="428"/>
    <x v="12"/>
    <s v="Unknown"/>
    <x v="2"/>
    <n v="1"/>
    <s v="2022-11"/>
  </r>
  <r>
    <x v="1541"/>
    <x v="48"/>
    <x v="0"/>
    <x v="1"/>
    <x v="429"/>
    <x v="583"/>
    <s v="Series J"/>
    <x v="6"/>
    <n v="0.04"/>
    <s v="2022-11"/>
  </r>
  <r>
    <x v="1324"/>
    <x v="47"/>
    <x v="10"/>
    <x v="63"/>
    <x v="430"/>
    <x v="112"/>
    <s v="Post-IPO"/>
    <x v="2"/>
    <n v="0.08"/>
    <s v="2022-11"/>
  </r>
  <r>
    <x v="862"/>
    <x v="6"/>
    <x v="10"/>
    <x v="11"/>
    <x v="430"/>
    <x v="236"/>
    <s v="Series D"/>
    <x v="2"/>
    <n v="0.2"/>
    <s v="2022-11"/>
  </r>
  <r>
    <x v="1542"/>
    <x v="6"/>
    <x v="5"/>
    <x v="10"/>
    <x v="430"/>
    <x v="562"/>
    <s v="Series E"/>
    <x v="2"/>
    <n v="0.2"/>
    <s v="2022-11"/>
  </r>
  <r>
    <x v="1543"/>
    <x v="10"/>
    <x v="10"/>
    <x v="18"/>
    <x v="430"/>
    <x v="433"/>
    <s v="Series B"/>
    <x v="3"/>
    <s v="NA"/>
    <s v="2022-11"/>
  </r>
  <r>
    <x v="1544"/>
    <x v="3"/>
    <x v="1"/>
    <x v="3"/>
    <x v="430"/>
    <x v="463"/>
    <s v="Series D"/>
    <x v="2"/>
    <n v="0.25"/>
    <s v="2022-11"/>
  </r>
  <r>
    <x v="1545"/>
    <x v="106"/>
    <x v="10"/>
    <x v="3"/>
    <x v="430"/>
    <x v="112"/>
    <s v="Series E"/>
    <x v="31"/>
    <s v="NA"/>
    <s v="2022-11"/>
  </r>
  <r>
    <x v="1546"/>
    <x v="58"/>
    <x v="2"/>
    <x v="3"/>
    <x v="430"/>
    <x v="12"/>
    <s v="Unknown"/>
    <x v="2"/>
    <s v="NA"/>
    <s v="2022-11"/>
  </r>
  <r>
    <x v="1547"/>
    <x v="71"/>
    <x v="11"/>
    <x v="3"/>
    <x v="430"/>
    <x v="432"/>
    <s v="Unknown"/>
    <x v="26"/>
    <s v="NA"/>
    <s v="2022-11"/>
  </r>
  <r>
    <x v="1548"/>
    <x v="72"/>
    <x v="26"/>
    <x v="3"/>
    <x v="430"/>
    <x v="143"/>
    <s v="Acquired"/>
    <x v="2"/>
    <n v="0.25"/>
    <s v="2022-11"/>
  </r>
  <r>
    <x v="1549"/>
    <x v="16"/>
    <x v="2"/>
    <x v="3"/>
    <x v="430"/>
    <x v="91"/>
    <s v="Series A"/>
    <x v="2"/>
    <n v="0.15"/>
    <s v="2022-11"/>
  </r>
  <r>
    <x v="542"/>
    <x v="6"/>
    <x v="26"/>
    <x v="28"/>
    <x v="431"/>
    <x v="316"/>
    <s v="Post-IPO"/>
    <x v="2"/>
    <n v="7.0000000000000007E-2"/>
    <s v="2022-11"/>
  </r>
  <r>
    <x v="425"/>
    <x v="3"/>
    <x v="22"/>
    <x v="12"/>
    <x v="431"/>
    <x v="272"/>
    <s v="Series D"/>
    <x v="2"/>
    <s v="NA"/>
    <s v="2022-11"/>
  </r>
  <r>
    <x v="1550"/>
    <x v="47"/>
    <x v="22"/>
    <x v="265"/>
    <x v="431"/>
    <x v="12"/>
    <s v="Post-IPO"/>
    <x v="2"/>
    <s v="NA"/>
    <s v="2022-11"/>
  </r>
  <r>
    <x v="1551"/>
    <x v="188"/>
    <x v="1"/>
    <x v="263"/>
    <x v="431"/>
    <x v="463"/>
    <s v="Unknown"/>
    <x v="22"/>
    <n v="0.33"/>
    <s v="2022-11"/>
  </r>
  <r>
    <x v="1552"/>
    <x v="3"/>
    <x v="9"/>
    <x v="128"/>
    <x v="431"/>
    <x v="287"/>
    <s v="Series B"/>
    <x v="2"/>
    <s v="NA"/>
    <s v="2022-11"/>
  </r>
  <r>
    <x v="1544"/>
    <x v="3"/>
    <x v="1"/>
    <x v="99"/>
    <x v="431"/>
    <x v="463"/>
    <s v="Series D"/>
    <x v="2"/>
    <n v="0.25"/>
    <s v="2022-11"/>
  </r>
  <r>
    <x v="1553"/>
    <x v="62"/>
    <x v="4"/>
    <x v="145"/>
    <x v="431"/>
    <x v="560"/>
    <s v="Series B"/>
    <x v="7"/>
    <n v="0.19"/>
    <s v="2022-11"/>
  </r>
  <r>
    <x v="1155"/>
    <x v="62"/>
    <x v="1"/>
    <x v="8"/>
    <x v="431"/>
    <x v="499"/>
    <s v="Series D"/>
    <x v="7"/>
    <n v="0.04"/>
    <s v="2022-11"/>
  </r>
  <r>
    <x v="1554"/>
    <x v="34"/>
    <x v="3"/>
    <x v="137"/>
    <x v="431"/>
    <x v="55"/>
    <s v="Series A"/>
    <x v="12"/>
    <n v="0.09"/>
    <s v="2022-11"/>
  </r>
  <r>
    <x v="177"/>
    <x v="12"/>
    <x v="4"/>
    <x v="3"/>
    <x v="431"/>
    <x v="133"/>
    <s v="Series C"/>
    <x v="2"/>
    <n v="0.17"/>
    <s v="2022-11"/>
  </r>
  <r>
    <x v="1038"/>
    <x v="3"/>
    <x v="26"/>
    <x v="3"/>
    <x v="431"/>
    <x v="12"/>
    <s v="Acquired"/>
    <x v="2"/>
    <n v="0.14000000000000001"/>
    <s v="2022-11"/>
  </r>
  <r>
    <x v="1019"/>
    <x v="101"/>
    <x v="4"/>
    <x v="3"/>
    <x v="431"/>
    <x v="351"/>
    <s v="Series C"/>
    <x v="7"/>
    <n v="0.13"/>
    <s v="2022-11"/>
  </r>
  <r>
    <x v="90"/>
    <x v="4"/>
    <x v="21"/>
    <x v="211"/>
    <x v="432"/>
    <x v="74"/>
    <s v="Post-IPO"/>
    <x v="2"/>
    <n v="0.03"/>
    <s v="2022-11"/>
  </r>
  <r>
    <x v="164"/>
    <x v="6"/>
    <x v="8"/>
    <x v="274"/>
    <x v="432"/>
    <x v="78"/>
    <s v="Post-IPO"/>
    <x v="2"/>
    <n v="0.05"/>
    <s v="2022-11"/>
  </r>
  <r>
    <x v="587"/>
    <x v="115"/>
    <x v="0"/>
    <x v="174"/>
    <x v="432"/>
    <x v="333"/>
    <s v="Series C"/>
    <x v="34"/>
    <n v="0.21"/>
    <s v="2022-11"/>
  </r>
  <r>
    <x v="1555"/>
    <x v="34"/>
    <x v="3"/>
    <x v="28"/>
    <x v="432"/>
    <x v="584"/>
    <s v="Unknown"/>
    <x v="12"/>
    <n v="0.4"/>
    <s v="2022-11"/>
  </r>
  <r>
    <x v="872"/>
    <x v="3"/>
    <x v="4"/>
    <x v="17"/>
    <x v="432"/>
    <x v="429"/>
    <s v="Post-IPO"/>
    <x v="2"/>
    <n v="0.1"/>
    <s v="2022-11"/>
  </r>
  <r>
    <x v="437"/>
    <x v="17"/>
    <x v="21"/>
    <x v="58"/>
    <x v="432"/>
    <x v="585"/>
    <s v="Series F"/>
    <x v="2"/>
    <n v="0.11"/>
    <s v="2022-11"/>
  </r>
  <r>
    <x v="1556"/>
    <x v="2"/>
    <x v="4"/>
    <x v="257"/>
    <x v="432"/>
    <x v="13"/>
    <s v="Series B"/>
    <x v="2"/>
    <n v="0.23"/>
    <s v="2022-11"/>
  </r>
  <r>
    <x v="1557"/>
    <x v="3"/>
    <x v="3"/>
    <x v="43"/>
    <x v="432"/>
    <x v="586"/>
    <s v="Unknown"/>
    <x v="2"/>
    <n v="0.09"/>
    <s v="2022-11"/>
  </r>
  <r>
    <x v="964"/>
    <x v="17"/>
    <x v="5"/>
    <x v="157"/>
    <x v="432"/>
    <x v="372"/>
    <s v="Post-IPO"/>
    <x v="2"/>
    <n v="0.22"/>
    <s v="2022-11"/>
  </r>
  <r>
    <x v="1558"/>
    <x v="164"/>
    <x v="11"/>
    <x v="3"/>
    <x v="432"/>
    <x v="195"/>
    <s v="Post-IPO"/>
    <x v="7"/>
    <n v="0.05"/>
    <s v="2022-11"/>
  </r>
  <r>
    <x v="1559"/>
    <x v="14"/>
    <x v="10"/>
    <x v="3"/>
    <x v="432"/>
    <x v="495"/>
    <s v="Unknown"/>
    <x v="5"/>
    <n v="0.16"/>
    <s v="2022-11"/>
  </r>
  <r>
    <x v="1560"/>
    <x v="16"/>
    <x v="22"/>
    <x v="3"/>
    <x v="432"/>
    <x v="587"/>
    <s v="Unknown"/>
    <x v="2"/>
    <n v="0.25"/>
    <s v="2022-11"/>
  </r>
  <r>
    <x v="41"/>
    <x v="10"/>
    <x v="4"/>
    <x v="3"/>
    <x v="432"/>
    <x v="35"/>
    <s v="Series D"/>
    <x v="3"/>
    <n v="0.17"/>
    <s v="2022-11"/>
  </r>
  <r>
    <x v="1561"/>
    <x v="10"/>
    <x v="4"/>
    <x v="3"/>
    <x v="432"/>
    <x v="128"/>
    <s v="Series A"/>
    <x v="3"/>
    <s v="NA"/>
    <s v="2022-11"/>
  </r>
  <r>
    <x v="1562"/>
    <x v="6"/>
    <x v="14"/>
    <x v="3"/>
    <x v="432"/>
    <x v="178"/>
    <s v="Series A"/>
    <x v="2"/>
    <n v="1"/>
    <s v="2022-11"/>
  </r>
  <r>
    <x v="1563"/>
    <x v="3"/>
    <x v="27"/>
    <x v="275"/>
    <x v="433"/>
    <x v="1"/>
    <s v="Post-IPO"/>
    <x v="2"/>
    <n v="0.06"/>
    <s v="2022-11"/>
  </r>
  <r>
    <x v="1564"/>
    <x v="6"/>
    <x v="4"/>
    <x v="12"/>
    <x v="433"/>
    <x v="276"/>
    <s v="Post-IPO"/>
    <x v="2"/>
    <n v="0.09"/>
    <s v="2022-11"/>
  </r>
  <r>
    <x v="1565"/>
    <x v="3"/>
    <x v="25"/>
    <x v="22"/>
    <x v="433"/>
    <x v="504"/>
    <s v="Series E"/>
    <x v="2"/>
    <n v="0.17"/>
    <s v="2022-11"/>
  </r>
  <r>
    <x v="1566"/>
    <x v="119"/>
    <x v="0"/>
    <x v="17"/>
    <x v="433"/>
    <x v="14"/>
    <s v="Post-IPO"/>
    <x v="20"/>
    <n v="1"/>
    <s v="2022-11"/>
  </r>
  <r>
    <x v="227"/>
    <x v="6"/>
    <x v="14"/>
    <x v="1"/>
    <x v="433"/>
    <x v="12"/>
    <s v="Series D"/>
    <x v="2"/>
    <n v="0.2"/>
    <s v="2022-11"/>
  </r>
  <r>
    <x v="1567"/>
    <x v="62"/>
    <x v="22"/>
    <x v="159"/>
    <x v="433"/>
    <x v="281"/>
    <s v="Series B"/>
    <x v="7"/>
    <s v="NA"/>
    <s v="2022-11"/>
  </r>
  <r>
    <x v="1568"/>
    <x v="6"/>
    <x v="26"/>
    <x v="14"/>
    <x v="433"/>
    <x v="12"/>
    <s v="Acquired"/>
    <x v="2"/>
    <n v="1"/>
    <s v="2022-11"/>
  </r>
  <r>
    <x v="1569"/>
    <x v="77"/>
    <x v="4"/>
    <x v="31"/>
    <x v="433"/>
    <x v="151"/>
    <s v="Unknown"/>
    <x v="5"/>
    <n v="0.16"/>
    <s v="2022-11"/>
  </r>
  <r>
    <x v="1570"/>
    <x v="16"/>
    <x v="1"/>
    <x v="31"/>
    <x v="433"/>
    <x v="367"/>
    <s v="Series D"/>
    <x v="2"/>
    <s v="NA"/>
    <s v="2022-11"/>
  </r>
  <r>
    <x v="1571"/>
    <x v="121"/>
    <x v="6"/>
    <x v="112"/>
    <x v="433"/>
    <x v="12"/>
    <s v="Acquired"/>
    <x v="36"/>
    <n v="0.08"/>
    <s v="2022-11"/>
  </r>
  <r>
    <x v="1572"/>
    <x v="6"/>
    <x v="9"/>
    <x v="111"/>
    <x v="433"/>
    <x v="206"/>
    <s v="Series C"/>
    <x v="2"/>
    <n v="0.1"/>
    <s v="2022-11"/>
  </r>
  <r>
    <x v="1573"/>
    <x v="37"/>
    <x v="1"/>
    <x v="3"/>
    <x v="433"/>
    <x v="183"/>
    <s v="Series B"/>
    <x v="7"/>
    <n v="0.25"/>
    <s v="2022-11"/>
  </r>
  <r>
    <x v="1574"/>
    <x v="39"/>
    <x v="1"/>
    <x v="3"/>
    <x v="433"/>
    <x v="12"/>
    <s v="Unknown"/>
    <x v="2"/>
    <n v="1"/>
    <s v="2022-11"/>
  </r>
  <r>
    <x v="1575"/>
    <x v="189"/>
    <x v="0"/>
    <x v="3"/>
    <x v="433"/>
    <x v="588"/>
    <s v="Post-IPO"/>
    <x v="22"/>
    <s v="NA"/>
    <s v="2022-11"/>
  </r>
  <r>
    <x v="1576"/>
    <x v="4"/>
    <x v="21"/>
    <x v="3"/>
    <x v="433"/>
    <x v="589"/>
    <s v="Unknown"/>
    <x v="2"/>
    <n v="0.19"/>
    <s v="2022-11"/>
  </r>
  <r>
    <x v="1577"/>
    <x v="54"/>
    <x v="26"/>
    <x v="3"/>
    <x v="433"/>
    <x v="58"/>
    <s v="Series B"/>
    <x v="2"/>
    <n v="0.12"/>
    <s v="2022-11"/>
  </r>
  <r>
    <x v="1578"/>
    <x v="122"/>
    <x v="4"/>
    <x v="3"/>
    <x v="433"/>
    <x v="362"/>
    <s v="Post-IPO"/>
    <x v="2"/>
    <n v="0.11"/>
    <s v="2022-11"/>
  </r>
  <r>
    <x v="1108"/>
    <x v="100"/>
    <x v="6"/>
    <x v="3"/>
    <x v="433"/>
    <x v="491"/>
    <s v="Post-IPO"/>
    <x v="17"/>
    <s v="NA"/>
    <s v="2022-11"/>
  </r>
  <r>
    <x v="1579"/>
    <x v="33"/>
    <x v="3"/>
    <x v="3"/>
    <x v="433"/>
    <x v="167"/>
    <s v="Series C"/>
    <x v="8"/>
    <s v="NA"/>
    <s v="2022-11"/>
  </r>
  <r>
    <x v="1580"/>
    <x v="119"/>
    <x v="4"/>
    <x v="3"/>
    <x v="433"/>
    <x v="590"/>
    <s v="Post-IPO"/>
    <x v="20"/>
    <n v="0.3"/>
    <s v="2022-11"/>
  </r>
  <r>
    <x v="203"/>
    <x v="12"/>
    <x v="5"/>
    <x v="30"/>
    <x v="434"/>
    <x v="151"/>
    <s v="Post-IPO"/>
    <x v="2"/>
    <n v="0.05"/>
    <s v="2022-11"/>
  </r>
  <r>
    <x v="1581"/>
    <x v="103"/>
    <x v="5"/>
    <x v="30"/>
    <x v="434"/>
    <x v="591"/>
    <s v="Post-IPO"/>
    <x v="2"/>
    <s v="NA"/>
    <s v="2022-11"/>
  </r>
  <r>
    <x v="1582"/>
    <x v="190"/>
    <x v="19"/>
    <x v="11"/>
    <x v="434"/>
    <x v="271"/>
    <s v="Private Equity"/>
    <x v="2"/>
    <n v="0.2"/>
    <s v="2022-11"/>
  </r>
  <r>
    <x v="1583"/>
    <x v="3"/>
    <x v="22"/>
    <x v="22"/>
    <x v="434"/>
    <x v="592"/>
    <s v="Series C"/>
    <x v="2"/>
    <n v="0.85"/>
    <s v="2022-11"/>
  </r>
  <r>
    <x v="371"/>
    <x v="75"/>
    <x v="9"/>
    <x v="276"/>
    <x v="434"/>
    <x v="242"/>
    <s v="Private Equity"/>
    <x v="27"/>
    <n v="0.15"/>
    <s v="2022-11"/>
  </r>
  <r>
    <x v="1584"/>
    <x v="6"/>
    <x v="18"/>
    <x v="277"/>
    <x v="434"/>
    <x v="508"/>
    <s v="Series D"/>
    <x v="2"/>
    <n v="0.13"/>
    <s v="2022-11"/>
  </r>
  <r>
    <x v="1585"/>
    <x v="9"/>
    <x v="5"/>
    <x v="58"/>
    <x v="434"/>
    <x v="256"/>
    <s v="Post-IPO"/>
    <x v="2"/>
    <s v="NA"/>
    <s v="2022-11"/>
  </r>
  <r>
    <x v="964"/>
    <x v="17"/>
    <x v="5"/>
    <x v="157"/>
    <x v="434"/>
    <x v="372"/>
    <s v="Post-IPO"/>
    <x v="2"/>
    <n v="0.22"/>
    <s v="2022-11"/>
  </r>
  <r>
    <x v="1586"/>
    <x v="23"/>
    <x v="3"/>
    <x v="166"/>
    <x v="434"/>
    <x v="369"/>
    <s v="Post-IPO"/>
    <x v="2"/>
    <s v="NA"/>
    <s v="2022-11"/>
  </r>
  <r>
    <x v="1587"/>
    <x v="6"/>
    <x v="26"/>
    <x v="5"/>
    <x v="434"/>
    <x v="175"/>
    <s v="Unknown"/>
    <x v="2"/>
    <n v="0.08"/>
    <s v="2022-11"/>
  </r>
  <r>
    <x v="1588"/>
    <x v="41"/>
    <x v="2"/>
    <x v="2"/>
    <x v="434"/>
    <x v="47"/>
    <s v="Seed"/>
    <x v="15"/>
    <s v="NA"/>
    <s v="2022-11"/>
  </r>
  <r>
    <x v="1201"/>
    <x v="41"/>
    <x v="10"/>
    <x v="33"/>
    <x v="434"/>
    <x v="69"/>
    <s v="Unknown"/>
    <x v="15"/>
    <s v="NA"/>
    <s v="2022-11"/>
  </r>
  <r>
    <x v="1036"/>
    <x v="71"/>
    <x v="0"/>
    <x v="3"/>
    <x v="434"/>
    <x v="12"/>
    <s v="Unknown"/>
    <x v="26"/>
    <s v="NA"/>
    <s v="2022-11"/>
  </r>
  <r>
    <x v="1589"/>
    <x v="6"/>
    <x v="5"/>
    <x v="3"/>
    <x v="434"/>
    <x v="593"/>
    <s v="Post-IPO"/>
    <x v="2"/>
    <s v="0.5700000000000001"/>
    <s v="2022-11"/>
  </r>
  <r>
    <x v="378"/>
    <x v="6"/>
    <x v="22"/>
    <x v="1"/>
    <x v="435"/>
    <x v="248"/>
    <s v="Series D"/>
    <x v="2"/>
    <n v="0.3"/>
    <s v="2022-11"/>
  </r>
  <r>
    <x v="1590"/>
    <x v="14"/>
    <x v="24"/>
    <x v="14"/>
    <x v="435"/>
    <x v="594"/>
    <s v="Series D"/>
    <x v="2"/>
    <n v="0.08"/>
    <s v="2022-11"/>
  </r>
  <r>
    <x v="1591"/>
    <x v="35"/>
    <x v="1"/>
    <x v="3"/>
    <x v="435"/>
    <x v="78"/>
    <s v="Seed"/>
    <x v="13"/>
    <s v="NA"/>
    <s v="2022-11"/>
  </r>
  <r>
    <x v="1592"/>
    <x v="23"/>
    <x v="3"/>
    <x v="3"/>
    <x v="435"/>
    <x v="12"/>
    <s v="Acquired"/>
    <x v="2"/>
    <s v="NA"/>
    <s v="2022-11"/>
  </r>
  <r>
    <x v="1593"/>
    <x v="47"/>
    <x v="22"/>
    <x v="3"/>
    <x v="435"/>
    <x v="85"/>
    <s v="Post-IPO"/>
    <x v="2"/>
    <n v="7.0000000000000007E-2"/>
    <s v="2022-11"/>
  </r>
  <r>
    <x v="1033"/>
    <x v="71"/>
    <x v="10"/>
    <x v="205"/>
    <x v="436"/>
    <x v="22"/>
    <s v="Post-IPO"/>
    <x v="26"/>
    <n v="0.12"/>
    <s v="2022-11"/>
  </r>
  <r>
    <x v="1594"/>
    <x v="6"/>
    <x v="6"/>
    <x v="9"/>
    <x v="436"/>
    <x v="113"/>
    <s v="Unknown"/>
    <x v="2"/>
    <n v="0.3"/>
    <s v="2022-11"/>
  </r>
  <r>
    <x v="606"/>
    <x v="6"/>
    <x v="1"/>
    <x v="1"/>
    <x v="436"/>
    <x v="340"/>
    <s v="Post-IPO"/>
    <x v="2"/>
    <n v="0.06"/>
    <s v="2022-11"/>
  </r>
  <r>
    <x v="1595"/>
    <x v="6"/>
    <x v="27"/>
    <x v="74"/>
    <x v="436"/>
    <x v="2"/>
    <s v="Series D"/>
    <x v="2"/>
    <n v="0.27"/>
    <s v="2022-11"/>
  </r>
  <r>
    <x v="1347"/>
    <x v="6"/>
    <x v="2"/>
    <x v="14"/>
    <x v="436"/>
    <x v="538"/>
    <s v="Post-IPO"/>
    <x v="2"/>
    <s v="NA"/>
    <s v="2022-11"/>
  </r>
  <r>
    <x v="1373"/>
    <x v="6"/>
    <x v="4"/>
    <x v="112"/>
    <x v="436"/>
    <x v="547"/>
    <s v="Post-IPO"/>
    <x v="2"/>
    <n v="0.1"/>
    <s v="2022-11"/>
  </r>
  <r>
    <x v="1596"/>
    <x v="17"/>
    <x v="3"/>
    <x v="5"/>
    <x v="436"/>
    <x v="143"/>
    <s v="Unknown"/>
    <x v="2"/>
    <s v="NA"/>
    <s v="2022-11"/>
  </r>
  <r>
    <x v="1597"/>
    <x v="45"/>
    <x v="2"/>
    <x v="33"/>
    <x v="436"/>
    <x v="183"/>
    <s v="Series A"/>
    <x v="2"/>
    <n v="0.48"/>
    <s v="2022-11"/>
  </r>
  <r>
    <x v="1598"/>
    <x v="47"/>
    <x v="25"/>
    <x v="3"/>
    <x v="436"/>
    <x v="12"/>
    <s v="Unknown"/>
    <x v="2"/>
    <n v="0.25"/>
    <s v="2022-11"/>
  </r>
  <r>
    <x v="961"/>
    <x v="6"/>
    <x v="11"/>
    <x v="3"/>
    <x v="436"/>
    <x v="388"/>
    <s v="Series B"/>
    <x v="2"/>
    <s v="NA"/>
    <s v="2022-11"/>
  </r>
  <r>
    <x v="1599"/>
    <x v="191"/>
    <x v="24"/>
    <x v="3"/>
    <x v="436"/>
    <x v="271"/>
    <s v="Series C"/>
    <x v="2"/>
    <n v="0.1"/>
    <s v="2022-11"/>
  </r>
  <r>
    <x v="1600"/>
    <x v="51"/>
    <x v="0"/>
    <x v="3"/>
    <x v="436"/>
    <x v="142"/>
    <s v="Seed"/>
    <x v="20"/>
    <s v="NA"/>
    <s v="2022-11"/>
  </r>
  <r>
    <x v="1601"/>
    <x v="6"/>
    <x v="12"/>
    <x v="3"/>
    <x v="436"/>
    <x v="12"/>
    <s v="Unknown"/>
    <x v="2"/>
    <n v="1"/>
    <s v="2022-11"/>
  </r>
  <r>
    <x v="1602"/>
    <x v="16"/>
    <x v="4"/>
    <x v="3"/>
    <x v="436"/>
    <x v="595"/>
    <s v="Series C"/>
    <x v="2"/>
    <s v="NA"/>
    <s v="2022-11"/>
  </r>
  <r>
    <x v="127"/>
    <x v="6"/>
    <x v="6"/>
    <x v="278"/>
    <x v="437"/>
    <x v="97"/>
    <s v="Post-IPO"/>
    <x v="2"/>
    <n v="0.13"/>
    <s v="2022-11"/>
  </r>
  <r>
    <x v="956"/>
    <x v="4"/>
    <x v="22"/>
    <x v="279"/>
    <x v="437"/>
    <x v="189"/>
    <s v="Post-IPO"/>
    <x v="2"/>
    <n v="0.13"/>
    <s v="2022-11"/>
  </r>
  <r>
    <x v="336"/>
    <x v="4"/>
    <x v="22"/>
    <x v="11"/>
    <x v="437"/>
    <x v="224"/>
    <s v="Series C"/>
    <x v="2"/>
    <n v="0.4"/>
    <s v="2022-11"/>
  </r>
  <r>
    <x v="771"/>
    <x v="9"/>
    <x v="7"/>
    <x v="280"/>
    <x v="437"/>
    <x v="177"/>
    <s v="Private Equity"/>
    <x v="2"/>
    <n v="0.22"/>
    <s v="2022-11"/>
  </r>
  <r>
    <x v="1603"/>
    <x v="74"/>
    <x v="1"/>
    <x v="191"/>
    <x v="437"/>
    <x v="596"/>
    <s v="Post-IPO"/>
    <x v="2"/>
    <n v="0.2"/>
    <s v="2022-11"/>
  </r>
  <r>
    <x v="1604"/>
    <x v="6"/>
    <x v="3"/>
    <x v="80"/>
    <x v="437"/>
    <x v="47"/>
    <s v="Acquired"/>
    <x v="2"/>
    <n v="0.15"/>
    <s v="2022-11"/>
  </r>
  <r>
    <x v="683"/>
    <x v="58"/>
    <x v="6"/>
    <x v="54"/>
    <x v="437"/>
    <x v="365"/>
    <s v="Unknown"/>
    <x v="2"/>
    <s v="NA"/>
    <s v="2022-11"/>
  </r>
  <r>
    <x v="1605"/>
    <x v="20"/>
    <x v="5"/>
    <x v="15"/>
    <x v="437"/>
    <x v="132"/>
    <s v="Series A"/>
    <x v="6"/>
    <n v="0.1"/>
    <s v="2022-11"/>
  </r>
  <r>
    <x v="839"/>
    <x v="6"/>
    <x v="6"/>
    <x v="78"/>
    <x v="437"/>
    <x v="422"/>
    <s v="Acquired"/>
    <x v="2"/>
    <n v="7.0000000000000007E-2"/>
    <s v="2022-11"/>
  </r>
  <r>
    <x v="1606"/>
    <x v="20"/>
    <x v="1"/>
    <x v="37"/>
    <x v="437"/>
    <x v="597"/>
    <s v="Series C"/>
    <x v="6"/>
    <s v="NA"/>
    <s v="2022-11"/>
  </r>
  <r>
    <x v="1252"/>
    <x v="1"/>
    <x v="3"/>
    <x v="37"/>
    <x v="437"/>
    <x v="395"/>
    <s v="Series C"/>
    <x v="2"/>
    <n v="0.15"/>
    <s v="2022-11"/>
  </r>
  <r>
    <x v="1607"/>
    <x v="6"/>
    <x v="3"/>
    <x v="3"/>
    <x v="437"/>
    <x v="32"/>
    <s v="Acquired"/>
    <x v="2"/>
    <s v="NA"/>
    <s v="2022-11"/>
  </r>
  <r>
    <x v="1608"/>
    <x v="115"/>
    <x v="27"/>
    <x v="3"/>
    <x v="437"/>
    <x v="579"/>
    <s v="Private Equity"/>
    <x v="34"/>
    <n v="0.12"/>
    <s v="2022-11"/>
  </r>
  <r>
    <x v="1609"/>
    <x v="6"/>
    <x v="11"/>
    <x v="3"/>
    <x v="437"/>
    <x v="298"/>
    <s v="Post-IPO"/>
    <x v="2"/>
    <s v="NA"/>
    <s v="2022-11"/>
  </r>
  <r>
    <x v="1610"/>
    <x v="17"/>
    <x v="5"/>
    <x v="3"/>
    <x v="437"/>
    <x v="388"/>
    <s v="Series B"/>
    <x v="2"/>
    <n v="1"/>
    <s v="2022-11"/>
  </r>
  <r>
    <x v="1305"/>
    <x v="6"/>
    <x v="4"/>
    <x v="3"/>
    <x v="437"/>
    <x v="94"/>
    <s v="Post-IPO"/>
    <x v="2"/>
    <n v="0.1"/>
    <s v="2022-11"/>
  </r>
  <r>
    <x v="361"/>
    <x v="55"/>
    <x v="26"/>
    <x v="3"/>
    <x v="437"/>
    <x v="236"/>
    <s v="Post-IPO"/>
    <x v="22"/>
    <s v="NA"/>
    <s v="2022-11"/>
  </r>
  <r>
    <x v="1611"/>
    <x v="17"/>
    <x v="4"/>
    <x v="28"/>
    <x v="438"/>
    <x v="507"/>
    <s v="Post-IPO"/>
    <x v="2"/>
    <s v="NA"/>
    <s v="2022-11"/>
  </r>
  <r>
    <x v="1612"/>
    <x v="17"/>
    <x v="5"/>
    <x v="74"/>
    <x v="438"/>
    <x v="444"/>
    <s v="Series B"/>
    <x v="2"/>
    <n v="0.5"/>
    <s v="2022-11"/>
  </r>
  <r>
    <x v="624"/>
    <x v="6"/>
    <x v="20"/>
    <x v="3"/>
    <x v="438"/>
    <x v="346"/>
    <s v="Post-IPO"/>
    <x v="2"/>
    <n v="0.16"/>
    <s v="2022-11"/>
  </r>
  <r>
    <x v="1613"/>
    <x v="192"/>
    <x v="10"/>
    <x v="3"/>
    <x v="438"/>
    <x v="47"/>
    <s v="Series B"/>
    <x v="48"/>
    <s v="NA"/>
    <s v="2022-11"/>
  </r>
  <r>
    <x v="1614"/>
    <x v="4"/>
    <x v="5"/>
    <x v="3"/>
    <x v="438"/>
    <x v="598"/>
    <s v="Post-IPO"/>
    <x v="2"/>
    <n v="0.1"/>
    <s v="2022-11"/>
  </r>
  <r>
    <x v="1615"/>
    <x v="9"/>
    <x v="4"/>
    <x v="3"/>
    <x v="438"/>
    <x v="12"/>
    <s v="Acquired"/>
    <x v="2"/>
    <n v="0.11"/>
    <s v="2022-11"/>
  </r>
  <r>
    <x v="225"/>
    <x v="6"/>
    <x v="9"/>
    <x v="4"/>
    <x v="439"/>
    <x v="164"/>
    <s v="Post-IPO"/>
    <x v="2"/>
    <n v="0.01"/>
    <s v="2022-11"/>
  </r>
  <r>
    <x v="988"/>
    <x v="20"/>
    <x v="11"/>
    <x v="62"/>
    <x v="439"/>
    <x v="457"/>
    <s v="Series H"/>
    <x v="6"/>
    <n v="0.1"/>
    <s v="2022-11"/>
  </r>
  <r>
    <x v="828"/>
    <x v="6"/>
    <x v="18"/>
    <x v="62"/>
    <x v="439"/>
    <x v="390"/>
    <s v="Acquired"/>
    <x v="2"/>
    <n v="0.05"/>
    <s v="2022-11"/>
  </r>
  <r>
    <x v="1616"/>
    <x v="106"/>
    <x v="1"/>
    <x v="281"/>
    <x v="439"/>
    <x v="194"/>
    <s v="Private Equity"/>
    <x v="31"/>
    <n v="0.12"/>
    <s v="2022-11"/>
  </r>
  <r>
    <x v="685"/>
    <x v="67"/>
    <x v="25"/>
    <x v="3"/>
    <x v="439"/>
    <x v="126"/>
    <s v="Unknown"/>
    <x v="2"/>
    <n v="0.15"/>
    <s v="2022-11"/>
  </r>
  <r>
    <x v="1617"/>
    <x v="6"/>
    <x v="27"/>
    <x v="3"/>
    <x v="439"/>
    <x v="253"/>
    <s v="Series F"/>
    <x v="2"/>
    <n v="0.25"/>
    <s v="2022-11"/>
  </r>
  <r>
    <x v="1618"/>
    <x v="3"/>
    <x v="25"/>
    <x v="124"/>
    <x v="440"/>
    <x v="43"/>
    <s v="Post-IPO"/>
    <x v="2"/>
    <n v="0.05"/>
    <s v="2022-11"/>
  </r>
  <r>
    <x v="843"/>
    <x v="52"/>
    <x v="11"/>
    <x v="37"/>
    <x v="440"/>
    <x v="351"/>
    <s v="Series D"/>
    <x v="21"/>
    <s v="NA"/>
    <s v="2022-11"/>
  </r>
  <r>
    <x v="1619"/>
    <x v="193"/>
    <x v="11"/>
    <x v="3"/>
    <x v="440"/>
    <x v="190"/>
    <s v="Unknown"/>
    <x v="6"/>
    <s v="NA"/>
    <s v="2022-11"/>
  </r>
  <r>
    <x v="1077"/>
    <x v="6"/>
    <x v="6"/>
    <x v="282"/>
    <x v="441"/>
    <x v="203"/>
    <s v="Post-IPO"/>
    <x v="2"/>
    <n v="0.5"/>
    <s v="2022-11"/>
  </r>
  <r>
    <x v="325"/>
    <x v="20"/>
    <x v="21"/>
    <x v="62"/>
    <x v="441"/>
    <x v="113"/>
    <s v="Unknown"/>
    <x v="6"/>
    <s v="NA"/>
    <s v="2022-11"/>
  </r>
  <r>
    <x v="1620"/>
    <x v="14"/>
    <x v="4"/>
    <x v="28"/>
    <x v="441"/>
    <x v="28"/>
    <s v="Acquired"/>
    <x v="5"/>
    <n v="1"/>
    <s v="2022-11"/>
  </r>
  <r>
    <x v="1621"/>
    <x v="71"/>
    <x v="1"/>
    <x v="43"/>
    <x v="441"/>
    <x v="56"/>
    <s v="Unknown"/>
    <x v="26"/>
    <n v="0.08"/>
    <s v="2022-11"/>
  </r>
  <r>
    <x v="1622"/>
    <x v="194"/>
    <x v="2"/>
    <x v="157"/>
    <x v="441"/>
    <x v="73"/>
    <s v="Unknown"/>
    <x v="2"/>
    <n v="0.22"/>
    <s v="2022-11"/>
  </r>
  <r>
    <x v="1623"/>
    <x v="3"/>
    <x v="21"/>
    <x v="3"/>
    <x v="441"/>
    <x v="599"/>
    <s v="Series A"/>
    <x v="2"/>
    <n v="0.14000000000000001"/>
    <s v="2022-11"/>
  </r>
  <r>
    <x v="1624"/>
    <x v="9"/>
    <x v="2"/>
    <x v="3"/>
    <x v="441"/>
    <x v="528"/>
    <s v="Series C"/>
    <x v="2"/>
    <n v="0.1"/>
    <s v="2022-11"/>
  </r>
  <r>
    <x v="745"/>
    <x v="6"/>
    <x v="1"/>
    <x v="4"/>
    <x v="442"/>
    <x v="453"/>
    <s v="Series H"/>
    <x v="2"/>
    <n v="0.14000000000000001"/>
    <s v="2022-11"/>
  </r>
  <r>
    <x v="923"/>
    <x v="6"/>
    <x v="10"/>
    <x v="86"/>
    <x v="442"/>
    <x v="140"/>
    <s v="Post-IPO"/>
    <x v="2"/>
    <n v="0.13"/>
    <s v="2022-11"/>
  </r>
  <r>
    <x v="979"/>
    <x v="111"/>
    <x v="1"/>
    <x v="28"/>
    <x v="442"/>
    <x v="12"/>
    <s v="Post-IPO"/>
    <x v="2"/>
    <s v="NA"/>
    <s v="2022-11"/>
  </r>
  <r>
    <x v="1625"/>
    <x v="36"/>
    <x v="1"/>
    <x v="0"/>
    <x v="442"/>
    <x v="294"/>
    <s v="Series C"/>
    <x v="2"/>
    <n v="0.15"/>
    <s v="2022-11"/>
  </r>
  <r>
    <x v="328"/>
    <x v="14"/>
    <x v="0"/>
    <x v="1"/>
    <x v="442"/>
    <x v="16"/>
    <s v="Post-IPO"/>
    <x v="5"/>
    <s v="NA"/>
    <s v="2022-11"/>
  </r>
  <r>
    <x v="1626"/>
    <x v="6"/>
    <x v="24"/>
    <x v="14"/>
    <x v="442"/>
    <x v="281"/>
    <s v="Series E"/>
    <x v="2"/>
    <n v="0.2"/>
    <s v="2022-11"/>
  </r>
  <r>
    <x v="149"/>
    <x v="6"/>
    <x v="1"/>
    <x v="3"/>
    <x v="442"/>
    <x v="113"/>
    <s v="Post-IPO"/>
    <x v="2"/>
    <n v="0.01"/>
    <s v="2022-11"/>
  </r>
  <r>
    <x v="411"/>
    <x v="9"/>
    <x v="22"/>
    <x v="3"/>
    <x v="442"/>
    <x v="22"/>
    <s v="Unknown"/>
    <x v="2"/>
    <s v="NA"/>
    <s v="2022-11"/>
  </r>
  <r>
    <x v="1627"/>
    <x v="6"/>
    <x v="3"/>
    <x v="3"/>
    <x v="442"/>
    <x v="90"/>
    <s v="Post-IPO"/>
    <x v="2"/>
    <n v="0.1"/>
    <s v="2022-11"/>
  </r>
  <r>
    <x v="1628"/>
    <x v="58"/>
    <x v="0"/>
    <x v="3"/>
    <x v="442"/>
    <x v="157"/>
    <s v="Series C"/>
    <x v="2"/>
    <s v="NA"/>
    <s v="2022-11"/>
  </r>
  <r>
    <x v="1629"/>
    <x v="17"/>
    <x v="5"/>
    <x v="3"/>
    <x v="442"/>
    <x v="385"/>
    <s v="Post-IPO"/>
    <x v="2"/>
    <s v="0.8200000000000001"/>
    <s v="2022-11"/>
  </r>
  <r>
    <x v="1630"/>
    <x v="6"/>
    <x v="22"/>
    <x v="3"/>
    <x v="442"/>
    <x v="403"/>
    <s v="Series D"/>
    <x v="2"/>
    <n v="0.15"/>
    <s v="2022-11"/>
  </r>
  <r>
    <x v="1631"/>
    <x v="6"/>
    <x v="11"/>
    <x v="3"/>
    <x v="442"/>
    <x v="86"/>
    <s v="Series B"/>
    <x v="2"/>
    <s v="NA"/>
    <s v="2022-11"/>
  </r>
  <r>
    <x v="932"/>
    <x v="6"/>
    <x v="22"/>
    <x v="16"/>
    <x v="443"/>
    <x v="40"/>
    <s v="Post-IPO"/>
    <x v="2"/>
    <n v="0.18"/>
    <s v="2022-11"/>
  </r>
  <r>
    <x v="1632"/>
    <x v="6"/>
    <x v="1"/>
    <x v="242"/>
    <x v="443"/>
    <x v="453"/>
    <s v="Series G"/>
    <x v="2"/>
    <n v="0.12"/>
    <s v="2022-11"/>
  </r>
  <r>
    <x v="533"/>
    <x v="6"/>
    <x v="1"/>
    <x v="251"/>
    <x v="443"/>
    <x v="312"/>
    <s v="Series H"/>
    <x v="2"/>
    <n v="0.1"/>
    <s v="2022-11"/>
  </r>
  <r>
    <x v="700"/>
    <x v="37"/>
    <x v="2"/>
    <x v="167"/>
    <x v="443"/>
    <x v="383"/>
    <s v="Series D"/>
    <x v="2"/>
    <n v="0.22"/>
    <s v="2022-11"/>
  </r>
  <r>
    <x v="1633"/>
    <x v="1"/>
    <x v="25"/>
    <x v="1"/>
    <x v="443"/>
    <x v="450"/>
    <s v="Series C"/>
    <x v="1"/>
    <n v="0.1"/>
    <s v="2022-11"/>
  </r>
  <r>
    <x v="1634"/>
    <x v="14"/>
    <x v="1"/>
    <x v="1"/>
    <x v="443"/>
    <x v="133"/>
    <s v="Unknown"/>
    <x v="5"/>
    <n v="0.15"/>
    <s v="2022-11"/>
  </r>
  <r>
    <x v="1635"/>
    <x v="6"/>
    <x v="0"/>
    <x v="31"/>
    <x v="443"/>
    <x v="327"/>
    <s v="Series C"/>
    <x v="2"/>
    <n v="0.5"/>
    <s v="2022-11"/>
  </r>
  <r>
    <x v="1636"/>
    <x v="103"/>
    <x v="2"/>
    <x v="100"/>
    <x v="443"/>
    <x v="12"/>
    <s v="Unknown"/>
    <x v="2"/>
    <n v="0.13"/>
    <s v="2022-11"/>
  </r>
  <r>
    <x v="1637"/>
    <x v="195"/>
    <x v="2"/>
    <x v="3"/>
    <x v="443"/>
    <x v="600"/>
    <s v="Seed"/>
    <x v="46"/>
    <n v="0.3"/>
    <s v="2022-11"/>
  </r>
  <r>
    <x v="1638"/>
    <x v="196"/>
    <x v="25"/>
    <x v="3"/>
    <x v="443"/>
    <x v="115"/>
    <s v="Acquired"/>
    <x v="0"/>
    <s v="NA"/>
    <s v="2022-11"/>
  </r>
  <r>
    <x v="1639"/>
    <x v="6"/>
    <x v="10"/>
    <x v="283"/>
    <x v="444"/>
    <x v="166"/>
    <s v="Unknown"/>
    <x v="2"/>
    <s v="NA"/>
    <s v="2022-11"/>
  </r>
  <r>
    <x v="1640"/>
    <x v="180"/>
    <x v="7"/>
    <x v="284"/>
    <x v="444"/>
    <x v="12"/>
    <s v="Acquired"/>
    <x v="2"/>
    <s v="NA"/>
    <s v="2022-11"/>
  </r>
  <r>
    <x v="1309"/>
    <x v="6"/>
    <x v="4"/>
    <x v="28"/>
    <x v="444"/>
    <x v="12"/>
    <s v="Post-IPO"/>
    <x v="2"/>
    <s v="NA"/>
    <s v="2022-11"/>
  </r>
  <r>
    <x v="1198"/>
    <x v="6"/>
    <x v="1"/>
    <x v="24"/>
    <x v="444"/>
    <x v="511"/>
    <s v="Post-IPO"/>
    <x v="2"/>
    <n v="7.0000000000000007E-2"/>
    <s v="2022-11"/>
  </r>
  <r>
    <x v="634"/>
    <x v="6"/>
    <x v="15"/>
    <x v="1"/>
    <x v="444"/>
    <x v="351"/>
    <s v="Series C"/>
    <x v="2"/>
    <n v="0.33"/>
    <s v="2022-11"/>
  </r>
  <r>
    <x v="0"/>
    <x v="0"/>
    <x v="0"/>
    <x v="43"/>
    <x v="444"/>
    <x v="601"/>
    <s v="Unknown"/>
    <x v="22"/>
    <n v="0.18"/>
    <s v="2022-11"/>
  </r>
  <r>
    <x v="0"/>
    <x v="0"/>
    <x v="0"/>
    <x v="43"/>
    <x v="444"/>
    <x v="235"/>
    <s v="Unknown"/>
    <x v="0"/>
    <n v="0.18"/>
    <s v="2022-11"/>
  </r>
  <r>
    <x v="0"/>
    <x v="0"/>
    <x v="0"/>
    <x v="43"/>
    <x v="444"/>
    <x v="567"/>
    <s v="Unknown"/>
    <x v="0"/>
    <n v="0.06"/>
    <s v="2022-11"/>
  </r>
  <r>
    <x v="1286"/>
    <x v="37"/>
    <x v="3"/>
    <x v="31"/>
    <x v="444"/>
    <x v="346"/>
    <s v="Series C"/>
    <x v="7"/>
    <n v="0.05"/>
    <s v="2022-11"/>
  </r>
  <r>
    <x v="1641"/>
    <x v="62"/>
    <x v="3"/>
    <x v="56"/>
    <x v="444"/>
    <x v="13"/>
    <s v="Series B"/>
    <x v="7"/>
    <s v="NA"/>
    <s v="2022-11"/>
  </r>
  <r>
    <x v="1642"/>
    <x v="106"/>
    <x v="6"/>
    <x v="100"/>
    <x v="444"/>
    <x v="12"/>
    <s v="Unknown"/>
    <x v="31"/>
    <s v="NA"/>
    <s v="2022-11"/>
  </r>
  <r>
    <x v="896"/>
    <x v="6"/>
    <x v="5"/>
    <x v="3"/>
    <x v="444"/>
    <x v="369"/>
    <s v="Series C"/>
    <x v="2"/>
    <n v="0.2"/>
    <s v="2022-11"/>
  </r>
  <r>
    <x v="1643"/>
    <x v="17"/>
    <x v="18"/>
    <x v="3"/>
    <x v="444"/>
    <x v="151"/>
    <s v="Series B"/>
    <x v="2"/>
    <s v="NA"/>
    <s v="2022-11"/>
  </r>
  <r>
    <x v="1644"/>
    <x v="55"/>
    <x v="5"/>
    <x v="11"/>
    <x v="445"/>
    <x v="602"/>
    <s v="Series D"/>
    <x v="22"/>
    <n v="0.1"/>
    <s v="2022-10"/>
  </r>
  <r>
    <x v="1645"/>
    <x v="17"/>
    <x v="29"/>
    <x v="14"/>
    <x v="445"/>
    <x v="603"/>
    <s v="Series D"/>
    <x v="2"/>
    <s v="NA"/>
    <s v="2022-10"/>
  </r>
  <r>
    <x v="1646"/>
    <x v="3"/>
    <x v="1"/>
    <x v="2"/>
    <x v="445"/>
    <x v="183"/>
    <s v="Series B"/>
    <x v="2"/>
    <n v="0.27"/>
    <s v="2022-10"/>
  </r>
  <r>
    <x v="1153"/>
    <x v="6"/>
    <x v="1"/>
    <x v="37"/>
    <x v="445"/>
    <x v="390"/>
    <s v="Series B"/>
    <x v="2"/>
    <n v="0.2"/>
    <s v="2022-10"/>
  </r>
  <r>
    <x v="710"/>
    <x v="20"/>
    <x v="21"/>
    <x v="121"/>
    <x v="445"/>
    <x v="354"/>
    <s v="Series A"/>
    <x v="6"/>
    <s v="NA"/>
    <s v="2022-10"/>
  </r>
  <r>
    <x v="1647"/>
    <x v="48"/>
    <x v="11"/>
    <x v="3"/>
    <x v="445"/>
    <x v="27"/>
    <s v="Series B"/>
    <x v="6"/>
    <n v="0.3"/>
    <s v="2022-10"/>
  </r>
  <r>
    <x v="90"/>
    <x v="4"/>
    <x v="21"/>
    <x v="0"/>
    <x v="446"/>
    <x v="74"/>
    <s v="Post-IPO"/>
    <x v="2"/>
    <s v="NA"/>
    <s v="2022-10"/>
  </r>
  <r>
    <x v="1648"/>
    <x v="18"/>
    <x v="0"/>
    <x v="1"/>
    <x v="446"/>
    <x v="55"/>
    <s v="Series B"/>
    <x v="2"/>
    <n v="1"/>
    <s v="2022-10"/>
  </r>
  <r>
    <x v="1649"/>
    <x v="4"/>
    <x v="5"/>
    <x v="210"/>
    <x v="446"/>
    <x v="12"/>
    <s v="Unknown"/>
    <x v="2"/>
    <n v="0.21"/>
    <s v="2022-10"/>
  </r>
  <r>
    <x v="1650"/>
    <x v="197"/>
    <x v="0"/>
    <x v="3"/>
    <x v="446"/>
    <x v="183"/>
    <s v="Series C"/>
    <x v="5"/>
    <s v="0.35000000000000003"/>
    <s v="2022-10"/>
  </r>
  <r>
    <x v="919"/>
    <x v="38"/>
    <x v="28"/>
    <x v="224"/>
    <x v="447"/>
    <x v="439"/>
    <s v="Series B"/>
    <x v="7"/>
    <n v="0.43"/>
    <s v="2022-10"/>
  </r>
  <r>
    <x v="1651"/>
    <x v="9"/>
    <x v="1"/>
    <x v="118"/>
    <x v="447"/>
    <x v="595"/>
    <s v="Series B"/>
    <x v="2"/>
    <n v="0.17"/>
    <s v="2022-10"/>
  </r>
  <r>
    <x v="1332"/>
    <x v="6"/>
    <x v="12"/>
    <x v="46"/>
    <x v="447"/>
    <x v="535"/>
    <s v="Series F"/>
    <x v="2"/>
    <s v="NA"/>
    <s v="2022-10"/>
  </r>
  <r>
    <x v="1652"/>
    <x v="91"/>
    <x v="26"/>
    <x v="3"/>
    <x v="447"/>
    <x v="12"/>
    <s v="Seed"/>
    <x v="6"/>
    <n v="1"/>
    <s v="2022-10"/>
  </r>
  <r>
    <x v="1653"/>
    <x v="16"/>
    <x v="21"/>
    <x v="3"/>
    <x v="447"/>
    <x v="12"/>
    <s v="Unknown"/>
    <x v="2"/>
    <s v="NA"/>
    <s v="2022-10"/>
  </r>
  <r>
    <x v="990"/>
    <x v="6"/>
    <x v="16"/>
    <x v="106"/>
    <x v="448"/>
    <x v="12"/>
    <s v="Post-IPO"/>
    <x v="2"/>
    <n v="0.08"/>
    <s v="2022-10"/>
  </r>
  <r>
    <x v="1654"/>
    <x v="198"/>
    <x v="19"/>
    <x v="9"/>
    <x v="448"/>
    <x v="436"/>
    <s v="Post-IPO"/>
    <x v="2"/>
    <n v="0.15"/>
    <s v="2022-10"/>
  </r>
  <r>
    <x v="413"/>
    <x v="4"/>
    <x v="22"/>
    <x v="11"/>
    <x v="448"/>
    <x v="227"/>
    <s v="Post-IPO"/>
    <x v="2"/>
    <n v="0.05"/>
    <s v="2022-10"/>
  </r>
  <r>
    <x v="107"/>
    <x v="17"/>
    <x v="25"/>
    <x v="28"/>
    <x v="448"/>
    <x v="84"/>
    <s v="Series F"/>
    <x v="2"/>
    <n v="0.17"/>
    <s v="2022-10"/>
  </r>
  <r>
    <x v="1639"/>
    <x v="18"/>
    <x v="10"/>
    <x v="285"/>
    <x v="448"/>
    <x v="166"/>
    <s v="Unknown"/>
    <x v="2"/>
    <s v="NA"/>
    <s v="2022-10"/>
  </r>
  <r>
    <x v="1655"/>
    <x v="6"/>
    <x v="1"/>
    <x v="105"/>
    <x v="448"/>
    <x v="12"/>
    <s v="Series A"/>
    <x v="2"/>
    <n v="0.12"/>
    <s v="2022-10"/>
  </r>
  <r>
    <x v="1656"/>
    <x v="6"/>
    <x v="16"/>
    <x v="3"/>
    <x v="448"/>
    <x v="456"/>
    <s v="Series E"/>
    <x v="2"/>
    <s v="NA"/>
    <s v="2022-10"/>
  </r>
  <r>
    <x v="1657"/>
    <x v="6"/>
    <x v="1"/>
    <x v="0"/>
    <x v="449"/>
    <x v="604"/>
    <s v="Series D"/>
    <x v="2"/>
    <n v="0.42"/>
    <s v="2022-10"/>
  </r>
  <r>
    <x v="1658"/>
    <x v="6"/>
    <x v="1"/>
    <x v="2"/>
    <x v="449"/>
    <x v="605"/>
    <s v="Series C"/>
    <x v="2"/>
    <n v="0.12"/>
    <s v="2022-10"/>
  </r>
  <r>
    <x v="1659"/>
    <x v="1"/>
    <x v="12"/>
    <x v="48"/>
    <x v="449"/>
    <x v="128"/>
    <s v="Seed"/>
    <x v="1"/>
    <n v="0.5"/>
    <s v="2022-10"/>
  </r>
  <r>
    <x v="1660"/>
    <x v="6"/>
    <x v="26"/>
    <x v="3"/>
    <x v="449"/>
    <x v="12"/>
    <s v="Series D"/>
    <x v="2"/>
    <s v="0.35000000000000003"/>
    <s v="2022-10"/>
  </r>
  <r>
    <x v="447"/>
    <x v="4"/>
    <x v="24"/>
    <x v="3"/>
    <x v="449"/>
    <x v="99"/>
    <s v="Series E"/>
    <x v="2"/>
    <s v="NA"/>
    <s v="2022-10"/>
  </r>
  <r>
    <x v="1205"/>
    <x v="46"/>
    <x v="5"/>
    <x v="13"/>
    <x v="450"/>
    <x v="12"/>
    <s v="Post-IPO"/>
    <x v="18"/>
    <n v="0.05"/>
    <s v="2022-10"/>
  </r>
  <r>
    <x v="1072"/>
    <x v="6"/>
    <x v="5"/>
    <x v="9"/>
    <x v="450"/>
    <x v="102"/>
    <s v="Series C"/>
    <x v="2"/>
    <n v="0.2"/>
    <s v="2022-10"/>
  </r>
  <r>
    <x v="947"/>
    <x v="17"/>
    <x v="25"/>
    <x v="267"/>
    <x v="450"/>
    <x v="447"/>
    <s v="Series F"/>
    <x v="2"/>
    <n v="0.14000000000000001"/>
    <s v="2022-10"/>
  </r>
  <r>
    <x v="381"/>
    <x v="14"/>
    <x v="22"/>
    <x v="1"/>
    <x v="450"/>
    <x v="26"/>
    <s v="Unknown"/>
    <x v="5"/>
    <s v="NA"/>
    <s v="2022-10"/>
  </r>
  <r>
    <x v="1301"/>
    <x v="106"/>
    <x v="4"/>
    <x v="31"/>
    <x v="450"/>
    <x v="64"/>
    <s v="Series D"/>
    <x v="31"/>
    <n v="0.04"/>
    <s v="2022-10"/>
  </r>
  <r>
    <x v="6"/>
    <x v="5"/>
    <x v="5"/>
    <x v="40"/>
    <x v="451"/>
    <x v="6"/>
    <s v="Unknown"/>
    <x v="1"/>
    <n v="0.16"/>
    <s v="2022-10"/>
  </r>
  <r>
    <x v="1661"/>
    <x v="1"/>
    <x v="5"/>
    <x v="121"/>
    <x v="451"/>
    <x v="518"/>
    <s v="Unknown"/>
    <x v="1"/>
    <n v="0.38"/>
    <s v="2022-10"/>
  </r>
  <r>
    <x v="697"/>
    <x v="16"/>
    <x v="9"/>
    <x v="17"/>
    <x v="452"/>
    <x v="205"/>
    <s v="Private Equity"/>
    <x v="2"/>
    <n v="0.1"/>
    <s v="2022-10"/>
  </r>
  <r>
    <x v="419"/>
    <x v="4"/>
    <x v="25"/>
    <x v="1"/>
    <x v="452"/>
    <x v="12"/>
    <s v="Post-IPO"/>
    <x v="2"/>
    <n v="0.01"/>
    <s v="2022-10"/>
  </r>
  <r>
    <x v="1662"/>
    <x v="14"/>
    <x v="1"/>
    <x v="194"/>
    <x v="452"/>
    <x v="43"/>
    <s v="Unknown"/>
    <x v="5"/>
    <n v="0.33"/>
    <s v="2022-10"/>
  </r>
  <r>
    <x v="1663"/>
    <x v="19"/>
    <x v="5"/>
    <x v="2"/>
    <x v="452"/>
    <x v="144"/>
    <s v="Series A"/>
    <x v="6"/>
    <n v="0.3"/>
    <s v="2022-10"/>
  </r>
  <r>
    <x v="1664"/>
    <x v="6"/>
    <x v="10"/>
    <x v="3"/>
    <x v="452"/>
    <x v="483"/>
    <s v="Post-IPO"/>
    <x v="2"/>
    <n v="0.54"/>
    <s v="2022-10"/>
  </r>
  <r>
    <x v="1665"/>
    <x v="112"/>
    <x v="3"/>
    <x v="286"/>
    <x v="453"/>
    <x v="295"/>
    <s v="Series C"/>
    <x v="31"/>
    <n v="0.12"/>
    <s v="2022-10"/>
  </r>
  <r>
    <x v="415"/>
    <x v="6"/>
    <x v="22"/>
    <x v="253"/>
    <x v="453"/>
    <x v="265"/>
    <s v="Series C"/>
    <x v="2"/>
    <n v="0.46"/>
    <s v="2022-10"/>
  </r>
  <r>
    <x v="1666"/>
    <x v="6"/>
    <x v="14"/>
    <x v="121"/>
    <x v="453"/>
    <x v="564"/>
    <s v="Series C"/>
    <x v="2"/>
    <n v="0.11"/>
    <s v="2022-10"/>
  </r>
  <r>
    <x v="1667"/>
    <x v="59"/>
    <x v="9"/>
    <x v="33"/>
    <x v="453"/>
    <x v="28"/>
    <s v="Private Equity"/>
    <x v="2"/>
    <s v="NA"/>
    <s v="2022-10"/>
  </r>
  <r>
    <x v="485"/>
    <x v="10"/>
    <x v="10"/>
    <x v="3"/>
    <x v="453"/>
    <x v="289"/>
    <s v="Post-IPO"/>
    <x v="3"/>
    <s v="NA"/>
    <s v="2022-10"/>
  </r>
  <r>
    <x v="1008"/>
    <x v="6"/>
    <x v="22"/>
    <x v="3"/>
    <x v="453"/>
    <x v="278"/>
    <s v="Series E"/>
    <x v="2"/>
    <n v="0.2"/>
    <s v="2022-10"/>
  </r>
  <r>
    <x v="1285"/>
    <x v="17"/>
    <x v="4"/>
    <x v="3"/>
    <x v="453"/>
    <x v="528"/>
    <s v="Post-IPO"/>
    <x v="2"/>
    <n v="0.5"/>
    <s v="2022-10"/>
  </r>
  <r>
    <x v="25"/>
    <x v="15"/>
    <x v="0"/>
    <x v="38"/>
    <x v="454"/>
    <x v="24"/>
    <s v="Series H"/>
    <x v="2"/>
    <s v="NA"/>
    <s v="2022-10"/>
  </r>
  <r>
    <x v="1668"/>
    <x v="6"/>
    <x v="1"/>
    <x v="210"/>
    <x v="454"/>
    <x v="104"/>
    <s v="Series B"/>
    <x v="2"/>
    <n v="0.3"/>
    <s v="2022-10"/>
  </r>
  <r>
    <x v="1669"/>
    <x v="10"/>
    <x v="25"/>
    <x v="33"/>
    <x v="454"/>
    <x v="329"/>
    <s v="Series B"/>
    <x v="3"/>
    <n v="0.12"/>
    <s v="2022-10"/>
  </r>
  <r>
    <x v="1670"/>
    <x v="93"/>
    <x v="22"/>
    <x v="3"/>
    <x v="454"/>
    <x v="142"/>
    <s v="Series B"/>
    <x v="2"/>
    <s v="NA"/>
    <s v="2022-10"/>
  </r>
  <r>
    <x v="1671"/>
    <x v="199"/>
    <x v="27"/>
    <x v="3"/>
    <x v="454"/>
    <x v="606"/>
    <s v="Series G"/>
    <x v="10"/>
    <s v="NA"/>
    <s v="2022-10"/>
  </r>
  <r>
    <x v="1672"/>
    <x v="6"/>
    <x v="22"/>
    <x v="3"/>
    <x v="454"/>
    <x v="107"/>
    <s v="Unknown"/>
    <x v="2"/>
    <s v="NA"/>
    <s v="2022-10"/>
  </r>
  <r>
    <x v="429"/>
    <x v="6"/>
    <x v="21"/>
    <x v="118"/>
    <x v="455"/>
    <x v="14"/>
    <s v="Series G"/>
    <x v="2"/>
    <n v="7.0000000000000007E-2"/>
    <s v="2022-10"/>
  </r>
  <r>
    <x v="1022"/>
    <x v="4"/>
    <x v="21"/>
    <x v="65"/>
    <x v="455"/>
    <x v="106"/>
    <s v="Post-IPO"/>
    <x v="2"/>
    <n v="0.21"/>
    <s v="2022-10"/>
  </r>
  <r>
    <x v="1673"/>
    <x v="14"/>
    <x v="5"/>
    <x v="31"/>
    <x v="456"/>
    <x v="559"/>
    <s v="Series B"/>
    <x v="5"/>
    <s v="NA"/>
    <s v="2022-10"/>
  </r>
  <r>
    <x v="1674"/>
    <x v="176"/>
    <x v="3"/>
    <x v="31"/>
    <x v="456"/>
    <x v="12"/>
    <s v="Unknown"/>
    <x v="45"/>
    <n v="0.05"/>
    <s v="2022-10"/>
  </r>
  <r>
    <x v="5"/>
    <x v="4"/>
    <x v="4"/>
    <x v="3"/>
    <x v="456"/>
    <x v="5"/>
    <s v="Post-IPO"/>
    <x v="2"/>
    <s v="NA"/>
    <s v="2022-10"/>
  </r>
  <r>
    <x v="1675"/>
    <x v="14"/>
    <x v="2"/>
    <x v="3"/>
    <x v="456"/>
    <x v="92"/>
    <s v="Series B"/>
    <x v="5"/>
    <n v="1"/>
    <s v="2022-10"/>
  </r>
  <r>
    <x v="1676"/>
    <x v="6"/>
    <x v="26"/>
    <x v="56"/>
    <x v="457"/>
    <x v="429"/>
    <s v="Unknown"/>
    <x v="2"/>
    <n v="0.21"/>
    <s v="2022-10"/>
  </r>
  <r>
    <x v="1677"/>
    <x v="100"/>
    <x v="16"/>
    <x v="3"/>
    <x v="457"/>
    <x v="12"/>
    <s v="Unknown"/>
    <x v="17"/>
    <s v="NA"/>
    <s v="2022-10"/>
  </r>
  <r>
    <x v="1235"/>
    <x v="129"/>
    <x v="22"/>
    <x v="287"/>
    <x v="458"/>
    <x v="12"/>
    <s v="Unknown"/>
    <x v="2"/>
    <n v="0.27"/>
    <s v="2022-10"/>
  </r>
  <r>
    <x v="423"/>
    <x v="9"/>
    <x v="0"/>
    <x v="28"/>
    <x v="458"/>
    <x v="270"/>
    <s v="Post-IPO"/>
    <x v="2"/>
    <n v="0.19"/>
    <s v="2022-10"/>
  </r>
  <r>
    <x v="423"/>
    <x v="9"/>
    <x v="0"/>
    <x v="28"/>
    <x v="458"/>
    <x v="270"/>
    <s v="Post-IPO"/>
    <x v="2"/>
    <n v="0.19"/>
    <s v="2022-10"/>
  </r>
  <r>
    <x v="1678"/>
    <x v="10"/>
    <x v="1"/>
    <x v="3"/>
    <x v="458"/>
    <x v="185"/>
    <s v="Unknown"/>
    <x v="3"/>
    <n v="1"/>
    <s v="2022-10"/>
  </r>
  <r>
    <x v="1679"/>
    <x v="83"/>
    <x v="11"/>
    <x v="3"/>
    <x v="458"/>
    <x v="12"/>
    <s v="Seed"/>
    <x v="6"/>
    <n v="1"/>
    <s v="2022-10"/>
  </r>
  <r>
    <x v="225"/>
    <x v="6"/>
    <x v="9"/>
    <x v="58"/>
    <x v="459"/>
    <x v="164"/>
    <s v="Post-IPO"/>
    <x v="2"/>
    <s v="NA"/>
    <s v="2022-10"/>
  </r>
  <r>
    <x v="1680"/>
    <x v="3"/>
    <x v="6"/>
    <x v="74"/>
    <x v="459"/>
    <x v="121"/>
    <s v="Acquired"/>
    <x v="2"/>
    <n v="1"/>
    <s v="2022-10"/>
  </r>
  <r>
    <x v="1681"/>
    <x v="4"/>
    <x v="25"/>
    <x v="3"/>
    <x v="459"/>
    <x v="62"/>
    <s v="Series C"/>
    <x v="2"/>
    <s v="NA"/>
    <s v="2022-10"/>
  </r>
  <r>
    <x v="95"/>
    <x v="20"/>
    <x v="11"/>
    <x v="82"/>
    <x v="460"/>
    <x v="76"/>
    <s v="Private Equity"/>
    <x v="6"/>
    <n v="0.05"/>
    <s v="2022-10"/>
  </r>
  <r>
    <x v="1682"/>
    <x v="6"/>
    <x v="9"/>
    <x v="0"/>
    <x v="460"/>
    <x v="180"/>
    <s v="Series E"/>
    <x v="2"/>
    <n v="0.1"/>
    <s v="2022-10"/>
  </r>
  <r>
    <x v="1683"/>
    <x v="55"/>
    <x v="4"/>
    <x v="0"/>
    <x v="460"/>
    <x v="113"/>
    <s v="Post-IPO"/>
    <x v="22"/>
    <s v="NA"/>
    <s v="2022-10"/>
  </r>
  <r>
    <x v="712"/>
    <x v="20"/>
    <x v="11"/>
    <x v="80"/>
    <x v="460"/>
    <x v="354"/>
    <s v="Series A"/>
    <x v="6"/>
    <n v="0.75"/>
    <s v="2022-10"/>
  </r>
  <r>
    <x v="219"/>
    <x v="3"/>
    <x v="5"/>
    <x v="30"/>
    <x v="461"/>
    <x v="160"/>
    <s v="Series F"/>
    <x v="2"/>
    <n v="0.1"/>
    <s v="2022-10"/>
  </r>
  <r>
    <x v="1684"/>
    <x v="45"/>
    <x v="1"/>
    <x v="28"/>
    <x v="461"/>
    <x v="288"/>
    <s v="Series C"/>
    <x v="2"/>
    <s v="NA"/>
    <s v="2022-10"/>
  </r>
  <r>
    <x v="243"/>
    <x v="6"/>
    <x v="1"/>
    <x v="288"/>
    <x v="461"/>
    <x v="113"/>
    <s v="Series D"/>
    <x v="2"/>
    <n v="0.11"/>
    <s v="2022-10"/>
  </r>
  <r>
    <x v="1685"/>
    <x v="6"/>
    <x v="22"/>
    <x v="1"/>
    <x v="461"/>
    <x v="325"/>
    <s v="Series C"/>
    <x v="2"/>
    <n v="0.3"/>
    <s v="2022-10"/>
  </r>
  <r>
    <x v="1686"/>
    <x v="200"/>
    <x v="4"/>
    <x v="54"/>
    <x v="461"/>
    <x v="132"/>
    <s v="Series A"/>
    <x v="18"/>
    <s v="NA"/>
    <s v="2022-10"/>
  </r>
  <r>
    <x v="1687"/>
    <x v="6"/>
    <x v="11"/>
    <x v="66"/>
    <x v="461"/>
    <x v="429"/>
    <s v="Unknown"/>
    <x v="2"/>
    <n v="0.13"/>
    <s v="2022-10"/>
  </r>
  <r>
    <x v="1688"/>
    <x v="36"/>
    <x v="3"/>
    <x v="78"/>
    <x v="461"/>
    <x v="78"/>
    <s v="Seed"/>
    <x v="14"/>
    <s v="0.35000000000000003"/>
    <s v="2022-10"/>
  </r>
  <r>
    <x v="1689"/>
    <x v="10"/>
    <x v="17"/>
    <x v="3"/>
    <x v="461"/>
    <x v="90"/>
    <s v="Series A"/>
    <x v="3"/>
    <s v="NA"/>
    <s v="2022-10"/>
  </r>
  <r>
    <x v="1690"/>
    <x v="114"/>
    <x v="2"/>
    <x v="3"/>
    <x v="461"/>
    <x v="12"/>
    <s v="Unknown"/>
    <x v="33"/>
    <s v="NA"/>
    <s v="2022-10"/>
  </r>
  <r>
    <x v="1691"/>
    <x v="37"/>
    <x v="12"/>
    <x v="3"/>
    <x v="461"/>
    <x v="12"/>
    <s v="Seed"/>
    <x v="2"/>
    <s v="NA"/>
    <s v="2022-10"/>
  </r>
  <r>
    <x v="1692"/>
    <x v="6"/>
    <x v="0"/>
    <x v="289"/>
    <x v="462"/>
    <x v="607"/>
    <s v="Post-IPO"/>
    <x v="2"/>
    <s v="NA"/>
    <s v="2022-10"/>
  </r>
  <r>
    <x v="1117"/>
    <x v="6"/>
    <x v="3"/>
    <x v="12"/>
    <x v="462"/>
    <x v="99"/>
    <s v="Post-IPO"/>
    <x v="2"/>
    <n v="0.11"/>
    <s v="2022-10"/>
  </r>
  <r>
    <x v="1693"/>
    <x v="6"/>
    <x v="8"/>
    <x v="21"/>
    <x v="462"/>
    <x v="327"/>
    <s v="Series D"/>
    <x v="2"/>
    <n v="0.96"/>
    <s v="2022-10"/>
  </r>
  <r>
    <x v="146"/>
    <x v="3"/>
    <x v="5"/>
    <x v="47"/>
    <x v="462"/>
    <x v="110"/>
    <s v="Series C"/>
    <x v="2"/>
    <n v="0.2"/>
    <s v="2022-10"/>
  </r>
  <r>
    <x v="1694"/>
    <x v="16"/>
    <x v="8"/>
    <x v="3"/>
    <x v="462"/>
    <x v="492"/>
    <s v="Unknown"/>
    <x v="2"/>
    <n v="0.33"/>
    <s v="2022-10"/>
  </r>
  <r>
    <x v="1695"/>
    <x v="31"/>
    <x v="21"/>
    <x v="3"/>
    <x v="463"/>
    <x v="12"/>
    <s v="Acquired"/>
    <x v="2"/>
    <n v="1"/>
    <s v="2022-10"/>
  </r>
  <r>
    <x v="1696"/>
    <x v="6"/>
    <x v="5"/>
    <x v="17"/>
    <x v="464"/>
    <x v="608"/>
    <s v="Post-IPO"/>
    <x v="2"/>
    <n v="0.04"/>
    <s v="2022-10"/>
  </r>
  <r>
    <x v="1697"/>
    <x v="16"/>
    <x v="27"/>
    <x v="97"/>
    <x v="464"/>
    <x v="43"/>
    <s v="Series D"/>
    <x v="2"/>
    <s v="NA"/>
    <s v="2022-10"/>
  </r>
  <r>
    <x v="1338"/>
    <x v="42"/>
    <x v="2"/>
    <x v="67"/>
    <x v="465"/>
    <x v="379"/>
    <s v="Unknown"/>
    <x v="16"/>
    <n v="0.3"/>
    <s v="2022-10"/>
  </r>
  <r>
    <x v="46"/>
    <x v="3"/>
    <x v="19"/>
    <x v="30"/>
    <x v="465"/>
    <x v="40"/>
    <s v="Post-IPO"/>
    <x v="2"/>
    <n v="0.12"/>
    <s v="2022-10"/>
  </r>
  <r>
    <x v="397"/>
    <x v="96"/>
    <x v="22"/>
    <x v="124"/>
    <x v="465"/>
    <x v="256"/>
    <s v="Series C"/>
    <x v="2"/>
    <s v="NA"/>
    <s v="2022-10"/>
  </r>
  <r>
    <x v="124"/>
    <x v="6"/>
    <x v="11"/>
    <x v="166"/>
    <x v="465"/>
    <x v="12"/>
    <s v="Acquired"/>
    <x v="2"/>
    <n v="0.05"/>
    <s v="2022-10"/>
  </r>
  <r>
    <x v="1698"/>
    <x v="6"/>
    <x v="0"/>
    <x v="31"/>
    <x v="465"/>
    <x v="40"/>
    <s v="Series H"/>
    <x v="2"/>
    <n v="0.06"/>
    <s v="2022-10"/>
  </r>
  <r>
    <x v="1699"/>
    <x v="42"/>
    <x v="1"/>
    <x v="3"/>
    <x v="465"/>
    <x v="609"/>
    <s v="Unknown"/>
    <x v="16"/>
    <s v="NA"/>
    <s v="2022-10"/>
  </r>
  <r>
    <x v="1700"/>
    <x v="120"/>
    <x v="1"/>
    <x v="3"/>
    <x v="465"/>
    <x v="550"/>
    <s v="Series B"/>
    <x v="35"/>
    <s v="NA"/>
    <s v="2022-10"/>
  </r>
  <r>
    <x v="1701"/>
    <x v="6"/>
    <x v="1"/>
    <x v="3"/>
    <x v="465"/>
    <x v="492"/>
    <s v="Series B"/>
    <x v="2"/>
    <n v="0.4"/>
    <s v="2022-10"/>
  </r>
  <r>
    <x v="361"/>
    <x v="55"/>
    <x v="26"/>
    <x v="3"/>
    <x v="465"/>
    <x v="236"/>
    <s v="Post-IPO"/>
    <x v="22"/>
    <s v="NA"/>
    <s v="2022-10"/>
  </r>
  <r>
    <x v="1702"/>
    <x v="58"/>
    <x v="15"/>
    <x v="31"/>
    <x v="466"/>
    <x v="550"/>
    <s v="Series C"/>
    <x v="2"/>
    <n v="0.25"/>
    <s v="2022-10"/>
  </r>
  <r>
    <x v="1703"/>
    <x v="4"/>
    <x v="5"/>
    <x v="3"/>
    <x v="466"/>
    <x v="560"/>
    <s v="Series B"/>
    <x v="2"/>
    <n v="0.5"/>
    <s v="2022-10"/>
  </r>
  <r>
    <x v="1281"/>
    <x v="6"/>
    <x v="18"/>
    <x v="28"/>
    <x v="467"/>
    <x v="403"/>
    <s v="Post-IPO"/>
    <x v="2"/>
    <n v="0.09"/>
    <s v="2022-10"/>
  </r>
  <r>
    <x v="898"/>
    <x v="51"/>
    <x v="10"/>
    <x v="74"/>
    <x v="467"/>
    <x v="98"/>
    <s v="Series B"/>
    <x v="20"/>
    <n v="0.16"/>
    <s v="2022-10"/>
  </r>
  <r>
    <x v="64"/>
    <x v="28"/>
    <x v="22"/>
    <x v="5"/>
    <x v="467"/>
    <x v="55"/>
    <s v="Series B"/>
    <x v="2"/>
    <n v="0.13"/>
    <s v="2022-10"/>
  </r>
  <r>
    <x v="1704"/>
    <x v="6"/>
    <x v="27"/>
    <x v="3"/>
    <x v="467"/>
    <x v="12"/>
    <s v="Series D"/>
    <x v="2"/>
    <n v="0.05"/>
    <s v="2022-10"/>
  </r>
  <r>
    <x v="249"/>
    <x v="71"/>
    <x v="1"/>
    <x v="3"/>
    <x v="467"/>
    <x v="179"/>
    <s v="Series D"/>
    <x v="26"/>
    <n v="0.05"/>
    <s v="2022-10"/>
  </r>
  <r>
    <x v="1705"/>
    <x v="58"/>
    <x v="3"/>
    <x v="3"/>
    <x v="468"/>
    <x v="610"/>
    <s v="Series C"/>
    <x v="2"/>
    <n v="0.15"/>
    <s v="2022-10"/>
  </r>
  <r>
    <x v="1706"/>
    <x v="6"/>
    <x v="19"/>
    <x v="3"/>
    <x v="468"/>
    <x v="427"/>
    <s v="Series C"/>
    <x v="2"/>
    <s v="NA"/>
    <s v="2022-10"/>
  </r>
  <r>
    <x v="1707"/>
    <x v="91"/>
    <x v="2"/>
    <x v="14"/>
    <x v="469"/>
    <x v="12"/>
    <s v="Acquired"/>
    <x v="6"/>
    <n v="0.4"/>
    <s v="2022-10"/>
  </r>
  <r>
    <x v="1708"/>
    <x v="6"/>
    <x v="10"/>
    <x v="197"/>
    <x v="470"/>
    <x v="115"/>
    <s v="Acquired"/>
    <x v="2"/>
    <n v="0.1"/>
    <s v="2022-09"/>
  </r>
  <r>
    <x v="1709"/>
    <x v="201"/>
    <x v="10"/>
    <x v="3"/>
    <x v="470"/>
    <x v="383"/>
    <s v="Series E"/>
    <x v="49"/>
    <n v="0.1"/>
    <s v="2022-09"/>
  </r>
  <r>
    <x v="1710"/>
    <x v="6"/>
    <x v="0"/>
    <x v="3"/>
    <x v="470"/>
    <x v="12"/>
    <s v="Unknown"/>
    <x v="2"/>
    <n v="1"/>
    <s v="2022-09"/>
  </r>
  <r>
    <x v="1711"/>
    <x v="6"/>
    <x v="5"/>
    <x v="3"/>
    <x v="470"/>
    <x v="361"/>
    <s v="Series D"/>
    <x v="2"/>
    <s v="NA"/>
    <s v="2022-09"/>
  </r>
  <r>
    <x v="1712"/>
    <x v="68"/>
    <x v="21"/>
    <x v="93"/>
    <x v="471"/>
    <x v="611"/>
    <s v="Post-IPO"/>
    <x v="5"/>
    <s v="NA"/>
    <s v="2022-09"/>
  </r>
  <r>
    <x v="830"/>
    <x v="6"/>
    <x v="8"/>
    <x v="5"/>
    <x v="471"/>
    <x v="417"/>
    <s v="Series D"/>
    <x v="2"/>
    <n v="0.2"/>
    <s v="2022-09"/>
  </r>
  <r>
    <x v="332"/>
    <x v="14"/>
    <x v="1"/>
    <x v="3"/>
    <x v="471"/>
    <x v="222"/>
    <s v="Unknown"/>
    <x v="5"/>
    <n v="0.1"/>
    <s v="2022-09"/>
  </r>
  <r>
    <x v="1713"/>
    <x v="14"/>
    <x v="12"/>
    <x v="3"/>
    <x v="471"/>
    <x v="158"/>
    <s v="Series D"/>
    <x v="5"/>
    <s v="NA"/>
    <s v="2022-09"/>
  </r>
  <r>
    <x v="186"/>
    <x v="6"/>
    <x v="9"/>
    <x v="290"/>
    <x v="472"/>
    <x v="138"/>
    <s v="Post-IPO"/>
    <x v="2"/>
    <n v="0.09"/>
    <s v="2022-09"/>
  </r>
  <r>
    <x v="1714"/>
    <x v="6"/>
    <x v="18"/>
    <x v="3"/>
    <x v="472"/>
    <x v="564"/>
    <s v="Series D"/>
    <x v="2"/>
    <s v="NA"/>
    <s v="2022-09"/>
  </r>
  <r>
    <x v="1664"/>
    <x v="6"/>
    <x v="10"/>
    <x v="3"/>
    <x v="472"/>
    <x v="483"/>
    <s v="Post-IPO"/>
    <x v="2"/>
    <n v="0.1"/>
    <s v="2022-09"/>
  </r>
  <r>
    <x v="534"/>
    <x v="6"/>
    <x v="22"/>
    <x v="5"/>
    <x v="473"/>
    <x v="56"/>
    <s v="Series B"/>
    <x v="2"/>
    <n v="0.12"/>
    <s v="2022-09"/>
  </r>
  <r>
    <x v="1391"/>
    <x v="202"/>
    <x v="27"/>
    <x v="3"/>
    <x v="473"/>
    <x v="359"/>
    <s v="Unknown"/>
    <x v="3"/>
    <s v="NA"/>
    <s v="2022-09"/>
  </r>
  <r>
    <x v="167"/>
    <x v="6"/>
    <x v="0"/>
    <x v="3"/>
    <x v="474"/>
    <x v="124"/>
    <s v="Unknown"/>
    <x v="2"/>
    <s v="NA"/>
    <s v="2022-09"/>
  </r>
  <r>
    <x v="1715"/>
    <x v="125"/>
    <x v="1"/>
    <x v="12"/>
    <x v="475"/>
    <x v="612"/>
    <s v="Series E"/>
    <x v="2"/>
    <s v="NA"/>
    <s v="2022-09"/>
  </r>
  <r>
    <x v="851"/>
    <x v="14"/>
    <x v="1"/>
    <x v="43"/>
    <x v="475"/>
    <x v="157"/>
    <s v="Series B"/>
    <x v="5"/>
    <n v="0.15"/>
    <s v="2022-09"/>
  </r>
  <r>
    <x v="1716"/>
    <x v="58"/>
    <x v="0"/>
    <x v="126"/>
    <x v="475"/>
    <x v="549"/>
    <s v="Series C"/>
    <x v="2"/>
    <n v="3.5000000000000003E-2"/>
    <s v="2022-09"/>
  </r>
  <r>
    <x v="1717"/>
    <x v="37"/>
    <x v="25"/>
    <x v="56"/>
    <x v="475"/>
    <x v="613"/>
    <s v="Series D"/>
    <x v="7"/>
    <n v="0.05"/>
    <s v="2022-09"/>
  </r>
  <r>
    <x v="1718"/>
    <x v="6"/>
    <x v="4"/>
    <x v="3"/>
    <x v="475"/>
    <x v="47"/>
    <s v="Seed"/>
    <x v="2"/>
    <n v="1"/>
    <s v="2022-09"/>
  </r>
  <r>
    <x v="1719"/>
    <x v="3"/>
    <x v="2"/>
    <x v="124"/>
    <x v="476"/>
    <x v="52"/>
    <s v="Private Equity"/>
    <x v="2"/>
    <n v="0.33"/>
    <s v="2022-09"/>
  </r>
  <r>
    <x v="1720"/>
    <x v="55"/>
    <x v="1"/>
    <x v="1"/>
    <x v="476"/>
    <x v="173"/>
    <s v="Unknown"/>
    <x v="22"/>
    <s v="NA"/>
    <s v="2022-09"/>
  </r>
  <r>
    <x v="1721"/>
    <x v="10"/>
    <x v="21"/>
    <x v="3"/>
    <x v="476"/>
    <x v="555"/>
    <s v="Series D"/>
    <x v="3"/>
    <s v="0.35000000000000003"/>
    <s v="2022-09"/>
  </r>
  <r>
    <x v="1722"/>
    <x v="6"/>
    <x v="20"/>
    <x v="1"/>
    <x v="477"/>
    <x v="5"/>
    <s v="Unknown"/>
    <x v="2"/>
    <n v="1"/>
    <s v="2022-09"/>
  </r>
  <r>
    <x v="1723"/>
    <x v="6"/>
    <x v="12"/>
    <x v="3"/>
    <x v="477"/>
    <x v="28"/>
    <s v="Seed"/>
    <x v="2"/>
    <s v="NA"/>
    <s v="2022-09"/>
  </r>
  <r>
    <x v="1383"/>
    <x v="3"/>
    <x v="22"/>
    <x v="291"/>
    <x v="478"/>
    <x v="112"/>
    <s v="Post-IPO"/>
    <x v="2"/>
    <s v="NA"/>
    <s v="2022-09"/>
  </r>
  <r>
    <x v="1724"/>
    <x v="9"/>
    <x v="5"/>
    <x v="110"/>
    <x v="478"/>
    <x v="115"/>
    <s v="Seed"/>
    <x v="2"/>
    <s v="NA"/>
    <s v="2022-09"/>
  </r>
  <r>
    <x v="1190"/>
    <x v="62"/>
    <x v="18"/>
    <x v="197"/>
    <x v="478"/>
    <x v="442"/>
    <s v="Series C"/>
    <x v="7"/>
    <n v="0.16"/>
    <s v="2022-09"/>
  </r>
  <r>
    <x v="1725"/>
    <x v="106"/>
    <x v="10"/>
    <x v="133"/>
    <x v="478"/>
    <x v="422"/>
    <s v="Acquired"/>
    <x v="31"/>
    <n v="0.02"/>
    <s v="2022-09"/>
  </r>
  <r>
    <x v="1726"/>
    <x v="6"/>
    <x v="10"/>
    <x v="3"/>
    <x v="478"/>
    <x v="368"/>
    <s v="Post-IPO"/>
    <x v="2"/>
    <n v="0.1"/>
    <s v="2022-09"/>
  </r>
  <r>
    <x v="1263"/>
    <x v="137"/>
    <x v="21"/>
    <x v="3"/>
    <x v="478"/>
    <x v="267"/>
    <s v="Acquired"/>
    <x v="2"/>
    <n v="0.04"/>
    <s v="2022-09"/>
  </r>
  <r>
    <x v="54"/>
    <x v="20"/>
    <x v="10"/>
    <x v="28"/>
    <x v="479"/>
    <x v="46"/>
    <s v="Series J"/>
    <x v="6"/>
    <s v="NA"/>
    <s v="2022-09"/>
  </r>
  <r>
    <x v="1727"/>
    <x v="17"/>
    <x v="5"/>
    <x v="27"/>
    <x v="479"/>
    <x v="61"/>
    <s v="Series B"/>
    <x v="2"/>
    <n v="0.43"/>
    <s v="2022-09"/>
  </r>
  <r>
    <x v="312"/>
    <x v="9"/>
    <x v="3"/>
    <x v="3"/>
    <x v="479"/>
    <x v="211"/>
    <s v="Series F"/>
    <x v="2"/>
    <n v="0.02"/>
    <s v="2022-09"/>
  </r>
  <r>
    <x v="1036"/>
    <x v="71"/>
    <x v="0"/>
    <x v="3"/>
    <x v="480"/>
    <x v="12"/>
    <s v="Unknown"/>
    <x v="26"/>
    <s v="NA"/>
    <s v="2022-09"/>
  </r>
  <r>
    <x v="1728"/>
    <x v="20"/>
    <x v="1"/>
    <x v="281"/>
    <x v="481"/>
    <x v="193"/>
    <s v="Series C"/>
    <x v="6"/>
    <n v="0.2"/>
    <s v="2022-09"/>
  </r>
  <r>
    <x v="1729"/>
    <x v="10"/>
    <x v="1"/>
    <x v="5"/>
    <x v="481"/>
    <x v="44"/>
    <s v="Series E"/>
    <x v="2"/>
    <n v="0.1"/>
    <s v="2022-09"/>
  </r>
  <r>
    <x v="1730"/>
    <x v="3"/>
    <x v="18"/>
    <x v="292"/>
    <x v="482"/>
    <x v="92"/>
    <s v="Post-IPO"/>
    <x v="2"/>
    <n v="0.11"/>
    <s v="2022-09"/>
  </r>
  <r>
    <x v="1731"/>
    <x v="55"/>
    <x v="26"/>
    <x v="43"/>
    <x v="482"/>
    <x v="479"/>
    <s v="Post-IPO"/>
    <x v="22"/>
    <n v="0.15"/>
    <s v="2022-09"/>
  </r>
  <r>
    <x v="1732"/>
    <x v="6"/>
    <x v="12"/>
    <x v="78"/>
    <x v="482"/>
    <x v="8"/>
    <s v="Series C"/>
    <x v="2"/>
    <n v="0.2"/>
    <s v="2022-09"/>
  </r>
  <r>
    <x v="728"/>
    <x v="6"/>
    <x v="5"/>
    <x v="3"/>
    <x v="482"/>
    <x v="242"/>
    <s v="Series B"/>
    <x v="2"/>
    <s v="NA"/>
    <s v="2022-09"/>
  </r>
  <r>
    <x v="1733"/>
    <x v="6"/>
    <x v="3"/>
    <x v="3"/>
    <x v="482"/>
    <x v="74"/>
    <s v="Unknown"/>
    <x v="2"/>
    <n v="7.0000000000000007E-2"/>
    <s v="2022-09"/>
  </r>
  <r>
    <x v="365"/>
    <x v="6"/>
    <x v="4"/>
    <x v="19"/>
    <x v="483"/>
    <x v="239"/>
    <s v="Post-IPO"/>
    <x v="2"/>
    <n v="0.11"/>
    <s v="2022-09"/>
  </r>
  <r>
    <x v="301"/>
    <x v="14"/>
    <x v="3"/>
    <x v="157"/>
    <x v="483"/>
    <x v="126"/>
    <s v="Series B"/>
    <x v="5"/>
    <n v="0.3"/>
    <s v="2022-09"/>
  </r>
  <r>
    <x v="1506"/>
    <x v="14"/>
    <x v="4"/>
    <x v="31"/>
    <x v="483"/>
    <x v="577"/>
    <s v="Series D"/>
    <x v="5"/>
    <n v="0.05"/>
    <s v="2022-09"/>
  </r>
  <r>
    <x v="1734"/>
    <x v="6"/>
    <x v="26"/>
    <x v="2"/>
    <x v="483"/>
    <x v="614"/>
    <s v="Post-IPO"/>
    <x v="2"/>
    <s v="NA"/>
    <s v="2022-09"/>
  </r>
  <r>
    <x v="1735"/>
    <x v="203"/>
    <x v="8"/>
    <x v="3"/>
    <x v="483"/>
    <x v="337"/>
    <s v="Series C"/>
    <x v="50"/>
    <n v="0.14000000000000001"/>
    <s v="2022-09"/>
  </r>
  <r>
    <x v="1629"/>
    <x v="17"/>
    <x v="5"/>
    <x v="71"/>
    <x v="484"/>
    <x v="385"/>
    <s v="Post-IPO"/>
    <x v="2"/>
    <n v="0.75"/>
    <s v="2022-09"/>
  </r>
  <r>
    <x v="326"/>
    <x v="10"/>
    <x v="1"/>
    <x v="1"/>
    <x v="484"/>
    <x v="45"/>
    <s v="Series D"/>
    <x v="3"/>
    <n v="0.05"/>
    <s v="2022-09"/>
  </r>
  <r>
    <x v="1736"/>
    <x v="3"/>
    <x v="3"/>
    <x v="1"/>
    <x v="484"/>
    <x v="385"/>
    <s v="Post-IPO"/>
    <x v="2"/>
    <n v="0.06"/>
    <s v="2022-09"/>
  </r>
  <r>
    <x v="1737"/>
    <x v="6"/>
    <x v="26"/>
    <x v="54"/>
    <x v="484"/>
    <x v="501"/>
    <s v="Series F"/>
    <x v="2"/>
    <n v="0.17"/>
    <s v="2022-09"/>
  </r>
  <r>
    <x v="289"/>
    <x v="23"/>
    <x v="3"/>
    <x v="3"/>
    <x v="484"/>
    <x v="199"/>
    <s v="Unknown"/>
    <x v="2"/>
    <n v="0.12"/>
    <s v="2022-09"/>
  </r>
  <r>
    <x v="1738"/>
    <x v="204"/>
    <x v="22"/>
    <x v="3"/>
    <x v="484"/>
    <x v="91"/>
    <s v="Series A"/>
    <x v="51"/>
    <n v="1"/>
    <s v="2022-09"/>
  </r>
  <r>
    <x v="1739"/>
    <x v="106"/>
    <x v="10"/>
    <x v="14"/>
    <x v="485"/>
    <x v="151"/>
    <s v="Acquired"/>
    <x v="31"/>
    <s v="NA"/>
    <s v="2022-09"/>
  </r>
  <r>
    <x v="1740"/>
    <x v="6"/>
    <x v="27"/>
    <x v="37"/>
    <x v="485"/>
    <x v="388"/>
    <s v="Series D"/>
    <x v="2"/>
    <s v="NA"/>
    <s v="2022-09"/>
  </r>
  <r>
    <x v="1741"/>
    <x v="1"/>
    <x v="12"/>
    <x v="55"/>
    <x v="485"/>
    <x v="354"/>
    <s v="Series A"/>
    <x v="1"/>
    <n v="0.28000000000000003"/>
    <s v="2022-09"/>
  </r>
  <r>
    <x v="1742"/>
    <x v="6"/>
    <x v="4"/>
    <x v="3"/>
    <x v="485"/>
    <x v="202"/>
    <s v="Series B"/>
    <x v="2"/>
    <n v="0.23"/>
    <s v="2022-09"/>
  </r>
  <r>
    <x v="291"/>
    <x v="3"/>
    <x v="21"/>
    <x v="3"/>
    <x v="485"/>
    <x v="201"/>
    <s v="Post-IPO"/>
    <x v="2"/>
    <n v="0.24"/>
    <s v="2022-09"/>
  </r>
  <r>
    <x v="1743"/>
    <x v="6"/>
    <x v="27"/>
    <x v="3"/>
    <x v="485"/>
    <x v="273"/>
    <s v="Series B"/>
    <x v="2"/>
    <s v="NA"/>
    <s v="2022-09"/>
  </r>
  <r>
    <x v="1744"/>
    <x v="205"/>
    <x v="0"/>
    <x v="62"/>
    <x v="486"/>
    <x v="47"/>
    <s v="Acquired"/>
    <x v="7"/>
    <s v="NA"/>
    <s v="2022-09"/>
  </r>
  <r>
    <x v="1745"/>
    <x v="51"/>
    <x v="17"/>
    <x v="128"/>
    <x v="486"/>
    <x v="50"/>
    <s v="Series C"/>
    <x v="20"/>
    <s v="NA"/>
    <s v="2022-09"/>
  </r>
  <r>
    <x v="1737"/>
    <x v="6"/>
    <x v="26"/>
    <x v="187"/>
    <x v="486"/>
    <x v="501"/>
    <s v="Series F"/>
    <x v="2"/>
    <s v="NA"/>
    <s v="2022-09"/>
  </r>
  <r>
    <x v="1746"/>
    <x v="114"/>
    <x v="2"/>
    <x v="3"/>
    <x v="486"/>
    <x v="535"/>
    <s v="Series B"/>
    <x v="33"/>
    <n v="0.1"/>
    <s v="2022-09"/>
  </r>
  <r>
    <x v="1747"/>
    <x v="186"/>
    <x v="1"/>
    <x v="3"/>
    <x v="486"/>
    <x v="91"/>
    <s v="Series A"/>
    <x v="47"/>
    <s v="NA"/>
    <s v="2022-09"/>
  </r>
  <r>
    <x v="1748"/>
    <x v="3"/>
    <x v="1"/>
    <x v="3"/>
    <x v="486"/>
    <x v="317"/>
    <s v="Series D"/>
    <x v="2"/>
    <n v="1"/>
    <s v="2022-09"/>
  </r>
  <r>
    <x v="1749"/>
    <x v="4"/>
    <x v="11"/>
    <x v="3"/>
    <x v="486"/>
    <x v="105"/>
    <s v="Acquired"/>
    <x v="2"/>
    <s v="NA"/>
    <s v="2022-09"/>
  </r>
  <r>
    <x v="1750"/>
    <x v="11"/>
    <x v="21"/>
    <x v="3"/>
    <x v="486"/>
    <x v="431"/>
    <s v="Unknown"/>
    <x v="2"/>
    <n v="0.15"/>
    <s v="2022-09"/>
  </r>
  <r>
    <x v="1751"/>
    <x v="91"/>
    <x v="11"/>
    <x v="3"/>
    <x v="486"/>
    <x v="132"/>
    <s v="Series C"/>
    <x v="6"/>
    <n v="1"/>
    <s v="2022-09"/>
  </r>
  <r>
    <x v="245"/>
    <x v="70"/>
    <x v="11"/>
    <x v="28"/>
    <x v="487"/>
    <x v="177"/>
    <s v="Series D"/>
    <x v="25"/>
    <s v="NA"/>
    <s v="2022-09"/>
  </r>
  <r>
    <x v="1752"/>
    <x v="206"/>
    <x v="21"/>
    <x v="66"/>
    <x v="487"/>
    <x v="233"/>
    <s v="Unknown"/>
    <x v="52"/>
    <n v="0.08"/>
    <s v="2022-09"/>
  </r>
  <r>
    <x v="1753"/>
    <x v="6"/>
    <x v="5"/>
    <x v="121"/>
    <x v="487"/>
    <x v="233"/>
    <s v="Series C"/>
    <x v="2"/>
    <s v="NA"/>
    <s v="2022-09"/>
  </r>
  <r>
    <x v="1754"/>
    <x v="59"/>
    <x v="27"/>
    <x v="3"/>
    <x v="487"/>
    <x v="271"/>
    <s v="Post-IPO"/>
    <x v="2"/>
    <n v="7.0000000000000007E-2"/>
    <s v="2022-09"/>
  </r>
  <r>
    <x v="1755"/>
    <x v="6"/>
    <x v="22"/>
    <x v="3"/>
    <x v="487"/>
    <x v="12"/>
    <s v="Acquired"/>
    <x v="2"/>
    <s v="NA"/>
    <s v="2022-09"/>
  </r>
  <r>
    <x v="1756"/>
    <x v="36"/>
    <x v="0"/>
    <x v="0"/>
    <x v="488"/>
    <x v="417"/>
    <s v="Unknown"/>
    <x v="14"/>
    <n v="1"/>
    <s v="2022-09"/>
  </r>
  <r>
    <x v="511"/>
    <x v="42"/>
    <x v="0"/>
    <x v="14"/>
    <x v="488"/>
    <x v="304"/>
    <s v="Acquired"/>
    <x v="16"/>
    <s v="NA"/>
    <s v="2022-09"/>
  </r>
  <r>
    <x v="764"/>
    <x v="49"/>
    <x v="10"/>
    <x v="14"/>
    <x v="488"/>
    <x v="615"/>
    <s v="Post-IPO"/>
    <x v="19"/>
    <s v="NA"/>
    <s v="2022-09"/>
  </r>
  <r>
    <x v="1757"/>
    <x v="20"/>
    <x v="1"/>
    <x v="31"/>
    <x v="488"/>
    <x v="229"/>
    <s v="Unknown"/>
    <x v="6"/>
    <s v="NA"/>
    <s v="2022-09"/>
  </r>
  <r>
    <x v="1584"/>
    <x v="6"/>
    <x v="18"/>
    <x v="42"/>
    <x v="488"/>
    <x v="508"/>
    <s v="Series D"/>
    <x v="2"/>
    <n v="0.05"/>
    <s v="2022-09"/>
  </r>
  <r>
    <x v="791"/>
    <x v="109"/>
    <x v="14"/>
    <x v="112"/>
    <x v="488"/>
    <x v="401"/>
    <s v="Series F"/>
    <x v="2"/>
    <n v="0.05"/>
    <s v="2022-09"/>
  </r>
  <r>
    <x v="1758"/>
    <x v="6"/>
    <x v="9"/>
    <x v="144"/>
    <x v="488"/>
    <x v="459"/>
    <s v="Series H"/>
    <x v="2"/>
    <n v="0.03"/>
    <s v="2022-09"/>
  </r>
  <r>
    <x v="1759"/>
    <x v="1"/>
    <x v="27"/>
    <x v="3"/>
    <x v="488"/>
    <x v="580"/>
    <s v="Series C"/>
    <x v="1"/>
    <s v="NA"/>
    <s v="2022-09"/>
  </r>
  <r>
    <x v="1156"/>
    <x v="3"/>
    <x v="5"/>
    <x v="3"/>
    <x v="488"/>
    <x v="175"/>
    <s v="Series C"/>
    <x v="2"/>
    <n v="0.5"/>
    <s v="2022-09"/>
  </r>
  <r>
    <x v="1760"/>
    <x v="1"/>
    <x v="4"/>
    <x v="3"/>
    <x v="488"/>
    <x v="175"/>
    <s v="Series D"/>
    <x v="1"/>
    <s v="NA"/>
    <s v="2022-09"/>
  </r>
  <r>
    <x v="1761"/>
    <x v="8"/>
    <x v="5"/>
    <x v="5"/>
    <x v="489"/>
    <x v="92"/>
    <s v="Series B"/>
    <x v="2"/>
    <n v="0.33"/>
    <s v="2022-09"/>
  </r>
  <r>
    <x v="1762"/>
    <x v="1"/>
    <x v="29"/>
    <x v="2"/>
    <x v="489"/>
    <x v="149"/>
    <s v="Series C"/>
    <x v="1"/>
    <n v="0.33"/>
    <s v="2022-09"/>
  </r>
  <r>
    <x v="1763"/>
    <x v="6"/>
    <x v="22"/>
    <x v="3"/>
    <x v="489"/>
    <x v="74"/>
    <s v="Series C"/>
    <x v="2"/>
    <n v="0.14000000000000001"/>
    <s v="2022-09"/>
  </r>
  <r>
    <x v="1764"/>
    <x v="6"/>
    <x v="26"/>
    <x v="3"/>
    <x v="489"/>
    <x v="439"/>
    <s v="Unknown"/>
    <x v="2"/>
    <n v="0.25"/>
    <s v="2022-09"/>
  </r>
  <r>
    <x v="1765"/>
    <x v="41"/>
    <x v="1"/>
    <x v="121"/>
    <x v="490"/>
    <x v="202"/>
    <s v="Series B"/>
    <x v="15"/>
    <n v="0.05"/>
    <s v="2022-09"/>
  </r>
  <r>
    <x v="380"/>
    <x v="92"/>
    <x v="21"/>
    <x v="3"/>
    <x v="490"/>
    <x v="90"/>
    <s v="Series B"/>
    <x v="15"/>
    <s v="NA"/>
    <s v="2022-09"/>
  </r>
  <r>
    <x v="1766"/>
    <x v="42"/>
    <x v="6"/>
    <x v="3"/>
    <x v="490"/>
    <x v="616"/>
    <s v="Post-IPO"/>
    <x v="16"/>
    <s v="NA"/>
    <s v="2022-09"/>
  </r>
  <r>
    <x v="1767"/>
    <x v="106"/>
    <x v="2"/>
    <x v="1"/>
    <x v="491"/>
    <x v="460"/>
    <s v="Unknown"/>
    <x v="31"/>
    <n v="0.15"/>
    <s v="2022-09"/>
  </r>
  <r>
    <x v="1240"/>
    <x v="6"/>
    <x v="5"/>
    <x v="58"/>
    <x v="491"/>
    <x v="517"/>
    <s v="Series E"/>
    <x v="2"/>
    <n v="0.08"/>
    <s v="2022-09"/>
  </r>
  <r>
    <x v="883"/>
    <x v="21"/>
    <x v="21"/>
    <x v="43"/>
    <x v="491"/>
    <x v="270"/>
    <s v="Post-IPO"/>
    <x v="7"/>
    <s v="NA"/>
    <s v="2022-09"/>
  </r>
  <r>
    <x v="1768"/>
    <x v="14"/>
    <x v="19"/>
    <x v="66"/>
    <x v="491"/>
    <x v="539"/>
    <s v="Unknown"/>
    <x v="5"/>
    <n v="0.15"/>
    <s v="2022-09"/>
  </r>
  <r>
    <x v="1769"/>
    <x v="55"/>
    <x v="1"/>
    <x v="35"/>
    <x v="491"/>
    <x v="8"/>
    <s v="Series B"/>
    <x v="22"/>
    <s v="NA"/>
    <s v="2022-09"/>
  </r>
  <r>
    <x v="188"/>
    <x v="9"/>
    <x v="6"/>
    <x v="293"/>
    <x v="492"/>
    <x v="140"/>
    <s v="Post-IPO"/>
    <x v="2"/>
    <n v="0.2"/>
    <s v="2022-08"/>
  </r>
  <r>
    <x v="1770"/>
    <x v="9"/>
    <x v="5"/>
    <x v="24"/>
    <x v="492"/>
    <x v="617"/>
    <s v="Post-IPO"/>
    <x v="2"/>
    <n v="0.16"/>
    <s v="2022-08"/>
  </r>
  <r>
    <x v="1634"/>
    <x v="14"/>
    <x v="1"/>
    <x v="1"/>
    <x v="492"/>
    <x v="133"/>
    <s v="Unknown"/>
    <x v="5"/>
    <n v="0.1"/>
    <s v="2022-08"/>
  </r>
  <r>
    <x v="435"/>
    <x v="6"/>
    <x v="1"/>
    <x v="43"/>
    <x v="492"/>
    <x v="22"/>
    <s v="Post-IPO"/>
    <x v="2"/>
    <n v="0.1"/>
    <s v="2022-08"/>
  </r>
  <r>
    <x v="1165"/>
    <x v="6"/>
    <x v="9"/>
    <x v="112"/>
    <x v="492"/>
    <x v="505"/>
    <s v="Series F"/>
    <x v="2"/>
    <s v="NA"/>
    <s v="2022-08"/>
  </r>
  <r>
    <x v="925"/>
    <x v="20"/>
    <x v="6"/>
    <x v="5"/>
    <x v="492"/>
    <x v="94"/>
    <s v="Series B"/>
    <x v="6"/>
    <s v="NA"/>
    <s v="2022-08"/>
  </r>
  <r>
    <x v="1384"/>
    <x v="17"/>
    <x v="5"/>
    <x v="2"/>
    <x v="492"/>
    <x v="417"/>
    <s v="Post-IPO"/>
    <x v="2"/>
    <n v="0.2"/>
    <s v="2022-08"/>
  </r>
  <r>
    <x v="1771"/>
    <x v="6"/>
    <x v="22"/>
    <x v="27"/>
    <x v="492"/>
    <x v="387"/>
    <s v="Series D"/>
    <x v="2"/>
    <n v="0.1"/>
    <s v="2022-08"/>
  </r>
  <r>
    <x v="1772"/>
    <x v="14"/>
    <x v="21"/>
    <x v="126"/>
    <x v="492"/>
    <x v="12"/>
    <s v="Unknown"/>
    <x v="5"/>
    <n v="0.36"/>
    <s v="2022-08"/>
  </r>
  <r>
    <x v="1773"/>
    <x v="207"/>
    <x v="12"/>
    <x v="3"/>
    <x v="492"/>
    <x v="618"/>
    <s v="Unknown"/>
    <x v="2"/>
    <s v="NA"/>
    <s v="2022-08"/>
  </r>
  <r>
    <x v="1774"/>
    <x v="3"/>
    <x v="22"/>
    <x v="3"/>
    <x v="492"/>
    <x v="4"/>
    <s v="Series C"/>
    <x v="2"/>
    <n v="1"/>
    <s v="2022-08"/>
  </r>
  <r>
    <x v="1775"/>
    <x v="113"/>
    <x v="4"/>
    <x v="3"/>
    <x v="492"/>
    <x v="12"/>
    <s v="Unknown"/>
    <x v="32"/>
    <s v="NA"/>
    <s v="2022-08"/>
  </r>
  <r>
    <x v="1128"/>
    <x v="3"/>
    <x v="4"/>
    <x v="52"/>
    <x v="493"/>
    <x v="369"/>
    <s v="Series D"/>
    <x v="2"/>
    <s v="NA"/>
    <s v="2022-08"/>
  </r>
  <r>
    <x v="1776"/>
    <x v="202"/>
    <x v="25"/>
    <x v="171"/>
    <x v="493"/>
    <x v="208"/>
    <s v="Series C"/>
    <x v="3"/>
    <n v="0.1"/>
    <s v="2022-08"/>
  </r>
  <r>
    <x v="1225"/>
    <x v="3"/>
    <x v="21"/>
    <x v="2"/>
    <x v="493"/>
    <x v="381"/>
    <s v="Series A"/>
    <x v="2"/>
    <s v="NA"/>
    <s v="2022-08"/>
  </r>
  <r>
    <x v="880"/>
    <x v="20"/>
    <x v="21"/>
    <x v="11"/>
    <x v="494"/>
    <x v="99"/>
    <s v="Series F"/>
    <x v="6"/>
    <s v="NA"/>
    <s v="2022-08"/>
  </r>
  <r>
    <x v="1777"/>
    <x v="72"/>
    <x v="5"/>
    <x v="81"/>
    <x v="494"/>
    <x v="94"/>
    <s v="Series B"/>
    <x v="2"/>
    <n v="0.3"/>
    <s v="2022-08"/>
  </r>
  <r>
    <x v="1778"/>
    <x v="6"/>
    <x v="2"/>
    <x v="3"/>
    <x v="494"/>
    <x v="224"/>
    <s v="Series C"/>
    <x v="2"/>
    <s v="NA"/>
    <s v="2022-08"/>
  </r>
  <r>
    <x v="1779"/>
    <x v="6"/>
    <x v="6"/>
    <x v="3"/>
    <x v="494"/>
    <x v="619"/>
    <s v="Post-IPO"/>
    <x v="2"/>
    <s v="NA"/>
    <s v="2022-08"/>
  </r>
  <r>
    <x v="1440"/>
    <x v="1"/>
    <x v="10"/>
    <x v="3"/>
    <x v="495"/>
    <x v="561"/>
    <s v="Post-IPO"/>
    <x v="1"/>
    <s v="NA"/>
    <s v="2022-08"/>
  </r>
  <r>
    <x v="894"/>
    <x v="6"/>
    <x v="4"/>
    <x v="54"/>
    <x v="496"/>
    <x v="434"/>
    <s v="Acquired"/>
    <x v="2"/>
    <s v="NA"/>
    <s v="2022-08"/>
  </r>
  <r>
    <x v="201"/>
    <x v="6"/>
    <x v="25"/>
    <x v="56"/>
    <x v="496"/>
    <x v="63"/>
    <s v="Post-IPO"/>
    <x v="2"/>
    <s v="NA"/>
    <s v="2022-08"/>
  </r>
  <r>
    <x v="1780"/>
    <x v="3"/>
    <x v="1"/>
    <x v="33"/>
    <x v="496"/>
    <x v="579"/>
    <s v="Series B"/>
    <x v="2"/>
    <n v="7.0000000000000007E-2"/>
    <s v="2022-08"/>
  </r>
  <r>
    <x v="544"/>
    <x v="3"/>
    <x v="22"/>
    <x v="3"/>
    <x v="496"/>
    <x v="318"/>
    <s v="Unknown"/>
    <x v="2"/>
    <s v="NA"/>
    <s v="2022-08"/>
  </r>
  <r>
    <x v="281"/>
    <x v="15"/>
    <x v="0"/>
    <x v="5"/>
    <x v="497"/>
    <x v="194"/>
    <s v="Acquired"/>
    <x v="2"/>
    <s v="NA"/>
    <s v="2022-08"/>
  </r>
  <r>
    <x v="1781"/>
    <x v="106"/>
    <x v="21"/>
    <x v="37"/>
    <x v="497"/>
    <x v="12"/>
    <s v="Acquired"/>
    <x v="31"/>
    <n v="0.1"/>
    <s v="2022-08"/>
  </r>
  <r>
    <x v="191"/>
    <x v="9"/>
    <x v="3"/>
    <x v="3"/>
    <x v="497"/>
    <x v="141"/>
    <s v="Private Equity"/>
    <x v="2"/>
    <n v="0.1"/>
    <s v="2022-08"/>
  </r>
  <r>
    <x v="1782"/>
    <x v="58"/>
    <x v="24"/>
    <x v="3"/>
    <x v="497"/>
    <x v="418"/>
    <s v="Series E"/>
    <x v="2"/>
    <n v="7.0000000000000007E-2"/>
    <s v="2022-08"/>
  </r>
  <r>
    <x v="1783"/>
    <x v="6"/>
    <x v="22"/>
    <x v="24"/>
    <x v="498"/>
    <x v="4"/>
    <s v="Series B"/>
    <x v="2"/>
    <n v="1"/>
    <s v="2022-08"/>
  </r>
  <r>
    <x v="981"/>
    <x v="72"/>
    <x v="1"/>
    <x v="8"/>
    <x v="498"/>
    <x v="70"/>
    <s v="Series A"/>
    <x v="2"/>
    <n v="0.2"/>
    <s v="2022-08"/>
  </r>
  <r>
    <x v="1784"/>
    <x v="6"/>
    <x v="0"/>
    <x v="3"/>
    <x v="498"/>
    <x v="12"/>
    <s v="Unknown"/>
    <x v="2"/>
    <s v="NA"/>
    <s v="2022-08"/>
  </r>
  <r>
    <x v="375"/>
    <x v="14"/>
    <x v="10"/>
    <x v="12"/>
    <x v="499"/>
    <x v="245"/>
    <s v="Series D"/>
    <x v="5"/>
    <n v="0.16"/>
    <s v="2022-08"/>
  </r>
  <r>
    <x v="1785"/>
    <x v="3"/>
    <x v="21"/>
    <x v="243"/>
    <x v="499"/>
    <x v="272"/>
    <s v="Unknown"/>
    <x v="2"/>
    <n v="0.2"/>
    <s v="2022-08"/>
  </r>
  <r>
    <x v="1786"/>
    <x v="62"/>
    <x v="4"/>
    <x v="31"/>
    <x v="499"/>
    <x v="202"/>
    <s v="Series C"/>
    <x v="7"/>
    <n v="0.08"/>
    <s v="2022-08"/>
  </r>
  <r>
    <x v="1787"/>
    <x v="6"/>
    <x v="12"/>
    <x v="111"/>
    <x v="499"/>
    <x v="436"/>
    <s v="Series C"/>
    <x v="2"/>
    <n v="0.08"/>
    <s v="2022-08"/>
  </r>
  <r>
    <x v="1788"/>
    <x v="6"/>
    <x v="12"/>
    <x v="27"/>
    <x v="499"/>
    <x v="11"/>
    <s v="Seed"/>
    <x v="2"/>
    <n v="0.5"/>
    <s v="2022-08"/>
  </r>
  <r>
    <x v="1789"/>
    <x v="17"/>
    <x v="27"/>
    <x v="3"/>
    <x v="499"/>
    <x v="35"/>
    <s v="Series G"/>
    <x v="2"/>
    <n v="0.26"/>
    <s v="2022-08"/>
  </r>
  <r>
    <x v="1790"/>
    <x v="119"/>
    <x v="21"/>
    <x v="3"/>
    <x v="499"/>
    <x v="12"/>
    <s v="Post-IPO"/>
    <x v="20"/>
    <s v="NA"/>
    <s v="2022-08"/>
  </r>
  <r>
    <x v="1791"/>
    <x v="3"/>
    <x v="11"/>
    <x v="3"/>
    <x v="499"/>
    <x v="555"/>
    <s v="Unknown"/>
    <x v="2"/>
    <s v="NA"/>
    <s v="2022-08"/>
  </r>
  <r>
    <x v="1792"/>
    <x v="119"/>
    <x v="0"/>
    <x v="3"/>
    <x v="500"/>
    <x v="560"/>
    <s v="Series A"/>
    <x v="2"/>
    <n v="0.17"/>
    <s v="2022-08"/>
  </r>
  <r>
    <x v="1793"/>
    <x v="20"/>
    <x v="21"/>
    <x v="3"/>
    <x v="500"/>
    <x v="13"/>
    <s v="Unknown"/>
    <x v="6"/>
    <n v="1"/>
    <s v="2022-08"/>
  </r>
  <r>
    <x v="1794"/>
    <x v="1"/>
    <x v="25"/>
    <x v="1"/>
    <x v="501"/>
    <x v="5"/>
    <s v="Seed"/>
    <x v="1"/>
    <n v="0.14000000000000001"/>
    <s v="2022-08"/>
  </r>
  <r>
    <x v="1795"/>
    <x v="17"/>
    <x v="25"/>
    <x v="66"/>
    <x v="501"/>
    <x v="178"/>
    <s v="Acquired"/>
    <x v="2"/>
    <n v="0.1"/>
    <s v="2022-08"/>
  </r>
  <r>
    <x v="230"/>
    <x v="4"/>
    <x v="3"/>
    <x v="46"/>
    <x v="502"/>
    <x v="167"/>
    <s v="Series D"/>
    <x v="2"/>
    <n v="0.03"/>
    <s v="2022-08"/>
  </r>
  <r>
    <x v="252"/>
    <x v="17"/>
    <x v="21"/>
    <x v="138"/>
    <x v="503"/>
    <x v="14"/>
    <s v="Post-IPO"/>
    <x v="2"/>
    <n v="0.05"/>
    <s v="2022-08"/>
  </r>
  <r>
    <x v="745"/>
    <x v="6"/>
    <x v="1"/>
    <x v="31"/>
    <x v="503"/>
    <x v="453"/>
    <s v="Series H"/>
    <x v="2"/>
    <s v="NA"/>
    <s v="2022-08"/>
  </r>
  <r>
    <x v="1796"/>
    <x v="42"/>
    <x v="2"/>
    <x v="5"/>
    <x v="503"/>
    <x v="12"/>
    <s v="Unknown"/>
    <x v="16"/>
    <n v="0.8"/>
    <s v="2022-08"/>
  </r>
  <r>
    <x v="93"/>
    <x v="6"/>
    <x v="8"/>
    <x v="124"/>
    <x v="504"/>
    <x v="26"/>
    <s v="Post-IPO"/>
    <x v="2"/>
    <n v="0.05"/>
    <s v="2022-08"/>
  </r>
  <r>
    <x v="1187"/>
    <x v="16"/>
    <x v="5"/>
    <x v="78"/>
    <x v="504"/>
    <x v="510"/>
    <s v="Series C"/>
    <x v="2"/>
    <n v="0.17"/>
    <s v="2022-08"/>
  </r>
  <r>
    <x v="736"/>
    <x v="3"/>
    <x v="1"/>
    <x v="3"/>
    <x v="504"/>
    <x v="384"/>
    <s v="Series D"/>
    <x v="2"/>
    <n v="0.1"/>
    <s v="2022-08"/>
  </r>
  <r>
    <x v="1797"/>
    <x v="3"/>
    <x v="5"/>
    <x v="3"/>
    <x v="504"/>
    <x v="620"/>
    <s v="Series C"/>
    <x v="2"/>
    <n v="0.1"/>
    <s v="2022-08"/>
  </r>
  <r>
    <x v="500"/>
    <x v="78"/>
    <x v="3"/>
    <x v="3"/>
    <x v="504"/>
    <x v="296"/>
    <s v="Series D"/>
    <x v="7"/>
    <n v="0.05"/>
    <s v="2022-08"/>
  </r>
  <r>
    <x v="559"/>
    <x v="6"/>
    <x v="25"/>
    <x v="93"/>
    <x v="505"/>
    <x v="323"/>
    <s v="Series B"/>
    <x v="2"/>
    <n v="0.14000000000000001"/>
    <s v="2022-08"/>
  </r>
  <r>
    <x v="1798"/>
    <x v="106"/>
    <x v="4"/>
    <x v="233"/>
    <x v="505"/>
    <x v="12"/>
    <s v="Seed"/>
    <x v="31"/>
    <s v="0.8200000000000001"/>
    <s v="2022-08"/>
  </r>
  <r>
    <x v="1467"/>
    <x v="138"/>
    <x v="2"/>
    <x v="96"/>
    <x v="505"/>
    <x v="12"/>
    <s v="Unknown"/>
    <x v="20"/>
    <n v="0.21"/>
    <s v="2022-08"/>
  </r>
  <r>
    <x v="584"/>
    <x v="6"/>
    <x v="4"/>
    <x v="51"/>
    <x v="505"/>
    <x v="148"/>
    <s v="Series C"/>
    <x v="2"/>
    <s v="NA"/>
    <s v="2022-08"/>
  </r>
  <r>
    <x v="1375"/>
    <x v="3"/>
    <x v="2"/>
    <x v="294"/>
    <x v="505"/>
    <x v="12"/>
    <s v="Series A"/>
    <x v="2"/>
    <n v="0.2"/>
    <s v="2022-08"/>
  </r>
  <r>
    <x v="1799"/>
    <x v="208"/>
    <x v="1"/>
    <x v="31"/>
    <x v="505"/>
    <x v="77"/>
    <s v="Series C"/>
    <x v="31"/>
    <s v="NA"/>
    <s v="2022-08"/>
  </r>
  <r>
    <x v="1800"/>
    <x v="38"/>
    <x v="5"/>
    <x v="54"/>
    <x v="506"/>
    <x v="537"/>
    <s v="Series D"/>
    <x v="7"/>
    <n v="0.14000000000000001"/>
    <s v="2022-08"/>
  </r>
  <r>
    <x v="1801"/>
    <x v="1"/>
    <x v="27"/>
    <x v="35"/>
    <x v="506"/>
    <x v="432"/>
    <s v="Series D"/>
    <x v="1"/>
    <n v="0.09"/>
    <s v="2022-08"/>
  </r>
  <r>
    <x v="1802"/>
    <x v="117"/>
    <x v="12"/>
    <x v="187"/>
    <x v="506"/>
    <x v="183"/>
    <s v="Series A"/>
    <x v="2"/>
    <n v="0.15"/>
    <s v="2022-08"/>
  </r>
  <r>
    <x v="1338"/>
    <x v="42"/>
    <x v="2"/>
    <x v="3"/>
    <x v="506"/>
    <x v="379"/>
    <s v="Unknown"/>
    <x v="16"/>
    <s v="NA"/>
    <s v="2022-08"/>
  </r>
  <r>
    <x v="1803"/>
    <x v="6"/>
    <x v="11"/>
    <x v="3"/>
    <x v="506"/>
    <x v="334"/>
    <s v="Acquired"/>
    <x v="2"/>
    <n v="1"/>
    <s v="2022-08"/>
  </r>
  <r>
    <x v="1630"/>
    <x v="6"/>
    <x v="22"/>
    <x v="3"/>
    <x v="506"/>
    <x v="403"/>
    <s v="Series D"/>
    <x v="2"/>
    <n v="0.1"/>
    <s v="2022-08"/>
  </r>
  <r>
    <x v="1804"/>
    <x v="3"/>
    <x v="4"/>
    <x v="3"/>
    <x v="506"/>
    <x v="489"/>
    <s v="Unknown"/>
    <x v="2"/>
    <s v="NA"/>
    <s v="2022-08"/>
  </r>
  <r>
    <x v="1581"/>
    <x v="103"/>
    <x v="5"/>
    <x v="38"/>
    <x v="507"/>
    <x v="591"/>
    <s v="Post-IPO"/>
    <x v="2"/>
    <n v="0.13"/>
    <s v="2022-08"/>
  </r>
  <r>
    <x v="606"/>
    <x v="6"/>
    <x v="1"/>
    <x v="217"/>
    <x v="507"/>
    <x v="340"/>
    <s v="Post-IPO"/>
    <x v="2"/>
    <n v="0.12"/>
    <s v="2022-08"/>
  </r>
  <r>
    <x v="1805"/>
    <x v="3"/>
    <x v="5"/>
    <x v="134"/>
    <x v="507"/>
    <x v="599"/>
    <s v="Post-IPO"/>
    <x v="2"/>
    <n v="0.37"/>
    <s v="2022-08"/>
  </r>
  <r>
    <x v="1806"/>
    <x v="58"/>
    <x v="21"/>
    <x v="3"/>
    <x v="507"/>
    <x v="621"/>
    <s v="Post-IPO"/>
    <x v="2"/>
    <n v="0.15"/>
    <s v="2022-08"/>
  </r>
  <r>
    <x v="1807"/>
    <x v="1"/>
    <x v="22"/>
    <x v="55"/>
    <x v="508"/>
    <x v="128"/>
    <s v="Series A"/>
    <x v="1"/>
    <s v="NA"/>
    <s v="2022-08"/>
  </r>
  <r>
    <x v="1808"/>
    <x v="6"/>
    <x v="4"/>
    <x v="3"/>
    <x v="509"/>
    <x v="431"/>
    <s v="Series A"/>
    <x v="2"/>
    <s v="NA"/>
    <s v="2022-08"/>
  </r>
  <r>
    <x v="46"/>
    <x v="3"/>
    <x v="19"/>
    <x v="295"/>
    <x v="510"/>
    <x v="40"/>
    <s v="Post-IPO"/>
    <x v="2"/>
    <n v="0.13"/>
    <s v="2022-08"/>
  </r>
  <r>
    <x v="1809"/>
    <x v="16"/>
    <x v="2"/>
    <x v="3"/>
    <x v="510"/>
    <x v="387"/>
    <s v="Post-IPO"/>
    <x v="2"/>
    <n v="0.1"/>
    <s v="2022-08"/>
  </r>
  <r>
    <x v="1810"/>
    <x v="6"/>
    <x v="4"/>
    <x v="3"/>
    <x v="510"/>
    <x v="132"/>
    <s v="Series A"/>
    <x v="2"/>
    <s v="NA"/>
    <s v="2022-08"/>
  </r>
  <r>
    <x v="1711"/>
    <x v="6"/>
    <x v="5"/>
    <x v="142"/>
    <x v="511"/>
    <x v="361"/>
    <s v="Series D"/>
    <x v="2"/>
    <n v="0.33"/>
    <s v="2022-08"/>
  </r>
  <r>
    <x v="1811"/>
    <x v="6"/>
    <x v="5"/>
    <x v="58"/>
    <x v="511"/>
    <x v="145"/>
    <s v="Series C"/>
    <x v="2"/>
    <n v="0.2"/>
    <s v="2022-08"/>
  </r>
  <r>
    <x v="343"/>
    <x v="58"/>
    <x v="24"/>
    <x v="14"/>
    <x v="511"/>
    <x v="622"/>
    <s v="Series D"/>
    <x v="2"/>
    <n v="0.08"/>
    <s v="2022-08"/>
  </r>
  <r>
    <x v="1812"/>
    <x v="115"/>
    <x v="21"/>
    <x v="51"/>
    <x v="511"/>
    <x v="92"/>
    <s v="Series A"/>
    <x v="34"/>
    <n v="0.09"/>
    <s v="2022-08"/>
  </r>
  <r>
    <x v="1292"/>
    <x v="35"/>
    <x v="5"/>
    <x v="2"/>
    <x v="511"/>
    <x v="461"/>
    <s v="Series C"/>
    <x v="13"/>
    <s v="NA"/>
    <s v="2022-08"/>
  </r>
  <r>
    <x v="1813"/>
    <x v="51"/>
    <x v="15"/>
    <x v="84"/>
    <x v="511"/>
    <x v="7"/>
    <s v="Series C"/>
    <x v="20"/>
    <s v="NA"/>
    <s v="2022-08"/>
  </r>
  <r>
    <x v="1814"/>
    <x v="6"/>
    <x v="1"/>
    <x v="3"/>
    <x v="511"/>
    <x v="70"/>
    <s v="Post-IPO"/>
    <x v="2"/>
    <n v="0.02"/>
    <s v="2022-08"/>
  </r>
  <r>
    <x v="796"/>
    <x v="106"/>
    <x v="11"/>
    <x v="170"/>
    <x v="512"/>
    <x v="252"/>
    <s v="Series B"/>
    <x v="31"/>
    <n v="0.1"/>
    <s v="2022-08"/>
  </r>
  <r>
    <x v="957"/>
    <x v="10"/>
    <x v="3"/>
    <x v="2"/>
    <x v="512"/>
    <x v="98"/>
    <s v="Series C"/>
    <x v="3"/>
    <n v="0.12"/>
    <s v="2022-08"/>
  </r>
  <r>
    <x v="1560"/>
    <x v="16"/>
    <x v="22"/>
    <x v="3"/>
    <x v="512"/>
    <x v="380"/>
    <s v="Series B"/>
    <x v="2"/>
    <n v="0.2"/>
    <s v="2022-08"/>
  </r>
  <r>
    <x v="1815"/>
    <x v="10"/>
    <x v="3"/>
    <x v="3"/>
    <x v="512"/>
    <x v="319"/>
    <s v="Series C"/>
    <x v="3"/>
    <n v="1"/>
    <s v="2022-08"/>
  </r>
  <r>
    <x v="1816"/>
    <x v="17"/>
    <x v="5"/>
    <x v="3"/>
    <x v="512"/>
    <x v="309"/>
    <s v="Series D"/>
    <x v="2"/>
    <n v="0.2"/>
    <s v="2022-08"/>
  </r>
  <r>
    <x v="1817"/>
    <x v="58"/>
    <x v="5"/>
    <x v="19"/>
    <x v="513"/>
    <x v="61"/>
    <s v="Post-IPO"/>
    <x v="2"/>
    <n v="0.2"/>
    <s v="2022-08"/>
  </r>
  <r>
    <x v="1286"/>
    <x v="37"/>
    <x v="3"/>
    <x v="9"/>
    <x v="513"/>
    <x v="346"/>
    <s v="Series C"/>
    <x v="7"/>
    <n v="0.3"/>
    <s v="2022-08"/>
  </r>
  <r>
    <x v="1818"/>
    <x v="6"/>
    <x v="8"/>
    <x v="172"/>
    <x v="513"/>
    <x v="99"/>
    <s v="Post-IPO"/>
    <x v="2"/>
    <n v="0.04"/>
    <s v="2022-08"/>
  </r>
  <r>
    <x v="1819"/>
    <x v="17"/>
    <x v="5"/>
    <x v="80"/>
    <x v="513"/>
    <x v="623"/>
    <s v="Post-IPO"/>
    <x v="2"/>
    <n v="0.25"/>
    <s v="2022-08"/>
  </r>
  <r>
    <x v="1113"/>
    <x v="1"/>
    <x v="3"/>
    <x v="1"/>
    <x v="513"/>
    <x v="492"/>
    <s v="Post-IPO"/>
    <x v="1"/>
    <s v="NA"/>
    <s v="2022-08"/>
  </r>
  <r>
    <x v="1820"/>
    <x v="166"/>
    <x v="21"/>
    <x v="14"/>
    <x v="513"/>
    <x v="624"/>
    <s v="Series E"/>
    <x v="31"/>
    <n v="0.03"/>
    <s v="2022-08"/>
  </r>
  <r>
    <x v="133"/>
    <x v="3"/>
    <x v="1"/>
    <x v="14"/>
    <x v="513"/>
    <x v="103"/>
    <s v="Series D"/>
    <x v="2"/>
    <s v="NA"/>
    <s v="2022-08"/>
  </r>
  <r>
    <x v="810"/>
    <x v="119"/>
    <x v="6"/>
    <x v="31"/>
    <x v="513"/>
    <x v="365"/>
    <s v="Unknown"/>
    <x v="20"/>
    <n v="0.17"/>
    <s v="2022-08"/>
  </r>
  <r>
    <x v="1821"/>
    <x v="6"/>
    <x v="21"/>
    <x v="92"/>
    <x v="513"/>
    <x v="436"/>
    <s v="Series C"/>
    <x v="2"/>
    <n v="0.3"/>
    <s v="2022-08"/>
  </r>
  <r>
    <x v="547"/>
    <x v="37"/>
    <x v="5"/>
    <x v="5"/>
    <x v="513"/>
    <x v="611"/>
    <s v="Post-IPO"/>
    <x v="2"/>
    <s v="NA"/>
    <s v="2022-08"/>
  </r>
  <r>
    <x v="1822"/>
    <x v="37"/>
    <x v="9"/>
    <x v="35"/>
    <x v="513"/>
    <x v="477"/>
    <s v="Series B"/>
    <x v="7"/>
    <s v="NA"/>
    <s v="2022-08"/>
  </r>
  <r>
    <x v="1823"/>
    <x v="6"/>
    <x v="5"/>
    <x v="3"/>
    <x v="513"/>
    <x v="20"/>
    <s v="Post-IPO"/>
    <x v="2"/>
    <n v="0.12"/>
    <s v="2022-08"/>
  </r>
  <r>
    <x v="1824"/>
    <x v="3"/>
    <x v="1"/>
    <x v="3"/>
    <x v="513"/>
    <x v="625"/>
    <s v="Unknown"/>
    <x v="2"/>
    <n v="0.15"/>
    <s v="2022-08"/>
  </r>
  <r>
    <x v="1825"/>
    <x v="6"/>
    <x v="0"/>
    <x v="3"/>
    <x v="513"/>
    <x v="261"/>
    <s v="Seed"/>
    <x v="2"/>
    <n v="1"/>
    <s v="2022-08"/>
  </r>
  <r>
    <x v="1385"/>
    <x v="3"/>
    <x v="26"/>
    <x v="3"/>
    <x v="513"/>
    <x v="549"/>
    <s v="Post-IPO"/>
    <x v="2"/>
    <n v="0.1"/>
    <s v="2022-08"/>
  </r>
  <r>
    <x v="481"/>
    <x v="6"/>
    <x v="10"/>
    <x v="3"/>
    <x v="513"/>
    <x v="103"/>
    <s v="Post-IPO"/>
    <x v="2"/>
    <s v="NA"/>
    <s v="2022-08"/>
  </r>
  <r>
    <x v="1826"/>
    <x v="9"/>
    <x v="0"/>
    <x v="3"/>
    <x v="513"/>
    <x v="626"/>
    <s v="Post-IPO"/>
    <x v="2"/>
    <s v="NA"/>
    <s v="2022-08"/>
  </r>
  <r>
    <x v="1206"/>
    <x v="58"/>
    <x v="21"/>
    <x v="30"/>
    <x v="514"/>
    <x v="52"/>
    <s v="Post-IPO"/>
    <x v="2"/>
    <n v="0.15"/>
    <s v="2022-08"/>
  </r>
  <r>
    <x v="1161"/>
    <x v="106"/>
    <x v="24"/>
    <x v="30"/>
    <x v="514"/>
    <x v="504"/>
    <s v="Series F"/>
    <x v="31"/>
    <n v="0.15"/>
    <s v="2022-08"/>
  </r>
  <r>
    <x v="242"/>
    <x v="3"/>
    <x v="10"/>
    <x v="296"/>
    <x v="514"/>
    <x v="22"/>
    <s v="Post-IPO"/>
    <x v="2"/>
    <s v="NA"/>
    <s v="2022-08"/>
  </r>
  <r>
    <x v="1827"/>
    <x v="3"/>
    <x v="6"/>
    <x v="98"/>
    <x v="514"/>
    <x v="627"/>
    <s v="Post-IPO"/>
    <x v="2"/>
    <s v="NA"/>
    <s v="2022-08"/>
  </r>
  <r>
    <x v="1828"/>
    <x v="6"/>
    <x v="27"/>
    <x v="15"/>
    <x v="514"/>
    <x v="133"/>
    <s v="Series D"/>
    <x v="2"/>
    <s v="NA"/>
    <s v="2022-08"/>
  </r>
  <r>
    <x v="1829"/>
    <x v="1"/>
    <x v="3"/>
    <x v="33"/>
    <x v="514"/>
    <x v="223"/>
    <s v="Post-IPO"/>
    <x v="1"/>
    <n v="0.05"/>
    <s v="2022-08"/>
  </r>
  <r>
    <x v="1830"/>
    <x v="3"/>
    <x v="0"/>
    <x v="3"/>
    <x v="514"/>
    <x v="233"/>
    <s v="Series D"/>
    <x v="2"/>
    <n v="0.15"/>
    <s v="2022-08"/>
  </r>
  <r>
    <x v="1789"/>
    <x v="17"/>
    <x v="27"/>
    <x v="3"/>
    <x v="514"/>
    <x v="35"/>
    <s v="Series G"/>
    <x v="2"/>
    <s v="NA"/>
    <s v="2022-08"/>
  </r>
  <r>
    <x v="222"/>
    <x v="17"/>
    <x v="6"/>
    <x v="24"/>
    <x v="515"/>
    <x v="43"/>
    <s v="Acquired"/>
    <x v="2"/>
    <n v="0.1"/>
    <s v="2022-08"/>
  </r>
  <r>
    <x v="1831"/>
    <x v="62"/>
    <x v="21"/>
    <x v="31"/>
    <x v="515"/>
    <x v="151"/>
    <s v="Series B"/>
    <x v="7"/>
    <n v="0.1"/>
    <s v="2022-08"/>
  </r>
  <r>
    <x v="1832"/>
    <x v="62"/>
    <x v="3"/>
    <x v="111"/>
    <x v="515"/>
    <x v="92"/>
    <s v="Series A"/>
    <x v="7"/>
    <n v="0.17"/>
    <s v="2022-08"/>
  </r>
  <r>
    <x v="441"/>
    <x v="73"/>
    <x v="24"/>
    <x v="3"/>
    <x v="515"/>
    <x v="223"/>
    <s v="Series B"/>
    <x v="2"/>
    <s v="NA"/>
    <s v="2022-08"/>
  </r>
  <r>
    <x v="506"/>
    <x v="6"/>
    <x v="18"/>
    <x v="3"/>
    <x v="515"/>
    <x v="299"/>
    <s v="Series D"/>
    <x v="2"/>
    <s v="NA"/>
    <s v="2022-08"/>
  </r>
  <r>
    <x v="1457"/>
    <x v="6"/>
    <x v="1"/>
    <x v="38"/>
    <x v="516"/>
    <x v="68"/>
    <s v="Post-IPO"/>
    <x v="2"/>
    <n v="0.13"/>
    <s v="2022-08"/>
  </r>
  <r>
    <x v="1833"/>
    <x v="37"/>
    <x v="21"/>
    <x v="83"/>
    <x v="516"/>
    <x v="12"/>
    <s v="Series B"/>
    <x v="7"/>
    <n v="0.17"/>
    <s v="2022-08"/>
  </r>
  <r>
    <x v="1834"/>
    <x v="9"/>
    <x v="6"/>
    <x v="28"/>
    <x v="516"/>
    <x v="628"/>
    <s v="Unknown"/>
    <x v="2"/>
    <n v="0.17"/>
    <s v="2022-08"/>
  </r>
  <r>
    <x v="1835"/>
    <x v="6"/>
    <x v="5"/>
    <x v="1"/>
    <x v="516"/>
    <x v="629"/>
    <s v="Post-IPO"/>
    <x v="2"/>
    <n v="0.08"/>
    <s v="2022-08"/>
  </r>
  <r>
    <x v="1351"/>
    <x v="91"/>
    <x v="11"/>
    <x v="54"/>
    <x v="516"/>
    <x v="549"/>
    <s v="Series E"/>
    <x v="6"/>
    <n v="0.04"/>
    <s v="2022-08"/>
  </r>
  <r>
    <x v="828"/>
    <x v="6"/>
    <x v="18"/>
    <x v="54"/>
    <x v="516"/>
    <x v="390"/>
    <s v="Acquired"/>
    <x v="2"/>
    <s v="NA"/>
    <s v="2022-08"/>
  </r>
  <r>
    <x v="1836"/>
    <x v="6"/>
    <x v="11"/>
    <x v="6"/>
    <x v="516"/>
    <x v="132"/>
    <s v="Series A"/>
    <x v="2"/>
    <n v="0.33"/>
    <s v="2022-08"/>
  </r>
  <r>
    <x v="919"/>
    <x v="38"/>
    <x v="28"/>
    <x v="43"/>
    <x v="516"/>
    <x v="439"/>
    <s v="Series B"/>
    <x v="7"/>
    <n v="0.12"/>
    <s v="2022-08"/>
  </r>
  <r>
    <x v="1305"/>
    <x v="6"/>
    <x v="18"/>
    <x v="31"/>
    <x v="516"/>
    <x v="94"/>
    <s v="Post-IPO"/>
    <x v="2"/>
    <s v="NA"/>
    <s v="2022-08"/>
  </r>
  <r>
    <x v="1156"/>
    <x v="3"/>
    <x v="5"/>
    <x v="3"/>
    <x v="516"/>
    <x v="175"/>
    <s v="Series C"/>
    <x v="2"/>
    <n v="0.16"/>
    <s v="2022-08"/>
  </r>
  <r>
    <x v="1837"/>
    <x v="106"/>
    <x v="1"/>
    <x v="3"/>
    <x v="516"/>
    <x v="377"/>
    <s v="Series B"/>
    <x v="31"/>
    <n v="0.2"/>
    <s v="2022-08"/>
  </r>
  <r>
    <x v="1838"/>
    <x v="6"/>
    <x v="6"/>
    <x v="3"/>
    <x v="516"/>
    <x v="448"/>
    <s v="Acquired"/>
    <x v="2"/>
    <s v="NA"/>
    <s v="2022-08"/>
  </r>
  <r>
    <x v="1458"/>
    <x v="9"/>
    <x v="4"/>
    <x v="3"/>
    <x v="516"/>
    <x v="12"/>
    <s v="Acquired"/>
    <x v="2"/>
    <n v="0.1"/>
    <s v="2022-08"/>
  </r>
  <r>
    <x v="1839"/>
    <x v="71"/>
    <x v="11"/>
    <x v="3"/>
    <x v="516"/>
    <x v="132"/>
    <s v="Series B"/>
    <x v="26"/>
    <n v="0.3"/>
    <s v="2022-08"/>
  </r>
  <r>
    <x v="1840"/>
    <x v="39"/>
    <x v="5"/>
    <x v="155"/>
    <x v="517"/>
    <x v="422"/>
    <s v="Series C"/>
    <x v="2"/>
    <s v="NA"/>
    <s v="2022-08"/>
  </r>
  <r>
    <x v="1841"/>
    <x v="37"/>
    <x v="3"/>
    <x v="170"/>
    <x v="517"/>
    <x v="25"/>
    <s v="Series A"/>
    <x v="7"/>
    <n v="0.2"/>
    <s v="2022-08"/>
  </r>
  <r>
    <x v="423"/>
    <x v="9"/>
    <x v="0"/>
    <x v="5"/>
    <x v="517"/>
    <x v="270"/>
    <s v="Post-IPO"/>
    <x v="2"/>
    <n v="0.04"/>
    <s v="2022-08"/>
  </r>
  <r>
    <x v="1842"/>
    <x v="19"/>
    <x v="12"/>
    <x v="46"/>
    <x v="517"/>
    <x v="25"/>
    <s v="Series B"/>
    <x v="2"/>
    <s v="NA"/>
    <s v="2022-08"/>
  </r>
  <r>
    <x v="1843"/>
    <x v="48"/>
    <x v="10"/>
    <x v="3"/>
    <x v="517"/>
    <x v="299"/>
    <s v="Series E"/>
    <x v="6"/>
    <s v="NA"/>
    <s v="2022-08"/>
  </r>
  <r>
    <x v="1844"/>
    <x v="8"/>
    <x v="8"/>
    <x v="3"/>
    <x v="517"/>
    <x v="559"/>
    <s v="Acquired"/>
    <x v="2"/>
    <n v="0.15"/>
    <s v="2022-08"/>
  </r>
  <r>
    <x v="845"/>
    <x v="14"/>
    <x v="6"/>
    <x v="3"/>
    <x v="517"/>
    <x v="423"/>
    <s v="Unknown"/>
    <x v="5"/>
    <n v="0.2"/>
    <s v="2022-08"/>
  </r>
  <r>
    <x v="1845"/>
    <x v="121"/>
    <x v="3"/>
    <x v="3"/>
    <x v="517"/>
    <x v="185"/>
    <s v="Private Equity"/>
    <x v="36"/>
    <n v="0.15"/>
    <s v="2022-08"/>
  </r>
  <r>
    <x v="515"/>
    <x v="6"/>
    <x v="1"/>
    <x v="297"/>
    <x v="518"/>
    <x v="305"/>
    <s v="Post-IPO"/>
    <x v="2"/>
    <n v="0.23"/>
    <s v="2022-08"/>
  </r>
  <r>
    <x v="714"/>
    <x v="3"/>
    <x v="25"/>
    <x v="119"/>
    <x v="518"/>
    <x v="376"/>
    <s v="Post-IPO"/>
    <x v="2"/>
    <n v="0.37"/>
    <s v="2022-08"/>
  </r>
  <r>
    <x v="1448"/>
    <x v="20"/>
    <x v="11"/>
    <x v="1"/>
    <x v="518"/>
    <x v="421"/>
    <s v="Series E"/>
    <x v="6"/>
    <s v="NA"/>
    <s v="2022-08"/>
  </r>
  <r>
    <x v="1846"/>
    <x v="18"/>
    <x v="24"/>
    <x v="58"/>
    <x v="518"/>
    <x v="158"/>
    <s v="Unknown"/>
    <x v="2"/>
    <s v="NA"/>
    <s v="2022-08"/>
  </r>
  <r>
    <x v="1847"/>
    <x v="6"/>
    <x v="14"/>
    <x v="54"/>
    <x v="518"/>
    <x v="105"/>
    <s v="Series C"/>
    <x v="2"/>
    <n v="0.25"/>
    <s v="2022-08"/>
  </r>
  <r>
    <x v="517"/>
    <x v="4"/>
    <x v="9"/>
    <x v="14"/>
    <x v="518"/>
    <x v="306"/>
    <s v="Series G"/>
    <x v="2"/>
    <n v="0.05"/>
    <s v="2022-08"/>
  </r>
  <r>
    <x v="620"/>
    <x v="115"/>
    <x v="24"/>
    <x v="51"/>
    <x v="518"/>
    <x v="7"/>
    <s v="Series B"/>
    <x v="34"/>
    <n v="0.2"/>
    <s v="2022-08"/>
  </r>
  <r>
    <x v="1848"/>
    <x v="17"/>
    <x v="12"/>
    <x v="5"/>
    <x v="518"/>
    <x v="106"/>
    <s v="Acquired"/>
    <x v="2"/>
    <s v="NA"/>
    <s v="2022-08"/>
  </r>
  <r>
    <x v="620"/>
    <x v="115"/>
    <x v="24"/>
    <x v="2"/>
    <x v="518"/>
    <x v="7"/>
    <s v="Series B"/>
    <x v="34"/>
    <n v="0.1"/>
    <s v="2022-08"/>
  </r>
  <r>
    <x v="1849"/>
    <x v="54"/>
    <x v="14"/>
    <x v="121"/>
    <x v="518"/>
    <x v="61"/>
    <s v="Series B"/>
    <x v="2"/>
    <n v="0.3"/>
    <s v="2022-08"/>
  </r>
  <r>
    <x v="1850"/>
    <x v="3"/>
    <x v="21"/>
    <x v="70"/>
    <x v="518"/>
    <x v="630"/>
    <s v="Series E"/>
    <x v="2"/>
    <n v="0.08"/>
    <s v="2022-08"/>
  </r>
  <r>
    <x v="1386"/>
    <x v="167"/>
    <x v="5"/>
    <x v="3"/>
    <x v="518"/>
    <x v="374"/>
    <s v="Post-IPO"/>
    <x v="2"/>
    <n v="0.1"/>
    <s v="2022-08"/>
  </r>
  <r>
    <x v="1851"/>
    <x v="3"/>
    <x v="26"/>
    <x v="3"/>
    <x v="518"/>
    <x v="265"/>
    <s v="Post-IPO"/>
    <x v="2"/>
    <s v="NA"/>
    <s v="2022-08"/>
  </r>
  <r>
    <x v="1852"/>
    <x v="106"/>
    <x v="1"/>
    <x v="128"/>
    <x v="519"/>
    <x v="492"/>
    <s v="Series C"/>
    <x v="31"/>
    <n v="0.5"/>
    <s v="2022-08"/>
  </r>
  <r>
    <x v="1853"/>
    <x v="58"/>
    <x v="11"/>
    <x v="3"/>
    <x v="519"/>
    <x v="5"/>
    <s v="Seed"/>
    <x v="2"/>
    <s v="NA"/>
    <s v="2022-08"/>
  </r>
  <r>
    <x v="1321"/>
    <x v="48"/>
    <x v="0"/>
    <x v="3"/>
    <x v="519"/>
    <x v="192"/>
    <s v="Series D"/>
    <x v="6"/>
    <s v="NA"/>
    <s v="2022-08"/>
  </r>
  <r>
    <x v="1854"/>
    <x v="10"/>
    <x v="26"/>
    <x v="3"/>
    <x v="519"/>
    <x v="12"/>
    <s v="Unknown"/>
    <x v="3"/>
    <s v="NA"/>
    <s v="2022-08"/>
  </r>
  <r>
    <x v="1309"/>
    <x v="6"/>
    <x v="4"/>
    <x v="3"/>
    <x v="519"/>
    <x v="12"/>
    <s v="Post-IPO"/>
    <x v="2"/>
    <s v="NA"/>
    <s v="2022-08"/>
  </r>
  <r>
    <x v="1855"/>
    <x v="17"/>
    <x v="10"/>
    <x v="3"/>
    <x v="519"/>
    <x v="132"/>
    <s v="Series A"/>
    <x v="2"/>
    <n v="1"/>
    <s v="2022-08"/>
  </r>
  <r>
    <x v="1856"/>
    <x v="0"/>
    <x v="4"/>
    <x v="3"/>
    <x v="519"/>
    <x v="121"/>
    <s v="Series A"/>
    <x v="0"/>
    <s v="NA"/>
    <s v="2022-08"/>
  </r>
  <r>
    <x v="1857"/>
    <x v="51"/>
    <x v="3"/>
    <x v="133"/>
    <x v="520"/>
    <x v="143"/>
    <s v="Series B"/>
    <x v="20"/>
    <n v="1"/>
    <s v="2022-07"/>
  </r>
  <r>
    <x v="1659"/>
    <x v="1"/>
    <x v="12"/>
    <x v="134"/>
    <x v="520"/>
    <x v="128"/>
    <s v="Seed"/>
    <x v="1"/>
    <n v="0.32"/>
    <s v="2022-07"/>
  </r>
  <r>
    <x v="1858"/>
    <x v="23"/>
    <x v="3"/>
    <x v="3"/>
    <x v="520"/>
    <x v="12"/>
    <s v="Unknown"/>
    <x v="2"/>
    <n v="0.5"/>
    <s v="2022-07"/>
  </r>
  <r>
    <x v="54"/>
    <x v="20"/>
    <x v="10"/>
    <x v="4"/>
    <x v="521"/>
    <x v="46"/>
    <s v="Series J"/>
    <x v="6"/>
    <s v="NA"/>
    <s v="2022-07"/>
  </r>
  <r>
    <x v="1315"/>
    <x v="62"/>
    <x v="1"/>
    <x v="93"/>
    <x v="521"/>
    <x v="469"/>
    <s v="Series C"/>
    <x v="7"/>
    <n v="0.25"/>
    <s v="2022-07"/>
  </r>
  <r>
    <x v="1859"/>
    <x v="6"/>
    <x v="0"/>
    <x v="31"/>
    <x v="521"/>
    <x v="127"/>
    <s v="Series D"/>
    <x v="2"/>
    <s v="NA"/>
    <s v="2022-07"/>
  </r>
  <r>
    <x v="1860"/>
    <x v="4"/>
    <x v="0"/>
    <x v="194"/>
    <x v="521"/>
    <x v="492"/>
    <s v="Series B"/>
    <x v="2"/>
    <s v="NA"/>
    <s v="2022-07"/>
  </r>
  <r>
    <x v="1861"/>
    <x v="6"/>
    <x v="3"/>
    <x v="5"/>
    <x v="521"/>
    <x v="164"/>
    <s v="Series C"/>
    <x v="2"/>
    <n v="0.06"/>
    <s v="2022-07"/>
  </r>
  <r>
    <x v="1862"/>
    <x v="62"/>
    <x v="7"/>
    <x v="57"/>
    <x v="521"/>
    <x v="183"/>
    <s v="Unknown"/>
    <x v="7"/>
    <s v="NA"/>
    <s v="2022-07"/>
  </r>
  <r>
    <x v="1863"/>
    <x v="209"/>
    <x v="2"/>
    <x v="3"/>
    <x v="521"/>
    <x v="183"/>
    <s v="Unknown"/>
    <x v="46"/>
    <s v="NA"/>
    <s v="2022-07"/>
  </r>
  <r>
    <x v="1864"/>
    <x v="97"/>
    <x v="0"/>
    <x v="3"/>
    <x v="521"/>
    <x v="14"/>
    <s v="Post-IPO"/>
    <x v="17"/>
    <s v="NA"/>
    <s v="2022-07"/>
  </r>
  <r>
    <x v="1865"/>
    <x v="51"/>
    <x v="22"/>
    <x v="3"/>
    <x v="521"/>
    <x v="47"/>
    <s v="Unknown"/>
    <x v="20"/>
    <n v="1"/>
    <s v="2022-07"/>
  </r>
  <r>
    <x v="1583"/>
    <x v="3"/>
    <x v="22"/>
    <x v="288"/>
    <x v="522"/>
    <x v="592"/>
    <s v="Series C"/>
    <x v="2"/>
    <s v="NA"/>
    <s v="2022-07"/>
  </r>
  <r>
    <x v="1337"/>
    <x v="6"/>
    <x v="11"/>
    <x v="14"/>
    <x v="522"/>
    <x v="302"/>
    <s v="Series B"/>
    <x v="2"/>
    <n v="0.33"/>
    <s v="2022-07"/>
  </r>
  <r>
    <x v="1866"/>
    <x v="6"/>
    <x v="1"/>
    <x v="14"/>
    <x v="522"/>
    <x v="631"/>
    <s v="Acquired"/>
    <x v="2"/>
    <n v="0.2"/>
    <s v="2022-07"/>
  </r>
  <r>
    <x v="1016"/>
    <x v="120"/>
    <x v="1"/>
    <x v="112"/>
    <x v="522"/>
    <x v="48"/>
    <s v="Post-IPO"/>
    <x v="35"/>
    <s v="NA"/>
    <s v="2022-07"/>
  </r>
  <r>
    <x v="1867"/>
    <x v="6"/>
    <x v="21"/>
    <x v="121"/>
    <x v="522"/>
    <x v="632"/>
    <s v="Post-IPO"/>
    <x v="2"/>
    <s v="NA"/>
    <s v="2022-07"/>
  </r>
  <r>
    <x v="1868"/>
    <x v="164"/>
    <x v="6"/>
    <x v="57"/>
    <x v="522"/>
    <x v="5"/>
    <s v="Seed"/>
    <x v="7"/>
    <s v="NA"/>
    <s v="2022-07"/>
  </r>
  <r>
    <x v="250"/>
    <x v="72"/>
    <x v="11"/>
    <x v="3"/>
    <x v="522"/>
    <x v="180"/>
    <s v="Post-IPO"/>
    <x v="2"/>
    <n v="0.2"/>
    <s v="2022-07"/>
  </r>
  <r>
    <x v="1869"/>
    <x v="20"/>
    <x v="21"/>
    <x v="3"/>
    <x v="522"/>
    <x v="69"/>
    <s v="Series A"/>
    <x v="6"/>
    <s v="NA"/>
    <s v="2022-07"/>
  </r>
  <r>
    <x v="1870"/>
    <x v="9"/>
    <x v="9"/>
    <x v="3"/>
    <x v="522"/>
    <x v="69"/>
    <s v="Series A"/>
    <x v="2"/>
    <s v="NA"/>
    <s v="2022-07"/>
  </r>
  <r>
    <x v="1871"/>
    <x v="6"/>
    <x v="4"/>
    <x v="3"/>
    <x v="522"/>
    <x v="32"/>
    <s v="Series D"/>
    <x v="2"/>
    <n v="0.19"/>
    <s v="2022-07"/>
  </r>
  <r>
    <x v="1872"/>
    <x v="6"/>
    <x v="26"/>
    <x v="3"/>
    <x v="522"/>
    <x v="354"/>
    <s v="Acquired"/>
    <x v="2"/>
    <s v="NA"/>
    <s v="2022-07"/>
  </r>
  <r>
    <x v="1873"/>
    <x v="6"/>
    <x v="17"/>
    <x v="3"/>
    <x v="522"/>
    <x v="494"/>
    <s v="Unknown"/>
    <x v="2"/>
    <n v="0.2"/>
    <s v="2022-07"/>
  </r>
  <r>
    <x v="33"/>
    <x v="31"/>
    <x v="10"/>
    <x v="298"/>
    <x v="523"/>
    <x v="29"/>
    <s v="Post-IPO"/>
    <x v="2"/>
    <n v="0.06"/>
    <s v="2022-07"/>
  </r>
  <r>
    <x v="372"/>
    <x v="72"/>
    <x v="26"/>
    <x v="178"/>
    <x v="523"/>
    <x v="243"/>
    <s v="Series F"/>
    <x v="2"/>
    <n v="0.02"/>
    <s v="2022-07"/>
  </r>
  <r>
    <x v="1874"/>
    <x v="62"/>
    <x v="2"/>
    <x v="2"/>
    <x v="523"/>
    <x v="438"/>
    <s v="Unknown"/>
    <x v="7"/>
    <n v="0.24"/>
    <s v="2022-07"/>
  </r>
  <r>
    <x v="1875"/>
    <x v="1"/>
    <x v="3"/>
    <x v="2"/>
    <x v="523"/>
    <x v="73"/>
    <s v="Series E"/>
    <x v="1"/>
    <n v="0.04"/>
    <s v="2022-07"/>
  </r>
  <r>
    <x v="883"/>
    <x v="21"/>
    <x v="21"/>
    <x v="4"/>
    <x v="524"/>
    <x v="270"/>
    <s v="Post-IPO"/>
    <x v="7"/>
    <n v="0.1"/>
    <s v="2022-07"/>
  </r>
  <r>
    <x v="381"/>
    <x v="14"/>
    <x v="22"/>
    <x v="58"/>
    <x v="524"/>
    <x v="26"/>
    <s v="Unknown"/>
    <x v="5"/>
    <s v="NA"/>
    <s v="2022-07"/>
  </r>
  <r>
    <x v="1876"/>
    <x v="1"/>
    <x v="4"/>
    <x v="14"/>
    <x v="524"/>
    <x v="335"/>
    <s v="Post-IPO"/>
    <x v="1"/>
    <n v="0.08"/>
    <s v="2022-07"/>
  </r>
  <r>
    <x v="1877"/>
    <x v="51"/>
    <x v="1"/>
    <x v="5"/>
    <x v="524"/>
    <x v="149"/>
    <s v="Series B"/>
    <x v="20"/>
    <n v="0.17"/>
    <s v="2022-07"/>
  </r>
  <r>
    <x v="822"/>
    <x v="3"/>
    <x v="3"/>
    <x v="171"/>
    <x v="524"/>
    <x v="414"/>
    <s v="Post-IPO"/>
    <x v="2"/>
    <n v="0.03"/>
    <s v="2022-07"/>
  </r>
  <r>
    <x v="1878"/>
    <x v="6"/>
    <x v="15"/>
    <x v="121"/>
    <x v="524"/>
    <x v="219"/>
    <s v="Series A"/>
    <x v="2"/>
    <n v="0.3"/>
    <s v="2022-07"/>
  </r>
  <r>
    <x v="1095"/>
    <x v="51"/>
    <x v="2"/>
    <x v="33"/>
    <x v="524"/>
    <x v="487"/>
    <s v="Series C"/>
    <x v="20"/>
    <n v="0.06"/>
    <s v="2022-07"/>
  </r>
  <r>
    <x v="894"/>
    <x v="6"/>
    <x v="4"/>
    <x v="54"/>
    <x v="525"/>
    <x v="434"/>
    <s v="Acquired"/>
    <x v="2"/>
    <s v="NA"/>
    <s v="2022-07"/>
  </r>
  <r>
    <x v="1879"/>
    <x v="17"/>
    <x v="5"/>
    <x v="37"/>
    <x v="525"/>
    <x v="372"/>
    <s v="Post-IPO"/>
    <x v="2"/>
    <n v="0.09"/>
    <s v="2022-07"/>
  </r>
  <r>
    <x v="1880"/>
    <x v="6"/>
    <x v="5"/>
    <x v="3"/>
    <x v="525"/>
    <x v="20"/>
    <s v="Series E"/>
    <x v="2"/>
    <n v="0.06"/>
    <s v="2022-07"/>
  </r>
  <r>
    <x v="1881"/>
    <x v="1"/>
    <x v="18"/>
    <x v="17"/>
    <x v="526"/>
    <x v="143"/>
    <s v="Acquired"/>
    <x v="1"/>
    <n v="1"/>
    <s v="2022-07"/>
  </r>
  <r>
    <x v="1882"/>
    <x v="51"/>
    <x v="5"/>
    <x v="31"/>
    <x v="527"/>
    <x v="395"/>
    <s v="Series C"/>
    <x v="2"/>
    <n v="0.2"/>
    <s v="2022-07"/>
  </r>
  <r>
    <x v="1883"/>
    <x v="6"/>
    <x v="12"/>
    <x v="112"/>
    <x v="527"/>
    <x v="492"/>
    <s v="Series B"/>
    <x v="2"/>
    <s v="NA"/>
    <s v="2022-07"/>
  </r>
  <r>
    <x v="860"/>
    <x v="106"/>
    <x v="1"/>
    <x v="26"/>
    <x v="527"/>
    <x v="128"/>
    <s v="Series A"/>
    <x v="31"/>
    <n v="0.22"/>
    <s v="2022-07"/>
  </r>
  <r>
    <x v="1884"/>
    <x v="6"/>
    <x v="5"/>
    <x v="8"/>
    <x v="527"/>
    <x v="535"/>
    <s v="Series D"/>
    <x v="2"/>
    <n v="0.05"/>
    <s v="2022-07"/>
  </r>
  <r>
    <x v="1885"/>
    <x v="39"/>
    <x v="25"/>
    <x v="3"/>
    <x v="527"/>
    <x v="12"/>
    <s v="Unknown"/>
    <x v="2"/>
    <s v="NA"/>
    <s v="2022-07"/>
  </r>
  <r>
    <x v="1886"/>
    <x v="9"/>
    <x v="21"/>
    <x v="3"/>
    <x v="527"/>
    <x v="126"/>
    <s v="Series B"/>
    <x v="2"/>
    <n v="0.05"/>
    <s v="2022-07"/>
  </r>
  <r>
    <x v="1887"/>
    <x v="45"/>
    <x v="5"/>
    <x v="3"/>
    <x v="527"/>
    <x v="296"/>
    <s v="Post-IPO"/>
    <x v="2"/>
    <s v="NA"/>
    <s v="2022-07"/>
  </r>
  <r>
    <x v="1888"/>
    <x v="6"/>
    <x v="9"/>
    <x v="3"/>
    <x v="527"/>
    <x v="271"/>
    <s v="Series D"/>
    <x v="2"/>
    <s v="NA"/>
    <s v="2022-07"/>
  </r>
  <r>
    <x v="1889"/>
    <x v="6"/>
    <x v="14"/>
    <x v="3"/>
    <x v="527"/>
    <x v="267"/>
    <s v="Acquired"/>
    <x v="2"/>
    <s v="NA"/>
    <s v="2022-07"/>
  </r>
  <r>
    <x v="1331"/>
    <x v="10"/>
    <x v="2"/>
    <x v="0"/>
    <x v="528"/>
    <x v="131"/>
    <s v="Series D"/>
    <x v="3"/>
    <n v="0.25"/>
    <s v="2022-07"/>
  </r>
  <r>
    <x v="1660"/>
    <x v="6"/>
    <x v="26"/>
    <x v="24"/>
    <x v="528"/>
    <x v="12"/>
    <s v="Series D"/>
    <x v="2"/>
    <s v="0.35000000000000003"/>
    <s v="2022-07"/>
  </r>
  <r>
    <x v="1188"/>
    <x v="39"/>
    <x v="25"/>
    <x v="80"/>
    <x v="528"/>
    <x v="12"/>
    <s v="Post-IPO"/>
    <x v="2"/>
    <n v="0.22"/>
    <s v="2022-07"/>
  </r>
  <r>
    <x v="1358"/>
    <x v="17"/>
    <x v="19"/>
    <x v="81"/>
    <x v="528"/>
    <x v="542"/>
    <s v="Series F"/>
    <x v="2"/>
    <n v="0.15"/>
    <s v="2022-07"/>
  </r>
  <r>
    <x v="1890"/>
    <x v="4"/>
    <x v="10"/>
    <x v="98"/>
    <x v="528"/>
    <x v="633"/>
    <s v="Series D"/>
    <x v="2"/>
    <n v="0.1"/>
    <s v="2022-07"/>
  </r>
  <r>
    <x v="1891"/>
    <x v="3"/>
    <x v="0"/>
    <x v="14"/>
    <x v="528"/>
    <x v="32"/>
    <s v="Series B"/>
    <x v="2"/>
    <n v="0.33"/>
    <s v="2022-07"/>
  </r>
  <r>
    <x v="1892"/>
    <x v="4"/>
    <x v="5"/>
    <x v="55"/>
    <x v="528"/>
    <x v="92"/>
    <s v="Series B"/>
    <x v="2"/>
    <n v="0.05"/>
    <s v="2022-07"/>
  </r>
  <r>
    <x v="62"/>
    <x v="4"/>
    <x v="5"/>
    <x v="3"/>
    <x v="528"/>
    <x v="72"/>
    <s v="Series E"/>
    <x v="2"/>
    <n v="0.1"/>
    <s v="2022-07"/>
  </r>
  <r>
    <x v="1893"/>
    <x v="3"/>
    <x v="18"/>
    <x v="3"/>
    <x v="528"/>
    <x v="431"/>
    <s v="Series B"/>
    <x v="2"/>
    <s v="NA"/>
    <s v="2022-07"/>
  </r>
  <r>
    <x v="311"/>
    <x v="3"/>
    <x v="14"/>
    <x v="3"/>
    <x v="528"/>
    <x v="210"/>
    <s v="Series F"/>
    <x v="2"/>
    <n v="0.5"/>
    <s v="2022-07"/>
  </r>
  <r>
    <x v="820"/>
    <x v="6"/>
    <x v="14"/>
    <x v="3"/>
    <x v="528"/>
    <x v="331"/>
    <s v="Series C"/>
    <x v="2"/>
    <s v="NA"/>
    <s v="2022-07"/>
  </r>
  <r>
    <x v="1894"/>
    <x v="8"/>
    <x v="4"/>
    <x v="3"/>
    <x v="528"/>
    <x v="12"/>
    <s v="Private Equity"/>
    <x v="2"/>
    <s v="NA"/>
    <s v="2022-07"/>
  </r>
  <r>
    <x v="1895"/>
    <x v="46"/>
    <x v="0"/>
    <x v="299"/>
    <x v="529"/>
    <x v="634"/>
    <s v="Post-IPO"/>
    <x v="18"/>
    <s v="NA"/>
    <s v="2022-07"/>
  </r>
  <r>
    <x v="336"/>
    <x v="4"/>
    <x v="22"/>
    <x v="28"/>
    <x v="529"/>
    <x v="224"/>
    <s v="Series C"/>
    <x v="2"/>
    <n v="0.2"/>
    <s v="2022-07"/>
  </r>
  <r>
    <x v="869"/>
    <x v="6"/>
    <x v="1"/>
    <x v="133"/>
    <x v="529"/>
    <x v="428"/>
    <s v="Series E"/>
    <x v="2"/>
    <s v="NA"/>
    <s v="2022-07"/>
  </r>
  <r>
    <x v="1896"/>
    <x v="6"/>
    <x v="4"/>
    <x v="14"/>
    <x v="529"/>
    <x v="635"/>
    <s v="Series C"/>
    <x v="2"/>
    <s v="NA"/>
    <s v="2022-07"/>
  </r>
  <r>
    <x v="923"/>
    <x v="6"/>
    <x v="10"/>
    <x v="14"/>
    <x v="529"/>
    <x v="140"/>
    <s v="Post-IPO"/>
    <x v="2"/>
    <n v="0.02"/>
    <s v="2022-07"/>
  </r>
  <r>
    <x v="1897"/>
    <x v="210"/>
    <x v="9"/>
    <x v="18"/>
    <x v="529"/>
    <x v="317"/>
    <s v="Series C"/>
    <x v="7"/>
    <n v="0.16"/>
    <s v="2022-07"/>
  </r>
  <r>
    <x v="1898"/>
    <x v="1"/>
    <x v="4"/>
    <x v="2"/>
    <x v="529"/>
    <x v="302"/>
    <s v="Unknown"/>
    <x v="1"/>
    <n v="0.2"/>
    <s v="2022-07"/>
  </r>
  <r>
    <x v="1899"/>
    <x v="3"/>
    <x v="26"/>
    <x v="121"/>
    <x v="529"/>
    <x v="57"/>
    <s v="Series D"/>
    <x v="2"/>
    <s v="NA"/>
    <s v="2022-07"/>
  </r>
  <r>
    <x v="1900"/>
    <x v="62"/>
    <x v="9"/>
    <x v="8"/>
    <x v="529"/>
    <x v="492"/>
    <s v="Series B"/>
    <x v="7"/>
    <n v="0.09"/>
    <s v="2022-07"/>
  </r>
  <r>
    <x v="1901"/>
    <x v="6"/>
    <x v="12"/>
    <x v="46"/>
    <x v="529"/>
    <x v="5"/>
    <s v="Seed"/>
    <x v="2"/>
    <s v="NA"/>
    <s v="2022-07"/>
  </r>
  <r>
    <x v="338"/>
    <x v="6"/>
    <x v="5"/>
    <x v="4"/>
    <x v="530"/>
    <x v="1"/>
    <s v="Post-IPO"/>
    <x v="2"/>
    <s v="NA"/>
    <s v="2022-07"/>
  </r>
  <r>
    <x v="431"/>
    <x v="74"/>
    <x v="5"/>
    <x v="165"/>
    <x v="530"/>
    <x v="275"/>
    <s v="Series H"/>
    <x v="2"/>
    <n v="0.31"/>
    <s v="2022-07"/>
  </r>
  <r>
    <x v="1902"/>
    <x v="58"/>
    <x v="1"/>
    <x v="171"/>
    <x v="530"/>
    <x v="569"/>
    <s v="Series E"/>
    <x v="2"/>
    <s v="NA"/>
    <s v="2022-07"/>
  </r>
  <r>
    <x v="1903"/>
    <x v="14"/>
    <x v="21"/>
    <x v="26"/>
    <x v="530"/>
    <x v="263"/>
    <s v="Unknown"/>
    <x v="5"/>
    <s v="NA"/>
    <s v="2022-07"/>
  </r>
  <r>
    <x v="1904"/>
    <x v="10"/>
    <x v="12"/>
    <x v="26"/>
    <x v="530"/>
    <x v="12"/>
    <s v="Unknown"/>
    <x v="3"/>
    <n v="0.2"/>
    <s v="2022-07"/>
  </r>
  <r>
    <x v="1905"/>
    <x v="3"/>
    <x v="5"/>
    <x v="3"/>
    <x v="530"/>
    <x v="636"/>
    <s v="Series D"/>
    <x v="2"/>
    <n v="0.13"/>
    <s v="2022-07"/>
  </r>
  <r>
    <x v="1906"/>
    <x v="6"/>
    <x v="5"/>
    <x v="105"/>
    <x v="531"/>
    <x v="271"/>
    <s v="Series C"/>
    <x v="2"/>
    <s v="NA"/>
    <s v="2022-07"/>
  </r>
  <r>
    <x v="1254"/>
    <x v="3"/>
    <x v="2"/>
    <x v="94"/>
    <x v="531"/>
    <x v="413"/>
    <s v="Unknown"/>
    <x v="2"/>
    <n v="7.0000000000000007E-2"/>
    <s v="2022-07"/>
  </r>
  <r>
    <x v="1907"/>
    <x v="3"/>
    <x v="3"/>
    <x v="2"/>
    <x v="531"/>
    <x v="258"/>
    <s v="Series B"/>
    <x v="2"/>
    <n v="0.1"/>
    <s v="2022-07"/>
  </r>
  <r>
    <x v="1470"/>
    <x v="6"/>
    <x v="5"/>
    <x v="3"/>
    <x v="531"/>
    <x v="569"/>
    <s v="Series B"/>
    <x v="2"/>
    <s v="NA"/>
    <s v="2022-07"/>
  </r>
  <r>
    <x v="1423"/>
    <x v="3"/>
    <x v="0"/>
    <x v="3"/>
    <x v="531"/>
    <x v="158"/>
    <s v="Acquired"/>
    <x v="2"/>
    <n v="0.25"/>
    <s v="2022-07"/>
  </r>
  <r>
    <x v="1268"/>
    <x v="17"/>
    <x v="19"/>
    <x v="3"/>
    <x v="531"/>
    <x v="524"/>
    <s v="Series D"/>
    <x v="2"/>
    <s v="0.35000000000000003"/>
    <s v="2022-07"/>
  </r>
  <r>
    <x v="74"/>
    <x v="9"/>
    <x v="6"/>
    <x v="3"/>
    <x v="531"/>
    <x v="12"/>
    <s v="Acquired"/>
    <x v="2"/>
    <s v="NA"/>
    <s v="2022-07"/>
  </r>
  <r>
    <x v="1387"/>
    <x v="3"/>
    <x v="6"/>
    <x v="3"/>
    <x v="531"/>
    <x v="288"/>
    <s v="Post-IPO"/>
    <x v="2"/>
    <n v="0.06"/>
    <s v="2022-07"/>
  </r>
  <r>
    <x v="1908"/>
    <x v="20"/>
    <x v="1"/>
    <x v="1"/>
    <x v="532"/>
    <x v="136"/>
    <s v="Series A"/>
    <x v="6"/>
    <n v="0.5"/>
    <s v="2022-07"/>
  </r>
  <r>
    <x v="524"/>
    <x v="58"/>
    <x v="24"/>
    <x v="98"/>
    <x v="532"/>
    <x v="308"/>
    <s v="Unknown"/>
    <x v="2"/>
    <n v="0.05"/>
    <s v="2022-07"/>
  </r>
  <r>
    <x v="1909"/>
    <x v="10"/>
    <x v="21"/>
    <x v="56"/>
    <x v="532"/>
    <x v="568"/>
    <s v="Unknown"/>
    <x v="2"/>
    <n v="0.2"/>
    <s v="2022-07"/>
  </r>
  <r>
    <x v="1910"/>
    <x v="6"/>
    <x v="3"/>
    <x v="121"/>
    <x v="532"/>
    <x v="168"/>
    <s v="Series A"/>
    <x v="2"/>
    <s v="NA"/>
    <s v="2022-07"/>
  </r>
  <r>
    <x v="613"/>
    <x v="6"/>
    <x v="6"/>
    <x v="3"/>
    <x v="532"/>
    <x v="252"/>
    <s v="Series C"/>
    <x v="2"/>
    <n v="0.17"/>
    <s v="2022-07"/>
  </r>
  <r>
    <x v="1911"/>
    <x v="10"/>
    <x v="1"/>
    <x v="97"/>
    <x v="533"/>
    <x v="632"/>
    <s v="Series C"/>
    <x v="3"/>
    <n v="0.17"/>
    <s v="2022-07"/>
  </r>
  <r>
    <x v="1912"/>
    <x v="58"/>
    <x v="12"/>
    <x v="51"/>
    <x v="533"/>
    <x v="520"/>
    <s v="Series C"/>
    <x v="2"/>
    <n v="0.15"/>
    <s v="2022-07"/>
  </r>
  <r>
    <x v="1913"/>
    <x v="6"/>
    <x v="2"/>
    <x v="148"/>
    <x v="533"/>
    <x v="261"/>
    <s v="Series B"/>
    <x v="2"/>
    <n v="0.25"/>
    <s v="2022-07"/>
  </r>
  <r>
    <x v="1914"/>
    <x v="6"/>
    <x v="22"/>
    <x v="178"/>
    <x v="533"/>
    <x v="508"/>
    <s v="Series E"/>
    <x v="2"/>
    <n v="7.0000000000000007E-2"/>
    <s v="2022-07"/>
  </r>
  <r>
    <x v="1915"/>
    <x v="6"/>
    <x v="5"/>
    <x v="3"/>
    <x v="533"/>
    <x v="543"/>
    <s v="Series E"/>
    <x v="2"/>
    <s v="NA"/>
    <s v="2022-07"/>
  </r>
  <r>
    <x v="1916"/>
    <x v="14"/>
    <x v="28"/>
    <x v="3"/>
    <x v="533"/>
    <x v="431"/>
    <s v="Series B"/>
    <x v="5"/>
    <s v="NA"/>
    <s v="2022-07"/>
  </r>
  <r>
    <x v="421"/>
    <x v="3"/>
    <x v="2"/>
    <x v="3"/>
    <x v="533"/>
    <x v="268"/>
    <s v="Series C"/>
    <x v="2"/>
    <n v="0.2"/>
    <s v="2022-07"/>
  </r>
  <r>
    <x v="1917"/>
    <x v="211"/>
    <x v="1"/>
    <x v="11"/>
    <x v="534"/>
    <x v="421"/>
    <s v="Series A"/>
    <x v="53"/>
    <n v="0.15"/>
    <s v="2022-07"/>
  </r>
  <r>
    <x v="1918"/>
    <x v="6"/>
    <x v="19"/>
    <x v="300"/>
    <x v="534"/>
    <x v="288"/>
    <s v="Series E"/>
    <x v="2"/>
    <s v="0.35000000000000003"/>
    <s v="2022-07"/>
  </r>
  <r>
    <x v="75"/>
    <x v="3"/>
    <x v="24"/>
    <x v="17"/>
    <x v="534"/>
    <x v="64"/>
    <s v="Series C"/>
    <x v="2"/>
    <n v="0.4"/>
    <s v="2022-07"/>
  </r>
  <r>
    <x v="1919"/>
    <x v="14"/>
    <x v="14"/>
    <x v="1"/>
    <x v="534"/>
    <x v="66"/>
    <s v="Series B"/>
    <x v="5"/>
    <n v="0.3"/>
    <s v="2022-07"/>
  </r>
  <r>
    <x v="102"/>
    <x v="9"/>
    <x v="0"/>
    <x v="1"/>
    <x v="534"/>
    <x v="33"/>
    <s v="Series C"/>
    <x v="2"/>
    <n v="0.2"/>
    <s v="2022-07"/>
  </r>
  <r>
    <x v="1920"/>
    <x v="212"/>
    <x v="21"/>
    <x v="43"/>
    <x v="534"/>
    <x v="412"/>
    <s v="Unknown"/>
    <x v="31"/>
    <n v="0.18"/>
    <s v="2022-07"/>
  </r>
  <r>
    <x v="1356"/>
    <x v="9"/>
    <x v="6"/>
    <x v="35"/>
    <x v="534"/>
    <x v="233"/>
    <s v="Series C"/>
    <x v="2"/>
    <s v="NA"/>
    <s v="2022-07"/>
  </r>
  <r>
    <x v="862"/>
    <x v="6"/>
    <x v="10"/>
    <x v="84"/>
    <x v="534"/>
    <x v="236"/>
    <s v="Series D"/>
    <x v="2"/>
    <s v="NA"/>
    <s v="2022-07"/>
  </r>
  <r>
    <x v="485"/>
    <x v="10"/>
    <x v="10"/>
    <x v="3"/>
    <x v="534"/>
    <x v="289"/>
    <s v="Post-IPO"/>
    <x v="3"/>
    <n v="0.3"/>
    <s v="2022-07"/>
  </r>
  <r>
    <x v="1921"/>
    <x v="6"/>
    <x v="1"/>
    <x v="3"/>
    <x v="534"/>
    <x v="373"/>
    <s v="Series C"/>
    <x v="2"/>
    <s v="NA"/>
    <s v="2022-07"/>
  </r>
  <r>
    <x v="1922"/>
    <x v="39"/>
    <x v="4"/>
    <x v="3"/>
    <x v="534"/>
    <x v="228"/>
    <s v="Series D"/>
    <x v="2"/>
    <n v="0.15"/>
    <s v="2022-07"/>
  </r>
  <r>
    <x v="25"/>
    <x v="15"/>
    <x v="0"/>
    <x v="63"/>
    <x v="535"/>
    <x v="24"/>
    <s v="Series H"/>
    <x v="2"/>
    <n v="0.1"/>
    <s v="2022-07"/>
  </r>
  <r>
    <x v="1923"/>
    <x v="91"/>
    <x v="0"/>
    <x v="0"/>
    <x v="535"/>
    <x v="495"/>
    <s v="Series B"/>
    <x v="6"/>
    <s v="NA"/>
    <s v="2022-07"/>
  </r>
  <r>
    <x v="1924"/>
    <x v="10"/>
    <x v="5"/>
    <x v="1"/>
    <x v="535"/>
    <x v="99"/>
    <s v="Post-IPO"/>
    <x v="3"/>
    <s v="NA"/>
    <s v="2022-07"/>
  </r>
  <r>
    <x v="433"/>
    <x v="6"/>
    <x v="3"/>
    <x v="112"/>
    <x v="535"/>
    <x v="182"/>
    <s v="Series B"/>
    <x v="2"/>
    <n v="0.12"/>
    <s v="2022-07"/>
  </r>
  <r>
    <x v="1925"/>
    <x v="213"/>
    <x v="24"/>
    <x v="3"/>
    <x v="535"/>
    <x v="79"/>
    <s v="Series B"/>
    <x v="28"/>
    <n v="1"/>
    <s v="2022-07"/>
  </r>
  <r>
    <x v="5"/>
    <x v="4"/>
    <x v="4"/>
    <x v="3"/>
    <x v="535"/>
    <x v="5"/>
    <s v="Post-IPO"/>
    <x v="2"/>
    <s v="NA"/>
    <s v="2022-07"/>
  </r>
  <r>
    <x v="1926"/>
    <x v="6"/>
    <x v="21"/>
    <x v="3"/>
    <x v="535"/>
    <x v="62"/>
    <s v="Unknown"/>
    <x v="2"/>
    <s v="NA"/>
    <s v="2022-07"/>
  </r>
  <r>
    <x v="41"/>
    <x v="10"/>
    <x v="4"/>
    <x v="301"/>
    <x v="536"/>
    <x v="35"/>
    <s v="Series D"/>
    <x v="3"/>
    <n v="0.28999999999999998"/>
    <s v="2022-07"/>
  </r>
  <r>
    <x v="1432"/>
    <x v="106"/>
    <x v="5"/>
    <x v="98"/>
    <x v="536"/>
    <x v="58"/>
    <s v="Series C"/>
    <x v="31"/>
    <s v="NA"/>
    <s v="2022-07"/>
  </r>
  <r>
    <x v="1927"/>
    <x v="3"/>
    <x v="3"/>
    <x v="56"/>
    <x v="536"/>
    <x v="148"/>
    <s v="Series D"/>
    <x v="2"/>
    <n v="0.13"/>
    <s v="2022-07"/>
  </r>
  <r>
    <x v="1928"/>
    <x v="66"/>
    <x v="0"/>
    <x v="3"/>
    <x v="536"/>
    <x v="266"/>
    <s v="Series E"/>
    <x v="2"/>
    <s v="NA"/>
    <s v="2022-07"/>
  </r>
  <r>
    <x v="1929"/>
    <x v="6"/>
    <x v="5"/>
    <x v="3"/>
    <x v="536"/>
    <x v="496"/>
    <s v="Series D"/>
    <x v="2"/>
    <n v="0.05"/>
    <s v="2022-07"/>
  </r>
  <r>
    <x v="1930"/>
    <x v="6"/>
    <x v="2"/>
    <x v="3"/>
    <x v="536"/>
    <x v="185"/>
    <s v="Series A"/>
    <x v="2"/>
    <n v="0.5"/>
    <s v="2022-07"/>
  </r>
  <r>
    <x v="856"/>
    <x v="11"/>
    <x v="0"/>
    <x v="3"/>
    <x v="537"/>
    <x v="157"/>
    <s v="Series C"/>
    <x v="2"/>
    <s v="NA"/>
    <s v="2022-07"/>
  </r>
  <r>
    <x v="1931"/>
    <x v="100"/>
    <x v="4"/>
    <x v="63"/>
    <x v="538"/>
    <x v="398"/>
    <s v="Series C"/>
    <x v="17"/>
    <s v="NA"/>
    <s v="2022-07"/>
  </r>
  <r>
    <x v="1932"/>
    <x v="3"/>
    <x v="0"/>
    <x v="4"/>
    <x v="538"/>
    <x v="86"/>
    <s v="Series B"/>
    <x v="2"/>
    <n v="1"/>
    <s v="2022-07"/>
  </r>
  <r>
    <x v="944"/>
    <x v="3"/>
    <x v="5"/>
    <x v="242"/>
    <x v="538"/>
    <x v="295"/>
    <s v="Series B"/>
    <x v="2"/>
    <n v="0.24"/>
    <s v="2022-07"/>
  </r>
  <r>
    <x v="1733"/>
    <x v="6"/>
    <x v="3"/>
    <x v="3"/>
    <x v="538"/>
    <x v="74"/>
    <s v="Unknown"/>
    <x v="2"/>
    <n v="0.03"/>
    <s v="2022-07"/>
  </r>
  <r>
    <x v="1639"/>
    <x v="18"/>
    <x v="10"/>
    <x v="0"/>
    <x v="539"/>
    <x v="166"/>
    <s v="Unknown"/>
    <x v="2"/>
    <n v="0.05"/>
    <s v="2022-07"/>
  </r>
  <r>
    <x v="1933"/>
    <x v="6"/>
    <x v="1"/>
    <x v="0"/>
    <x v="539"/>
    <x v="637"/>
    <s v="Series E"/>
    <x v="2"/>
    <n v="0.17"/>
    <s v="2022-07"/>
  </r>
  <r>
    <x v="1934"/>
    <x v="175"/>
    <x v="3"/>
    <x v="5"/>
    <x v="539"/>
    <x v="132"/>
    <s v="Unknown"/>
    <x v="2"/>
    <s v="NA"/>
    <s v="2022-07"/>
  </r>
  <r>
    <x v="1935"/>
    <x v="9"/>
    <x v="3"/>
    <x v="2"/>
    <x v="539"/>
    <x v="579"/>
    <s v="Series B"/>
    <x v="2"/>
    <n v="0.18"/>
    <s v="2022-07"/>
  </r>
  <r>
    <x v="1936"/>
    <x v="3"/>
    <x v="5"/>
    <x v="3"/>
    <x v="539"/>
    <x v="357"/>
    <s v="Series D"/>
    <x v="2"/>
    <n v="0.24"/>
    <s v="2022-07"/>
  </r>
  <r>
    <x v="1077"/>
    <x v="6"/>
    <x v="6"/>
    <x v="3"/>
    <x v="539"/>
    <x v="638"/>
    <s v="Post-IPO"/>
    <x v="2"/>
    <s v="NA"/>
    <s v="2022-07"/>
  </r>
  <r>
    <x v="1937"/>
    <x v="6"/>
    <x v="12"/>
    <x v="1"/>
    <x v="540"/>
    <x v="505"/>
    <s v="Series C"/>
    <x v="2"/>
    <n v="0.09"/>
    <s v="2022-07"/>
  </r>
  <r>
    <x v="883"/>
    <x v="21"/>
    <x v="21"/>
    <x v="31"/>
    <x v="540"/>
    <x v="270"/>
    <s v="Post-IPO"/>
    <x v="7"/>
    <s v="NA"/>
    <s v="2022-07"/>
  </r>
  <r>
    <x v="1938"/>
    <x v="1"/>
    <x v="27"/>
    <x v="78"/>
    <x v="540"/>
    <x v="33"/>
    <s v="Series C"/>
    <x v="2"/>
    <n v="0.27"/>
    <s v="2022-07"/>
  </r>
  <r>
    <x v="1939"/>
    <x v="3"/>
    <x v="27"/>
    <x v="2"/>
    <x v="540"/>
    <x v="334"/>
    <s v="Series B"/>
    <x v="2"/>
    <n v="0.18"/>
    <s v="2022-07"/>
  </r>
  <r>
    <x v="1938"/>
    <x v="1"/>
    <x v="27"/>
    <x v="8"/>
    <x v="540"/>
    <x v="33"/>
    <s v="Series C"/>
    <x v="2"/>
    <n v="0.2"/>
    <s v="2022-07"/>
  </r>
  <r>
    <x v="1940"/>
    <x v="17"/>
    <x v="0"/>
    <x v="3"/>
    <x v="540"/>
    <x v="512"/>
    <s v="Series B"/>
    <x v="2"/>
    <s v="NA"/>
    <s v="2022-07"/>
  </r>
  <r>
    <x v="1051"/>
    <x v="106"/>
    <x v="22"/>
    <x v="302"/>
    <x v="541"/>
    <x v="472"/>
    <s v="Unknown"/>
    <x v="31"/>
    <n v="0.12"/>
    <s v="2022-07"/>
  </r>
  <r>
    <x v="1479"/>
    <x v="3"/>
    <x v="3"/>
    <x v="17"/>
    <x v="541"/>
    <x v="192"/>
    <s v="Series E"/>
    <x v="2"/>
    <n v="0.3"/>
    <s v="2022-07"/>
  </r>
  <r>
    <x v="1941"/>
    <x v="1"/>
    <x v="1"/>
    <x v="1"/>
    <x v="541"/>
    <x v="358"/>
    <s v="Unknown"/>
    <x v="1"/>
    <n v="0.06"/>
    <s v="2022-07"/>
  </r>
  <r>
    <x v="131"/>
    <x v="3"/>
    <x v="27"/>
    <x v="54"/>
    <x v="541"/>
    <x v="101"/>
    <s v="Series E"/>
    <x v="2"/>
    <n v="0.1"/>
    <s v="2022-07"/>
  </r>
  <r>
    <x v="1426"/>
    <x v="6"/>
    <x v="11"/>
    <x v="111"/>
    <x v="541"/>
    <x v="508"/>
    <s v="Series D"/>
    <x v="2"/>
    <n v="0.18"/>
    <s v="2022-07"/>
  </r>
  <r>
    <x v="1942"/>
    <x v="114"/>
    <x v="2"/>
    <x v="2"/>
    <x v="541"/>
    <x v="346"/>
    <s v="Unknown"/>
    <x v="33"/>
    <n v="0.08"/>
    <s v="2022-07"/>
  </r>
  <r>
    <x v="1943"/>
    <x v="17"/>
    <x v="25"/>
    <x v="144"/>
    <x v="541"/>
    <x v="503"/>
    <s v="Series A"/>
    <x v="2"/>
    <n v="7.0000000000000007E-2"/>
    <s v="2022-07"/>
  </r>
  <r>
    <x v="1944"/>
    <x v="3"/>
    <x v="1"/>
    <x v="33"/>
    <x v="541"/>
    <x v="151"/>
    <s v="Series A"/>
    <x v="2"/>
    <n v="0.33"/>
    <s v="2022-07"/>
  </r>
  <r>
    <x v="1945"/>
    <x v="1"/>
    <x v="21"/>
    <x v="46"/>
    <x v="541"/>
    <x v="106"/>
    <s v="Series C"/>
    <x v="1"/>
    <n v="0.08"/>
    <s v="2022-07"/>
  </r>
  <r>
    <x v="1946"/>
    <x v="5"/>
    <x v="6"/>
    <x v="54"/>
    <x v="542"/>
    <x v="639"/>
    <s v="Series D"/>
    <x v="1"/>
    <n v="0.12"/>
    <s v="2022-07"/>
  </r>
  <r>
    <x v="1947"/>
    <x v="10"/>
    <x v="6"/>
    <x v="27"/>
    <x v="542"/>
    <x v="600"/>
    <s v="Acquired"/>
    <x v="3"/>
    <s v="NA"/>
    <s v="2022-07"/>
  </r>
  <r>
    <x v="1948"/>
    <x v="51"/>
    <x v="24"/>
    <x v="144"/>
    <x v="542"/>
    <x v="395"/>
    <s v="Series C"/>
    <x v="20"/>
    <n v="0.12"/>
    <s v="2022-07"/>
  </r>
  <r>
    <x v="1400"/>
    <x v="14"/>
    <x v="4"/>
    <x v="160"/>
    <x v="542"/>
    <x v="242"/>
    <s v="Series A"/>
    <x v="5"/>
    <n v="0.15"/>
    <s v="2022-07"/>
  </r>
  <r>
    <x v="913"/>
    <x v="51"/>
    <x v="6"/>
    <x v="3"/>
    <x v="542"/>
    <x v="7"/>
    <s v="Series C"/>
    <x v="20"/>
    <s v="NA"/>
    <s v="2022-07"/>
  </r>
  <r>
    <x v="1949"/>
    <x v="14"/>
    <x v="0"/>
    <x v="303"/>
    <x v="543"/>
    <x v="22"/>
    <s v="Series C"/>
    <x v="5"/>
    <s v="NA"/>
    <s v="2022-07"/>
  </r>
  <r>
    <x v="1950"/>
    <x v="3"/>
    <x v="2"/>
    <x v="0"/>
    <x v="543"/>
    <x v="640"/>
    <s v="Series B"/>
    <x v="2"/>
    <n v="0.25"/>
    <s v="2022-07"/>
  </r>
  <r>
    <x v="1951"/>
    <x v="3"/>
    <x v="5"/>
    <x v="3"/>
    <x v="544"/>
    <x v="163"/>
    <s v="Series D"/>
    <x v="2"/>
    <s v="NA"/>
    <s v="2022-07"/>
  </r>
  <r>
    <x v="1952"/>
    <x v="51"/>
    <x v="5"/>
    <x v="3"/>
    <x v="544"/>
    <x v="78"/>
    <s v="Seed"/>
    <x v="20"/>
    <s v="NA"/>
    <s v="2022-07"/>
  </r>
  <r>
    <x v="1953"/>
    <x v="138"/>
    <x v="1"/>
    <x v="3"/>
    <x v="544"/>
    <x v="225"/>
    <s v="Series A"/>
    <x v="20"/>
    <n v="0.1"/>
    <s v="2022-07"/>
  </r>
  <r>
    <x v="1954"/>
    <x v="6"/>
    <x v="7"/>
    <x v="97"/>
    <x v="545"/>
    <x v="7"/>
    <s v="Series B"/>
    <x v="2"/>
    <n v="1"/>
    <s v="2022-07"/>
  </r>
  <r>
    <x v="1955"/>
    <x v="9"/>
    <x v="10"/>
    <x v="128"/>
    <x v="545"/>
    <x v="346"/>
    <s v="Post-IPO"/>
    <x v="2"/>
    <n v="0.06"/>
    <s v="2022-07"/>
  </r>
  <r>
    <x v="1956"/>
    <x v="214"/>
    <x v="5"/>
    <x v="294"/>
    <x v="545"/>
    <x v="12"/>
    <s v="Unknown"/>
    <x v="2"/>
    <s v="NA"/>
    <s v="2022-07"/>
  </r>
  <r>
    <x v="1957"/>
    <x v="6"/>
    <x v="8"/>
    <x v="8"/>
    <x v="545"/>
    <x v="387"/>
    <s v="Series C"/>
    <x v="2"/>
    <n v="0.06"/>
    <s v="2022-07"/>
  </r>
  <r>
    <x v="1958"/>
    <x v="3"/>
    <x v="18"/>
    <x v="3"/>
    <x v="545"/>
    <x v="21"/>
    <s v="Series A"/>
    <x v="2"/>
    <s v="NA"/>
    <s v="2022-07"/>
  </r>
  <r>
    <x v="1959"/>
    <x v="6"/>
    <x v="21"/>
    <x v="9"/>
    <x v="546"/>
    <x v="224"/>
    <s v="Post-IPO"/>
    <x v="2"/>
    <n v="0.18"/>
    <s v="2022-06"/>
  </r>
  <r>
    <x v="1960"/>
    <x v="20"/>
    <x v="11"/>
    <x v="22"/>
    <x v="546"/>
    <x v="11"/>
    <s v="Seed"/>
    <x v="6"/>
    <n v="1"/>
    <s v="2022-06"/>
  </r>
  <r>
    <x v="1961"/>
    <x v="3"/>
    <x v="1"/>
    <x v="5"/>
    <x v="546"/>
    <x v="93"/>
    <s v="Unknown"/>
    <x v="2"/>
    <n v="0.08"/>
    <s v="2022-06"/>
  </r>
  <r>
    <x v="1225"/>
    <x v="3"/>
    <x v="21"/>
    <x v="2"/>
    <x v="546"/>
    <x v="381"/>
    <s v="Series A"/>
    <x v="2"/>
    <n v="0.2"/>
    <s v="2022-06"/>
  </r>
  <r>
    <x v="947"/>
    <x v="17"/>
    <x v="25"/>
    <x v="2"/>
    <x v="546"/>
    <x v="447"/>
    <s v="Series F"/>
    <x v="2"/>
    <s v="NA"/>
    <s v="2022-06"/>
  </r>
  <r>
    <x v="1962"/>
    <x v="54"/>
    <x v="14"/>
    <x v="33"/>
    <x v="546"/>
    <x v="492"/>
    <s v="Series B"/>
    <x v="2"/>
    <n v="0.12"/>
    <s v="2022-06"/>
  </r>
  <r>
    <x v="1963"/>
    <x v="77"/>
    <x v="1"/>
    <x v="53"/>
    <x v="546"/>
    <x v="219"/>
    <s v="Series A"/>
    <x v="5"/>
    <n v="0.1"/>
    <s v="2022-06"/>
  </r>
  <r>
    <x v="1964"/>
    <x v="6"/>
    <x v="2"/>
    <x v="35"/>
    <x v="546"/>
    <x v="274"/>
    <s v="Series C"/>
    <x v="2"/>
    <n v="0.05"/>
    <s v="2022-06"/>
  </r>
  <r>
    <x v="1965"/>
    <x v="9"/>
    <x v="29"/>
    <x v="3"/>
    <x v="546"/>
    <x v="28"/>
    <s v="Seed"/>
    <x v="2"/>
    <n v="1"/>
    <s v="2022-06"/>
  </r>
  <r>
    <x v="1966"/>
    <x v="6"/>
    <x v="1"/>
    <x v="3"/>
    <x v="546"/>
    <x v="261"/>
    <s v="Series A"/>
    <x v="2"/>
    <s v="NA"/>
    <s v="2022-06"/>
  </r>
  <r>
    <x v="1967"/>
    <x v="6"/>
    <x v="22"/>
    <x v="3"/>
    <x v="546"/>
    <x v="352"/>
    <s v="Series C"/>
    <x v="2"/>
    <n v="0.15"/>
    <s v="2022-06"/>
  </r>
  <r>
    <x v="1968"/>
    <x v="91"/>
    <x v="11"/>
    <x v="62"/>
    <x v="547"/>
    <x v="282"/>
    <s v="Acquired"/>
    <x v="6"/>
    <s v="NA"/>
    <s v="2022-06"/>
  </r>
  <r>
    <x v="297"/>
    <x v="6"/>
    <x v="4"/>
    <x v="28"/>
    <x v="547"/>
    <x v="22"/>
    <s v="Post-IPO"/>
    <x v="2"/>
    <n v="0.04"/>
    <s v="2022-06"/>
  </r>
  <r>
    <x v="607"/>
    <x v="6"/>
    <x v="6"/>
    <x v="97"/>
    <x v="547"/>
    <x v="341"/>
    <s v="Series D"/>
    <x v="2"/>
    <n v="0.08"/>
    <s v="2022-06"/>
  </r>
  <r>
    <x v="771"/>
    <x v="9"/>
    <x v="7"/>
    <x v="54"/>
    <x v="547"/>
    <x v="174"/>
    <s v="Unknown"/>
    <x v="2"/>
    <s v="NA"/>
    <s v="2022-06"/>
  </r>
  <r>
    <x v="1969"/>
    <x v="4"/>
    <x v="27"/>
    <x v="54"/>
    <x v="547"/>
    <x v="256"/>
    <s v="Series E"/>
    <x v="2"/>
    <n v="0.19"/>
    <s v="2022-06"/>
  </r>
  <r>
    <x v="1299"/>
    <x v="62"/>
    <x v="10"/>
    <x v="257"/>
    <x v="547"/>
    <x v="182"/>
    <s v="Series B"/>
    <x v="7"/>
    <n v="0.22"/>
    <s v="2022-06"/>
  </r>
  <r>
    <x v="1970"/>
    <x v="147"/>
    <x v="8"/>
    <x v="14"/>
    <x v="547"/>
    <x v="115"/>
    <s v="Unknown"/>
    <x v="2"/>
    <s v="NA"/>
    <s v="2022-06"/>
  </r>
  <r>
    <x v="1971"/>
    <x v="19"/>
    <x v="10"/>
    <x v="5"/>
    <x v="547"/>
    <x v="142"/>
    <s v="Unknown"/>
    <x v="6"/>
    <n v="0.2"/>
    <s v="2022-06"/>
  </r>
  <r>
    <x v="1972"/>
    <x v="14"/>
    <x v="4"/>
    <x v="160"/>
    <x v="547"/>
    <x v="225"/>
    <s v="Series B"/>
    <x v="5"/>
    <n v="0.3"/>
    <s v="2022-06"/>
  </r>
  <r>
    <x v="1973"/>
    <x v="6"/>
    <x v="10"/>
    <x v="134"/>
    <x v="547"/>
    <x v="142"/>
    <s v="Series A"/>
    <x v="2"/>
    <n v="0.25"/>
    <s v="2022-06"/>
  </r>
  <r>
    <x v="1974"/>
    <x v="6"/>
    <x v="26"/>
    <x v="46"/>
    <x v="547"/>
    <x v="187"/>
    <s v="Series B"/>
    <x v="2"/>
    <n v="0.14000000000000001"/>
    <s v="2022-06"/>
  </r>
  <r>
    <x v="1975"/>
    <x v="215"/>
    <x v="21"/>
    <x v="3"/>
    <x v="547"/>
    <x v="12"/>
    <s v="Unknown"/>
    <x v="2"/>
    <s v="NA"/>
    <s v="2022-06"/>
  </r>
  <r>
    <x v="660"/>
    <x v="6"/>
    <x v="11"/>
    <x v="3"/>
    <x v="547"/>
    <x v="441"/>
    <s v="Series D"/>
    <x v="2"/>
    <n v="0.15"/>
    <s v="2022-06"/>
  </r>
  <r>
    <x v="1976"/>
    <x v="6"/>
    <x v="22"/>
    <x v="3"/>
    <x v="547"/>
    <x v="641"/>
    <s v="Series D"/>
    <x v="2"/>
    <n v="0.19"/>
    <s v="2022-06"/>
  </r>
  <r>
    <x v="1977"/>
    <x v="6"/>
    <x v="21"/>
    <x v="3"/>
    <x v="547"/>
    <x v="32"/>
    <s v="Series C"/>
    <x v="2"/>
    <s v="NA"/>
    <s v="2022-06"/>
  </r>
  <r>
    <x v="1978"/>
    <x v="51"/>
    <x v="1"/>
    <x v="3"/>
    <x v="547"/>
    <x v="242"/>
    <s v="Series E"/>
    <x v="20"/>
    <n v="1"/>
    <s v="2022-06"/>
  </r>
  <r>
    <x v="1365"/>
    <x v="97"/>
    <x v="2"/>
    <x v="11"/>
    <x v="548"/>
    <x v="78"/>
    <s v="Unknown"/>
    <x v="17"/>
    <n v="0.3"/>
    <s v="2022-06"/>
  </r>
  <r>
    <x v="1979"/>
    <x v="91"/>
    <x v="11"/>
    <x v="11"/>
    <x v="548"/>
    <x v="183"/>
    <s v="Acquired"/>
    <x v="6"/>
    <s v="NA"/>
    <s v="2022-06"/>
  </r>
  <r>
    <x v="1980"/>
    <x v="31"/>
    <x v="21"/>
    <x v="17"/>
    <x v="548"/>
    <x v="642"/>
    <s v="Series E"/>
    <x v="2"/>
    <n v="0.08"/>
    <s v="2022-06"/>
  </r>
  <r>
    <x v="1981"/>
    <x v="9"/>
    <x v="5"/>
    <x v="124"/>
    <x v="548"/>
    <x v="439"/>
    <s v="Series C"/>
    <x v="2"/>
    <n v="0.4"/>
    <s v="2022-06"/>
  </r>
  <r>
    <x v="1980"/>
    <x v="31"/>
    <x v="21"/>
    <x v="54"/>
    <x v="548"/>
    <x v="642"/>
    <s v="Series E"/>
    <x v="2"/>
    <s v="NA"/>
    <s v="2022-06"/>
  </r>
  <r>
    <x v="1982"/>
    <x v="187"/>
    <x v="5"/>
    <x v="31"/>
    <x v="548"/>
    <x v="106"/>
    <s v="Series D"/>
    <x v="54"/>
    <n v="0.1"/>
    <s v="2022-06"/>
  </r>
  <r>
    <x v="1983"/>
    <x v="6"/>
    <x v="27"/>
    <x v="2"/>
    <x v="548"/>
    <x v="460"/>
    <s v="Unknown"/>
    <x v="1"/>
    <n v="0.08"/>
    <s v="2022-06"/>
  </r>
  <r>
    <x v="1984"/>
    <x v="51"/>
    <x v="5"/>
    <x v="160"/>
    <x v="548"/>
    <x v="132"/>
    <s v="Series B"/>
    <x v="20"/>
    <n v="0.5"/>
    <s v="2022-06"/>
  </r>
  <r>
    <x v="1250"/>
    <x v="51"/>
    <x v="21"/>
    <x v="3"/>
    <x v="548"/>
    <x v="412"/>
    <s v="Series A"/>
    <x v="20"/>
    <s v="NA"/>
    <s v="2022-06"/>
  </r>
  <r>
    <x v="1985"/>
    <x v="20"/>
    <x v="5"/>
    <x v="3"/>
    <x v="548"/>
    <x v="149"/>
    <s v="Series B"/>
    <x v="6"/>
    <n v="0.3"/>
    <s v="2022-06"/>
  </r>
  <r>
    <x v="1986"/>
    <x v="42"/>
    <x v="21"/>
    <x v="3"/>
    <x v="548"/>
    <x v="67"/>
    <s v="Series A"/>
    <x v="16"/>
    <n v="0.1"/>
    <s v="2022-06"/>
  </r>
  <r>
    <x v="1987"/>
    <x v="6"/>
    <x v="3"/>
    <x v="11"/>
    <x v="549"/>
    <x v="112"/>
    <s v="Post-IPO"/>
    <x v="2"/>
    <n v="0.12"/>
    <s v="2022-06"/>
  </r>
  <r>
    <x v="1563"/>
    <x v="3"/>
    <x v="27"/>
    <x v="224"/>
    <x v="549"/>
    <x v="1"/>
    <s v="Post-IPO"/>
    <x v="2"/>
    <n v="0.05"/>
    <s v="2022-06"/>
  </r>
  <r>
    <x v="325"/>
    <x v="20"/>
    <x v="21"/>
    <x v="12"/>
    <x v="549"/>
    <x v="113"/>
    <s v="Unknown"/>
    <x v="6"/>
    <n v="0.04"/>
    <s v="2022-06"/>
  </r>
  <r>
    <x v="1372"/>
    <x v="12"/>
    <x v="5"/>
    <x v="22"/>
    <x v="549"/>
    <x v="546"/>
    <s v="Post-IPO"/>
    <x v="2"/>
    <s v="NA"/>
    <s v="2022-06"/>
  </r>
  <r>
    <x v="1988"/>
    <x v="119"/>
    <x v="2"/>
    <x v="43"/>
    <x v="549"/>
    <x v="142"/>
    <s v="Post-IPO"/>
    <x v="20"/>
    <n v="0.3"/>
    <s v="2022-06"/>
  </r>
  <r>
    <x v="1989"/>
    <x v="6"/>
    <x v="27"/>
    <x v="144"/>
    <x v="549"/>
    <x v="62"/>
    <s v="Series B"/>
    <x v="2"/>
    <n v="0.25"/>
    <s v="2022-06"/>
  </r>
  <r>
    <x v="1073"/>
    <x v="58"/>
    <x v="1"/>
    <x v="3"/>
    <x v="549"/>
    <x v="480"/>
    <s v="Unknown"/>
    <x v="2"/>
    <n v="0.18"/>
    <s v="2022-06"/>
  </r>
  <r>
    <x v="1990"/>
    <x v="6"/>
    <x v="3"/>
    <x v="194"/>
    <x v="550"/>
    <x v="274"/>
    <s v="Series C"/>
    <x v="2"/>
    <s v="NA"/>
    <s v="2022-06"/>
  </r>
  <r>
    <x v="1991"/>
    <x v="70"/>
    <x v="2"/>
    <x v="172"/>
    <x v="551"/>
    <x v="643"/>
    <s v="Series C"/>
    <x v="25"/>
    <n v="0.27"/>
    <s v="2022-06"/>
  </r>
  <r>
    <x v="1992"/>
    <x v="23"/>
    <x v="1"/>
    <x v="58"/>
    <x v="551"/>
    <x v="31"/>
    <s v="Series A"/>
    <x v="2"/>
    <n v="0.23"/>
    <s v="2022-06"/>
  </r>
  <r>
    <x v="1993"/>
    <x v="73"/>
    <x v="1"/>
    <x v="201"/>
    <x v="551"/>
    <x v="126"/>
    <s v="Series C"/>
    <x v="2"/>
    <n v="0.14000000000000001"/>
    <s v="2022-06"/>
  </r>
  <r>
    <x v="1100"/>
    <x v="6"/>
    <x v="1"/>
    <x v="5"/>
    <x v="551"/>
    <x v="488"/>
    <s v="Series D"/>
    <x v="2"/>
    <n v="0.12"/>
    <s v="2022-06"/>
  </r>
  <r>
    <x v="1994"/>
    <x v="3"/>
    <x v="21"/>
    <x v="3"/>
    <x v="551"/>
    <x v="223"/>
    <s v="Unknown"/>
    <x v="2"/>
    <s v="NA"/>
    <s v="2022-06"/>
  </r>
  <r>
    <x v="1995"/>
    <x v="17"/>
    <x v="5"/>
    <x v="3"/>
    <x v="551"/>
    <x v="431"/>
    <s v="Series B"/>
    <x v="2"/>
    <s v="NA"/>
    <s v="2022-06"/>
  </r>
  <r>
    <x v="1734"/>
    <x v="6"/>
    <x v="26"/>
    <x v="11"/>
    <x v="552"/>
    <x v="614"/>
    <s v="Post-IPO"/>
    <x v="2"/>
    <n v="0.03"/>
    <s v="2022-06"/>
  </r>
  <r>
    <x v="1996"/>
    <x v="17"/>
    <x v="25"/>
    <x v="43"/>
    <x v="552"/>
    <x v="186"/>
    <s v="Series F"/>
    <x v="2"/>
    <n v="0.09"/>
    <s v="2022-06"/>
  </r>
  <r>
    <x v="1997"/>
    <x v="216"/>
    <x v="25"/>
    <x v="57"/>
    <x v="552"/>
    <x v="249"/>
    <s v="Unknown"/>
    <x v="2"/>
    <n v="0.13"/>
    <s v="2022-06"/>
  </r>
  <r>
    <x v="1998"/>
    <x v="6"/>
    <x v="1"/>
    <x v="8"/>
    <x v="552"/>
    <x v="57"/>
    <s v="Series C"/>
    <x v="2"/>
    <n v="7.0000000000000007E-2"/>
    <s v="2022-06"/>
  </r>
  <r>
    <x v="1999"/>
    <x v="9"/>
    <x v="3"/>
    <x v="114"/>
    <x v="552"/>
    <x v="121"/>
    <s v="Unknown"/>
    <x v="2"/>
    <n v="0.13"/>
    <s v="2022-06"/>
  </r>
  <r>
    <x v="1357"/>
    <x v="4"/>
    <x v="4"/>
    <x v="3"/>
    <x v="552"/>
    <x v="121"/>
    <s v="Series A"/>
    <x v="2"/>
    <n v="0.12"/>
    <s v="2022-06"/>
  </r>
  <r>
    <x v="2000"/>
    <x v="115"/>
    <x v="0"/>
    <x v="3"/>
    <x v="552"/>
    <x v="5"/>
    <s v="Seed"/>
    <x v="34"/>
    <n v="1"/>
    <s v="2022-06"/>
  </r>
  <r>
    <x v="2001"/>
    <x v="3"/>
    <x v="4"/>
    <x v="3"/>
    <x v="552"/>
    <x v="127"/>
    <s v="Series E"/>
    <x v="2"/>
    <s v="NA"/>
    <s v="2022-06"/>
  </r>
  <r>
    <x v="425"/>
    <x v="3"/>
    <x v="22"/>
    <x v="3"/>
    <x v="552"/>
    <x v="272"/>
    <s v="Series D"/>
    <x v="2"/>
    <n v="0.1"/>
    <s v="2022-06"/>
  </r>
  <r>
    <x v="2002"/>
    <x v="3"/>
    <x v="5"/>
    <x v="3"/>
    <x v="552"/>
    <x v="35"/>
    <s v="Unknown"/>
    <x v="2"/>
    <n v="0.18"/>
    <s v="2022-06"/>
  </r>
  <r>
    <x v="594"/>
    <x v="1"/>
    <x v="26"/>
    <x v="3"/>
    <x v="552"/>
    <x v="335"/>
    <s v="Series B"/>
    <x v="1"/>
    <n v="0.2"/>
    <s v="2022-06"/>
  </r>
  <r>
    <x v="1058"/>
    <x v="6"/>
    <x v="11"/>
    <x v="17"/>
    <x v="553"/>
    <x v="474"/>
    <s v="Series E"/>
    <x v="2"/>
    <n v="0.2"/>
    <s v="2022-06"/>
  </r>
  <r>
    <x v="495"/>
    <x v="72"/>
    <x v="25"/>
    <x v="58"/>
    <x v="553"/>
    <x v="534"/>
    <s v="Post-IPO"/>
    <x v="2"/>
    <s v="0.35000000000000003"/>
    <s v="2022-06"/>
  </r>
  <r>
    <x v="2003"/>
    <x v="6"/>
    <x v="22"/>
    <x v="43"/>
    <x v="553"/>
    <x v="375"/>
    <s v="Series C"/>
    <x v="2"/>
    <s v="NA"/>
    <s v="2022-06"/>
  </r>
  <r>
    <x v="495"/>
    <x v="72"/>
    <x v="25"/>
    <x v="66"/>
    <x v="553"/>
    <x v="534"/>
    <s v="Post-IPO"/>
    <x v="2"/>
    <n v="0.17"/>
    <s v="2022-06"/>
  </r>
  <r>
    <x v="44"/>
    <x v="3"/>
    <x v="18"/>
    <x v="31"/>
    <x v="553"/>
    <x v="38"/>
    <s v="Post-IPO"/>
    <x v="2"/>
    <s v="NA"/>
    <s v="2022-06"/>
  </r>
  <r>
    <x v="330"/>
    <x v="17"/>
    <x v="10"/>
    <x v="78"/>
    <x v="553"/>
    <x v="339"/>
    <s v="Series C"/>
    <x v="2"/>
    <n v="7.0000000000000007E-2"/>
    <s v="2022-06"/>
  </r>
  <r>
    <x v="158"/>
    <x v="55"/>
    <x v="10"/>
    <x v="78"/>
    <x v="553"/>
    <x v="117"/>
    <s v="Series D"/>
    <x v="2"/>
    <n v="0.1"/>
    <s v="2022-06"/>
  </r>
  <r>
    <x v="1424"/>
    <x v="93"/>
    <x v="9"/>
    <x v="2"/>
    <x v="553"/>
    <x v="302"/>
    <s v="Series B"/>
    <x v="2"/>
    <s v="NA"/>
    <s v="2022-06"/>
  </r>
  <r>
    <x v="766"/>
    <x v="62"/>
    <x v="0"/>
    <x v="121"/>
    <x v="553"/>
    <x v="393"/>
    <s v="Series C"/>
    <x v="7"/>
    <n v="0.16"/>
    <s v="2022-06"/>
  </r>
  <r>
    <x v="2004"/>
    <x v="121"/>
    <x v="26"/>
    <x v="3"/>
    <x v="553"/>
    <x v="12"/>
    <s v="Unknown"/>
    <x v="36"/>
    <s v="NA"/>
    <s v="2022-06"/>
  </r>
  <r>
    <x v="1600"/>
    <x v="51"/>
    <x v="0"/>
    <x v="3"/>
    <x v="553"/>
    <x v="142"/>
    <s v="Seed"/>
    <x v="20"/>
    <n v="0.5"/>
    <s v="2022-06"/>
  </r>
  <r>
    <x v="2005"/>
    <x v="166"/>
    <x v="1"/>
    <x v="183"/>
    <x v="554"/>
    <x v="644"/>
    <s v="Series B"/>
    <x v="31"/>
    <n v="0.2"/>
    <s v="2022-06"/>
  </r>
  <r>
    <x v="1093"/>
    <x v="9"/>
    <x v="18"/>
    <x v="294"/>
    <x v="554"/>
    <x v="487"/>
    <s v="Post-IPO"/>
    <x v="2"/>
    <n v="0"/>
    <s v="2022-06"/>
  </r>
  <r>
    <x v="2006"/>
    <x v="9"/>
    <x v="3"/>
    <x v="5"/>
    <x v="554"/>
    <x v="252"/>
    <s v="Unknown"/>
    <x v="2"/>
    <n v="0.3"/>
    <s v="2022-06"/>
  </r>
  <r>
    <x v="2007"/>
    <x v="6"/>
    <x v="14"/>
    <x v="56"/>
    <x v="554"/>
    <x v="645"/>
    <s v="Series D"/>
    <x v="2"/>
    <n v="0.08"/>
    <s v="2022-06"/>
  </r>
  <r>
    <x v="2008"/>
    <x v="174"/>
    <x v="0"/>
    <x v="3"/>
    <x v="554"/>
    <x v="632"/>
    <s v="Series C"/>
    <x v="44"/>
    <n v="0.03"/>
    <s v="2022-06"/>
  </r>
  <r>
    <x v="2009"/>
    <x v="20"/>
    <x v="11"/>
    <x v="3"/>
    <x v="554"/>
    <x v="600"/>
    <s v="Seed"/>
    <x v="6"/>
    <n v="1"/>
    <s v="2022-06"/>
  </r>
  <r>
    <x v="2010"/>
    <x v="6"/>
    <x v="27"/>
    <x v="3"/>
    <x v="554"/>
    <x v="79"/>
    <s v="Series C"/>
    <x v="2"/>
    <n v="0.1"/>
    <s v="2022-06"/>
  </r>
  <r>
    <x v="1473"/>
    <x v="42"/>
    <x v="2"/>
    <x v="190"/>
    <x v="555"/>
    <x v="12"/>
    <s v="Unknown"/>
    <x v="16"/>
    <n v="0.3"/>
    <s v="2022-06"/>
  </r>
  <r>
    <x v="2011"/>
    <x v="6"/>
    <x v="5"/>
    <x v="152"/>
    <x v="555"/>
    <x v="261"/>
    <s v="Unknown"/>
    <x v="2"/>
    <n v="1"/>
    <s v="2022-06"/>
  </r>
  <r>
    <x v="1532"/>
    <x v="42"/>
    <x v="21"/>
    <x v="1"/>
    <x v="555"/>
    <x v="35"/>
    <s v="Series E"/>
    <x v="16"/>
    <n v="0.12"/>
    <s v="2022-06"/>
  </r>
  <r>
    <x v="2012"/>
    <x v="50"/>
    <x v="0"/>
    <x v="54"/>
    <x v="555"/>
    <x v="69"/>
    <s v="Unknown"/>
    <x v="6"/>
    <n v="0.3"/>
    <s v="2022-06"/>
  </r>
  <r>
    <x v="2013"/>
    <x v="62"/>
    <x v="21"/>
    <x v="2"/>
    <x v="555"/>
    <x v="168"/>
    <s v="Series A"/>
    <x v="7"/>
    <n v="0.55000000000000004"/>
    <s v="2022-06"/>
  </r>
  <r>
    <x v="1745"/>
    <x v="51"/>
    <x v="17"/>
    <x v="2"/>
    <x v="555"/>
    <x v="50"/>
    <s v="Series C"/>
    <x v="20"/>
    <n v="0.15"/>
    <s v="2022-06"/>
  </r>
  <r>
    <x v="733"/>
    <x v="3"/>
    <x v="26"/>
    <x v="3"/>
    <x v="555"/>
    <x v="10"/>
    <s v="Unknown"/>
    <x v="2"/>
    <n v="0.2"/>
    <s v="2022-06"/>
  </r>
  <r>
    <x v="1473"/>
    <x v="42"/>
    <x v="2"/>
    <x v="3"/>
    <x v="555"/>
    <x v="12"/>
    <s v="Unknown"/>
    <x v="16"/>
    <s v="NA"/>
    <s v="2022-06"/>
  </r>
  <r>
    <x v="459"/>
    <x v="48"/>
    <x v="21"/>
    <x v="304"/>
    <x v="556"/>
    <x v="282"/>
    <s v="Series C"/>
    <x v="6"/>
    <n v="0.3"/>
    <s v="2022-06"/>
  </r>
  <r>
    <x v="2014"/>
    <x v="187"/>
    <x v="2"/>
    <x v="137"/>
    <x v="556"/>
    <x v="43"/>
    <s v="Series B"/>
    <x v="54"/>
    <n v="0.05"/>
    <s v="2022-06"/>
  </r>
  <r>
    <x v="988"/>
    <x v="20"/>
    <x v="11"/>
    <x v="0"/>
    <x v="557"/>
    <x v="457"/>
    <s v="Series H"/>
    <x v="6"/>
    <n v="0.03"/>
    <s v="2022-06"/>
  </r>
  <r>
    <x v="377"/>
    <x v="86"/>
    <x v="6"/>
    <x v="0"/>
    <x v="558"/>
    <x v="247"/>
    <s v="Unknown"/>
    <x v="17"/>
    <s v="NA"/>
    <s v="2022-06"/>
  </r>
  <r>
    <x v="1374"/>
    <x v="129"/>
    <x v="1"/>
    <x v="218"/>
    <x v="558"/>
    <x v="245"/>
    <s v="Series E"/>
    <x v="2"/>
    <n v="0.13"/>
    <s v="2022-06"/>
  </r>
  <r>
    <x v="2015"/>
    <x v="74"/>
    <x v="25"/>
    <x v="134"/>
    <x v="558"/>
    <x v="27"/>
    <s v="Series B"/>
    <x v="2"/>
    <n v="0.2"/>
    <s v="2022-06"/>
  </r>
  <r>
    <x v="2016"/>
    <x v="3"/>
    <x v="0"/>
    <x v="31"/>
    <x v="559"/>
    <x v="646"/>
    <s v="Series B"/>
    <x v="2"/>
    <n v="0.05"/>
    <s v="2022-06"/>
  </r>
  <r>
    <x v="2017"/>
    <x v="6"/>
    <x v="22"/>
    <x v="112"/>
    <x v="559"/>
    <x v="296"/>
    <s v="Series D"/>
    <x v="2"/>
    <n v="0.15"/>
    <s v="2022-06"/>
  </r>
  <r>
    <x v="901"/>
    <x v="91"/>
    <x v="5"/>
    <x v="5"/>
    <x v="559"/>
    <x v="112"/>
    <s v="Unknown"/>
    <x v="6"/>
    <s v="NA"/>
    <s v="2022-06"/>
  </r>
  <r>
    <x v="2018"/>
    <x v="74"/>
    <x v="5"/>
    <x v="3"/>
    <x v="559"/>
    <x v="86"/>
    <s v="Series A"/>
    <x v="2"/>
    <n v="0.5"/>
    <s v="2022-06"/>
  </r>
  <r>
    <x v="2019"/>
    <x v="99"/>
    <x v="21"/>
    <x v="38"/>
    <x v="560"/>
    <x v="387"/>
    <s v="Series C"/>
    <x v="23"/>
    <n v="0.17"/>
    <s v="2022-06"/>
  </r>
  <r>
    <x v="2020"/>
    <x v="62"/>
    <x v="1"/>
    <x v="305"/>
    <x v="560"/>
    <x v="399"/>
    <s v="Unknown"/>
    <x v="7"/>
    <n v="0.13"/>
    <s v="2022-06"/>
  </r>
  <r>
    <x v="2021"/>
    <x v="6"/>
    <x v="0"/>
    <x v="0"/>
    <x v="560"/>
    <x v="548"/>
    <s v="Series E"/>
    <x v="2"/>
    <n v="0.1"/>
    <s v="2022-06"/>
  </r>
  <r>
    <x v="1645"/>
    <x v="17"/>
    <x v="29"/>
    <x v="124"/>
    <x v="560"/>
    <x v="603"/>
    <s v="Series D"/>
    <x v="2"/>
    <n v="0.25"/>
    <s v="2022-06"/>
  </r>
  <r>
    <x v="2022"/>
    <x v="1"/>
    <x v="26"/>
    <x v="14"/>
    <x v="560"/>
    <x v="164"/>
    <s v="Unknown"/>
    <x v="1"/>
    <n v="0.15"/>
    <s v="2022-06"/>
  </r>
  <r>
    <x v="2023"/>
    <x v="6"/>
    <x v="4"/>
    <x v="121"/>
    <x v="560"/>
    <x v="337"/>
    <s v="Series B"/>
    <x v="2"/>
    <n v="0.23"/>
    <s v="2022-06"/>
  </r>
  <r>
    <x v="2024"/>
    <x v="36"/>
    <x v="6"/>
    <x v="8"/>
    <x v="560"/>
    <x v="261"/>
    <s v="Unknown"/>
    <x v="14"/>
    <s v="NA"/>
    <s v="2022-06"/>
  </r>
  <r>
    <x v="2025"/>
    <x v="1"/>
    <x v="26"/>
    <x v="53"/>
    <x v="560"/>
    <x v="253"/>
    <s v="Series E"/>
    <x v="1"/>
    <n v="0.05"/>
    <s v="2022-06"/>
  </r>
  <r>
    <x v="2026"/>
    <x v="62"/>
    <x v="24"/>
    <x v="100"/>
    <x v="560"/>
    <x v="132"/>
    <s v="Series A"/>
    <x v="7"/>
    <n v="0.3"/>
    <s v="2022-06"/>
  </r>
  <r>
    <x v="2027"/>
    <x v="217"/>
    <x v="11"/>
    <x v="3"/>
    <x v="560"/>
    <x v="647"/>
    <s v="Series B"/>
    <x v="55"/>
    <s v="NA"/>
    <s v="2022-06"/>
  </r>
  <r>
    <x v="2028"/>
    <x v="4"/>
    <x v="22"/>
    <x v="3"/>
    <x v="560"/>
    <x v="94"/>
    <s v="Series B"/>
    <x v="2"/>
    <n v="1"/>
    <s v="2022-06"/>
  </r>
  <r>
    <x v="1347"/>
    <x v="6"/>
    <x v="2"/>
    <x v="102"/>
    <x v="561"/>
    <x v="538"/>
    <s v="Post-IPO"/>
    <x v="2"/>
    <n v="0.18"/>
    <s v="2022-06"/>
  </r>
  <r>
    <x v="956"/>
    <x v="4"/>
    <x v="22"/>
    <x v="158"/>
    <x v="561"/>
    <x v="648"/>
    <s v="Post-IPO"/>
    <x v="2"/>
    <n v="0.08"/>
    <s v="2022-06"/>
  </r>
  <r>
    <x v="1383"/>
    <x v="3"/>
    <x v="22"/>
    <x v="165"/>
    <x v="561"/>
    <x v="112"/>
    <s v="Post-IPO"/>
    <x v="2"/>
    <n v="0.1"/>
    <s v="2022-06"/>
  </r>
  <r>
    <x v="2029"/>
    <x v="106"/>
    <x v="5"/>
    <x v="133"/>
    <x v="561"/>
    <x v="518"/>
    <s v="Unknown"/>
    <x v="31"/>
    <n v="0.15"/>
    <s v="2022-06"/>
  </r>
  <r>
    <x v="2030"/>
    <x v="19"/>
    <x v="5"/>
    <x v="31"/>
    <x v="561"/>
    <x v="47"/>
    <s v="Series A"/>
    <x v="6"/>
    <n v="0.33"/>
    <s v="2022-06"/>
  </r>
  <r>
    <x v="2031"/>
    <x v="174"/>
    <x v="12"/>
    <x v="2"/>
    <x v="561"/>
    <x v="47"/>
    <s v="Seed"/>
    <x v="44"/>
    <s v="NA"/>
    <s v="2022-06"/>
  </r>
  <r>
    <x v="2032"/>
    <x v="54"/>
    <x v="2"/>
    <x v="56"/>
    <x v="561"/>
    <x v="461"/>
    <s v="Series D"/>
    <x v="2"/>
    <n v="0.1"/>
    <s v="2022-06"/>
  </r>
  <r>
    <x v="2033"/>
    <x v="174"/>
    <x v="1"/>
    <x v="3"/>
    <x v="561"/>
    <x v="462"/>
    <s v="Series C"/>
    <x v="44"/>
    <s v="NA"/>
    <s v="2022-06"/>
  </r>
  <r>
    <x v="1036"/>
    <x v="42"/>
    <x v="0"/>
    <x v="3"/>
    <x v="561"/>
    <x v="12"/>
    <s v="Unknown"/>
    <x v="16"/>
    <s v="NA"/>
    <s v="2022-06"/>
  </r>
  <r>
    <x v="1512"/>
    <x v="3"/>
    <x v="2"/>
    <x v="38"/>
    <x v="562"/>
    <x v="35"/>
    <s v="Series E"/>
    <x v="2"/>
    <n v="0.2"/>
    <s v="2022-06"/>
  </r>
  <r>
    <x v="2034"/>
    <x v="9"/>
    <x v="26"/>
    <x v="65"/>
    <x v="562"/>
    <x v="164"/>
    <s v="Series B"/>
    <x v="2"/>
    <n v="0.33"/>
    <s v="2022-06"/>
  </r>
  <r>
    <x v="1631"/>
    <x v="6"/>
    <x v="11"/>
    <x v="7"/>
    <x v="562"/>
    <x v="86"/>
    <s v="Series B"/>
    <x v="2"/>
    <n v="0.4"/>
    <s v="2022-06"/>
  </r>
  <r>
    <x v="2035"/>
    <x v="54"/>
    <x v="8"/>
    <x v="3"/>
    <x v="562"/>
    <x v="154"/>
    <s v="Series C"/>
    <x v="2"/>
    <s v="NA"/>
    <s v="2022-06"/>
  </r>
  <r>
    <x v="238"/>
    <x v="17"/>
    <x v="4"/>
    <x v="3"/>
    <x v="562"/>
    <x v="174"/>
    <s v="Post-IPO"/>
    <x v="2"/>
    <n v="0.12"/>
    <s v="2022-06"/>
  </r>
  <r>
    <x v="1338"/>
    <x v="42"/>
    <x v="2"/>
    <x v="270"/>
    <x v="563"/>
    <x v="379"/>
    <s v="Unknown"/>
    <x v="16"/>
    <n v="0.05"/>
    <s v="2022-06"/>
  </r>
  <r>
    <x v="1171"/>
    <x v="19"/>
    <x v="24"/>
    <x v="38"/>
    <x v="563"/>
    <x v="157"/>
    <s v="Series E"/>
    <x v="6"/>
    <n v="0.3"/>
    <s v="2022-06"/>
  </r>
  <r>
    <x v="2036"/>
    <x v="14"/>
    <x v="21"/>
    <x v="1"/>
    <x v="563"/>
    <x v="35"/>
    <s v="Unknown"/>
    <x v="5"/>
    <n v="0.1"/>
    <s v="2022-06"/>
  </r>
  <r>
    <x v="2037"/>
    <x v="106"/>
    <x v="5"/>
    <x v="14"/>
    <x v="563"/>
    <x v="183"/>
    <s v="Unknown"/>
    <x v="31"/>
    <n v="0.2"/>
    <s v="2022-06"/>
  </r>
  <r>
    <x v="2038"/>
    <x v="10"/>
    <x v="1"/>
    <x v="112"/>
    <x v="563"/>
    <x v="139"/>
    <s v="Unknown"/>
    <x v="3"/>
    <n v="0.15"/>
    <s v="2022-06"/>
  </r>
  <r>
    <x v="2039"/>
    <x v="9"/>
    <x v="1"/>
    <x v="33"/>
    <x v="563"/>
    <x v="105"/>
    <s v="Series C"/>
    <x v="2"/>
    <n v="0.08"/>
    <s v="2022-06"/>
  </r>
  <r>
    <x v="2040"/>
    <x v="4"/>
    <x v="22"/>
    <x v="3"/>
    <x v="563"/>
    <x v="47"/>
    <s v="Unknown"/>
    <x v="2"/>
    <s v="NA"/>
    <s v="2022-06"/>
  </r>
  <r>
    <x v="2041"/>
    <x v="134"/>
    <x v="8"/>
    <x v="3"/>
    <x v="563"/>
    <x v="219"/>
    <s v="Series B"/>
    <x v="2"/>
    <s v="NA"/>
    <s v="2022-06"/>
  </r>
  <r>
    <x v="2042"/>
    <x v="97"/>
    <x v="22"/>
    <x v="3"/>
    <x v="563"/>
    <x v="236"/>
    <s v="Unknown"/>
    <x v="17"/>
    <n v="0.2"/>
    <s v="2022-06"/>
  </r>
  <r>
    <x v="2043"/>
    <x v="23"/>
    <x v="25"/>
    <x v="256"/>
    <x v="564"/>
    <x v="649"/>
    <s v="Series C"/>
    <x v="2"/>
    <n v="0.25"/>
    <s v="2022-06"/>
  </r>
  <r>
    <x v="254"/>
    <x v="6"/>
    <x v="21"/>
    <x v="95"/>
    <x v="564"/>
    <x v="34"/>
    <s v="Post-IPO"/>
    <x v="2"/>
    <n v="0.15"/>
    <s v="2022-06"/>
  </r>
  <r>
    <x v="2044"/>
    <x v="55"/>
    <x v="21"/>
    <x v="28"/>
    <x v="564"/>
    <x v="12"/>
    <s v="Unknown"/>
    <x v="22"/>
    <n v="0.15"/>
    <s v="2022-06"/>
  </r>
  <r>
    <x v="447"/>
    <x v="4"/>
    <x v="24"/>
    <x v="58"/>
    <x v="564"/>
    <x v="99"/>
    <s v="Series E"/>
    <x v="2"/>
    <n v="7.0000000000000007E-2"/>
    <s v="2022-06"/>
  </r>
  <r>
    <x v="265"/>
    <x v="58"/>
    <x v="8"/>
    <x v="54"/>
    <x v="564"/>
    <x v="187"/>
    <s v="Series B"/>
    <x v="2"/>
    <n v="0.4"/>
    <s v="2022-06"/>
  </r>
  <r>
    <x v="2045"/>
    <x v="218"/>
    <x v="21"/>
    <x v="43"/>
    <x v="564"/>
    <x v="13"/>
    <s v="Post-IPO"/>
    <x v="22"/>
    <n v="0.05"/>
    <s v="2022-06"/>
  </r>
  <r>
    <x v="2046"/>
    <x v="17"/>
    <x v="21"/>
    <x v="5"/>
    <x v="564"/>
    <x v="28"/>
    <s v="Acquired"/>
    <x v="2"/>
    <n v="1"/>
    <s v="2022-06"/>
  </r>
  <r>
    <x v="2047"/>
    <x v="42"/>
    <x v="1"/>
    <x v="111"/>
    <x v="564"/>
    <x v="62"/>
    <s v="Series D"/>
    <x v="16"/>
    <n v="0.14000000000000001"/>
    <s v="2022-06"/>
  </r>
  <r>
    <x v="2048"/>
    <x v="17"/>
    <x v="11"/>
    <x v="126"/>
    <x v="564"/>
    <x v="175"/>
    <s v="Series C"/>
    <x v="2"/>
    <n v="0.05"/>
    <s v="2022-06"/>
  </r>
  <r>
    <x v="329"/>
    <x v="3"/>
    <x v="26"/>
    <x v="3"/>
    <x v="564"/>
    <x v="219"/>
    <s v="Series C"/>
    <x v="2"/>
    <n v="0.08"/>
    <s v="2022-06"/>
  </r>
  <r>
    <x v="2049"/>
    <x v="6"/>
    <x v="10"/>
    <x v="3"/>
    <x v="564"/>
    <x v="199"/>
    <s v="Series B"/>
    <x v="2"/>
    <n v="0.11"/>
    <s v="2022-06"/>
  </r>
  <r>
    <x v="2050"/>
    <x v="14"/>
    <x v="1"/>
    <x v="3"/>
    <x v="564"/>
    <x v="63"/>
    <s v="Series C"/>
    <x v="5"/>
    <s v="NA"/>
    <s v="2022-06"/>
  </r>
  <r>
    <x v="160"/>
    <x v="6"/>
    <x v="7"/>
    <x v="38"/>
    <x v="565"/>
    <x v="119"/>
    <s v="Post-IPO"/>
    <x v="2"/>
    <n v="0.21"/>
    <s v="2022-06"/>
  </r>
  <r>
    <x v="1545"/>
    <x v="106"/>
    <x v="10"/>
    <x v="0"/>
    <x v="565"/>
    <x v="112"/>
    <s v="Series E"/>
    <x v="31"/>
    <s v="NA"/>
    <s v="2022-06"/>
  </r>
  <r>
    <x v="1711"/>
    <x v="6"/>
    <x v="5"/>
    <x v="0"/>
    <x v="565"/>
    <x v="361"/>
    <s v="Series D"/>
    <x v="2"/>
    <n v="0.15"/>
    <s v="2022-06"/>
  </r>
  <r>
    <x v="2051"/>
    <x v="201"/>
    <x v="21"/>
    <x v="31"/>
    <x v="565"/>
    <x v="7"/>
    <s v="Unknown"/>
    <x v="49"/>
    <n v="0.2"/>
    <s v="2022-06"/>
  </r>
  <r>
    <x v="2052"/>
    <x v="55"/>
    <x v="6"/>
    <x v="3"/>
    <x v="565"/>
    <x v="70"/>
    <s v="Unknown"/>
    <x v="22"/>
    <n v="0.4"/>
    <s v="2022-06"/>
  </r>
  <r>
    <x v="1293"/>
    <x v="10"/>
    <x v="10"/>
    <x v="306"/>
    <x v="566"/>
    <x v="1"/>
    <s v="Post-IPO"/>
    <x v="3"/>
    <n v="0.15"/>
    <s v="2022-06"/>
  </r>
  <r>
    <x v="1293"/>
    <x v="10"/>
    <x v="10"/>
    <x v="306"/>
    <x v="566"/>
    <x v="1"/>
    <s v="Post-IPO"/>
    <x v="3"/>
    <n v="0.15"/>
    <s v="2022-06"/>
  </r>
  <r>
    <x v="1757"/>
    <x v="20"/>
    <x v="1"/>
    <x v="12"/>
    <x v="566"/>
    <x v="229"/>
    <s v="Unknown"/>
    <x v="6"/>
    <n v="0.15"/>
    <s v="2022-06"/>
  </r>
  <r>
    <x v="2053"/>
    <x v="71"/>
    <x v="3"/>
    <x v="0"/>
    <x v="566"/>
    <x v="320"/>
    <s v="Series C"/>
    <x v="26"/>
    <s v="NA"/>
    <s v="2022-06"/>
  </r>
  <r>
    <x v="489"/>
    <x v="9"/>
    <x v="10"/>
    <x v="243"/>
    <x v="566"/>
    <x v="650"/>
    <s v="Post-IPO"/>
    <x v="2"/>
    <n v="0.23"/>
    <s v="2022-06"/>
  </r>
  <r>
    <x v="2054"/>
    <x v="72"/>
    <x v="25"/>
    <x v="80"/>
    <x v="566"/>
    <x v="172"/>
    <s v="Unknown"/>
    <x v="2"/>
    <s v="NA"/>
    <s v="2022-06"/>
  </r>
  <r>
    <x v="2055"/>
    <x v="6"/>
    <x v="21"/>
    <x v="5"/>
    <x v="566"/>
    <x v="183"/>
    <s v="Unknown"/>
    <x v="2"/>
    <s v="NA"/>
    <s v="2022-06"/>
  </r>
  <r>
    <x v="2056"/>
    <x v="6"/>
    <x v="1"/>
    <x v="3"/>
    <x v="566"/>
    <x v="92"/>
    <s v="Series A"/>
    <x v="2"/>
    <s v="NA"/>
    <s v="2022-06"/>
  </r>
  <r>
    <x v="2057"/>
    <x v="6"/>
    <x v="1"/>
    <x v="3"/>
    <x v="566"/>
    <x v="55"/>
    <s v="Series B"/>
    <x v="2"/>
    <s v="NA"/>
    <s v="2022-06"/>
  </r>
  <r>
    <x v="1738"/>
    <x v="204"/>
    <x v="22"/>
    <x v="3"/>
    <x v="566"/>
    <x v="91"/>
    <s v="Series A"/>
    <x v="51"/>
    <n v="0.5"/>
    <s v="2022-06"/>
  </r>
  <r>
    <x v="1315"/>
    <x v="62"/>
    <x v="1"/>
    <x v="14"/>
    <x v="567"/>
    <x v="469"/>
    <s v="Series C"/>
    <x v="7"/>
    <s v="NA"/>
    <s v="2022-06"/>
  </r>
  <r>
    <x v="2058"/>
    <x v="184"/>
    <x v="4"/>
    <x v="31"/>
    <x v="567"/>
    <x v="651"/>
    <s v="Series D"/>
    <x v="2"/>
    <n v="7.0000000000000007E-2"/>
    <s v="2022-06"/>
  </r>
  <r>
    <x v="1315"/>
    <x v="34"/>
    <x v="1"/>
    <x v="3"/>
    <x v="567"/>
    <x v="469"/>
    <s v="Series C"/>
    <x v="12"/>
    <s v="NA"/>
    <s v="2022-06"/>
  </r>
  <r>
    <x v="2059"/>
    <x v="3"/>
    <x v="25"/>
    <x v="3"/>
    <x v="567"/>
    <x v="652"/>
    <s v="Series D"/>
    <x v="2"/>
    <n v="0.1"/>
    <s v="2022-06"/>
  </r>
  <r>
    <x v="491"/>
    <x v="6"/>
    <x v="3"/>
    <x v="3"/>
    <x v="567"/>
    <x v="154"/>
    <s v="Series C"/>
    <x v="2"/>
    <n v="0.14000000000000001"/>
    <s v="2022-06"/>
  </r>
  <r>
    <x v="2060"/>
    <x v="91"/>
    <x v="11"/>
    <x v="5"/>
    <x v="568"/>
    <x v="63"/>
    <s v="Series E"/>
    <x v="6"/>
    <s v="NA"/>
    <s v="2022-06"/>
  </r>
  <r>
    <x v="2061"/>
    <x v="219"/>
    <x v="6"/>
    <x v="14"/>
    <x v="569"/>
    <x v="12"/>
    <s v="Unknown"/>
    <x v="31"/>
    <n v="0.2"/>
    <s v="2022-06"/>
  </r>
  <r>
    <x v="2062"/>
    <x v="6"/>
    <x v="6"/>
    <x v="121"/>
    <x v="569"/>
    <x v="74"/>
    <s v="Series C"/>
    <x v="2"/>
    <n v="0.22"/>
    <s v="2022-06"/>
  </r>
  <r>
    <x v="2063"/>
    <x v="3"/>
    <x v="0"/>
    <x v="72"/>
    <x v="569"/>
    <x v="87"/>
    <s v="Acquired"/>
    <x v="2"/>
    <n v="0.15"/>
    <s v="2022-06"/>
  </r>
  <r>
    <x v="2064"/>
    <x v="51"/>
    <x v="17"/>
    <x v="3"/>
    <x v="569"/>
    <x v="69"/>
    <s v="Series A"/>
    <x v="20"/>
    <n v="0.25"/>
    <s v="2022-06"/>
  </r>
  <r>
    <x v="915"/>
    <x v="6"/>
    <x v="6"/>
    <x v="3"/>
    <x v="569"/>
    <x v="230"/>
    <s v="Series C"/>
    <x v="2"/>
    <s v="NA"/>
    <s v="2022-06"/>
  </r>
  <r>
    <x v="50"/>
    <x v="16"/>
    <x v="10"/>
    <x v="3"/>
    <x v="569"/>
    <x v="42"/>
    <s v="Post-IPO"/>
    <x v="2"/>
    <n v="0.1"/>
    <s v="2022-06"/>
  </r>
  <r>
    <x v="147"/>
    <x v="6"/>
    <x v="5"/>
    <x v="38"/>
    <x v="570"/>
    <x v="111"/>
    <s v="Series D"/>
    <x v="2"/>
    <n v="0.08"/>
    <s v="2022-06"/>
  </r>
  <r>
    <x v="2065"/>
    <x v="106"/>
    <x v="0"/>
    <x v="22"/>
    <x v="570"/>
    <x v="136"/>
    <s v="Series A"/>
    <x v="31"/>
    <s v="NA"/>
    <s v="2022-06"/>
  </r>
  <r>
    <x v="2066"/>
    <x v="3"/>
    <x v="1"/>
    <x v="22"/>
    <x v="570"/>
    <x v="653"/>
    <s v="Series E"/>
    <x v="2"/>
    <n v="0.25"/>
    <s v="2022-06"/>
  </r>
  <r>
    <x v="2067"/>
    <x v="48"/>
    <x v="28"/>
    <x v="24"/>
    <x v="570"/>
    <x v="11"/>
    <s v="Seed"/>
    <x v="6"/>
    <n v="0.5"/>
    <s v="2022-06"/>
  </r>
  <r>
    <x v="2068"/>
    <x v="119"/>
    <x v="3"/>
    <x v="1"/>
    <x v="570"/>
    <x v="12"/>
    <s v="Unknown"/>
    <x v="20"/>
    <s v="NA"/>
    <s v="2022-06"/>
  </r>
  <r>
    <x v="1254"/>
    <x v="3"/>
    <x v="2"/>
    <x v="1"/>
    <x v="570"/>
    <x v="413"/>
    <s v="Unknown"/>
    <x v="2"/>
    <n v="0.1"/>
    <s v="2022-06"/>
  </r>
  <r>
    <x v="2069"/>
    <x v="23"/>
    <x v="24"/>
    <x v="157"/>
    <x v="570"/>
    <x v="484"/>
    <s v="Series D"/>
    <x v="2"/>
    <n v="0.08"/>
    <s v="2022-06"/>
  </r>
  <r>
    <x v="2070"/>
    <x v="6"/>
    <x v="6"/>
    <x v="2"/>
    <x v="570"/>
    <x v="223"/>
    <s v="Series B"/>
    <x v="2"/>
    <n v="0.33"/>
    <s v="2022-06"/>
  </r>
  <r>
    <x v="2071"/>
    <x v="6"/>
    <x v="0"/>
    <x v="27"/>
    <x v="570"/>
    <x v="151"/>
    <s v="Series A"/>
    <x v="2"/>
    <s v="NA"/>
    <s v="2022-06"/>
  </r>
  <r>
    <x v="761"/>
    <x v="6"/>
    <x v="6"/>
    <x v="37"/>
    <x v="570"/>
    <x v="199"/>
    <s v="Series C"/>
    <x v="2"/>
    <n v="0.25"/>
    <s v="2022-06"/>
  </r>
  <r>
    <x v="2072"/>
    <x v="17"/>
    <x v="11"/>
    <x v="3"/>
    <x v="570"/>
    <x v="129"/>
    <s v="Unknown"/>
    <x v="2"/>
    <s v="NA"/>
    <s v="2022-06"/>
  </r>
  <r>
    <x v="2073"/>
    <x v="220"/>
    <x v="6"/>
    <x v="3"/>
    <x v="570"/>
    <x v="354"/>
    <s v="Series B"/>
    <x v="2"/>
    <n v="1"/>
    <s v="2022-06"/>
  </r>
  <r>
    <x v="2074"/>
    <x v="221"/>
    <x v="1"/>
    <x v="3"/>
    <x v="570"/>
    <x v="632"/>
    <s v="Series B"/>
    <x v="56"/>
    <s v="NA"/>
    <s v="2022-06"/>
  </r>
  <r>
    <x v="345"/>
    <x v="46"/>
    <x v="10"/>
    <x v="30"/>
    <x v="571"/>
    <x v="12"/>
    <s v="Post-IPO"/>
    <x v="18"/>
    <n v="0.1"/>
    <s v="2022-06"/>
  </r>
  <r>
    <x v="107"/>
    <x v="17"/>
    <x v="25"/>
    <x v="1"/>
    <x v="571"/>
    <x v="84"/>
    <s v="Series F"/>
    <x v="2"/>
    <n v="0.06"/>
    <s v="2022-06"/>
  </r>
  <r>
    <x v="2075"/>
    <x v="48"/>
    <x v="11"/>
    <x v="1"/>
    <x v="571"/>
    <x v="78"/>
    <s v="Seed"/>
    <x v="6"/>
    <n v="1"/>
    <s v="2022-06"/>
  </r>
  <r>
    <x v="1767"/>
    <x v="106"/>
    <x v="2"/>
    <x v="58"/>
    <x v="571"/>
    <x v="460"/>
    <s v="Unknown"/>
    <x v="31"/>
    <n v="0.12"/>
    <s v="2022-06"/>
  </r>
  <r>
    <x v="2076"/>
    <x v="10"/>
    <x v="1"/>
    <x v="74"/>
    <x v="571"/>
    <x v="360"/>
    <s v="Series C"/>
    <x v="3"/>
    <n v="0.1"/>
    <s v="2022-06"/>
  </r>
  <r>
    <x v="1666"/>
    <x v="6"/>
    <x v="14"/>
    <x v="145"/>
    <x v="571"/>
    <x v="564"/>
    <s v="Series C"/>
    <x v="2"/>
    <n v="0.14000000000000001"/>
    <s v="2022-06"/>
  </r>
  <r>
    <x v="1791"/>
    <x v="3"/>
    <x v="11"/>
    <x v="111"/>
    <x v="571"/>
    <x v="555"/>
    <s v="Unknown"/>
    <x v="2"/>
    <s v="NA"/>
    <s v="2022-06"/>
  </r>
  <r>
    <x v="2077"/>
    <x v="10"/>
    <x v="7"/>
    <x v="2"/>
    <x v="571"/>
    <x v="10"/>
    <s v="Series B"/>
    <x v="3"/>
    <s v="0.35000000000000003"/>
    <s v="2022-06"/>
  </r>
  <r>
    <x v="2078"/>
    <x v="6"/>
    <x v="6"/>
    <x v="37"/>
    <x v="571"/>
    <x v="632"/>
    <s v="Series D"/>
    <x v="2"/>
    <s v="NA"/>
    <s v="2022-06"/>
  </r>
  <r>
    <x v="1672"/>
    <x v="6"/>
    <x v="22"/>
    <x v="3"/>
    <x v="571"/>
    <x v="107"/>
    <s v="Unknown"/>
    <x v="2"/>
    <n v="0.1"/>
    <s v="2022-06"/>
  </r>
  <r>
    <x v="2079"/>
    <x v="76"/>
    <x v="24"/>
    <x v="3"/>
    <x v="571"/>
    <x v="354"/>
    <s v="Seed"/>
    <x v="28"/>
    <n v="0.3"/>
    <s v="2022-06"/>
  </r>
  <r>
    <x v="268"/>
    <x v="1"/>
    <x v="6"/>
    <x v="38"/>
    <x v="572"/>
    <x v="12"/>
    <s v="Post-IPO"/>
    <x v="1"/>
    <n v="0.06"/>
    <s v="2022-05"/>
  </r>
  <r>
    <x v="2080"/>
    <x v="9"/>
    <x v="8"/>
    <x v="31"/>
    <x v="572"/>
    <x v="390"/>
    <s v="Series C"/>
    <x v="2"/>
    <s v="NA"/>
    <s v="2022-05"/>
  </r>
  <r>
    <x v="2081"/>
    <x v="103"/>
    <x v="1"/>
    <x v="150"/>
    <x v="572"/>
    <x v="230"/>
    <s v="Series A"/>
    <x v="2"/>
    <n v="0.33"/>
    <s v="2022-05"/>
  </r>
  <r>
    <x v="2082"/>
    <x v="1"/>
    <x v="10"/>
    <x v="2"/>
    <x v="572"/>
    <x v="27"/>
    <s v="Series A"/>
    <x v="1"/>
    <s v="NA"/>
    <s v="2022-05"/>
  </r>
  <r>
    <x v="2083"/>
    <x v="28"/>
    <x v="11"/>
    <x v="35"/>
    <x v="572"/>
    <x v="7"/>
    <s v="Series A"/>
    <x v="2"/>
    <n v="0.25"/>
    <s v="2022-05"/>
  </r>
  <r>
    <x v="1072"/>
    <x v="6"/>
    <x v="5"/>
    <x v="3"/>
    <x v="572"/>
    <x v="102"/>
    <s v="Series C"/>
    <x v="2"/>
    <s v="NA"/>
    <s v="2022-05"/>
  </r>
  <r>
    <x v="1529"/>
    <x v="187"/>
    <x v="10"/>
    <x v="9"/>
    <x v="573"/>
    <x v="485"/>
    <s v="Post-IPO"/>
    <x v="54"/>
    <n v="0.32"/>
    <s v="2022-05"/>
  </r>
  <r>
    <x v="2084"/>
    <x v="20"/>
    <x v="6"/>
    <x v="1"/>
    <x v="573"/>
    <x v="345"/>
    <s v="Series E"/>
    <x v="6"/>
    <n v="0.1"/>
    <s v="2022-05"/>
  </r>
  <r>
    <x v="2085"/>
    <x v="106"/>
    <x v="1"/>
    <x v="1"/>
    <x v="573"/>
    <x v="86"/>
    <s v="Unknown"/>
    <x v="31"/>
    <n v="0.03"/>
    <s v="2022-05"/>
  </r>
  <r>
    <x v="2086"/>
    <x v="6"/>
    <x v="27"/>
    <x v="3"/>
    <x v="573"/>
    <x v="518"/>
    <s v="Unknown"/>
    <x v="2"/>
    <s v="NA"/>
    <s v="2022-05"/>
  </r>
  <r>
    <x v="712"/>
    <x v="20"/>
    <x v="11"/>
    <x v="20"/>
    <x v="574"/>
    <x v="354"/>
    <s v="Series A"/>
    <x v="6"/>
    <n v="0.3"/>
    <s v="2022-05"/>
  </r>
  <r>
    <x v="2087"/>
    <x v="19"/>
    <x v="27"/>
    <x v="5"/>
    <x v="574"/>
    <x v="412"/>
    <s v="Series A"/>
    <x v="6"/>
    <s v="NA"/>
    <s v="2022-05"/>
  </r>
  <r>
    <x v="2088"/>
    <x v="10"/>
    <x v="1"/>
    <x v="27"/>
    <x v="574"/>
    <x v="9"/>
    <s v="Unknown"/>
    <x v="3"/>
    <n v="0.26"/>
    <s v="2022-05"/>
  </r>
  <r>
    <x v="2089"/>
    <x v="11"/>
    <x v="24"/>
    <x v="3"/>
    <x v="574"/>
    <x v="315"/>
    <s v="Unknown"/>
    <x v="2"/>
    <s v="NA"/>
    <s v="2022-05"/>
  </r>
  <r>
    <x v="2090"/>
    <x v="23"/>
    <x v="3"/>
    <x v="3"/>
    <x v="574"/>
    <x v="233"/>
    <s v="Series C"/>
    <x v="2"/>
    <s v="NA"/>
    <s v="2022-05"/>
  </r>
  <r>
    <x v="2090"/>
    <x v="23"/>
    <x v="3"/>
    <x v="3"/>
    <x v="574"/>
    <x v="331"/>
    <s v="Unknown"/>
    <x v="2"/>
    <s v="NA"/>
    <s v="2022-05"/>
  </r>
  <r>
    <x v="2091"/>
    <x v="106"/>
    <x v="21"/>
    <x v="28"/>
    <x v="575"/>
    <x v="278"/>
    <s v="Post-IPO"/>
    <x v="31"/>
    <n v="0.13"/>
    <s v="2022-05"/>
  </r>
  <r>
    <x v="1498"/>
    <x v="125"/>
    <x v="2"/>
    <x v="54"/>
    <x v="575"/>
    <x v="576"/>
    <s v="Series C"/>
    <x v="37"/>
    <n v="0.11"/>
    <s v="2022-05"/>
  </r>
  <r>
    <x v="511"/>
    <x v="95"/>
    <x v="0"/>
    <x v="54"/>
    <x v="575"/>
    <x v="304"/>
    <s v="Acquired"/>
    <x v="29"/>
    <s v="NA"/>
    <s v="2022-05"/>
  </r>
  <r>
    <x v="2092"/>
    <x v="10"/>
    <x v="6"/>
    <x v="31"/>
    <x v="575"/>
    <x v="12"/>
    <s v="Unknown"/>
    <x v="3"/>
    <n v="0.02"/>
    <s v="2022-05"/>
  </r>
  <r>
    <x v="2093"/>
    <x v="6"/>
    <x v="25"/>
    <x v="11"/>
    <x v="576"/>
    <x v="40"/>
    <s v="Series D"/>
    <x v="2"/>
    <n v="0.2"/>
    <s v="2022-05"/>
  </r>
  <r>
    <x v="333"/>
    <x v="6"/>
    <x v="1"/>
    <x v="149"/>
    <x v="576"/>
    <x v="22"/>
    <s v="Series E"/>
    <x v="2"/>
    <n v="0.27"/>
    <s v="2022-05"/>
  </r>
  <r>
    <x v="1102"/>
    <x v="9"/>
    <x v="1"/>
    <x v="133"/>
    <x v="576"/>
    <x v="328"/>
    <s v="Series C"/>
    <x v="2"/>
    <s v="NA"/>
    <s v="2022-05"/>
  </r>
  <r>
    <x v="2094"/>
    <x v="14"/>
    <x v="1"/>
    <x v="31"/>
    <x v="576"/>
    <x v="373"/>
    <s v="Series B"/>
    <x v="5"/>
    <n v="0.25"/>
    <s v="2022-05"/>
  </r>
  <r>
    <x v="1675"/>
    <x v="14"/>
    <x v="1"/>
    <x v="112"/>
    <x v="576"/>
    <x v="92"/>
    <s v="Series B"/>
    <x v="5"/>
    <n v="0.2"/>
    <s v="2022-05"/>
  </r>
  <r>
    <x v="2095"/>
    <x v="143"/>
    <x v="1"/>
    <x v="2"/>
    <x v="576"/>
    <x v="293"/>
    <s v="Series B"/>
    <x v="2"/>
    <n v="0.2"/>
    <s v="2022-05"/>
  </r>
  <r>
    <x v="1925"/>
    <x v="213"/>
    <x v="24"/>
    <x v="3"/>
    <x v="576"/>
    <x v="79"/>
    <s v="Series B"/>
    <x v="28"/>
    <n v="0.31"/>
    <s v="2022-05"/>
  </r>
  <r>
    <x v="53"/>
    <x v="222"/>
    <x v="0"/>
    <x v="3"/>
    <x v="576"/>
    <x v="45"/>
    <s v="Series E"/>
    <x v="57"/>
    <n v="0.14000000000000001"/>
    <s v="2022-05"/>
  </r>
  <r>
    <x v="2096"/>
    <x v="10"/>
    <x v="0"/>
    <x v="3"/>
    <x v="576"/>
    <x v="346"/>
    <s v="Unknown"/>
    <x v="3"/>
    <n v="0.1"/>
    <s v="2022-05"/>
  </r>
  <r>
    <x v="1949"/>
    <x v="14"/>
    <x v="0"/>
    <x v="11"/>
    <x v="577"/>
    <x v="22"/>
    <s v="Series C"/>
    <x v="5"/>
    <n v="0.5"/>
    <s v="2022-05"/>
  </r>
  <r>
    <x v="1839"/>
    <x v="71"/>
    <x v="11"/>
    <x v="28"/>
    <x v="577"/>
    <x v="132"/>
    <s v="Series B"/>
    <x v="26"/>
    <s v="NA"/>
    <s v="2022-05"/>
  </r>
  <r>
    <x v="1570"/>
    <x v="16"/>
    <x v="1"/>
    <x v="5"/>
    <x v="577"/>
    <x v="367"/>
    <s v="Series D"/>
    <x v="2"/>
    <s v="NA"/>
    <s v="2022-05"/>
  </r>
  <r>
    <x v="1720"/>
    <x v="55"/>
    <x v="1"/>
    <x v="86"/>
    <x v="578"/>
    <x v="173"/>
    <s v="Unknown"/>
    <x v="22"/>
    <n v="0.1"/>
    <s v="2022-05"/>
  </r>
  <r>
    <x v="213"/>
    <x v="6"/>
    <x v="1"/>
    <x v="233"/>
    <x v="578"/>
    <x v="156"/>
    <s v="Post-IPO"/>
    <x v="2"/>
    <s v="NA"/>
    <s v="2022-05"/>
  </r>
  <r>
    <x v="2097"/>
    <x v="176"/>
    <x v="2"/>
    <x v="54"/>
    <x v="578"/>
    <x v="183"/>
    <s v="Series A"/>
    <x v="45"/>
    <n v="0.45"/>
    <s v="2022-05"/>
  </r>
  <r>
    <x v="2098"/>
    <x v="1"/>
    <x v="27"/>
    <x v="74"/>
    <x v="578"/>
    <x v="90"/>
    <s v="Series A"/>
    <x v="1"/>
    <n v="1"/>
    <s v="2022-05"/>
  </r>
  <r>
    <x v="747"/>
    <x v="12"/>
    <x v="4"/>
    <x v="14"/>
    <x v="578"/>
    <x v="283"/>
    <s v="Series C"/>
    <x v="2"/>
    <n v="7.0000000000000007E-2"/>
    <s v="2022-05"/>
  </r>
  <r>
    <x v="2099"/>
    <x v="3"/>
    <x v="6"/>
    <x v="2"/>
    <x v="578"/>
    <x v="91"/>
    <s v="Series B"/>
    <x v="2"/>
    <n v="0.2"/>
    <s v="2022-05"/>
  </r>
  <r>
    <x v="1210"/>
    <x v="166"/>
    <x v="21"/>
    <x v="3"/>
    <x v="578"/>
    <x v="358"/>
    <s v="Series E"/>
    <x v="31"/>
    <s v="NA"/>
    <s v="2022-05"/>
  </r>
  <r>
    <x v="2100"/>
    <x v="20"/>
    <x v="5"/>
    <x v="190"/>
    <x v="579"/>
    <x v="227"/>
    <s v="Series C"/>
    <x v="6"/>
    <n v="0.75"/>
    <s v="2022-05"/>
  </r>
  <r>
    <x v="714"/>
    <x v="3"/>
    <x v="25"/>
    <x v="80"/>
    <x v="580"/>
    <x v="376"/>
    <s v="Post-IPO"/>
    <x v="2"/>
    <n v="0.28000000000000003"/>
    <s v="2022-05"/>
  </r>
  <r>
    <x v="1577"/>
    <x v="54"/>
    <x v="26"/>
    <x v="143"/>
    <x v="580"/>
    <x v="58"/>
    <s v="Series B"/>
    <x v="2"/>
    <n v="0.15"/>
    <s v="2022-05"/>
  </r>
  <r>
    <x v="1779"/>
    <x v="6"/>
    <x v="6"/>
    <x v="43"/>
    <x v="580"/>
    <x v="619"/>
    <s v="Post-IPO"/>
    <x v="2"/>
    <n v="0.1"/>
    <s v="2022-05"/>
  </r>
  <r>
    <x v="891"/>
    <x v="48"/>
    <x v="10"/>
    <x v="190"/>
    <x v="581"/>
    <x v="22"/>
    <s v="Series G"/>
    <x v="6"/>
    <n v="0.06"/>
    <s v="2022-05"/>
  </r>
  <r>
    <x v="1448"/>
    <x v="20"/>
    <x v="11"/>
    <x v="307"/>
    <x v="582"/>
    <x v="421"/>
    <s v="Series E"/>
    <x v="6"/>
    <n v="7.0000000000000007E-2"/>
    <s v="2022-05"/>
  </r>
  <r>
    <x v="1734"/>
    <x v="6"/>
    <x v="26"/>
    <x v="0"/>
    <x v="583"/>
    <x v="614"/>
    <s v="Post-IPO"/>
    <x v="2"/>
    <n v="0.01"/>
    <s v="2022-05"/>
  </r>
  <r>
    <x v="1644"/>
    <x v="55"/>
    <x v="5"/>
    <x v="1"/>
    <x v="583"/>
    <x v="602"/>
    <s v="Series D"/>
    <x v="22"/>
    <n v="0.1"/>
    <s v="2022-05"/>
  </r>
  <r>
    <x v="2101"/>
    <x v="39"/>
    <x v="6"/>
    <x v="58"/>
    <x v="583"/>
    <x v="654"/>
    <s v="Series C"/>
    <x v="2"/>
    <n v="0.08"/>
    <s v="2022-05"/>
  </r>
  <r>
    <x v="2102"/>
    <x v="106"/>
    <x v="0"/>
    <x v="1"/>
    <x v="584"/>
    <x v="550"/>
    <s v="Series A"/>
    <x v="2"/>
    <n v="0.4"/>
    <s v="2022-05"/>
  </r>
  <r>
    <x v="349"/>
    <x v="4"/>
    <x v="21"/>
    <x v="3"/>
    <x v="584"/>
    <x v="192"/>
    <s v="Acquired"/>
    <x v="2"/>
    <s v="NA"/>
    <s v="2022-05"/>
  </r>
  <r>
    <x v="2103"/>
    <x v="223"/>
    <x v="21"/>
    <x v="9"/>
    <x v="585"/>
    <x v="73"/>
    <s v="Acquired"/>
    <x v="58"/>
    <n v="0.4"/>
    <s v="2022-05"/>
  </r>
  <r>
    <x v="1797"/>
    <x v="3"/>
    <x v="5"/>
    <x v="56"/>
    <x v="585"/>
    <x v="620"/>
    <s v="Acquired"/>
    <x v="2"/>
    <s v="NA"/>
    <s v="2022-05"/>
  </r>
  <r>
    <x v="1748"/>
    <x v="3"/>
    <x v="1"/>
    <x v="57"/>
    <x v="586"/>
    <x v="48"/>
    <s v="Series D"/>
    <x v="2"/>
    <s v="NA"/>
    <s v="2022-05"/>
  </r>
  <r>
    <x v="2104"/>
    <x v="9"/>
    <x v="8"/>
    <x v="3"/>
    <x v="586"/>
    <x v="12"/>
    <s v="Series B"/>
    <x v="2"/>
    <n v="1"/>
    <s v="2022-05"/>
  </r>
  <r>
    <x v="196"/>
    <x v="9"/>
    <x v="19"/>
    <x v="0"/>
    <x v="587"/>
    <x v="146"/>
    <s v="Series C"/>
    <x v="2"/>
    <s v="NA"/>
    <s v="2022-05"/>
  </r>
  <r>
    <x v="2105"/>
    <x v="3"/>
    <x v="11"/>
    <x v="210"/>
    <x v="587"/>
    <x v="129"/>
    <s v="Series A"/>
    <x v="2"/>
    <s v="NA"/>
    <s v="2022-05"/>
  </r>
  <r>
    <x v="2106"/>
    <x v="8"/>
    <x v="25"/>
    <x v="3"/>
    <x v="587"/>
    <x v="550"/>
    <s v="Acquired"/>
    <x v="2"/>
    <s v="NA"/>
    <s v="2022-05"/>
  </r>
  <r>
    <x v="1789"/>
    <x v="17"/>
    <x v="27"/>
    <x v="43"/>
    <x v="588"/>
    <x v="35"/>
    <s v="Series G"/>
    <x v="2"/>
    <n v="7.0000000000000007E-2"/>
    <s v="2022-05"/>
  </r>
  <r>
    <x v="1324"/>
    <x v="47"/>
    <x v="10"/>
    <x v="82"/>
    <x v="589"/>
    <x v="112"/>
    <s v="Post-IPO"/>
    <x v="2"/>
    <n v="0.12"/>
    <s v="2022-05"/>
  </r>
  <r>
    <x v="1457"/>
    <x v="6"/>
    <x v="1"/>
    <x v="308"/>
    <x v="589"/>
    <x v="68"/>
    <s v="Post-IPO"/>
    <x v="2"/>
    <n v="0.15"/>
    <s v="2022-05"/>
  </r>
  <r>
    <x v="1815"/>
    <x v="10"/>
    <x v="7"/>
    <x v="28"/>
    <x v="589"/>
    <x v="319"/>
    <s v="Series C"/>
    <x v="3"/>
    <n v="0.33"/>
    <s v="2022-05"/>
  </r>
  <r>
    <x v="714"/>
    <x v="3"/>
    <x v="25"/>
    <x v="2"/>
    <x v="589"/>
    <x v="376"/>
    <s v="Post-IPO"/>
    <x v="2"/>
    <n v="0.06"/>
    <s v="2022-05"/>
  </r>
  <r>
    <x v="2107"/>
    <x v="32"/>
    <x v="4"/>
    <x v="62"/>
    <x v="590"/>
    <x v="537"/>
    <s v="Series C"/>
    <x v="11"/>
    <n v="0.5"/>
    <s v="2022-05"/>
  </r>
  <r>
    <x v="242"/>
    <x v="3"/>
    <x v="10"/>
    <x v="172"/>
    <x v="590"/>
    <x v="22"/>
    <s v="Post-IPO"/>
    <x v="2"/>
    <n v="0.14000000000000001"/>
    <s v="2022-05"/>
  </r>
  <r>
    <x v="2108"/>
    <x v="39"/>
    <x v="10"/>
    <x v="306"/>
    <x v="591"/>
    <x v="113"/>
    <s v="Unknown"/>
    <x v="2"/>
    <n v="0.05"/>
    <s v="2022-05"/>
  </r>
  <r>
    <x v="2109"/>
    <x v="224"/>
    <x v="5"/>
    <x v="40"/>
    <x v="591"/>
    <x v="600"/>
    <s v="Acquired"/>
    <x v="2"/>
    <s v="NA"/>
    <s v="2022-05"/>
  </r>
  <r>
    <x v="1448"/>
    <x v="20"/>
    <x v="11"/>
    <x v="28"/>
    <x v="592"/>
    <x v="421"/>
    <s v="Series E"/>
    <x v="6"/>
    <n v="0.03"/>
    <s v="2022-05"/>
  </r>
  <r>
    <x v="2110"/>
    <x v="28"/>
    <x v="1"/>
    <x v="1"/>
    <x v="592"/>
    <x v="632"/>
    <s v="Acquired"/>
    <x v="2"/>
    <s v="NA"/>
    <s v="2022-05"/>
  </r>
  <r>
    <x v="820"/>
    <x v="6"/>
    <x v="14"/>
    <x v="58"/>
    <x v="592"/>
    <x v="331"/>
    <s v="Series C"/>
    <x v="2"/>
    <n v="0.1"/>
    <s v="2022-05"/>
  </r>
  <r>
    <x v="1836"/>
    <x v="6"/>
    <x v="11"/>
    <x v="263"/>
    <x v="592"/>
    <x v="132"/>
    <s v="Series A"/>
    <x v="2"/>
    <n v="0.25"/>
    <s v="2022-05"/>
  </r>
  <r>
    <x v="2111"/>
    <x v="51"/>
    <x v="0"/>
    <x v="11"/>
    <x v="593"/>
    <x v="11"/>
    <s v="Seed"/>
    <x v="20"/>
    <n v="1"/>
    <s v="2022-05"/>
  </r>
  <r>
    <x v="2112"/>
    <x v="17"/>
    <x v="17"/>
    <x v="184"/>
    <x v="593"/>
    <x v="149"/>
    <s v="Series A"/>
    <x v="2"/>
    <s v="NA"/>
    <s v="2022-05"/>
  </r>
  <r>
    <x v="683"/>
    <x v="58"/>
    <x v="6"/>
    <x v="143"/>
    <x v="593"/>
    <x v="365"/>
    <s v="Unknown"/>
    <x v="2"/>
    <n v="0.25"/>
    <s v="2022-05"/>
  </r>
  <r>
    <x v="2113"/>
    <x v="6"/>
    <x v="1"/>
    <x v="112"/>
    <x v="593"/>
    <x v="33"/>
    <s v="Series A"/>
    <x v="2"/>
    <n v="0.3"/>
    <s v="2022-05"/>
  </r>
  <r>
    <x v="2114"/>
    <x v="4"/>
    <x v="21"/>
    <x v="5"/>
    <x v="593"/>
    <x v="261"/>
    <s v="Series A"/>
    <x v="2"/>
    <s v="NA"/>
    <s v="2022-05"/>
  </r>
  <r>
    <x v="2115"/>
    <x v="3"/>
    <x v="1"/>
    <x v="37"/>
    <x v="593"/>
    <x v="259"/>
    <s v="Series C"/>
    <x v="2"/>
    <s v="NA"/>
    <s v="2022-05"/>
  </r>
  <r>
    <x v="2116"/>
    <x v="51"/>
    <x v="1"/>
    <x v="3"/>
    <x v="593"/>
    <x v="431"/>
    <s v="Unknown"/>
    <x v="20"/>
    <n v="0.3"/>
    <s v="2022-05"/>
  </r>
  <r>
    <x v="2117"/>
    <x v="17"/>
    <x v="21"/>
    <x v="3"/>
    <x v="594"/>
    <x v="24"/>
    <s v="Unknown"/>
    <x v="2"/>
    <s v="NA"/>
    <s v="2022-05"/>
  </r>
  <r>
    <x v="2118"/>
    <x v="1"/>
    <x v="0"/>
    <x v="30"/>
    <x v="595"/>
    <x v="431"/>
    <s v="Series B"/>
    <x v="1"/>
    <n v="0.67"/>
    <s v="2022-05"/>
  </r>
  <r>
    <x v="219"/>
    <x v="3"/>
    <x v="5"/>
    <x v="309"/>
    <x v="596"/>
    <x v="160"/>
    <s v="Series F"/>
    <x v="2"/>
    <s v="NA"/>
    <s v="2022-04"/>
  </r>
  <r>
    <x v="976"/>
    <x v="6"/>
    <x v="11"/>
    <x v="0"/>
    <x v="597"/>
    <x v="48"/>
    <s v="Series D"/>
    <x v="2"/>
    <n v="0.19"/>
    <s v="2022-04"/>
  </r>
  <r>
    <x v="1734"/>
    <x v="6"/>
    <x v="26"/>
    <x v="37"/>
    <x v="597"/>
    <x v="614"/>
    <s v="Post-IPO"/>
    <x v="2"/>
    <s v="NA"/>
    <s v="2022-04"/>
  </r>
  <r>
    <x v="2119"/>
    <x v="23"/>
    <x v="19"/>
    <x v="31"/>
    <x v="598"/>
    <x v="12"/>
    <s v="Unknown"/>
    <x v="2"/>
    <s v="NA"/>
    <s v="2022-04"/>
  </r>
  <r>
    <x v="515"/>
    <x v="6"/>
    <x v="1"/>
    <x v="183"/>
    <x v="599"/>
    <x v="305"/>
    <s v="Post-IPO"/>
    <x v="2"/>
    <n v="0.09"/>
    <s v="2022-04"/>
  </r>
  <r>
    <x v="2013"/>
    <x v="62"/>
    <x v="21"/>
    <x v="27"/>
    <x v="599"/>
    <x v="168"/>
    <s v="Series A"/>
    <x v="7"/>
    <n v="0.34"/>
    <s v="2022-04"/>
  </r>
  <r>
    <x v="2120"/>
    <x v="225"/>
    <x v="4"/>
    <x v="253"/>
    <x v="600"/>
    <x v="595"/>
    <s v="Acquired"/>
    <x v="11"/>
    <s v="NA"/>
    <s v="2022-04"/>
  </r>
  <r>
    <x v="2121"/>
    <x v="3"/>
    <x v="3"/>
    <x v="57"/>
    <x v="600"/>
    <x v="492"/>
    <s v="Series B"/>
    <x v="2"/>
    <s v="NA"/>
    <s v="2022-04"/>
  </r>
  <r>
    <x v="2122"/>
    <x v="86"/>
    <x v="6"/>
    <x v="12"/>
    <x v="601"/>
    <x v="655"/>
    <s v="Series E"/>
    <x v="17"/>
    <n v="0.09"/>
    <s v="2022-04"/>
  </r>
  <r>
    <x v="2123"/>
    <x v="106"/>
    <x v="21"/>
    <x v="270"/>
    <x v="602"/>
    <x v="656"/>
    <s v="Series D"/>
    <x v="31"/>
    <n v="0.3"/>
    <s v="2022-04"/>
  </r>
  <r>
    <x v="858"/>
    <x v="3"/>
    <x v="1"/>
    <x v="294"/>
    <x v="602"/>
    <x v="426"/>
    <s v="Post-IPO"/>
    <x v="2"/>
    <s v="NA"/>
    <s v="2022-04"/>
  </r>
  <r>
    <x v="606"/>
    <x v="6"/>
    <x v="1"/>
    <x v="28"/>
    <x v="603"/>
    <x v="340"/>
    <s v="Post-IPO"/>
    <x v="2"/>
    <n v="0.1"/>
    <s v="2022-04"/>
  </r>
  <r>
    <x v="2124"/>
    <x v="106"/>
    <x v="22"/>
    <x v="71"/>
    <x v="603"/>
    <x v="657"/>
    <s v="Series E"/>
    <x v="31"/>
    <n v="0.04"/>
    <s v="2022-04"/>
  </r>
  <r>
    <x v="1051"/>
    <x v="106"/>
    <x v="22"/>
    <x v="305"/>
    <x v="603"/>
    <x v="472"/>
    <s v="Unknown"/>
    <x v="31"/>
    <s v="NA"/>
    <s v="2022-04"/>
  </r>
  <r>
    <x v="544"/>
    <x v="3"/>
    <x v="22"/>
    <x v="3"/>
    <x v="603"/>
    <x v="318"/>
    <s v="Unknown"/>
    <x v="2"/>
    <s v="NA"/>
    <s v="2022-04"/>
  </r>
  <r>
    <x v="2035"/>
    <x v="54"/>
    <x v="8"/>
    <x v="3"/>
    <x v="604"/>
    <x v="154"/>
    <s v="Series C"/>
    <x v="2"/>
    <n v="0.11"/>
    <s v="2022-04"/>
  </r>
  <r>
    <x v="2125"/>
    <x v="6"/>
    <x v="26"/>
    <x v="100"/>
    <x v="605"/>
    <x v="144"/>
    <s v="Acquired"/>
    <x v="2"/>
    <s v="NA"/>
    <s v="2022-04"/>
  </r>
  <r>
    <x v="2126"/>
    <x v="3"/>
    <x v="5"/>
    <x v="3"/>
    <x v="605"/>
    <x v="78"/>
    <s v="Unknown"/>
    <x v="2"/>
    <n v="1"/>
    <s v="2022-04"/>
  </r>
  <r>
    <x v="2127"/>
    <x v="6"/>
    <x v="5"/>
    <x v="150"/>
    <x v="606"/>
    <x v="185"/>
    <s v="Unknown"/>
    <x v="2"/>
    <n v="1"/>
    <s v="2022-04"/>
  </r>
  <r>
    <x v="1711"/>
    <x v="6"/>
    <x v="5"/>
    <x v="3"/>
    <x v="606"/>
    <x v="361"/>
    <s v="Series D"/>
    <x v="2"/>
    <s v="NA"/>
    <s v="2022-04"/>
  </r>
  <r>
    <x v="1890"/>
    <x v="4"/>
    <x v="10"/>
    <x v="1"/>
    <x v="607"/>
    <x v="633"/>
    <s v="Series D"/>
    <x v="2"/>
    <n v="0.14000000000000001"/>
    <s v="2022-04"/>
  </r>
  <r>
    <x v="880"/>
    <x v="20"/>
    <x v="21"/>
    <x v="0"/>
    <x v="608"/>
    <x v="99"/>
    <s v="Series F"/>
    <x v="6"/>
    <s v="NA"/>
    <s v="2022-04"/>
  </r>
  <r>
    <x v="2063"/>
    <x v="3"/>
    <x v="0"/>
    <x v="33"/>
    <x v="609"/>
    <x v="87"/>
    <s v="Acquired"/>
    <x v="2"/>
    <n v="0.1"/>
    <s v="2022-04"/>
  </r>
  <r>
    <x v="988"/>
    <x v="20"/>
    <x v="11"/>
    <x v="4"/>
    <x v="610"/>
    <x v="457"/>
    <s v="Series H"/>
    <x v="6"/>
    <n v="0.17"/>
    <s v="2022-04"/>
  </r>
  <r>
    <x v="2128"/>
    <x v="101"/>
    <x v="0"/>
    <x v="43"/>
    <x v="610"/>
    <x v="90"/>
    <s v="Post-IPO"/>
    <x v="7"/>
    <s v="NA"/>
    <s v="2022-04"/>
  </r>
  <r>
    <x v="2129"/>
    <x v="16"/>
    <x v="17"/>
    <x v="165"/>
    <x v="611"/>
    <x v="658"/>
    <s v="Series E"/>
    <x v="2"/>
    <s v="NA"/>
    <s v="2022-04"/>
  </r>
  <r>
    <x v="2130"/>
    <x v="6"/>
    <x v="1"/>
    <x v="3"/>
    <x v="611"/>
    <x v="31"/>
    <s v="Series B"/>
    <x v="2"/>
    <n v="1"/>
    <s v="2022-04"/>
  </r>
  <r>
    <x v="1637"/>
    <x v="195"/>
    <x v="2"/>
    <x v="133"/>
    <x v="612"/>
    <x v="600"/>
    <s v="Seed"/>
    <x v="46"/>
    <n v="0.25"/>
    <s v="2022-04"/>
  </r>
  <r>
    <x v="2131"/>
    <x v="37"/>
    <x v="26"/>
    <x v="121"/>
    <x v="612"/>
    <x v="11"/>
    <s v="Post-IPO"/>
    <x v="7"/>
    <n v="0.38"/>
    <s v="2022-04"/>
  </r>
  <r>
    <x v="1169"/>
    <x v="1"/>
    <x v="1"/>
    <x v="33"/>
    <x v="613"/>
    <x v="92"/>
    <s v="Series B"/>
    <x v="1"/>
    <s v="NA"/>
    <s v="2022-03"/>
  </r>
  <r>
    <x v="1766"/>
    <x v="20"/>
    <x v="21"/>
    <x v="62"/>
    <x v="614"/>
    <x v="616"/>
    <s v="Post-IPO"/>
    <x v="6"/>
    <s v="NA"/>
    <s v="2022-03"/>
  </r>
  <r>
    <x v="2132"/>
    <x v="14"/>
    <x v="27"/>
    <x v="157"/>
    <x v="614"/>
    <x v="252"/>
    <s v="Series B"/>
    <x v="5"/>
    <n v="0.4"/>
    <s v="2022-03"/>
  </r>
  <r>
    <x v="25"/>
    <x v="15"/>
    <x v="0"/>
    <x v="165"/>
    <x v="615"/>
    <x v="24"/>
    <s v="Series H"/>
    <x v="2"/>
    <n v="0.03"/>
    <s v="2022-03"/>
  </r>
  <r>
    <x v="1350"/>
    <x v="37"/>
    <x v="11"/>
    <x v="1"/>
    <x v="615"/>
    <x v="219"/>
    <s v="Post-IPO"/>
    <x v="7"/>
    <n v="0.2"/>
    <s v="2022-03"/>
  </r>
  <r>
    <x v="2133"/>
    <x v="20"/>
    <x v="21"/>
    <x v="12"/>
    <x v="616"/>
    <x v="250"/>
    <s v="Series D"/>
    <x v="6"/>
    <s v="NA"/>
    <s v="2022-03"/>
  </r>
  <r>
    <x v="2134"/>
    <x v="6"/>
    <x v="21"/>
    <x v="3"/>
    <x v="617"/>
    <x v="613"/>
    <s v="Series E"/>
    <x v="2"/>
    <n v="0.17"/>
    <s v="2022-03"/>
  </r>
  <r>
    <x v="161"/>
    <x v="55"/>
    <x v="26"/>
    <x v="1"/>
    <x v="618"/>
    <x v="172"/>
    <s v="Post-IPO"/>
    <x v="22"/>
    <n v="0.1"/>
    <s v="2022-03"/>
  </r>
  <r>
    <x v="2135"/>
    <x v="6"/>
    <x v="5"/>
    <x v="0"/>
    <x v="619"/>
    <x v="249"/>
    <s v="Series D"/>
    <x v="2"/>
    <s v="NA"/>
    <s v="2022-03"/>
  </r>
  <r>
    <x v="2136"/>
    <x v="20"/>
    <x v="21"/>
    <x v="11"/>
    <x v="620"/>
    <x v="267"/>
    <s v="Series B"/>
    <x v="6"/>
    <n v="0.5"/>
    <s v="2022-03"/>
  </r>
  <r>
    <x v="2137"/>
    <x v="3"/>
    <x v="22"/>
    <x v="119"/>
    <x v="620"/>
    <x v="161"/>
    <s v="Unknown"/>
    <x v="2"/>
    <n v="0.46"/>
    <s v="2022-03"/>
  </r>
  <r>
    <x v="2138"/>
    <x v="6"/>
    <x v="5"/>
    <x v="3"/>
    <x v="620"/>
    <x v="115"/>
    <s v="Post-IPO"/>
    <x v="2"/>
    <n v="0.25"/>
    <s v="2022-03"/>
  </r>
  <r>
    <x v="2139"/>
    <x v="67"/>
    <x v="1"/>
    <x v="3"/>
    <x v="621"/>
    <x v="309"/>
    <s v="Post-IPO"/>
    <x v="2"/>
    <n v="0.2"/>
    <s v="2022-03"/>
  </r>
  <r>
    <x v="544"/>
    <x v="3"/>
    <x v="22"/>
    <x v="106"/>
    <x v="622"/>
    <x v="318"/>
    <s v="Unknown"/>
    <x v="2"/>
    <n v="0.33"/>
    <s v="2022-03"/>
  </r>
  <r>
    <x v="2140"/>
    <x v="4"/>
    <x v="5"/>
    <x v="1"/>
    <x v="622"/>
    <x v="488"/>
    <s v="Post-IPO"/>
    <x v="2"/>
    <n v="0.12"/>
    <s v="2022-03"/>
  </r>
  <r>
    <x v="2141"/>
    <x v="3"/>
    <x v="27"/>
    <x v="1"/>
    <x v="623"/>
    <x v="659"/>
    <s v="Series E"/>
    <x v="2"/>
    <n v="0.25"/>
    <s v="2022-03"/>
  </r>
  <r>
    <x v="2142"/>
    <x v="195"/>
    <x v="5"/>
    <x v="30"/>
    <x v="624"/>
    <x v="52"/>
    <s v="Series F"/>
    <x v="17"/>
    <s v="NA"/>
    <s v="2022-03"/>
  </r>
  <r>
    <x v="656"/>
    <x v="6"/>
    <x v="21"/>
    <x v="281"/>
    <x v="625"/>
    <x v="112"/>
    <s v="Post-IPO"/>
    <x v="2"/>
    <n v="0.15"/>
    <s v="2022-03"/>
  </r>
  <r>
    <x v="1582"/>
    <x v="190"/>
    <x v="19"/>
    <x v="3"/>
    <x v="626"/>
    <x v="271"/>
    <s v="Private Equity"/>
    <x v="2"/>
    <s v="NA"/>
    <s v="2022-02"/>
  </r>
  <r>
    <x v="2143"/>
    <x v="19"/>
    <x v="1"/>
    <x v="2"/>
    <x v="627"/>
    <x v="390"/>
    <s v="Series B"/>
    <x v="6"/>
    <s v="NA"/>
    <s v="2022-02"/>
  </r>
  <r>
    <x v="2144"/>
    <x v="91"/>
    <x v="11"/>
    <x v="0"/>
    <x v="628"/>
    <x v="70"/>
    <s v="Series A"/>
    <x v="6"/>
    <s v="NA"/>
    <s v="2022-02"/>
  </r>
  <r>
    <x v="2145"/>
    <x v="9"/>
    <x v="10"/>
    <x v="79"/>
    <x v="628"/>
    <x v="215"/>
    <s v="Unknown"/>
    <x v="2"/>
    <n v="0.5"/>
    <s v="2022-02"/>
  </r>
  <r>
    <x v="2146"/>
    <x v="55"/>
    <x v="1"/>
    <x v="17"/>
    <x v="629"/>
    <x v="151"/>
    <s v="Acquired"/>
    <x v="22"/>
    <s v="NA"/>
    <s v="2022-02"/>
  </r>
  <r>
    <x v="2147"/>
    <x v="106"/>
    <x v="0"/>
    <x v="1"/>
    <x v="630"/>
    <x v="9"/>
    <s v="Series D"/>
    <x v="31"/>
    <n v="0.15"/>
    <s v="2022-02"/>
  </r>
  <r>
    <x v="64"/>
    <x v="28"/>
    <x v="22"/>
    <x v="125"/>
    <x v="631"/>
    <x v="55"/>
    <s v="Series B"/>
    <x v="2"/>
    <n v="0.28999999999999998"/>
    <s v="2022-02"/>
  </r>
  <r>
    <x v="41"/>
    <x v="10"/>
    <x v="4"/>
    <x v="243"/>
    <x v="632"/>
    <x v="35"/>
    <s v="Series D"/>
    <x v="2"/>
    <n v="0.12"/>
    <s v="2022-02"/>
  </r>
  <r>
    <x v="1830"/>
    <x v="3"/>
    <x v="0"/>
    <x v="14"/>
    <x v="632"/>
    <x v="233"/>
    <s v="Series D"/>
    <x v="2"/>
    <n v="0.2"/>
    <s v="2022-02"/>
  </r>
  <r>
    <x v="46"/>
    <x v="3"/>
    <x v="19"/>
    <x v="310"/>
    <x v="633"/>
    <x v="40"/>
    <s v="Post-IPO"/>
    <x v="2"/>
    <n v="0.2"/>
    <s v="2022-02"/>
  </r>
  <r>
    <x v="2148"/>
    <x v="4"/>
    <x v="27"/>
    <x v="3"/>
    <x v="634"/>
    <x v="579"/>
    <s v="Series B"/>
    <x v="2"/>
    <s v="NA"/>
    <s v="2022-02"/>
  </r>
  <r>
    <x v="2149"/>
    <x v="3"/>
    <x v="22"/>
    <x v="18"/>
    <x v="635"/>
    <x v="139"/>
    <s v="Unknown"/>
    <x v="2"/>
    <n v="0.2"/>
    <s v="2022-02"/>
  </r>
  <r>
    <x v="25"/>
    <x v="15"/>
    <x v="0"/>
    <x v="1"/>
    <x v="636"/>
    <x v="24"/>
    <s v="Series H"/>
    <x v="2"/>
    <s v="NA"/>
    <s v="2022-01"/>
  </r>
  <r>
    <x v="1850"/>
    <x v="3"/>
    <x v="6"/>
    <x v="54"/>
    <x v="636"/>
    <x v="630"/>
    <s v="Series E"/>
    <x v="2"/>
    <n v="0.33"/>
    <s v="2022-01"/>
  </r>
  <r>
    <x v="1603"/>
    <x v="74"/>
    <x v="1"/>
    <x v="95"/>
    <x v="637"/>
    <x v="596"/>
    <s v="Post-IPO"/>
    <x v="2"/>
    <s v="NA"/>
    <s v="2022-01"/>
  </r>
  <r>
    <x v="2150"/>
    <x v="20"/>
    <x v="4"/>
    <x v="3"/>
    <x v="637"/>
    <x v="185"/>
    <s v="Seed"/>
    <x v="6"/>
    <n v="1"/>
    <s v="2022-01"/>
  </r>
  <r>
    <x v="1708"/>
    <x v="6"/>
    <x v="10"/>
    <x v="3"/>
    <x v="638"/>
    <x v="115"/>
    <s v="Acquired"/>
    <x v="2"/>
    <n v="0.25"/>
    <s v="2022-01"/>
  </r>
  <r>
    <x v="328"/>
    <x v="14"/>
    <x v="0"/>
    <x v="11"/>
    <x v="639"/>
    <x v="16"/>
    <s v="Post-IPO"/>
    <x v="5"/>
    <s v="NA"/>
    <s v="2021-12"/>
  </r>
  <r>
    <x v="1582"/>
    <x v="190"/>
    <x v="19"/>
    <x v="3"/>
    <x v="640"/>
    <x v="271"/>
    <s v="Private Equity"/>
    <x v="2"/>
    <s v="NA"/>
    <s v="2021-12"/>
  </r>
  <r>
    <x v="544"/>
    <x v="3"/>
    <x v="22"/>
    <x v="61"/>
    <x v="641"/>
    <x v="318"/>
    <s v="Unknown"/>
    <x v="2"/>
    <n v="0.09"/>
    <s v="2021-12"/>
  </r>
  <r>
    <x v="2151"/>
    <x v="4"/>
    <x v="27"/>
    <x v="43"/>
    <x v="642"/>
    <x v="315"/>
    <s v="Acquired"/>
    <x v="2"/>
    <n v="0.27"/>
    <s v="2021-11"/>
  </r>
  <r>
    <x v="413"/>
    <x v="4"/>
    <x v="22"/>
    <x v="67"/>
    <x v="643"/>
    <x v="227"/>
    <s v="Post-IPO"/>
    <x v="2"/>
    <n v="0.25"/>
    <s v="2021-11"/>
  </r>
  <r>
    <x v="311"/>
    <x v="3"/>
    <x v="14"/>
    <x v="57"/>
    <x v="644"/>
    <x v="210"/>
    <s v="Unknown"/>
    <x v="2"/>
    <s v="NA"/>
    <s v="2021-10"/>
  </r>
  <r>
    <x v="2152"/>
    <x v="6"/>
    <x v="26"/>
    <x v="3"/>
    <x v="645"/>
    <x v="293"/>
    <s v="Series C"/>
    <x v="2"/>
    <n v="1"/>
    <s v="2021-10"/>
  </r>
  <r>
    <x v="894"/>
    <x v="6"/>
    <x v="4"/>
    <x v="17"/>
    <x v="646"/>
    <x v="434"/>
    <s v="Post-IPO"/>
    <x v="2"/>
    <s v="NA"/>
    <s v="2021-09"/>
  </r>
  <r>
    <x v="1859"/>
    <x v="6"/>
    <x v="0"/>
    <x v="3"/>
    <x v="647"/>
    <x v="127"/>
    <s v="Series D"/>
    <x v="2"/>
    <s v="NA"/>
    <s v="2021-09"/>
  </r>
  <r>
    <x v="2153"/>
    <x v="3"/>
    <x v="6"/>
    <x v="3"/>
    <x v="648"/>
    <x v="579"/>
    <s v="Acquired"/>
    <x v="2"/>
    <s v="NA"/>
    <s v="2021-09"/>
  </r>
  <r>
    <x v="2154"/>
    <x v="8"/>
    <x v="11"/>
    <x v="201"/>
    <x v="649"/>
    <x v="69"/>
    <s v="Series B"/>
    <x v="2"/>
    <n v="0.9"/>
    <s v="2021-09"/>
  </r>
  <r>
    <x v="2155"/>
    <x v="3"/>
    <x v="21"/>
    <x v="3"/>
    <x v="649"/>
    <x v="454"/>
    <s v="Post-IPO"/>
    <x v="2"/>
    <s v="NA"/>
    <s v="2021-09"/>
  </r>
  <r>
    <x v="2156"/>
    <x v="4"/>
    <x v="25"/>
    <x v="2"/>
    <x v="650"/>
    <x v="35"/>
    <s v="Unknown"/>
    <x v="2"/>
    <s v="NA"/>
    <s v="2021-08"/>
  </r>
  <r>
    <x v="2157"/>
    <x v="6"/>
    <x v="11"/>
    <x v="99"/>
    <x v="651"/>
    <x v="190"/>
    <s v="Series A"/>
    <x v="2"/>
    <n v="0.5"/>
    <s v="2021-08"/>
  </r>
  <r>
    <x v="377"/>
    <x v="86"/>
    <x v="6"/>
    <x v="101"/>
    <x v="652"/>
    <x v="247"/>
    <s v="Unknown"/>
    <x v="17"/>
    <s v="NA"/>
    <s v="2021-08"/>
  </r>
  <r>
    <x v="2158"/>
    <x v="20"/>
    <x v="12"/>
    <x v="54"/>
    <x v="653"/>
    <x v="354"/>
    <s v="Series A"/>
    <x v="6"/>
    <s v="NA"/>
    <s v="2021-07"/>
  </r>
  <r>
    <x v="2159"/>
    <x v="6"/>
    <x v="28"/>
    <x v="311"/>
    <x v="654"/>
    <x v="112"/>
    <s v="Unknown"/>
    <x v="2"/>
    <n v="1"/>
    <s v="2021-06"/>
  </r>
  <r>
    <x v="2085"/>
    <x v="10"/>
    <x v="1"/>
    <x v="3"/>
    <x v="655"/>
    <x v="373"/>
    <s v="Unknown"/>
    <x v="3"/>
    <s v="NA"/>
    <s v="2021-05"/>
  </r>
  <r>
    <x v="2160"/>
    <x v="6"/>
    <x v="11"/>
    <x v="74"/>
    <x v="656"/>
    <x v="270"/>
    <s v="Series C"/>
    <x v="2"/>
    <s v="NA"/>
    <s v="2021-04"/>
  </r>
  <r>
    <x v="2161"/>
    <x v="6"/>
    <x v="26"/>
    <x v="3"/>
    <x v="656"/>
    <x v="90"/>
    <s v="Series B"/>
    <x v="2"/>
    <n v="1"/>
    <s v="2021-04"/>
  </r>
  <r>
    <x v="1737"/>
    <x v="6"/>
    <x v="26"/>
    <x v="15"/>
    <x v="657"/>
    <x v="365"/>
    <s v="Series D"/>
    <x v="2"/>
    <s v="NA"/>
    <s v="2021-04"/>
  </r>
  <r>
    <x v="93"/>
    <x v="6"/>
    <x v="8"/>
    <x v="71"/>
    <x v="658"/>
    <x v="660"/>
    <s v="Post-IPO"/>
    <x v="2"/>
    <n v="7.0000000000000007E-2"/>
    <s v="2021-04"/>
  </r>
  <r>
    <x v="1764"/>
    <x v="6"/>
    <x v="26"/>
    <x v="3"/>
    <x v="659"/>
    <x v="485"/>
    <s v="Series C"/>
    <x v="2"/>
    <s v="NA"/>
    <s v="2021-03"/>
  </r>
  <r>
    <x v="2162"/>
    <x v="3"/>
    <x v="26"/>
    <x v="170"/>
    <x v="660"/>
    <x v="129"/>
    <s v="Acquired"/>
    <x v="2"/>
    <s v="NA"/>
    <s v="2021-03"/>
  </r>
  <r>
    <x v="2104"/>
    <x v="9"/>
    <x v="8"/>
    <x v="3"/>
    <x v="661"/>
    <x v="12"/>
    <s v="Series B"/>
    <x v="2"/>
    <s v="NA"/>
    <s v="2021-03"/>
  </r>
  <r>
    <x v="2163"/>
    <x v="6"/>
    <x v="27"/>
    <x v="3"/>
    <x v="662"/>
    <x v="661"/>
    <s v="Series C"/>
    <x v="2"/>
    <s v="NA"/>
    <s v="2021-03"/>
  </r>
  <r>
    <x v="2164"/>
    <x v="6"/>
    <x v="6"/>
    <x v="3"/>
    <x v="663"/>
    <x v="98"/>
    <s v="Unknown"/>
    <x v="2"/>
    <s v="NA"/>
    <s v="2021-02"/>
  </r>
  <r>
    <x v="2165"/>
    <x v="20"/>
    <x v="0"/>
    <x v="28"/>
    <x v="664"/>
    <x v="192"/>
    <s v="Unknown"/>
    <x v="6"/>
    <s v="NA"/>
    <s v="2021-02"/>
  </r>
  <r>
    <x v="1366"/>
    <x v="20"/>
    <x v="10"/>
    <x v="28"/>
    <x v="665"/>
    <x v="662"/>
    <s v="Series D"/>
    <x v="6"/>
    <n v="0.4"/>
    <s v="2021-02"/>
  </r>
  <r>
    <x v="1806"/>
    <x v="58"/>
    <x v="21"/>
    <x v="312"/>
    <x v="666"/>
    <x v="621"/>
    <s v="Series F"/>
    <x v="2"/>
    <s v="NA"/>
    <s v="2021-02"/>
  </r>
  <r>
    <x v="205"/>
    <x v="17"/>
    <x v="4"/>
    <x v="54"/>
    <x v="666"/>
    <x v="63"/>
    <s v="Series F"/>
    <x v="2"/>
    <s v="NA"/>
    <s v="2021-02"/>
  </r>
  <r>
    <x v="2166"/>
    <x v="3"/>
    <x v="15"/>
    <x v="46"/>
    <x v="667"/>
    <x v="12"/>
    <s v="Unknown"/>
    <x v="2"/>
    <n v="1"/>
    <s v="2021-02"/>
  </r>
  <r>
    <x v="2167"/>
    <x v="14"/>
    <x v="0"/>
    <x v="143"/>
    <x v="668"/>
    <x v="25"/>
    <s v="Acquired"/>
    <x v="5"/>
    <n v="0.2"/>
    <s v="2021-02"/>
  </r>
  <r>
    <x v="2168"/>
    <x v="62"/>
    <x v="21"/>
    <x v="112"/>
    <x v="669"/>
    <x v="62"/>
    <s v="Series B"/>
    <x v="7"/>
    <n v="1"/>
    <s v="2021-02"/>
  </r>
  <r>
    <x v="377"/>
    <x v="91"/>
    <x v="6"/>
    <x v="101"/>
    <x v="670"/>
    <x v="556"/>
    <s v="Unknown"/>
    <x v="6"/>
    <s v="NA"/>
    <s v="2021-01"/>
  </r>
  <r>
    <x v="2169"/>
    <x v="10"/>
    <x v="27"/>
    <x v="33"/>
    <x v="670"/>
    <x v="157"/>
    <s v="Series C"/>
    <x v="3"/>
    <s v="NA"/>
    <s v="2021-01"/>
  </r>
  <r>
    <x v="602"/>
    <x v="6"/>
    <x v="21"/>
    <x v="19"/>
    <x v="671"/>
    <x v="86"/>
    <s v="Acquired"/>
    <x v="2"/>
    <s v="NA"/>
    <s v="2021-01"/>
  </r>
  <r>
    <x v="2170"/>
    <x v="6"/>
    <x v="0"/>
    <x v="12"/>
    <x v="672"/>
    <x v="663"/>
    <s v="Acquired"/>
    <x v="2"/>
    <n v="0.15"/>
    <s v="2021-01"/>
  </r>
  <r>
    <x v="167"/>
    <x v="6"/>
    <x v="0"/>
    <x v="313"/>
    <x v="673"/>
    <x v="165"/>
    <s v="Unknown"/>
    <x v="2"/>
    <s v="NA"/>
    <s v="2021-01"/>
  </r>
  <r>
    <x v="2171"/>
    <x v="42"/>
    <x v="3"/>
    <x v="72"/>
    <x v="674"/>
    <x v="132"/>
    <s v="Unknown"/>
    <x v="16"/>
    <n v="1"/>
    <s v="2021-01"/>
  </r>
  <r>
    <x v="907"/>
    <x v="6"/>
    <x v="4"/>
    <x v="258"/>
    <x v="675"/>
    <x v="14"/>
    <s v="Post-IPO"/>
    <x v="2"/>
    <n v="0.15"/>
    <s v="2021-01"/>
  </r>
  <r>
    <x v="2172"/>
    <x v="6"/>
    <x v="1"/>
    <x v="3"/>
    <x v="676"/>
    <x v="664"/>
    <s v="Unknown"/>
    <x v="2"/>
    <n v="1"/>
    <s v="2021-01"/>
  </r>
  <r>
    <x v="2173"/>
    <x v="8"/>
    <x v="1"/>
    <x v="3"/>
    <x v="677"/>
    <x v="128"/>
    <s v="Acquired"/>
    <x v="2"/>
    <n v="1"/>
    <s v="2021-01"/>
  </r>
  <r>
    <x v="1979"/>
    <x v="91"/>
    <x v="11"/>
    <x v="101"/>
    <x v="678"/>
    <x v="183"/>
    <s v="Acquired"/>
    <x v="6"/>
    <s v="NA"/>
    <s v="2021-01"/>
  </r>
  <r>
    <x v="2174"/>
    <x v="6"/>
    <x v="25"/>
    <x v="197"/>
    <x v="679"/>
    <x v="12"/>
    <s v="Acquired"/>
    <x v="2"/>
    <s v="NA"/>
    <s v="2020-12"/>
  </r>
  <r>
    <x v="2175"/>
    <x v="38"/>
    <x v="22"/>
    <x v="17"/>
    <x v="680"/>
    <x v="191"/>
    <s v="Series D"/>
    <x v="7"/>
    <n v="0.8"/>
    <s v="2020-12"/>
  </r>
  <r>
    <x v="2176"/>
    <x v="17"/>
    <x v="27"/>
    <x v="51"/>
    <x v="680"/>
    <x v="563"/>
    <s v="Acquired"/>
    <x v="2"/>
    <s v="NA"/>
    <s v="2020-12"/>
  </r>
  <r>
    <x v="1472"/>
    <x v="48"/>
    <x v="7"/>
    <x v="190"/>
    <x v="681"/>
    <x v="665"/>
    <s v="Series F"/>
    <x v="6"/>
    <s v="NA"/>
    <s v="2020-12"/>
  </r>
  <r>
    <x v="2177"/>
    <x v="6"/>
    <x v="12"/>
    <x v="3"/>
    <x v="682"/>
    <x v="233"/>
    <s v="Series C"/>
    <x v="2"/>
    <s v="NA"/>
    <s v="2020-11"/>
  </r>
  <r>
    <x v="2178"/>
    <x v="62"/>
    <x v="1"/>
    <x v="187"/>
    <x v="683"/>
    <x v="11"/>
    <s v="Seed"/>
    <x v="2"/>
    <n v="0.25"/>
    <s v="2020-11"/>
  </r>
  <r>
    <x v="2179"/>
    <x v="3"/>
    <x v="22"/>
    <x v="3"/>
    <x v="684"/>
    <x v="217"/>
    <s v="Series B"/>
    <x v="2"/>
    <n v="0.5"/>
    <s v="2020-11"/>
  </r>
  <r>
    <x v="2180"/>
    <x v="88"/>
    <x v="5"/>
    <x v="103"/>
    <x v="685"/>
    <x v="431"/>
    <s v="Series B"/>
    <x v="2"/>
    <n v="1"/>
    <s v="2020-11"/>
  </r>
  <r>
    <x v="2181"/>
    <x v="6"/>
    <x v="5"/>
    <x v="160"/>
    <x v="685"/>
    <x v="12"/>
    <s v="Unknown"/>
    <x v="2"/>
    <n v="0.4"/>
    <s v="2020-11"/>
  </r>
  <r>
    <x v="2182"/>
    <x v="4"/>
    <x v="27"/>
    <x v="3"/>
    <x v="685"/>
    <x v="8"/>
    <s v="Series C"/>
    <x v="2"/>
    <s v="NA"/>
    <s v="2020-11"/>
  </r>
  <r>
    <x v="2183"/>
    <x v="6"/>
    <x v="10"/>
    <x v="3"/>
    <x v="685"/>
    <x v="539"/>
    <s v="Series C"/>
    <x v="2"/>
    <s v="NA"/>
    <s v="2020-11"/>
  </r>
  <r>
    <x v="2184"/>
    <x v="16"/>
    <x v="21"/>
    <x v="2"/>
    <x v="686"/>
    <x v="666"/>
    <s v="Unknown"/>
    <x v="2"/>
    <n v="0.5"/>
    <s v="2020-11"/>
  </r>
  <r>
    <x v="2185"/>
    <x v="4"/>
    <x v="25"/>
    <x v="3"/>
    <x v="687"/>
    <x v="190"/>
    <s v="Series A"/>
    <x v="2"/>
    <n v="1"/>
    <s v="2020-11"/>
  </r>
  <r>
    <x v="2186"/>
    <x v="6"/>
    <x v="21"/>
    <x v="3"/>
    <x v="688"/>
    <x v="667"/>
    <s v="Unknown"/>
    <x v="2"/>
    <n v="0.5"/>
    <s v="2020-11"/>
  </r>
  <r>
    <x v="1730"/>
    <x v="3"/>
    <x v="18"/>
    <x v="2"/>
    <x v="689"/>
    <x v="92"/>
    <s v="Post-IPO"/>
    <x v="2"/>
    <s v="NA"/>
    <s v="2020-11"/>
  </r>
  <r>
    <x v="2187"/>
    <x v="16"/>
    <x v="5"/>
    <x v="147"/>
    <x v="690"/>
    <x v="668"/>
    <s v="Series A"/>
    <x v="2"/>
    <s v="NA"/>
    <s v="2020-10"/>
  </r>
  <r>
    <x v="2188"/>
    <x v="3"/>
    <x v="22"/>
    <x v="33"/>
    <x v="690"/>
    <x v="543"/>
    <s v="Series C"/>
    <x v="2"/>
    <n v="0.08"/>
    <s v="2020-10"/>
  </r>
  <r>
    <x v="2189"/>
    <x v="6"/>
    <x v="0"/>
    <x v="3"/>
    <x v="691"/>
    <x v="8"/>
    <s v="Series B"/>
    <x v="2"/>
    <s v="NA"/>
    <s v="2020-10"/>
  </r>
  <r>
    <x v="2190"/>
    <x v="6"/>
    <x v="11"/>
    <x v="114"/>
    <x v="692"/>
    <x v="115"/>
    <s v="Series A"/>
    <x v="2"/>
    <s v="NA"/>
    <s v="2020-10"/>
  </r>
  <r>
    <x v="2191"/>
    <x v="9"/>
    <x v="26"/>
    <x v="3"/>
    <x v="693"/>
    <x v="45"/>
    <s v="Private Equity"/>
    <x v="2"/>
    <n v="1"/>
    <s v="2020-10"/>
  </r>
  <r>
    <x v="1541"/>
    <x v="71"/>
    <x v="0"/>
    <x v="3"/>
    <x v="694"/>
    <x v="583"/>
    <s v="Series J"/>
    <x v="26"/>
    <s v="NA"/>
    <s v="2020-10"/>
  </r>
  <r>
    <x v="2192"/>
    <x v="14"/>
    <x v="7"/>
    <x v="58"/>
    <x v="695"/>
    <x v="544"/>
    <s v="Series E"/>
    <x v="5"/>
    <n v="0.17"/>
    <s v="2020-10"/>
  </r>
  <r>
    <x v="2193"/>
    <x v="19"/>
    <x v="3"/>
    <x v="38"/>
    <x v="696"/>
    <x v="151"/>
    <s v="Acquired"/>
    <x v="6"/>
    <s v="NA"/>
    <s v="2020-10"/>
  </r>
  <r>
    <x v="2194"/>
    <x v="4"/>
    <x v="8"/>
    <x v="3"/>
    <x v="697"/>
    <x v="98"/>
    <s v="Acquired"/>
    <x v="2"/>
    <s v="NA"/>
    <s v="2020-10"/>
  </r>
  <r>
    <x v="1915"/>
    <x v="6"/>
    <x v="5"/>
    <x v="170"/>
    <x v="698"/>
    <x v="210"/>
    <s v="Series D"/>
    <x v="2"/>
    <n v="0.06"/>
    <s v="2020-09"/>
  </r>
  <r>
    <x v="2195"/>
    <x v="9"/>
    <x v="26"/>
    <x v="3"/>
    <x v="698"/>
    <x v="669"/>
    <s v="Series B"/>
    <x v="2"/>
    <s v="NA"/>
    <s v="2020-09"/>
  </r>
  <r>
    <x v="2196"/>
    <x v="10"/>
    <x v="10"/>
    <x v="3"/>
    <x v="699"/>
    <x v="670"/>
    <s v="Private Equity"/>
    <x v="3"/>
    <s v="NA"/>
    <s v="2020-09"/>
  </r>
  <r>
    <x v="1266"/>
    <x v="100"/>
    <x v="22"/>
    <x v="3"/>
    <x v="700"/>
    <x v="671"/>
    <s v="Series H"/>
    <x v="17"/>
    <s v="NA"/>
    <s v="2020-09"/>
  </r>
  <r>
    <x v="2197"/>
    <x v="3"/>
    <x v="3"/>
    <x v="3"/>
    <x v="701"/>
    <x v="143"/>
    <s v="Series A"/>
    <x v="2"/>
    <n v="0.16"/>
    <s v="2020-09"/>
  </r>
  <r>
    <x v="2198"/>
    <x v="137"/>
    <x v="27"/>
    <x v="149"/>
    <x v="702"/>
    <x v="672"/>
    <s v="Series A"/>
    <x v="2"/>
    <s v="0.9500000000000001"/>
    <s v="2020-09"/>
  </r>
  <r>
    <x v="2199"/>
    <x v="10"/>
    <x v="26"/>
    <x v="33"/>
    <x v="702"/>
    <x v="673"/>
    <s v="Acquired"/>
    <x v="3"/>
    <s v="NA"/>
    <s v="2020-09"/>
  </r>
  <r>
    <x v="2200"/>
    <x v="6"/>
    <x v="22"/>
    <x v="3"/>
    <x v="702"/>
    <x v="674"/>
    <s v="Series A"/>
    <x v="2"/>
    <n v="1"/>
    <s v="2020-09"/>
  </r>
  <r>
    <x v="759"/>
    <x v="6"/>
    <x v="10"/>
    <x v="2"/>
    <x v="703"/>
    <x v="8"/>
    <s v="Acquired"/>
    <x v="2"/>
    <s v="0.054000000000000006"/>
    <s v="2020-09"/>
  </r>
  <r>
    <x v="1726"/>
    <x v="6"/>
    <x v="10"/>
    <x v="3"/>
    <x v="704"/>
    <x v="485"/>
    <s v="Series B"/>
    <x v="2"/>
    <n v="0.1"/>
    <s v="2020-09"/>
  </r>
  <r>
    <x v="2201"/>
    <x v="6"/>
    <x v="11"/>
    <x v="3"/>
    <x v="705"/>
    <x v="675"/>
    <s v="Series B"/>
    <x v="2"/>
    <s v="NA"/>
    <s v="2020-09"/>
  </r>
  <r>
    <x v="2089"/>
    <x v="11"/>
    <x v="24"/>
    <x v="3"/>
    <x v="706"/>
    <x v="12"/>
    <s v="Post-IPO"/>
    <x v="2"/>
    <s v="NA"/>
    <s v="2020-09"/>
  </r>
  <r>
    <x v="2202"/>
    <x v="187"/>
    <x v="21"/>
    <x v="3"/>
    <x v="706"/>
    <x v="43"/>
    <s v="Series A"/>
    <x v="54"/>
    <n v="1"/>
    <s v="2020-09"/>
  </r>
  <r>
    <x v="2203"/>
    <x v="4"/>
    <x v="26"/>
    <x v="38"/>
    <x v="707"/>
    <x v="676"/>
    <s v="Acquired"/>
    <x v="2"/>
    <s v="NA"/>
    <s v="2020-09"/>
  </r>
  <r>
    <x v="2204"/>
    <x v="42"/>
    <x v="1"/>
    <x v="57"/>
    <x v="707"/>
    <x v="227"/>
    <s v="Unknown"/>
    <x v="16"/>
    <n v="0.11"/>
    <s v="2020-09"/>
  </r>
  <r>
    <x v="2205"/>
    <x v="19"/>
    <x v="7"/>
    <x v="62"/>
    <x v="708"/>
    <x v="533"/>
    <s v="Post-IPO"/>
    <x v="6"/>
    <n v="0.1"/>
    <s v="2020-08"/>
  </r>
  <r>
    <x v="225"/>
    <x v="6"/>
    <x v="9"/>
    <x v="4"/>
    <x v="709"/>
    <x v="677"/>
    <s v="Post-IPO"/>
    <x v="2"/>
    <s v="0.018500000000000003"/>
    <s v="2020-08"/>
  </r>
  <r>
    <x v="2206"/>
    <x v="17"/>
    <x v="15"/>
    <x v="3"/>
    <x v="709"/>
    <x v="12"/>
    <s v="Acquired"/>
    <x v="2"/>
    <s v="NA"/>
    <s v="2020-08"/>
  </r>
  <r>
    <x v="2207"/>
    <x v="138"/>
    <x v="8"/>
    <x v="2"/>
    <x v="710"/>
    <x v="518"/>
    <s v="Post-IPO"/>
    <x v="20"/>
    <s v="NA"/>
    <s v="2020-08"/>
  </r>
  <r>
    <x v="2208"/>
    <x v="9"/>
    <x v="26"/>
    <x v="3"/>
    <x v="710"/>
    <x v="678"/>
    <s v="Acquired"/>
    <x v="2"/>
    <s v="NA"/>
    <s v="2020-08"/>
  </r>
  <r>
    <x v="2209"/>
    <x v="6"/>
    <x v="27"/>
    <x v="3"/>
    <x v="711"/>
    <x v="679"/>
    <s v="Series C"/>
    <x v="2"/>
    <s v="NA"/>
    <s v="2020-08"/>
  </r>
  <r>
    <x v="2210"/>
    <x v="10"/>
    <x v="5"/>
    <x v="114"/>
    <x v="712"/>
    <x v="680"/>
    <s v="Seed"/>
    <x v="3"/>
    <n v="0.8"/>
    <s v="2020-08"/>
  </r>
  <r>
    <x v="2211"/>
    <x v="14"/>
    <x v="7"/>
    <x v="3"/>
    <x v="712"/>
    <x v="681"/>
    <s v="Seed"/>
    <x v="5"/>
    <s v="NA"/>
    <s v="2020-08"/>
  </r>
  <r>
    <x v="2212"/>
    <x v="6"/>
    <x v="8"/>
    <x v="3"/>
    <x v="713"/>
    <x v="121"/>
    <s v="Series A"/>
    <x v="2"/>
    <n v="1"/>
    <s v="2020-08"/>
  </r>
  <r>
    <x v="2164"/>
    <x v="100"/>
    <x v="6"/>
    <x v="3"/>
    <x v="714"/>
    <x v="98"/>
    <s v="Unknown"/>
    <x v="17"/>
    <s v="NA"/>
    <s v="2020-08"/>
  </r>
  <r>
    <x v="883"/>
    <x v="21"/>
    <x v="21"/>
    <x v="2"/>
    <x v="715"/>
    <x v="682"/>
    <s v="Post-IPO"/>
    <x v="7"/>
    <s v="NA"/>
    <s v="2020-08"/>
  </r>
  <r>
    <x v="311"/>
    <x v="3"/>
    <x v="14"/>
    <x v="3"/>
    <x v="715"/>
    <x v="683"/>
    <s v="Series F"/>
    <x v="2"/>
    <s v="NA"/>
    <s v="2020-08"/>
  </r>
  <r>
    <x v="2213"/>
    <x v="9"/>
    <x v="10"/>
    <x v="3"/>
    <x v="716"/>
    <x v="431"/>
    <s v="Unknown"/>
    <x v="2"/>
    <s v="NA"/>
    <s v="2020-08"/>
  </r>
  <r>
    <x v="168"/>
    <x v="6"/>
    <x v="6"/>
    <x v="38"/>
    <x v="717"/>
    <x v="125"/>
    <s v="Unknown"/>
    <x v="2"/>
    <n v="0.25"/>
    <s v="2020-08"/>
  </r>
  <r>
    <x v="2214"/>
    <x v="42"/>
    <x v="0"/>
    <x v="33"/>
    <x v="718"/>
    <x v="684"/>
    <s v="Seed"/>
    <x v="16"/>
    <n v="1"/>
    <s v="2020-08"/>
  </r>
  <r>
    <x v="1850"/>
    <x v="3"/>
    <x v="21"/>
    <x v="0"/>
    <x v="719"/>
    <x v="685"/>
    <s v="Series D"/>
    <x v="2"/>
    <n v="0.38"/>
    <s v="2020-08"/>
  </r>
  <r>
    <x v="2215"/>
    <x v="226"/>
    <x v="10"/>
    <x v="3"/>
    <x v="719"/>
    <x v="686"/>
    <s v="Seed"/>
    <x v="59"/>
    <s v="NA"/>
    <s v="2020-08"/>
  </r>
  <r>
    <x v="2216"/>
    <x v="62"/>
    <x v="0"/>
    <x v="133"/>
    <x v="720"/>
    <x v="373"/>
    <s v="Series B"/>
    <x v="7"/>
    <n v="0.5"/>
    <s v="2020-08"/>
  </r>
  <r>
    <x v="2217"/>
    <x v="23"/>
    <x v="9"/>
    <x v="65"/>
    <x v="721"/>
    <x v="132"/>
    <s v="Unknown"/>
    <x v="2"/>
    <s v="NA"/>
    <s v="2020-08"/>
  </r>
  <r>
    <x v="1640"/>
    <x v="46"/>
    <x v="7"/>
    <x v="314"/>
    <x v="722"/>
    <x v="12"/>
    <s v="Acquired"/>
    <x v="18"/>
    <n v="0.25"/>
    <s v="2020-07"/>
  </r>
  <r>
    <x v="2218"/>
    <x v="6"/>
    <x v="21"/>
    <x v="143"/>
    <x v="722"/>
    <x v="687"/>
    <s v="Acquired"/>
    <x v="2"/>
    <n v="1"/>
    <s v="2020-07"/>
  </r>
  <r>
    <x v="2219"/>
    <x v="3"/>
    <x v="1"/>
    <x v="3"/>
    <x v="722"/>
    <x v="272"/>
    <s v="Acquired"/>
    <x v="2"/>
    <s v="NA"/>
    <s v="2020-07"/>
  </r>
  <r>
    <x v="2220"/>
    <x v="6"/>
    <x v="0"/>
    <x v="3"/>
    <x v="723"/>
    <x v="142"/>
    <s v="Unknown"/>
    <x v="2"/>
    <s v="NA"/>
    <s v="2020-07"/>
  </r>
  <r>
    <x v="220"/>
    <x v="9"/>
    <x v="28"/>
    <x v="12"/>
    <x v="724"/>
    <x v="688"/>
    <s v="Unknown"/>
    <x v="2"/>
    <n v="0.09"/>
    <s v="2020-07"/>
  </r>
  <r>
    <x v="228"/>
    <x v="20"/>
    <x v="0"/>
    <x v="62"/>
    <x v="725"/>
    <x v="112"/>
    <s v="Series I"/>
    <x v="6"/>
    <n v="0.05"/>
    <s v="2020-07"/>
  </r>
  <r>
    <x v="2221"/>
    <x v="14"/>
    <x v="1"/>
    <x v="133"/>
    <x v="725"/>
    <x v="689"/>
    <s v="Series B"/>
    <x v="5"/>
    <n v="0.72"/>
    <s v="2020-07"/>
  </r>
  <r>
    <x v="2222"/>
    <x v="10"/>
    <x v="12"/>
    <x v="3"/>
    <x v="725"/>
    <x v="690"/>
    <s v="Unknown"/>
    <x v="3"/>
    <s v="NA"/>
    <s v="2020-07"/>
  </r>
  <r>
    <x v="80"/>
    <x v="6"/>
    <x v="12"/>
    <x v="253"/>
    <x v="726"/>
    <x v="691"/>
    <s v="Series D"/>
    <x v="2"/>
    <n v="0.12"/>
    <s v="2020-07"/>
  </r>
  <r>
    <x v="2223"/>
    <x v="71"/>
    <x v="21"/>
    <x v="3"/>
    <x v="726"/>
    <x v="168"/>
    <s v="Series B"/>
    <x v="26"/>
    <n v="1"/>
    <s v="2020-07"/>
  </r>
  <r>
    <x v="458"/>
    <x v="6"/>
    <x v="15"/>
    <x v="238"/>
    <x v="727"/>
    <x v="281"/>
    <s v="Acquired"/>
    <x v="2"/>
    <n v="0.06"/>
    <s v="2020-07"/>
  </r>
  <r>
    <x v="2224"/>
    <x v="4"/>
    <x v="1"/>
    <x v="57"/>
    <x v="728"/>
    <x v="128"/>
    <s v="Series B"/>
    <x v="2"/>
    <n v="0.49"/>
    <s v="2020-07"/>
  </r>
  <r>
    <x v="2225"/>
    <x v="20"/>
    <x v="19"/>
    <x v="17"/>
    <x v="729"/>
    <x v="692"/>
    <s v="Series D"/>
    <x v="6"/>
    <s v="NA"/>
    <s v="2020-07"/>
  </r>
  <r>
    <x v="2226"/>
    <x v="62"/>
    <x v="7"/>
    <x v="3"/>
    <x v="730"/>
    <x v="693"/>
    <s v="Series A"/>
    <x v="7"/>
    <s v="NA"/>
    <s v="2020-07"/>
  </r>
  <r>
    <x v="2227"/>
    <x v="6"/>
    <x v="3"/>
    <x v="14"/>
    <x v="731"/>
    <x v="694"/>
    <s v="Series D"/>
    <x v="2"/>
    <n v="0.15"/>
    <s v="2020-07"/>
  </r>
  <r>
    <x v="2228"/>
    <x v="110"/>
    <x v="7"/>
    <x v="11"/>
    <x v="732"/>
    <x v="695"/>
    <s v="Acquired"/>
    <x v="3"/>
    <n v="0.2"/>
    <s v="2020-07"/>
  </r>
  <r>
    <x v="372"/>
    <x v="72"/>
    <x v="26"/>
    <x v="3"/>
    <x v="732"/>
    <x v="696"/>
    <s v="Series F"/>
    <x v="2"/>
    <s v="NA"/>
    <s v="2020-07"/>
  </r>
  <r>
    <x v="2229"/>
    <x v="6"/>
    <x v="6"/>
    <x v="98"/>
    <x v="733"/>
    <x v="13"/>
    <s v="Post-IPO"/>
    <x v="2"/>
    <s v="NA"/>
    <s v="2020-07"/>
  </r>
  <r>
    <x v="483"/>
    <x v="91"/>
    <x v="24"/>
    <x v="24"/>
    <x v="734"/>
    <x v="293"/>
    <s v="Series C"/>
    <x v="6"/>
    <s v="NA"/>
    <s v="2020-07"/>
  </r>
  <r>
    <x v="2230"/>
    <x v="42"/>
    <x v="21"/>
    <x v="1"/>
    <x v="735"/>
    <x v="243"/>
    <s v="Series D"/>
    <x v="16"/>
    <n v="0.12"/>
    <s v="2020-07"/>
  </r>
  <r>
    <x v="2231"/>
    <x v="91"/>
    <x v="1"/>
    <x v="5"/>
    <x v="735"/>
    <x v="697"/>
    <s v="Acquired"/>
    <x v="6"/>
    <s v="NA"/>
    <s v="2020-07"/>
  </r>
  <r>
    <x v="15"/>
    <x v="6"/>
    <x v="1"/>
    <x v="97"/>
    <x v="736"/>
    <x v="15"/>
    <s v="Post-IPO"/>
    <x v="2"/>
    <s v="NA"/>
    <s v="2020-07"/>
  </r>
  <r>
    <x v="2232"/>
    <x v="3"/>
    <x v="1"/>
    <x v="3"/>
    <x v="736"/>
    <x v="63"/>
    <s v="Post-IPO"/>
    <x v="2"/>
    <s v="NA"/>
    <s v="2020-07"/>
  </r>
  <r>
    <x v="1774"/>
    <x v="3"/>
    <x v="22"/>
    <x v="65"/>
    <x v="737"/>
    <x v="4"/>
    <s v="Series C"/>
    <x v="2"/>
    <s v="NA"/>
    <s v="2020-07"/>
  </r>
  <r>
    <x v="2233"/>
    <x v="6"/>
    <x v="3"/>
    <x v="160"/>
    <x v="737"/>
    <x v="21"/>
    <s v="Series D"/>
    <x v="2"/>
    <s v="NA"/>
    <s v="2020-07"/>
  </r>
  <r>
    <x v="2234"/>
    <x v="6"/>
    <x v="26"/>
    <x v="35"/>
    <x v="737"/>
    <x v="249"/>
    <s v="Series C"/>
    <x v="2"/>
    <s v="NA"/>
    <s v="2020-07"/>
  </r>
  <r>
    <x v="2235"/>
    <x v="11"/>
    <x v="6"/>
    <x v="187"/>
    <x v="737"/>
    <x v="698"/>
    <s v="Series C"/>
    <x v="2"/>
    <s v="NA"/>
    <s v="2020-07"/>
  </r>
  <r>
    <x v="2236"/>
    <x v="58"/>
    <x v="3"/>
    <x v="48"/>
    <x v="738"/>
    <x v="699"/>
    <s v="Series C"/>
    <x v="2"/>
    <n v="0.05"/>
    <s v="2020-06"/>
  </r>
  <r>
    <x v="2237"/>
    <x v="6"/>
    <x v="15"/>
    <x v="3"/>
    <x v="738"/>
    <x v="485"/>
    <s v="Series D"/>
    <x v="2"/>
    <s v="NA"/>
    <s v="2020-06"/>
  </r>
  <r>
    <x v="2159"/>
    <x v="6"/>
    <x v="28"/>
    <x v="9"/>
    <x v="739"/>
    <x v="22"/>
    <s v="Series E"/>
    <x v="2"/>
    <n v="7.0000000000000007E-2"/>
    <s v="2020-06"/>
  </r>
  <r>
    <x v="1366"/>
    <x v="20"/>
    <x v="10"/>
    <x v="80"/>
    <x v="739"/>
    <x v="662"/>
    <s v="Series D"/>
    <x v="6"/>
    <n v="0.22"/>
    <s v="2020-06"/>
  </r>
  <r>
    <x v="1639"/>
    <x v="68"/>
    <x v="10"/>
    <x v="1"/>
    <x v="739"/>
    <x v="166"/>
    <s v="Unknown"/>
    <x v="5"/>
    <s v="NA"/>
    <s v="2020-06"/>
  </r>
  <r>
    <x v="2186"/>
    <x v="6"/>
    <x v="21"/>
    <x v="163"/>
    <x v="739"/>
    <x v="667"/>
    <s v="Unknown"/>
    <x v="2"/>
    <s v="NA"/>
    <s v="2020-06"/>
  </r>
  <r>
    <x v="93"/>
    <x v="8"/>
    <x v="8"/>
    <x v="33"/>
    <x v="739"/>
    <x v="660"/>
    <s v="Post-IPO"/>
    <x v="2"/>
    <s v="NA"/>
    <s v="2020-06"/>
  </r>
  <r>
    <x v="2238"/>
    <x v="227"/>
    <x v="21"/>
    <x v="3"/>
    <x v="740"/>
    <x v="144"/>
    <s v="Unknown"/>
    <x v="2"/>
    <n v="1"/>
    <s v="2020-06"/>
  </r>
  <r>
    <x v="2239"/>
    <x v="6"/>
    <x v="10"/>
    <x v="3"/>
    <x v="741"/>
    <x v="63"/>
    <s v="Series C"/>
    <x v="2"/>
    <s v="NA"/>
    <s v="2020-06"/>
  </r>
  <r>
    <x v="44"/>
    <x v="3"/>
    <x v="18"/>
    <x v="3"/>
    <x v="742"/>
    <x v="250"/>
    <s v="Series F"/>
    <x v="2"/>
    <s v="NA"/>
    <s v="2020-06"/>
  </r>
  <r>
    <x v="1150"/>
    <x v="16"/>
    <x v="3"/>
    <x v="315"/>
    <x v="743"/>
    <x v="12"/>
    <s v="Post-IPO"/>
    <x v="2"/>
    <n v="0.06"/>
    <s v="2020-06"/>
  </r>
  <r>
    <x v="394"/>
    <x v="3"/>
    <x v="6"/>
    <x v="316"/>
    <x v="743"/>
    <x v="254"/>
    <s v="Post-IPO"/>
    <x v="2"/>
    <n v="0.12"/>
    <s v="2020-06"/>
  </r>
  <r>
    <x v="1472"/>
    <x v="73"/>
    <x v="7"/>
    <x v="3"/>
    <x v="743"/>
    <x v="665"/>
    <s v="Series F"/>
    <x v="2"/>
    <s v="NA"/>
    <s v="2020-06"/>
  </r>
  <r>
    <x v="2240"/>
    <x v="71"/>
    <x v="10"/>
    <x v="317"/>
    <x v="744"/>
    <x v="700"/>
    <s v="Series F"/>
    <x v="26"/>
    <n v="0.09"/>
    <s v="2020-06"/>
  </r>
  <r>
    <x v="2241"/>
    <x v="16"/>
    <x v="1"/>
    <x v="58"/>
    <x v="744"/>
    <x v="327"/>
    <s v="Series C"/>
    <x v="2"/>
    <n v="0.9"/>
    <s v="2020-06"/>
  </r>
  <r>
    <x v="2242"/>
    <x v="6"/>
    <x v="14"/>
    <x v="180"/>
    <x v="744"/>
    <x v="11"/>
    <s v="Seed"/>
    <x v="2"/>
    <n v="1"/>
    <s v="2020-06"/>
  </r>
  <r>
    <x v="2243"/>
    <x v="6"/>
    <x v="1"/>
    <x v="318"/>
    <x v="745"/>
    <x v="143"/>
    <s v="Post-IPO"/>
    <x v="2"/>
    <n v="7.0000000000000007E-2"/>
    <s v="2020-06"/>
  </r>
  <r>
    <x v="2244"/>
    <x v="10"/>
    <x v="22"/>
    <x v="28"/>
    <x v="746"/>
    <x v="671"/>
    <s v="Series H"/>
    <x v="3"/>
    <s v="NA"/>
    <s v="2020-06"/>
  </r>
  <r>
    <x v="2245"/>
    <x v="3"/>
    <x v="26"/>
    <x v="8"/>
    <x v="747"/>
    <x v="10"/>
    <s v="Series B"/>
    <x v="2"/>
    <s v="NA"/>
    <s v="2020-06"/>
  </r>
  <r>
    <x v="2246"/>
    <x v="20"/>
    <x v="1"/>
    <x v="5"/>
    <x v="748"/>
    <x v="701"/>
    <s v="Private Equity"/>
    <x v="6"/>
    <n v="0.25"/>
    <s v="2020-06"/>
  </r>
  <r>
    <x v="2247"/>
    <x v="48"/>
    <x v="1"/>
    <x v="63"/>
    <x v="749"/>
    <x v="505"/>
    <s v="Series G"/>
    <x v="6"/>
    <n v="0.5"/>
    <s v="2020-06"/>
  </r>
  <r>
    <x v="769"/>
    <x v="42"/>
    <x v="10"/>
    <x v="146"/>
    <x v="749"/>
    <x v="218"/>
    <s v="Series I"/>
    <x v="16"/>
    <n v="0.05"/>
    <s v="2020-06"/>
  </r>
  <r>
    <x v="428"/>
    <x v="6"/>
    <x v="27"/>
    <x v="43"/>
    <x v="749"/>
    <x v="252"/>
    <s v="Post-IPO"/>
    <x v="2"/>
    <n v="0.01"/>
    <s v="2020-06"/>
  </r>
  <r>
    <x v="2248"/>
    <x v="155"/>
    <x v="5"/>
    <x v="150"/>
    <x v="749"/>
    <x v="86"/>
    <s v="Series C"/>
    <x v="2"/>
    <n v="0.25"/>
    <s v="2020-06"/>
  </r>
  <r>
    <x v="2249"/>
    <x v="11"/>
    <x v="27"/>
    <x v="3"/>
    <x v="750"/>
    <x v="4"/>
    <s v="Acquired"/>
    <x v="2"/>
    <n v="0.11"/>
    <s v="2020-06"/>
  </r>
  <r>
    <x v="2250"/>
    <x v="6"/>
    <x v="21"/>
    <x v="3"/>
    <x v="750"/>
    <x v="121"/>
    <s v="Series B"/>
    <x v="2"/>
    <n v="1"/>
    <s v="2020-06"/>
  </r>
  <r>
    <x v="764"/>
    <x v="46"/>
    <x v="10"/>
    <x v="109"/>
    <x v="751"/>
    <x v="615"/>
    <s v="Post-IPO"/>
    <x v="18"/>
    <n v="0.25"/>
    <s v="2020-06"/>
  </r>
  <r>
    <x v="2251"/>
    <x v="6"/>
    <x v="1"/>
    <x v="98"/>
    <x v="751"/>
    <x v="86"/>
    <s v="Series B"/>
    <x v="2"/>
    <n v="0.48"/>
    <s v="2020-06"/>
  </r>
  <r>
    <x v="2252"/>
    <x v="228"/>
    <x v="8"/>
    <x v="17"/>
    <x v="752"/>
    <x v="12"/>
    <s v="Unknown"/>
    <x v="60"/>
    <n v="0.1"/>
    <s v="2020-06"/>
  </r>
  <r>
    <x v="287"/>
    <x v="3"/>
    <x v="21"/>
    <x v="319"/>
    <x v="752"/>
    <x v="78"/>
    <s v="Seed"/>
    <x v="2"/>
    <n v="0.27"/>
    <s v="2020-06"/>
  </r>
  <r>
    <x v="2253"/>
    <x v="17"/>
    <x v="26"/>
    <x v="100"/>
    <x v="753"/>
    <x v="12"/>
    <s v="Unknown"/>
    <x v="2"/>
    <n v="0.18"/>
    <s v="2020-06"/>
  </r>
  <r>
    <x v="2254"/>
    <x v="62"/>
    <x v="18"/>
    <x v="126"/>
    <x v="754"/>
    <x v="702"/>
    <s v="Unknown"/>
    <x v="7"/>
    <s v="NA"/>
    <s v="2020-06"/>
  </r>
  <r>
    <x v="2255"/>
    <x v="6"/>
    <x v="26"/>
    <x v="164"/>
    <x v="755"/>
    <x v="446"/>
    <s v="Series D"/>
    <x v="2"/>
    <n v="0.08"/>
    <s v="2020-06"/>
  </r>
  <r>
    <x v="1100"/>
    <x v="6"/>
    <x v="1"/>
    <x v="160"/>
    <x v="755"/>
    <x v="274"/>
    <s v="Series C"/>
    <x v="2"/>
    <n v="0.14000000000000001"/>
    <s v="2020-06"/>
  </r>
  <r>
    <x v="2256"/>
    <x v="6"/>
    <x v="25"/>
    <x v="31"/>
    <x v="756"/>
    <x v="80"/>
    <s v="Series C"/>
    <x v="2"/>
    <n v="0.4"/>
    <s v="2020-06"/>
  </r>
  <r>
    <x v="2257"/>
    <x v="9"/>
    <x v="14"/>
    <x v="178"/>
    <x v="756"/>
    <x v="550"/>
    <s v="Series A"/>
    <x v="2"/>
    <n v="0.14000000000000001"/>
    <s v="2020-06"/>
  </r>
  <r>
    <x v="2258"/>
    <x v="6"/>
    <x v="10"/>
    <x v="3"/>
    <x v="756"/>
    <x v="61"/>
    <s v="Series C"/>
    <x v="2"/>
    <s v="NA"/>
    <s v="2020-06"/>
  </r>
  <r>
    <x v="2259"/>
    <x v="10"/>
    <x v="1"/>
    <x v="17"/>
    <x v="757"/>
    <x v="408"/>
    <s v="Series F"/>
    <x v="3"/>
    <n v="0.08"/>
    <s v="2020-06"/>
  </r>
  <r>
    <x v="1722"/>
    <x v="6"/>
    <x v="20"/>
    <x v="43"/>
    <x v="757"/>
    <x v="5"/>
    <s v="Unknown"/>
    <x v="2"/>
    <s v="NA"/>
    <s v="2020-06"/>
  </r>
  <r>
    <x v="2260"/>
    <x v="58"/>
    <x v="10"/>
    <x v="5"/>
    <x v="757"/>
    <x v="4"/>
    <s v="Series D"/>
    <x v="2"/>
    <n v="0.21"/>
    <s v="2020-06"/>
  </r>
  <r>
    <x v="2261"/>
    <x v="6"/>
    <x v="1"/>
    <x v="57"/>
    <x v="757"/>
    <x v="233"/>
    <s v="Series F"/>
    <x v="2"/>
    <n v="0.14000000000000001"/>
    <s v="2020-06"/>
  </r>
  <r>
    <x v="2262"/>
    <x v="14"/>
    <x v="10"/>
    <x v="1"/>
    <x v="758"/>
    <x v="67"/>
    <s v="Acquired"/>
    <x v="5"/>
    <s v="NA"/>
    <s v="2020-06"/>
  </r>
  <r>
    <x v="33"/>
    <x v="31"/>
    <x v="10"/>
    <x v="5"/>
    <x v="758"/>
    <x v="703"/>
    <s v="Private Equity"/>
    <x v="2"/>
    <n v="0.02"/>
    <s v="2020-06"/>
  </r>
  <r>
    <x v="1657"/>
    <x v="6"/>
    <x v="1"/>
    <x v="53"/>
    <x v="758"/>
    <x v="276"/>
    <s v="Series C"/>
    <x v="2"/>
    <n v="0.15"/>
    <s v="2020-06"/>
  </r>
  <r>
    <x v="2263"/>
    <x v="90"/>
    <x v="27"/>
    <x v="35"/>
    <x v="758"/>
    <x v="492"/>
    <s v="Series B"/>
    <x v="2"/>
    <n v="0.16"/>
    <s v="2020-06"/>
  </r>
  <r>
    <x v="2264"/>
    <x v="3"/>
    <x v="6"/>
    <x v="35"/>
    <x v="758"/>
    <x v="121"/>
    <s v="Acquired"/>
    <x v="2"/>
    <s v="NA"/>
    <s v="2020-06"/>
  </r>
  <r>
    <x v="254"/>
    <x v="6"/>
    <x v="21"/>
    <x v="320"/>
    <x v="759"/>
    <x v="34"/>
    <s v="Post-IPO"/>
    <x v="2"/>
    <n v="0.18"/>
    <s v="2020-06"/>
  </r>
  <r>
    <x v="2205"/>
    <x v="48"/>
    <x v="7"/>
    <x v="62"/>
    <x v="759"/>
    <x v="533"/>
    <s v="Post-IPO"/>
    <x v="6"/>
    <n v="0.1"/>
    <s v="2020-06"/>
  </r>
  <r>
    <x v="2265"/>
    <x v="8"/>
    <x v="22"/>
    <x v="56"/>
    <x v="759"/>
    <x v="70"/>
    <s v="Series C"/>
    <x v="2"/>
    <n v="0.22"/>
    <s v="2020-06"/>
  </r>
  <r>
    <x v="243"/>
    <x v="6"/>
    <x v="1"/>
    <x v="40"/>
    <x v="760"/>
    <x v="704"/>
    <s v="Series C"/>
    <x v="2"/>
    <n v="0.15"/>
    <s v="2020-05"/>
  </r>
  <r>
    <x v="2266"/>
    <x v="4"/>
    <x v="22"/>
    <x v="210"/>
    <x v="760"/>
    <x v="354"/>
    <s v="Series A"/>
    <x v="2"/>
    <n v="0.6"/>
    <s v="2020-05"/>
  </r>
  <r>
    <x v="2267"/>
    <x v="91"/>
    <x v="6"/>
    <x v="172"/>
    <x v="761"/>
    <x v="262"/>
    <s v="Unknown"/>
    <x v="6"/>
    <n v="0.18"/>
    <s v="2020-05"/>
  </r>
  <r>
    <x v="783"/>
    <x v="9"/>
    <x v="10"/>
    <x v="321"/>
    <x v="761"/>
    <x v="397"/>
    <s v="Post-IPO"/>
    <x v="2"/>
    <n v="0.3"/>
    <s v="2020-05"/>
  </r>
  <r>
    <x v="1838"/>
    <x v="6"/>
    <x v="6"/>
    <x v="28"/>
    <x v="761"/>
    <x v="249"/>
    <s v="Acquired"/>
    <x v="2"/>
    <s v="NA"/>
    <s v="2020-05"/>
  </r>
  <r>
    <x v="934"/>
    <x v="119"/>
    <x v="12"/>
    <x v="15"/>
    <x v="761"/>
    <x v="333"/>
    <s v="Series E"/>
    <x v="20"/>
    <n v="0.08"/>
    <s v="2020-05"/>
  </r>
  <r>
    <x v="2268"/>
    <x v="3"/>
    <x v="21"/>
    <x v="33"/>
    <x v="761"/>
    <x v="261"/>
    <s v="Series A"/>
    <x v="2"/>
    <n v="0.25"/>
    <s v="2020-05"/>
  </r>
  <r>
    <x v="2269"/>
    <x v="28"/>
    <x v="11"/>
    <x v="0"/>
    <x v="762"/>
    <x v="66"/>
    <s v="Acquired"/>
    <x v="2"/>
    <n v="0.12"/>
    <s v="2020-05"/>
  </r>
  <r>
    <x v="2005"/>
    <x v="166"/>
    <x v="1"/>
    <x v="40"/>
    <x v="762"/>
    <x v="43"/>
    <s v="Unknown"/>
    <x v="31"/>
    <n v="0.08"/>
    <s v="2020-05"/>
  </r>
  <r>
    <x v="764"/>
    <x v="20"/>
    <x v="10"/>
    <x v="190"/>
    <x v="763"/>
    <x v="615"/>
    <s v="Post-IPO"/>
    <x v="6"/>
    <n v="0.23"/>
    <s v="2020-05"/>
  </r>
  <r>
    <x v="2270"/>
    <x v="11"/>
    <x v="11"/>
    <x v="191"/>
    <x v="763"/>
    <x v="74"/>
    <s v="Acquired"/>
    <x v="2"/>
    <n v="1"/>
    <s v="2020-05"/>
  </r>
  <r>
    <x v="2271"/>
    <x v="8"/>
    <x v="1"/>
    <x v="31"/>
    <x v="763"/>
    <x v="705"/>
    <s v="Unknown"/>
    <x v="2"/>
    <s v="NA"/>
    <s v="2020-05"/>
  </r>
  <r>
    <x v="1843"/>
    <x v="48"/>
    <x v="10"/>
    <x v="28"/>
    <x v="764"/>
    <x v="72"/>
    <s v="Series D"/>
    <x v="6"/>
    <s v="NA"/>
    <s v="2020-05"/>
  </r>
  <r>
    <x v="2272"/>
    <x v="229"/>
    <x v="4"/>
    <x v="72"/>
    <x v="765"/>
    <x v="12"/>
    <s v="Unknown"/>
    <x v="12"/>
    <s v="NA"/>
    <s v="2020-05"/>
  </r>
  <r>
    <x v="2273"/>
    <x v="72"/>
    <x v="3"/>
    <x v="9"/>
    <x v="766"/>
    <x v="435"/>
    <s v="Acquired"/>
    <x v="2"/>
    <n v="0.1"/>
    <s v="2020-05"/>
  </r>
  <r>
    <x v="2274"/>
    <x v="50"/>
    <x v="7"/>
    <x v="43"/>
    <x v="766"/>
    <x v="11"/>
    <s v="Series A"/>
    <x v="6"/>
    <s v="0.35000000000000003"/>
    <s v="2020-05"/>
  </r>
  <r>
    <x v="2275"/>
    <x v="3"/>
    <x v="14"/>
    <x v="160"/>
    <x v="766"/>
    <x v="43"/>
    <s v="Series A"/>
    <x v="2"/>
    <n v="0.36"/>
    <s v="2020-05"/>
  </r>
  <r>
    <x v="2276"/>
    <x v="32"/>
    <x v="10"/>
    <x v="3"/>
    <x v="766"/>
    <x v="175"/>
    <s v="Acquired"/>
    <x v="11"/>
    <s v="NA"/>
    <s v="2020-05"/>
  </r>
  <r>
    <x v="54"/>
    <x v="20"/>
    <x v="10"/>
    <x v="320"/>
    <x v="767"/>
    <x v="706"/>
    <s v="Series J"/>
    <x v="6"/>
    <s v="0.35000000000000003"/>
    <s v="2020-05"/>
  </r>
  <r>
    <x v="2277"/>
    <x v="6"/>
    <x v="24"/>
    <x v="11"/>
    <x v="767"/>
    <x v="374"/>
    <s v="Series F"/>
    <x v="2"/>
    <n v="0.18"/>
    <s v="2020-05"/>
  </r>
  <r>
    <x v="2278"/>
    <x v="216"/>
    <x v="7"/>
    <x v="223"/>
    <x v="767"/>
    <x v="267"/>
    <s v="Series B"/>
    <x v="2"/>
    <n v="1"/>
    <s v="2020-05"/>
  </r>
  <r>
    <x v="285"/>
    <x v="6"/>
    <x v="1"/>
    <x v="29"/>
    <x v="767"/>
    <x v="226"/>
    <s v="Private Equity"/>
    <x v="2"/>
    <n v="7.0000000000000007E-2"/>
    <s v="2020-05"/>
  </r>
  <r>
    <x v="321"/>
    <x v="20"/>
    <x v="3"/>
    <x v="152"/>
    <x v="767"/>
    <x v="23"/>
    <s v="Series D"/>
    <x v="6"/>
    <n v="0.25"/>
    <s v="2020-05"/>
  </r>
  <r>
    <x v="1584"/>
    <x v="6"/>
    <x v="18"/>
    <x v="178"/>
    <x v="767"/>
    <x v="508"/>
    <s v="Series D"/>
    <x v="2"/>
    <n v="0.06"/>
    <s v="2020-05"/>
  </r>
  <r>
    <x v="1018"/>
    <x v="20"/>
    <x v="21"/>
    <x v="165"/>
    <x v="768"/>
    <x v="333"/>
    <s v="Series D"/>
    <x v="6"/>
    <n v="0.15"/>
    <s v="2020-05"/>
  </r>
  <r>
    <x v="1815"/>
    <x v="10"/>
    <x v="7"/>
    <x v="218"/>
    <x v="768"/>
    <x v="329"/>
    <s v="Series B"/>
    <x v="3"/>
    <n v="0.31"/>
    <s v="2020-05"/>
  </r>
  <r>
    <x v="2279"/>
    <x v="10"/>
    <x v="14"/>
    <x v="100"/>
    <x v="768"/>
    <x v="12"/>
    <s v="Unknown"/>
    <x v="3"/>
    <n v="1"/>
    <s v="2020-05"/>
  </r>
  <r>
    <x v="2280"/>
    <x v="28"/>
    <x v="1"/>
    <x v="3"/>
    <x v="768"/>
    <x v="707"/>
    <s v="Series C"/>
    <x v="2"/>
    <s v="NA"/>
    <s v="2020-05"/>
  </r>
  <r>
    <x v="764"/>
    <x v="6"/>
    <x v="10"/>
    <x v="106"/>
    <x v="769"/>
    <x v="615"/>
    <s v="Post-IPO"/>
    <x v="2"/>
    <n v="0.13"/>
    <s v="2020-05"/>
  </r>
  <r>
    <x v="2281"/>
    <x v="42"/>
    <x v="7"/>
    <x v="63"/>
    <x v="769"/>
    <x v="12"/>
    <s v="Acquired"/>
    <x v="16"/>
    <n v="0.25"/>
    <s v="2020-05"/>
  </r>
  <r>
    <x v="228"/>
    <x v="20"/>
    <x v="0"/>
    <x v="102"/>
    <x v="769"/>
    <x v="112"/>
    <s v="Series I"/>
    <x v="6"/>
    <n v="0.14000000000000001"/>
    <s v="2020-05"/>
  </r>
  <r>
    <x v="2244"/>
    <x v="19"/>
    <x v="22"/>
    <x v="1"/>
    <x v="769"/>
    <x v="671"/>
    <s v="Series H"/>
    <x v="6"/>
    <n v="0.2"/>
    <s v="2020-05"/>
  </r>
  <r>
    <x v="2282"/>
    <x v="6"/>
    <x v="8"/>
    <x v="18"/>
    <x v="769"/>
    <x v="604"/>
    <s v="Series E"/>
    <x v="2"/>
    <s v="NA"/>
    <s v="2020-05"/>
  </r>
  <r>
    <x v="2283"/>
    <x v="6"/>
    <x v="29"/>
    <x v="112"/>
    <x v="769"/>
    <x v="12"/>
    <s v="Private Equity"/>
    <x v="2"/>
    <n v="0.05"/>
    <s v="2020-05"/>
  </r>
  <r>
    <x v="1633"/>
    <x v="1"/>
    <x v="25"/>
    <x v="3"/>
    <x v="769"/>
    <x v="450"/>
    <s v="Acquired"/>
    <x v="1"/>
    <s v="NA"/>
    <s v="2020-05"/>
  </r>
  <r>
    <x v="2284"/>
    <x v="6"/>
    <x v="8"/>
    <x v="3"/>
    <x v="769"/>
    <x v="495"/>
    <s v="Series C"/>
    <x v="2"/>
    <n v="0.1"/>
    <s v="2020-05"/>
  </r>
  <r>
    <x v="2285"/>
    <x v="83"/>
    <x v="22"/>
    <x v="38"/>
    <x v="770"/>
    <x v="346"/>
    <s v="Unknown"/>
    <x v="6"/>
    <s v="NA"/>
    <s v="2020-05"/>
  </r>
  <r>
    <x v="1541"/>
    <x v="48"/>
    <x v="0"/>
    <x v="322"/>
    <x v="771"/>
    <x v="583"/>
    <s v="Series J"/>
    <x v="6"/>
    <n v="0.13"/>
    <s v="2020-05"/>
  </r>
  <r>
    <x v="2286"/>
    <x v="230"/>
    <x v="1"/>
    <x v="30"/>
    <x v="771"/>
    <x v="271"/>
    <s v="Unknown"/>
    <x v="6"/>
    <n v="0.5"/>
    <s v="2020-05"/>
  </r>
  <r>
    <x v="1332"/>
    <x v="6"/>
    <x v="12"/>
    <x v="134"/>
    <x v="771"/>
    <x v="27"/>
    <s v="Series C"/>
    <x v="2"/>
    <n v="0.1"/>
    <s v="2020-05"/>
  </r>
  <r>
    <x v="2287"/>
    <x v="3"/>
    <x v="21"/>
    <x v="3"/>
    <x v="771"/>
    <x v="11"/>
    <s v="Seed"/>
    <x v="2"/>
    <n v="1"/>
    <s v="2020-05"/>
  </r>
  <r>
    <x v="331"/>
    <x v="6"/>
    <x v="10"/>
    <x v="0"/>
    <x v="772"/>
    <x v="708"/>
    <s v="Acquired"/>
    <x v="2"/>
    <n v="0.08"/>
    <s v="2020-05"/>
  </r>
  <r>
    <x v="2288"/>
    <x v="3"/>
    <x v="26"/>
    <x v="54"/>
    <x v="772"/>
    <x v="12"/>
    <s v="Acquired"/>
    <x v="2"/>
    <n v="0.4"/>
    <s v="2020-05"/>
  </r>
  <r>
    <x v="1452"/>
    <x v="3"/>
    <x v="3"/>
    <x v="43"/>
    <x v="772"/>
    <x v="217"/>
    <s v="Acquired"/>
    <x v="2"/>
    <n v="0.1"/>
    <s v="2020-05"/>
  </r>
  <r>
    <x v="2289"/>
    <x v="6"/>
    <x v="10"/>
    <x v="78"/>
    <x v="772"/>
    <x v="560"/>
    <s v="Series B"/>
    <x v="2"/>
    <n v="0.15"/>
    <s v="2020-05"/>
  </r>
  <r>
    <x v="2290"/>
    <x v="6"/>
    <x v="1"/>
    <x v="2"/>
    <x v="772"/>
    <x v="395"/>
    <s v="Unknown"/>
    <x v="2"/>
    <s v="NA"/>
    <s v="2020-05"/>
  </r>
  <r>
    <x v="2291"/>
    <x v="6"/>
    <x v="25"/>
    <x v="3"/>
    <x v="772"/>
    <x v="274"/>
    <s v="Series D"/>
    <x v="2"/>
    <s v="NA"/>
    <s v="2020-05"/>
  </r>
  <r>
    <x v="2292"/>
    <x v="46"/>
    <x v="6"/>
    <x v="3"/>
    <x v="772"/>
    <x v="115"/>
    <s v="Unknown"/>
    <x v="18"/>
    <n v="0.3"/>
    <s v="2020-05"/>
  </r>
  <r>
    <x v="2293"/>
    <x v="28"/>
    <x v="3"/>
    <x v="3"/>
    <x v="772"/>
    <x v="345"/>
    <s v="Series C"/>
    <x v="2"/>
    <s v="NA"/>
    <s v="2020-05"/>
  </r>
  <r>
    <x v="2294"/>
    <x v="6"/>
    <x v="21"/>
    <x v="323"/>
    <x v="773"/>
    <x v="323"/>
    <s v="Series C"/>
    <x v="2"/>
    <n v="1"/>
    <s v="2020-05"/>
  </r>
  <r>
    <x v="2295"/>
    <x v="231"/>
    <x v="9"/>
    <x v="166"/>
    <x v="773"/>
    <x v="78"/>
    <s v="Unknown"/>
    <x v="31"/>
    <n v="0.4"/>
    <s v="2020-05"/>
  </r>
  <r>
    <x v="2296"/>
    <x v="3"/>
    <x v="1"/>
    <x v="37"/>
    <x v="773"/>
    <x v="121"/>
    <s v="Unknown"/>
    <x v="2"/>
    <n v="0.18"/>
    <s v="2020-05"/>
  </r>
  <r>
    <x v="2297"/>
    <x v="62"/>
    <x v="14"/>
    <x v="70"/>
    <x v="773"/>
    <x v="12"/>
    <s v="Acquired"/>
    <x v="7"/>
    <n v="0.11"/>
    <s v="2020-05"/>
  </r>
  <r>
    <x v="1740"/>
    <x v="6"/>
    <x v="27"/>
    <x v="48"/>
    <x v="773"/>
    <x v="315"/>
    <s v="Series C"/>
    <x v="2"/>
    <s v="NA"/>
    <s v="2020-05"/>
  </r>
  <r>
    <x v="2298"/>
    <x v="3"/>
    <x v="25"/>
    <x v="3"/>
    <x v="773"/>
    <x v="335"/>
    <s v="Series E"/>
    <x v="2"/>
    <s v="NA"/>
    <s v="2020-05"/>
  </r>
  <r>
    <x v="2299"/>
    <x v="232"/>
    <x v="19"/>
    <x v="3"/>
    <x v="773"/>
    <x v="5"/>
    <s v="Seed"/>
    <x v="51"/>
    <n v="1"/>
    <s v="2020-05"/>
  </r>
  <r>
    <x v="2300"/>
    <x v="6"/>
    <x v="4"/>
    <x v="3"/>
    <x v="773"/>
    <x v="353"/>
    <s v="Series C"/>
    <x v="2"/>
    <n v="0.1"/>
    <s v="2020-05"/>
  </r>
  <r>
    <x v="2301"/>
    <x v="106"/>
    <x v="1"/>
    <x v="205"/>
    <x v="774"/>
    <x v="12"/>
    <s v="Post-IPO"/>
    <x v="31"/>
    <n v="0.2"/>
    <s v="2020-05"/>
  </r>
  <r>
    <x v="415"/>
    <x v="6"/>
    <x v="22"/>
    <x v="6"/>
    <x v="774"/>
    <x v="34"/>
    <s v="Series B"/>
    <x v="2"/>
    <n v="0.5"/>
    <s v="2020-05"/>
  </r>
  <r>
    <x v="2302"/>
    <x v="6"/>
    <x v="27"/>
    <x v="74"/>
    <x v="774"/>
    <x v="334"/>
    <s v="Series B"/>
    <x v="2"/>
    <n v="0.19"/>
    <s v="2020-05"/>
  </r>
  <r>
    <x v="2303"/>
    <x v="58"/>
    <x v="15"/>
    <x v="15"/>
    <x v="774"/>
    <x v="80"/>
    <s v="Series D"/>
    <x v="2"/>
    <n v="0.17"/>
    <s v="2020-05"/>
  </r>
  <r>
    <x v="197"/>
    <x v="62"/>
    <x v="11"/>
    <x v="134"/>
    <x v="774"/>
    <x v="77"/>
    <s v="Series D"/>
    <x v="7"/>
    <n v="0.03"/>
    <s v="2020-05"/>
  </r>
  <r>
    <x v="2304"/>
    <x v="81"/>
    <x v="8"/>
    <x v="3"/>
    <x v="774"/>
    <x v="175"/>
    <s v="Acquired"/>
    <x v="2"/>
    <s v="NA"/>
    <s v="2020-05"/>
  </r>
  <r>
    <x v="736"/>
    <x v="3"/>
    <x v="1"/>
    <x v="3"/>
    <x v="774"/>
    <x v="381"/>
    <s v="Series B"/>
    <x v="2"/>
    <s v="NA"/>
    <s v="2020-05"/>
  </r>
  <r>
    <x v="2305"/>
    <x v="10"/>
    <x v="1"/>
    <x v="14"/>
    <x v="775"/>
    <x v="709"/>
    <s v="Series D"/>
    <x v="3"/>
    <n v="0.03"/>
    <s v="2020-05"/>
  </r>
  <r>
    <x v="2306"/>
    <x v="3"/>
    <x v="22"/>
    <x v="26"/>
    <x v="775"/>
    <x v="139"/>
    <s v="Series C"/>
    <x v="2"/>
    <n v="0.25"/>
    <s v="2020-05"/>
  </r>
  <r>
    <x v="498"/>
    <x v="3"/>
    <x v="1"/>
    <x v="137"/>
    <x v="776"/>
    <x v="710"/>
    <s v="Series D"/>
    <x v="2"/>
    <n v="0.01"/>
    <s v="2020-05"/>
  </r>
  <r>
    <x v="2307"/>
    <x v="3"/>
    <x v="10"/>
    <x v="30"/>
    <x v="777"/>
    <x v="183"/>
    <s v="Acquired"/>
    <x v="2"/>
    <n v="1"/>
    <s v="2020-05"/>
  </r>
  <r>
    <x v="1004"/>
    <x v="6"/>
    <x v="15"/>
    <x v="11"/>
    <x v="777"/>
    <x v="461"/>
    <s v="Acquired"/>
    <x v="2"/>
    <n v="0.3"/>
    <s v="2020-05"/>
  </r>
  <r>
    <x v="2308"/>
    <x v="105"/>
    <x v="1"/>
    <x v="40"/>
    <x v="777"/>
    <x v="579"/>
    <s v="Series B"/>
    <x v="30"/>
    <n v="0.5"/>
    <s v="2020-05"/>
  </r>
  <r>
    <x v="2309"/>
    <x v="17"/>
    <x v="1"/>
    <x v="14"/>
    <x v="777"/>
    <x v="163"/>
    <s v="Series E"/>
    <x v="2"/>
    <n v="0.12"/>
    <s v="2020-05"/>
  </r>
  <r>
    <x v="1158"/>
    <x v="23"/>
    <x v="9"/>
    <x v="66"/>
    <x v="777"/>
    <x v="50"/>
    <s v="Series D"/>
    <x v="2"/>
    <s v="NA"/>
    <s v="2020-05"/>
  </r>
  <r>
    <x v="2310"/>
    <x v="6"/>
    <x v="1"/>
    <x v="26"/>
    <x v="777"/>
    <x v="450"/>
    <s v="Series C"/>
    <x v="2"/>
    <n v="0.23"/>
    <s v="2020-05"/>
  </r>
  <r>
    <x v="2311"/>
    <x v="71"/>
    <x v="7"/>
    <x v="3"/>
    <x v="777"/>
    <x v="12"/>
    <s v="Unknown"/>
    <x v="26"/>
    <n v="1"/>
    <s v="2020-05"/>
  </r>
  <r>
    <x v="764"/>
    <x v="6"/>
    <x v="10"/>
    <x v="282"/>
    <x v="778"/>
    <x v="615"/>
    <s v="Post-IPO"/>
    <x v="2"/>
    <n v="0.14000000000000001"/>
    <s v="2020-05"/>
  </r>
  <r>
    <x v="2312"/>
    <x v="17"/>
    <x v="27"/>
    <x v="80"/>
    <x v="778"/>
    <x v="12"/>
    <s v="Private Equity"/>
    <x v="2"/>
    <n v="0.33"/>
    <s v="2020-05"/>
  </r>
  <r>
    <x v="2313"/>
    <x v="3"/>
    <x v="11"/>
    <x v="1"/>
    <x v="778"/>
    <x v="128"/>
    <s v="Acquired"/>
    <x v="2"/>
    <s v="NA"/>
    <s v="2020-05"/>
  </r>
  <r>
    <x v="2314"/>
    <x v="9"/>
    <x v="3"/>
    <x v="31"/>
    <x v="778"/>
    <x v="73"/>
    <s v="Post-IPO"/>
    <x v="2"/>
    <n v="0.08"/>
    <s v="2020-05"/>
  </r>
  <r>
    <x v="2315"/>
    <x v="6"/>
    <x v="27"/>
    <x v="31"/>
    <x v="778"/>
    <x v="480"/>
    <s v="Series D"/>
    <x v="2"/>
    <n v="0.1"/>
    <s v="2020-05"/>
  </r>
  <r>
    <x v="2316"/>
    <x v="41"/>
    <x v="1"/>
    <x v="3"/>
    <x v="778"/>
    <x v="300"/>
    <s v="Series B"/>
    <x v="15"/>
    <s v="0.7000000000000001"/>
    <s v="2020-05"/>
  </r>
  <r>
    <x v="2317"/>
    <x v="6"/>
    <x v="27"/>
    <x v="3"/>
    <x v="778"/>
    <x v="641"/>
    <s v="Series E"/>
    <x v="2"/>
    <s v="NA"/>
    <s v="2020-05"/>
  </r>
  <r>
    <x v="1055"/>
    <x v="6"/>
    <x v="7"/>
    <x v="87"/>
    <x v="779"/>
    <x v="711"/>
    <s v="Private Equity"/>
    <x v="2"/>
    <n v="0.25"/>
    <s v="2020-05"/>
  </r>
  <r>
    <x v="1594"/>
    <x v="6"/>
    <x v="6"/>
    <x v="61"/>
    <x v="779"/>
    <x v="113"/>
    <s v="Unknown"/>
    <x v="2"/>
    <n v="0.3"/>
    <s v="2020-05"/>
  </r>
  <r>
    <x v="2318"/>
    <x v="3"/>
    <x v="15"/>
    <x v="202"/>
    <x v="779"/>
    <x v="123"/>
    <s v="Series D"/>
    <x v="2"/>
    <n v="0.1"/>
    <s v="2020-05"/>
  </r>
  <r>
    <x v="463"/>
    <x v="3"/>
    <x v="15"/>
    <x v="5"/>
    <x v="779"/>
    <x v="590"/>
    <s v="Series D"/>
    <x v="2"/>
    <n v="0.15"/>
    <s v="2020-05"/>
  </r>
  <r>
    <x v="371"/>
    <x v="75"/>
    <x v="9"/>
    <x v="111"/>
    <x v="779"/>
    <x v="242"/>
    <s v="Series C"/>
    <x v="27"/>
    <s v="NA"/>
    <s v="2020-05"/>
  </r>
  <r>
    <x v="2319"/>
    <x v="17"/>
    <x v="15"/>
    <x v="37"/>
    <x v="779"/>
    <x v="273"/>
    <s v="Series C"/>
    <x v="2"/>
    <n v="0.1"/>
    <s v="2020-05"/>
  </r>
  <r>
    <x v="2320"/>
    <x v="6"/>
    <x v="8"/>
    <x v="3"/>
    <x v="779"/>
    <x v="35"/>
    <s v="Post-IPO"/>
    <x v="2"/>
    <s v="NA"/>
    <s v="2020-05"/>
  </r>
  <r>
    <x v="2321"/>
    <x v="6"/>
    <x v="15"/>
    <x v="3"/>
    <x v="779"/>
    <x v="148"/>
    <s v="Series C"/>
    <x v="2"/>
    <s v="NA"/>
    <s v="2020-05"/>
  </r>
  <r>
    <x v="2322"/>
    <x v="62"/>
    <x v="5"/>
    <x v="3"/>
    <x v="779"/>
    <x v="223"/>
    <s v="Unknown"/>
    <x v="7"/>
    <s v="NA"/>
    <s v="2020-05"/>
  </r>
  <r>
    <x v="2225"/>
    <x v="20"/>
    <x v="19"/>
    <x v="19"/>
    <x v="780"/>
    <x v="542"/>
    <s v="Series D"/>
    <x v="6"/>
    <n v="0.16"/>
    <s v="2020-05"/>
  </r>
  <r>
    <x v="2323"/>
    <x v="187"/>
    <x v="10"/>
    <x v="324"/>
    <x v="780"/>
    <x v="712"/>
    <s v="Acquired"/>
    <x v="54"/>
    <n v="0.31"/>
    <s v="2020-05"/>
  </r>
  <r>
    <x v="2324"/>
    <x v="114"/>
    <x v="1"/>
    <x v="9"/>
    <x v="780"/>
    <x v="105"/>
    <s v="Series B"/>
    <x v="33"/>
    <n v="0.2"/>
    <s v="2020-05"/>
  </r>
  <r>
    <x v="576"/>
    <x v="75"/>
    <x v="25"/>
    <x v="98"/>
    <x v="780"/>
    <x v="261"/>
    <s v="Series A"/>
    <x v="27"/>
    <n v="0.21"/>
    <s v="2020-05"/>
  </r>
  <r>
    <x v="2325"/>
    <x v="38"/>
    <x v="4"/>
    <x v="40"/>
    <x v="780"/>
    <x v="444"/>
    <s v="Series B"/>
    <x v="7"/>
    <n v="0.15"/>
    <s v="2020-05"/>
  </r>
  <r>
    <x v="2326"/>
    <x v="51"/>
    <x v="12"/>
    <x v="14"/>
    <x v="780"/>
    <x v="274"/>
    <s v="Series B"/>
    <x v="20"/>
    <n v="0.3"/>
    <s v="2020-05"/>
  </r>
  <r>
    <x v="224"/>
    <x v="62"/>
    <x v="9"/>
    <x v="55"/>
    <x v="780"/>
    <x v="183"/>
    <s v="Series A"/>
    <x v="7"/>
    <n v="0.08"/>
    <s v="2020-05"/>
  </r>
  <r>
    <x v="2327"/>
    <x v="6"/>
    <x v="5"/>
    <x v="3"/>
    <x v="780"/>
    <x v="398"/>
    <s v="Post-IPO"/>
    <x v="2"/>
    <n v="0.13"/>
    <s v="2020-05"/>
  </r>
  <r>
    <x v="2328"/>
    <x v="233"/>
    <x v="7"/>
    <x v="3"/>
    <x v="780"/>
    <x v="67"/>
    <s v="Acquired"/>
    <x v="5"/>
    <s v="NA"/>
    <s v="2020-05"/>
  </r>
  <r>
    <x v="1532"/>
    <x v="1"/>
    <x v="21"/>
    <x v="17"/>
    <x v="781"/>
    <x v="713"/>
    <s v="Series D"/>
    <x v="1"/>
    <n v="0.1"/>
    <s v="2020-05"/>
  </r>
  <r>
    <x v="2329"/>
    <x v="3"/>
    <x v="4"/>
    <x v="31"/>
    <x v="781"/>
    <x v="315"/>
    <s v="Post-IPO"/>
    <x v="2"/>
    <s v="NA"/>
    <s v="2020-05"/>
  </r>
  <r>
    <x v="1472"/>
    <x v="10"/>
    <x v="7"/>
    <x v="0"/>
    <x v="782"/>
    <x v="165"/>
    <s v="Series F"/>
    <x v="3"/>
    <s v="NA"/>
    <s v="2020-05"/>
  </r>
  <r>
    <x v="2330"/>
    <x v="3"/>
    <x v="12"/>
    <x v="124"/>
    <x v="782"/>
    <x v="325"/>
    <s v="Series E"/>
    <x v="2"/>
    <n v="0.4"/>
    <s v="2020-05"/>
  </r>
  <r>
    <x v="2331"/>
    <x v="10"/>
    <x v="26"/>
    <x v="81"/>
    <x v="782"/>
    <x v="477"/>
    <s v="Series B"/>
    <x v="3"/>
    <n v="0.32"/>
    <s v="2020-05"/>
  </r>
  <r>
    <x v="2332"/>
    <x v="6"/>
    <x v="6"/>
    <x v="54"/>
    <x v="782"/>
    <x v="187"/>
    <s v="Series A"/>
    <x v="2"/>
    <n v="0.8"/>
    <s v="2020-05"/>
  </r>
  <r>
    <x v="2333"/>
    <x v="17"/>
    <x v="5"/>
    <x v="43"/>
    <x v="782"/>
    <x v="121"/>
    <s v="Series A"/>
    <x v="2"/>
    <s v="NA"/>
    <s v="2020-05"/>
  </r>
  <r>
    <x v="2334"/>
    <x v="234"/>
    <x v="1"/>
    <x v="78"/>
    <x v="782"/>
    <x v="323"/>
    <s v="Unknown"/>
    <x v="43"/>
    <s v="NA"/>
    <s v="2020-05"/>
  </r>
  <r>
    <x v="895"/>
    <x v="3"/>
    <x v="26"/>
    <x v="126"/>
    <x v="782"/>
    <x v="151"/>
    <s v="Series C"/>
    <x v="2"/>
    <n v="0.2"/>
    <s v="2020-05"/>
  </r>
  <r>
    <x v="2335"/>
    <x v="6"/>
    <x v="10"/>
    <x v="3"/>
    <x v="782"/>
    <x v="70"/>
    <s v="Acquired"/>
    <x v="2"/>
    <n v="1"/>
    <s v="2020-05"/>
  </r>
  <r>
    <x v="2336"/>
    <x v="20"/>
    <x v="7"/>
    <x v="3"/>
    <x v="782"/>
    <x v="5"/>
    <s v="Seed"/>
    <x v="6"/>
    <s v="NA"/>
    <s v="2020-05"/>
  </r>
  <r>
    <x v="448"/>
    <x v="17"/>
    <x v="9"/>
    <x v="1"/>
    <x v="783"/>
    <x v="10"/>
    <s v="Acquired"/>
    <x v="2"/>
    <s v="NA"/>
    <s v="2020-04"/>
  </r>
  <r>
    <x v="2337"/>
    <x v="17"/>
    <x v="6"/>
    <x v="52"/>
    <x v="783"/>
    <x v="379"/>
    <s v="Acquired"/>
    <x v="2"/>
    <s v="NA"/>
    <s v="2020-04"/>
  </r>
  <r>
    <x v="2338"/>
    <x v="9"/>
    <x v="20"/>
    <x v="3"/>
    <x v="783"/>
    <x v="61"/>
    <s v="Unknown"/>
    <x v="2"/>
    <s v="NA"/>
    <s v="2020-04"/>
  </r>
  <r>
    <x v="800"/>
    <x v="6"/>
    <x v="27"/>
    <x v="3"/>
    <x v="783"/>
    <x v="714"/>
    <s v="Series E"/>
    <x v="2"/>
    <s v="NA"/>
    <s v="2020-04"/>
  </r>
  <r>
    <x v="1270"/>
    <x v="6"/>
    <x v="26"/>
    <x v="3"/>
    <x v="783"/>
    <x v="50"/>
    <s v="Series E"/>
    <x v="2"/>
    <n v="0.14000000000000001"/>
    <s v="2020-04"/>
  </r>
  <r>
    <x v="2339"/>
    <x v="4"/>
    <x v="0"/>
    <x v="3"/>
    <x v="783"/>
    <x v="128"/>
    <s v="Series A"/>
    <x v="2"/>
    <n v="1"/>
    <s v="2020-04"/>
  </r>
  <r>
    <x v="923"/>
    <x v="6"/>
    <x v="10"/>
    <x v="325"/>
    <x v="784"/>
    <x v="140"/>
    <s v="Post-IPO"/>
    <x v="2"/>
    <n v="0.17"/>
    <s v="2020-04"/>
  </r>
  <r>
    <x v="2244"/>
    <x v="6"/>
    <x v="22"/>
    <x v="11"/>
    <x v="784"/>
    <x v="715"/>
    <s v="Series H"/>
    <x v="2"/>
    <s v="NA"/>
    <s v="2020-04"/>
  </r>
  <r>
    <x v="461"/>
    <x v="103"/>
    <x v="7"/>
    <x v="71"/>
    <x v="784"/>
    <x v="127"/>
    <s v="Acquired"/>
    <x v="2"/>
    <n v="0.08"/>
    <s v="2020-04"/>
  </r>
  <r>
    <x v="1538"/>
    <x v="3"/>
    <x v="0"/>
    <x v="277"/>
    <x v="784"/>
    <x v="66"/>
    <s v="Series B"/>
    <x v="2"/>
    <s v="NA"/>
    <s v="2020-04"/>
  </r>
  <r>
    <x v="2340"/>
    <x v="6"/>
    <x v="10"/>
    <x v="54"/>
    <x v="784"/>
    <x v="716"/>
    <s v="Series D"/>
    <x v="2"/>
    <n v="0.13"/>
    <s v="2020-04"/>
  </r>
  <r>
    <x v="2341"/>
    <x v="3"/>
    <x v="24"/>
    <x v="56"/>
    <x v="784"/>
    <x v="259"/>
    <s v="Series D"/>
    <x v="2"/>
    <n v="0.1"/>
    <s v="2020-04"/>
  </r>
  <r>
    <x v="2342"/>
    <x v="235"/>
    <x v="1"/>
    <x v="3"/>
    <x v="784"/>
    <x v="412"/>
    <s v="Series B"/>
    <x v="61"/>
    <s v="NA"/>
    <s v="2020-04"/>
  </r>
  <r>
    <x v="405"/>
    <x v="17"/>
    <x v="7"/>
    <x v="61"/>
    <x v="785"/>
    <x v="11"/>
    <s v="Post-IPO"/>
    <x v="2"/>
    <n v="0.25"/>
    <s v="2020-04"/>
  </r>
  <r>
    <x v="2343"/>
    <x v="41"/>
    <x v="1"/>
    <x v="326"/>
    <x v="785"/>
    <x v="12"/>
    <s v="Unknown"/>
    <x v="15"/>
    <n v="0.5"/>
    <s v="2020-04"/>
  </r>
  <r>
    <x v="1143"/>
    <x v="10"/>
    <x v="0"/>
    <x v="327"/>
    <x v="785"/>
    <x v="113"/>
    <s v="Series G"/>
    <x v="3"/>
    <n v="0.15"/>
    <s v="2020-04"/>
  </r>
  <r>
    <x v="2344"/>
    <x v="6"/>
    <x v="27"/>
    <x v="54"/>
    <x v="785"/>
    <x v="379"/>
    <s v="Unknown"/>
    <x v="2"/>
    <n v="0.18"/>
    <s v="2020-04"/>
  </r>
  <r>
    <x v="2345"/>
    <x v="9"/>
    <x v="3"/>
    <x v="78"/>
    <x v="785"/>
    <x v="293"/>
    <s v="Unknown"/>
    <x v="2"/>
    <n v="0.15"/>
    <s v="2020-04"/>
  </r>
  <r>
    <x v="2346"/>
    <x v="6"/>
    <x v="1"/>
    <x v="144"/>
    <x v="785"/>
    <x v="106"/>
    <s v="Series B"/>
    <x v="2"/>
    <n v="0.25"/>
    <s v="2020-04"/>
  </r>
  <r>
    <x v="2347"/>
    <x v="9"/>
    <x v="21"/>
    <x v="33"/>
    <x v="785"/>
    <x v="78"/>
    <s v="Seed"/>
    <x v="2"/>
    <n v="0.5"/>
    <s v="2020-04"/>
  </r>
  <r>
    <x v="238"/>
    <x v="17"/>
    <x v="4"/>
    <x v="3"/>
    <x v="785"/>
    <x v="586"/>
    <s v="Series E"/>
    <x v="2"/>
    <s v="NA"/>
    <s v="2020-04"/>
  </r>
  <r>
    <x v="2348"/>
    <x v="6"/>
    <x v="1"/>
    <x v="3"/>
    <x v="785"/>
    <x v="129"/>
    <s v="Series B"/>
    <x v="2"/>
    <n v="0.25"/>
    <s v="2020-04"/>
  </r>
  <r>
    <x v="2349"/>
    <x v="6"/>
    <x v="4"/>
    <x v="270"/>
    <x v="786"/>
    <x v="717"/>
    <s v="Series B"/>
    <x v="2"/>
    <n v="0.1"/>
    <s v="2020-04"/>
  </r>
  <r>
    <x v="2028"/>
    <x v="4"/>
    <x v="22"/>
    <x v="33"/>
    <x v="786"/>
    <x v="70"/>
    <s v="Series A"/>
    <x v="2"/>
    <n v="0.2"/>
    <s v="2020-04"/>
  </r>
  <r>
    <x v="2350"/>
    <x v="47"/>
    <x v="15"/>
    <x v="3"/>
    <x v="786"/>
    <x v="144"/>
    <s v="Seed"/>
    <x v="2"/>
    <s v="0.7000000000000001"/>
    <s v="2020-04"/>
  </r>
  <r>
    <x v="1472"/>
    <x v="106"/>
    <x v="7"/>
    <x v="30"/>
    <x v="787"/>
    <x v="165"/>
    <s v="Series F"/>
    <x v="31"/>
    <s v="NA"/>
    <s v="2020-04"/>
  </r>
  <r>
    <x v="2351"/>
    <x v="71"/>
    <x v="0"/>
    <x v="38"/>
    <x v="787"/>
    <x v="12"/>
    <s v="Series A"/>
    <x v="26"/>
    <n v="1"/>
    <s v="2020-04"/>
  </r>
  <r>
    <x v="2352"/>
    <x v="236"/>
    <x v="4"/>
    <x v="2"/>
    <x v="787"/>
    <x v="354"/>
    <s v="Series B"/>
    <x v="2"/>
    <n v="0.2"/>
    <s v="2020-04"/>
  </r>
  <r>
    <x v="2353"/>
    <x v="9"/>
    <x v="10"/>
    <x v="18"/>
    <x v="788"/>
    <x v="329"/>
    <s v="Series B"/>
    <x v="2"/>
    <n v="0.36"/>
    <s v="2020-04"/>
  </r>
  <r>
    <x v="2354"/>
    <x v="62"/>
    <x v="18"/>
    <x v="15"/>
    <x v="788"/>
    <x v="73"/>
    <s v="Series B"/>
    <x v="7"/>
    <n v="0.23"/>
    <s v="2020-04"/>
  </r>
  <r>
    <x v="2355"/>
    <x v="58"/>
    <x v="3"/>
    <x v="70"/>
    <x v="788"/>
    <x v="261"/>
    <s v="Series A"/>
    <x v="2"/>
    <n v="0.3"/>
    <s v="2020-04"/>
  </r>
  <r>
    <x v="2224"/>
    <x v="4"/>
    <x v="1"/>
    <x v="160"/>
    <x v="788"/>
    <x v="128"/>
    <s v="Series B"/>
    <x v="2"/>
    <n v="0.22"/>
    <s v="2020-04"/>
  </r>
  <r>
    <x v="2356"/>
    <x v="14"/>
    <x v="7"/>
    <x v="8"/>
    <x v="788"/>
    <x v="43"/>
    <s v="Series B"/>
    <x v="5"/>
    <n v="0.25"/>
    <s v="2020-04"/>
  </r>
  <r>
    <x v="2357"/>
    <x v="6"/>
    <x v="5"/>
    <x v="100"/>
    <x v="788"/>
    <x v="550"/>
    <s v="Series B"/>
    <x v="2"/>
    <n v="0.33"/>
    <s v="2020-04"/>
  </r>
  <r>
    <x v="2358"/>
    <x v="58"/>
    <x v="6"/>
    <x v="180"/>
    <x v="788"/>
    <x v="69"/>
    <s v="Unknown"/>
    <x v="2"/>
    <n v="0.21"/>
    <s v="2020-04"/>
  </r>
  <r>
    <x v="2359"/>
    <x v="106"/>
    <x v="11"/>
    <x v="328"/>
    <x v="788"/>
    <x v="78"/>
    <s v="Series A"/>
    <x v="31"/>
    <n v="1"/>
    <s v="2020-04"/>
  </r>
  <r>
    <x v="2360"/>
    <x v="3"/>
    <x v="26"/>
    <x v="3"/>
    <x v="788"/>
    <x v="287"/>
    <s v="Acquired"/>
    <x v="2"/>
    <s v="NA"/>
    <s v="2020-04"/>
  </r>
  <r>
    <x v="790"/>
    <x v="10"/>
    <x v="1"/>
    <x v="3"/>
    <x v="788"/>
    <x v="270"/>
    <s v="Series E"/>
    <x v="3"/>
    <s v="NA"/>
    <s v="2020-04"/>
  </r>
  <r>
    <x v="1980"/>
    <x v="31"/>
    <x v="21"/>
    <x v="1"/>
    <x v="789"/>
    <x v="380"/>
    <s v="Series C"/>
    <x v="2"/>
    <n v="0.12"/>
    <s v="2020-04"/>
  </r>
  <r>
    <x v="2361"/>
    <x v="6"/>
    <x v="12"/>
    <x v="143"/>
    <x v="789"/>
    <x v="503"/>
    <s v="Series C"/>
    <x v="2"/>
    <n v="0.15"/>
    <s v="2020-04"/>
  </r>
  <r>
    <x v="273"/>
    <x v="3"/>
    <x v="27"/>
    <x v="54"/>
    <x v="789"/>
    <x v="116"/>
    <s v="Series F"/>
    <x v="2"/>
    <n v="0.09"/>
    <s v="2020-04"/>
  </r>
  <r>
    <x v="2362"/>
    <x v="3"/>
    <x v="5"/>
    <x v="43"/>
    <x v="789"/>
    <x v="22"/>
    <s v="Unknown"/>
    <x v="2"/>
    <n v="0.05"/>
    <s v="2020-04"/>
  </r>
  <r>
    <x v="2363"/>
    <x v="3"/>
    <x v="3"/>
    <x v="180"/>
    <x v="789"/>
    <x v="590"/>
    <s v="Series C"/>
    <x v="2"/>
    <s v="NA"/>
    <s v="2020-04"/>
  </r>
  <r>
    <x v="447"/>
    <x v="4"/>
    <x v="24"/>
    <x v="3"/>
    <x v="789"/>
    <x v="340"/>
    <s v="Series D"/>
    <x v="2"/>
    <n v="0.01"/>
    <s v="2020-04"/>
  </r>
  <r>
    <x v="2364"/>
    <x v="58"/>
    <x v="21"/>
    <x v="3"/>
    <x v="789"/>
    <x v="579"/>
    <s v="Acquired"/>
    <x v="2"/>
    <s v="NA"/>
    <s v="2020-04"/>
  </r>
  <r>
    <x v="2365"/>
    <x v="6"/>
    <x v="3"/>
    <x v="3"/>
    <x v="789"/>
    <x v="86"/>
    <s v="Series B"/>
    <x v="2"/>
    <s v="NA"/>
    <s v="2020-04"/>
  </r>
  <r>
    <x v="2366"/>
    <x v="39"/>
    <x v="6"/>
    <x v="4"/>
    <x v="790"/>
    <x v="326"/>
    <s v="Series E"/>
    <x v="2"/>
    <n v="0.5"/>
    <s v="2020-04"/>
  </r>
  <r>
    <x v="2367"/>
    <x v="67"/>
    <x v="12"/>
    <x v="66"/>
    <x v="790"/>
    <x v="70"/>
    <s v="Series B"/>
    <x v="2"/>
    <s v="0.35000000000000003"/>
    <s v="2020-04"/>
  </r>
  <r>
    <x v="2368"/>
    <x v="6"/>
    <x v="10"/>
    <x v="100"/>
    <x v="790"/>
    <x v="80"/>
    <s v="Series A"/>
    <x v="2"/>
    <n v="0.14000000000000001"/>
    <s v="2020-04"/>
  </r>
  <r>
    <x v="2311"/>
    <x v="71"/>
    <x v="7"/>
    <x v="3"/>
    <x v="790"/>
    <x v="12"/>
    <s v="Unknown"/>
    <x v="26"/>
    <s v="0.7000000000000001"/>
    <s v="2020-04"/>
  </r>
  <r>
    <x v="853"/>
    <x v="6"/>
    <x v="27"/>
    <x v="3"/>
    <x v="790"/>
    <x v="354"/>
    <s v="Series A"/>
    <x v="2"/>
    <s v="NA"/>
    <s v="2020-04"/>
  </r>
  <r>
    <x v="1681"/>
    <x v="4"/>
    <x v="25"/>
    <x v="3"/>
    <x v="790"/>
    <x v="62"/>
    <s v="Series C"/>
    <x v="2"/>
    <s v="NA"/>
    <s v="2020-04"/>
  </r>
  <r>
    <x v="1157"/>
    <x v="51"/>
    <x v="28"/>
    <x v="3"/>
    <x v="790"/>
    <x v="128"/>
    <s v="Post-IPO"/>
    <x v="20"/>
    <n v="0.1"/>
    <s v="2020-04"/>
  </r>
  <r>
    <x v="228"/>
    <x v="20"/>
    <x v="0"/>
    <x v="19"/>
    <x v="791"/>
    <x v="112"/>
    <s v="Series I"/>
    <x v="6"/>
    <s v="NA"/>
    <s v="2020-04"/>
  </r>
  <r>
    <x v="318"/>
    <x v="19"/>
    <x v="1"/>
    <x v="30"/>
    <x v="791"/>
    <x v="232"/>
    <s v="Unknown"/>
    <x v="6"/>
    <s v="NA"/>
    <s v="2020-04"/>
  </r>
  <r>
    <x v="468"/>
    <x v="6"/>
    <x v="1"/>
    <x v="329"/>
    <x v="791"/>
    <x v="284"/>
    <s v="Post-IPO"/>
    <x v="2"/>
    <n v="0.3"/>
    <s v="2020-04"/>
  </r>
  <r>
    <x v="1453"/>
    <x v="6"/>
    <x v="6"/>
    <x v="176"/>
    <x v="791"/>
    <x v="437"/>
    <s v="Series E"/>
    <x v="2"/>
    <n v="0.1"/>
    <s v="2020-04"/>
  </r>
  <r>
    <x v="2155"/>
    <x v="3"/>
    <x v="21"/>
    <x v="197"/>
    <x v="791"/>
    <x v="454"/>
    <s v="Post-IPO"/>
    <x v="2"/>
    <n v="0.21"/>
    <s v="2020-04"/>
  </r>
  <r>
    <x v="1892"/>
    <x v="4"/>
    <x v="5"/>
    <x v="5"/>
    <x v="791"/>
    <x v="92"/>
    <s v="Series B"/>
    <x v="2"/>
    <n v="0.13"/>
    <s v="2020-04"/>
  </r>
  <r>
    <x v="396"/>
    <x v="62"/>
    <x v="1"/>
    <x v="171"/>
    <x v="791"/>
    <x v="61"/>
    <s v="Series B"/>
    <x v="7"/>
    <n v="0.09"/>
    <s v="2020-04"/>
  </r>
  <r>
    <x v="1737"/>
    <x v="6"/>
    <x v="26"/>
    <x v="2"/>
    <x v="791"/>
    <x v="365"/>
    <s v="Series D"/>
    <x v="2"/>
    <n v="0.13"/>
    <s v="2020-04"/>
  </r>
  <r>
    <x v="2160"/>
    <x v="6"/>
    <x v="11"/>
    <x v="70"/>
    <x v="791"/>
    <x v="635"/>
    <s v="Series B"/>
    <x v="2"/>
    <s v="NA"/>
    <s v="2020-04"/>
  </r>
  <r>
    <x v="2369"/>
    <x v="72"/>
    <x v="26"/>
    <x v="46"/>
    <x v="791"/>
    <x v="12"/>
    <s v="Unknown"/>
    <x v="2"/>
    <s v="NA"/>
    <s v="2020-04"/>
  </r>
  <r>
    <x v="2370"/>
    <x v="1"/>
    <x v="24"/>
    <x v="100"/>
    <x v="791"/>
    <x v="273"/>
    <s v="Series D"/>
    <x v="1"/>
    <n v="0.1"/>
    <s v="2020-04"/>
  </r>
  <r>
    <x v="2371"/>
    <x v="114"/>
    <x v="7"/>
    <x v="11"/>
    <x v="792"/>
    <x v="525"/>
    <s v="Series D"/>
    <x v="33"/>
    <n v="0.15"/>
    <s v="2020-04"/>
  </r>
  <r>
    <x v="1349"/>
    <x v="3"/>
    <x v="2"/>
    <x v="330"/>
    <x v="792"/>
    <x v="121"/>
    <s v="Unknown"/>
    <x v="2"/>
    <n v="0.14000000000000001"/>
    <s v="2020-04"/>
  </r>
  <r>
    <x v="2372"/>
    <x v="9"/>
    <x v="3"/>
    <x v="58"/>
    <x v="792"/>
    <x v="492"/>
    <s v="Series D"/>
    <x v="2"/>
    <n v="0.25"/>
    <s v="2020-04"/>
  </r>
  <r>
    <x v="2373"/>
    <x v="185"/>
    <x v="1"/>
    <x v="58"/>
    <x v="792"/>
    <x v="21"/>
    <s v="Series B"/>
    <x v="37"/>
    <n v="0.3"/>
    <s v="2020-04"/>
  </r>
  <r>
    <x v="1531"/>
    <x v="159"/>
    <x v="18"/>
    <x v="7"/>
    <x v="792"/>
    <x v="5"/>
    <s v="Seed"/>
    <x v="31"/>
    <n v="0.25"/>
    <s v="2020-04"/>
  </r>
  <r>
    <x v="2374"/>
    <x v="6"/>
    <x v="10"/>
    <x v="26"/>
    <x v="792"/>
    <x v="106"/>
    <s v="Series C"/>
    <x v="2"/>
    <s v="NA"/>
    <s v="2020-04"/>
  </r>
  <r>
    <x v="1421"/>
    <x v="6"/>
    <x v="5"/>
    <x v="121"/>
    <x v="792"/>
    <x v="86"/>
    <s v="Series C"/>
    <x v="2"/>
    <n v="0.09"/>
    <s v="2020-04"/>
  </r>
  <r>
    <x v="1929"/>
    <x v="6"/>
    <x v="5"/>
    <x v="100"/>
    <x v="792"/>
    <x v="175"/>
    <s v="Series C"/>
    <x v="2"/>
    <n v="0.03"/>
    <s v="2020-04"/>
  </r>
  <r>
    <x v="2375"/>
    <x v="6"/>
    <x v="7"/>
    <x v="3"/>
    <x v="792"/>
    <x v="673"/>
    <s v="Series B"/>
    <x v="2"/>
    <n v="0.6"/>
    <s v="2020-04"/>
  </r>
  <r>
    <x v="2376"/>
    <x v="6"/>
    <x v="1"/>
    <x v="3"/>
    <x v="793"/>
    <x v="479"/>
    <s v="Series E"/>
    <x v="2"/>
    <n v="1"/>
    <s v="2020-04"/>
  </r>
  <r>
    <x v="2377"/>
    <x v="20"/>
    <x v="24"/>
    <x v="28"/>
    <x v="794"/>
    <x v="537"/>
    <s v="Series D"/>
    <x v="6"/>
    <s v="NA"/>
    <s v="2020-04"/>
  </r>
  <r>
    <x v="2378"/>
    <x v="231"/>
    <x v="11"/>
    <x v="24"/>
    <x v="794"/>
    <x v="129"/>
    <s v="Series D"/>
    <x v="31"/>
    <s v="0.35000000000000003"/>
    <s v="2020-04"/>
  </r>
  <r>
    <x v="909"/>
    <x v="3"/>
    <x v="15"/>
    <x v="17"/>
    <x v="794"/>
    <x v="230"/>
    <s v="Series D"/>
    <x v="2"/>
    <n v="0.28000000000000003"/>
    <s v="2020-04"/>
  </r>
  <r>
    <x v="2124"/>
    <x v="106"/>
    <x v="22"/>
    <x v="85"/>
    <x v="794"/>
    <x v="639"/>
    <s v="Series D"/>
    <x v="31"/>
    <n v="0.08"/>
    <s v="2020-04"/>
  </r>
  <r>
    <x v="1051"/>
    <x v="106"/>
    <x v="22"/>
    <x v="170"/>
    <x v="794"/>
    <x v="163"/>
    <s v="Series C"/>
    <x v="31"/>
    <n v="0.1"/>
    <s v="2020-04"/>
  </r>
  <r>
    <x v="2230"/>
    <x v="42"/>
    <x v="21"/>
    <x v="150"/>
    <x v="794"/>
    <x v="243"/>
    <s v="Series D"/>
    <x v="16"/>
    <n v="0.05"/>
    <s v="2020-04"/>
  </r>
  <r>
    <x v="2379"/>
    <x v="36"/>
    <x v="11"/>
    <x v="5"/>
    <x v="794"/>
    <x v="433"/>
    <s v="Series B"/>
    <x v="14"/>
    <s v="NA"/>
    <s v="2020-04"/>
  </r>
  <r>
    <x v="1826"/>
    <x v="9"/>
    <x v="0"/>
    <x v="78"/>
    <x v="794"/>
    <x v="626"/>
    <s v="Series I"/>
    <x v="2"/>
    <n v="0.1"/>
    <s v="2020-04"/>
  </r>
  <r>
    <x v="1888"/>
    <x v="6"/>
    <x v="3"/>
    <x v="2"/>
    <x v="794"/>
    <x v="175"/>
    <s v="Series C"/>
    <x v="2"/>
    <n v="0.18"/>
    <s v="2020-04"/>
  </r>
  <r>
    <x v="2380"/>
    <x v="17"/>
    <x v="25"/>
    <x v="46"/>
    <x v="794"/>
    <x v="5"/>
    <s v="Unknown"/>
    <x v="2"/>
    <n v="0.37"/>
    <s v="2020-04"/>
  </r>
  <r>
    <x v="2381"/>
    <x v="6"/>
    <x v="2"/>
    <x v="3"/>
    <x v="794"/>
    <x v="395"/>
    <s v="Series B"/>
    <x v="2"/>
    <n v="0.12"/>
    <s v="2020-04"/>
  </r>
  <r>
    <x v="2382"/>
    <x v="17"/>
    <x v="4"/>
    <x v="3"/>
    <x v="794"/>
    <x v="143"/>
    <s v="Series A"/>
    <x v="2"/>
    <n v="0.38"/>
    <s v="2020-04"/>
  </r>
  <r>
    <x v="2063"/>
    <x v="3"/>
    <x v="0"/>
    <x v="3"/>
    <x v="794"/>
    <x v="452"/>
    <s v="Acquired"/>
    <x v="2"/>
    <s v="NA"/>
    <s v="2020-04"/>
  </r>
  <r>
    <x v="2383"/>
    <x v="62"/>
    <x v="3"/>
    <x v="3"/>
    <x v="794"/>
    <x v="448"/>
    <s v="Unknown"/>
    <x v="7"/>
    <s v="NA"/>
    <s v="2020-04"/>
  </r>
  <r>
    <x v="2384"/>
    <x v="17"/>
    <x v="10"/>
    <x v="80"/>
    <x v="795"/>
    <x v="5"/>
    <s v="Post-IPO"/>
    <x v="2"/>
    <n v="0.13"/>
    <s v="2020-04"/>
  </r>
  <r>
    <x v="2385"/>
    <x v="42"/>
    <x v="1"/>
    <x v="74"/>
    <x v="795"/>
    <x v="92"/>
    <s v="Series B"/>
    <x v="16"/>
    <n v="0.18"/>
    <s v="2020-04"/>
  </r>
  <r>
    <x v="2386"/>
    <x v="91"/>
    <x v="3"/>
    <x v="14"/>
    <x v="795"/>
    <x v="223"/>
    <s v="Series C"/>
    <x v="6"/>
    <n v="0.2"/>
    <s v="2020-04"/>
  </r>
  <r>
    <x v="2387"/>
    <x v="62"/>
    <x v="3"/>
    <x v="3"/>
    <x v="795"/>
    <x v="183"/>
    <s v="Series A"/>
    <x v="7"/>
    <s v="NA"/>
    <s v="2020-04"/>
  </r>
  <r>
    <x v="289"/>
    <x v="23"/>
    <x v="3"/>
    <x v="3"/>
    <x v="795"/>
    <x v="448"/>
    <s v="Series C"/>
    <x v="2"/>
    <s v="NA"/>
    <s v="2020-04"/>
  </r>
  <r>
    <x v="2388"/>
    <x v="3"/>
    <x v="21"/>
    <x v="3"/>
    <x v="795"/>
    <x v="90"/>
    <s v="Series A"/>
    <x v="2"/>
    <s v="NA"/>
    <s v="2020-04"/>
  </r>
  <r>
    <x v="2389"/>
    <x v="236"/>
    <x v="3"/>
    <x v="3"/>
    <x v="795"/>
    <x v="12"/>
    <s v="Unknown"/>
    <x v="2"/>
    <s v="NA"/>
    <s v="2020-04"/>
  </r>
  <r>
    <x v="2390"/>
    <x v="6"/>
    <x v="2"/>
    <x v="3"/>
    <x v="795"/>
    <x v="5"/>
    <s v="Seed"/>
    <x v="2"/>
    <n v="1"/>
    <s v="2020-04"/>
  </r>
  <r>
    <x v="2391"/>
    <x v="74"/>
    <x v="22"/>
    <x v="3"/>
    <x v="795"/>
    <x v="78"/>
    <s v="Series A"/>
    <x v="2"/>
    <s v="NA"/>
    <s v="2020-04"/>
  </r>
  <r>
    <x v="932"/>
    <x v="6"/>
    <x v="22"/>
    <x v="190"/>
    <x v="796"/>
    <x v="113"/>
    <s v="Series E"/>
    <x v="2"/>
    <s v="0.35000000000000003"/>
    <s v="2020-04"/>
  </r>
  <r>
    <x v="104"/>
    <x v="6"/>
    <x v="6"/>
    <x v="28"/>
    <x v="796"/>
    <x v="82"/>
    <s v="Post-IPO"/>
    <x v="2"/>
    <n v="0.2"/>
    <s v="2020-04"/>
  </r>
  <r>
    <x v="2392"/>
    <x v="91"/>
    <x v="21"/>
    <x v="28"/>
    <x v="796"/>
    <x v="249"/>
    <s v="Series C"/>
    <x v="6"/>
    <n v="0.4"/>
    <s v="2020-04"/>
  </r>
  <r>
    <x v="818"/>
    <x v="6"/>
    <x v="0"/>
    <x v="28"/>
    <x v="796"/>
    <x v="413"/>
    <s v="Unknown"/>
    <x v="2"/>
    <n v="0.67"/>
    <s v="2020-04"/>
  </r>
  <r>
    <x v="407"/>
    <x v="6"/>
    <x v="1"/>
    <x v="331"/>
    <x v="796"/>
    <x v="718"/>
    <s v="Series E"/>
    <x v="2"/>
    <n v="0.16"/>
    <s v="2020-04"/>
  </r>
  <r>
    <x v="2393"/>
    <x v="71"/>
    <x v="1"/>
    <x v="1"/>
    <x v="796"/>
    <x v="380"/>
    <s v="Series D"/>
    <x v="26"/>
    <s v="NA"/>
    <s v="2020-04"/>
  </r>
  <r>
    <x v="2394"/>
    <x v="6"/>
    <x v="12"/>
    <x v="5"/>
    <x v="796"/>
    <x v="32"/>
    <s v="Series C"/>
    <x v="2"/>
    <n v="0.25"/>
    <s v="2020-04"/>
  </r>
  <r>
    <x v="2395"/>
    <x v="6"/>
    <x v="10"/>
    <x v="8"/>
    <x v="796"/>
    <x v="252"/>
    <s v="Series A"/>
    <x v="2"/>
    <n v="0.2"/>
    <s v="2020-04"/>
  </r>
  <r>
    <x v="382"/>
    <x v="62"/>
    <x v="21"/>
    <x v="53"/>
    <x v="796"/>
    <x v="302"/>
    <s v="Series B"/>
    <x v="7"/>
    <s v="NA"/>
    <s v="2020-04"/>
  </r>
  <r>
    <x v="207"/>
    <x v="6"/>
    <x v="21"/>
    <x v="46"/>
    <x v="796"/>
    <x v="433"/>
    <s v="Series C"/>
    <x v="2"/>
    <s v="NA"/>
    <s v="2020-04"/>
  </r>
  <r>
    <x v="2396"/>
    <x v="109"/>
    <x v="4"/>
    <x v="3"/>
    <x v="796"/>
    <x v="175"/>
    <s v="Acquired"/>
    <x v="2"/>
    <n v="0.2"/>
    <s v="2020-04"/>
  </r>
  <r>
    <x v="2397"/>
    <x v="71"/>
    <x v="6"/>
    <x v="3"/>
    <x v="796"/>
    <x v="261"/>
    <s v="Series A"/>
    <x v="26"/>
    <n v="0.3"/>
    <s v="2020-04"/>
  </r>
  <r>
    <x v="974"/>
    <x v="6"/>
    <x v="17"/>
    <x v="3"/>
    <x v="796"/>
    <x v="45"/>
    <s v="Series H"/>
    <x v="2"/>
    <s v="NA"/>
    <s v="2020-04"/>
  </r>
  <r>
    <x v="1111"/>
    <x v="6"/>
    <x v="21"/>
    <x v="108"/>
    <x v="797"/>
    <x v="719"/>
    <s v="Post-IPO"/>
    <x v="2"/>
    <n v="0.1"/>
    <s v="2020-04"/>
  </r>
  <r>
    <x v="2398"/>
    <x v="62"/>
    <x v="0"/>
    <x v="139"/>
    <x v="797"/>
    <x v="262"/>
    <s v="Series E"/>
    <x v="7"/>
    <n v="0.23"/>
    <s v="2020-04"/>
  </r>
  <r>
    <x v="2399"/>
    <x v="6"/>
    <x v="12"/>
    <x v="128"/>
    <x v="797"/>
    <x v="448"/>
    <s v="Series B"/>
    <x v="2"/>
    <n v="0.3"/>
    <s v="2020-04"/>
  </r>
  <r>
    <x v="2400"/>
    <x v="6"/>
    <x v="6"/>
    <x v="112"/>
    <x v="797"/>
    <x v="242"/>
    <s v="Series B"/>
    <x v="2"/>
    <s v="0.35000000000000003"/>
    <s v="2020-04"/>
  </r>
  <r>
    <x v="1779"/>
    <x v="6"/>
    <x v="6"/>
    <x v="72"/>
    <x v="797"/>
    <x v="485"/>
    <s v="Series D"/>
    <x v="2"/>
    <s v="NA"/>
    <s v="2020-04"/>
  </r>
  <r>
    <x v="2401"/>
    <x v="6"/>
    <x v="27"/>
    <x v="8"/>
    <x v="797"/>
    <x v="442"/>
    <s v="Series E"/>
    <x v="2"/>
    <s v="NA"/>
    <s v="2020-04"/>
  </r>
  <r>
    <x v="2402"/>
    <x v="106"/>
    <x v="12"/>
    <x v="100"/>
    <x v="797"/>
    <x v="28"/>
    <s v="Unknown"/>
    <x v="31"/>
    <s v="NA"/>
    <s v="2020-04"/>
  </r>
  <r>
    <x v="2172"/>
    <x v="6"/>
    <x v="1"/>
    <x v="3"/>
    <x v="797"/>
    <x v="664"/>
    <s v="Unknown"/>
    <x v="2"/>
    <s v="NA"/>
    <s v="2020-04"/>
  </r>
  <r>
    <x v="2403"/>
    <x v="42"/>
    <x v="7"/>
    <x v="3"/>
    <x v="797"/>
    <x v="393"/>
    <s v="Series C"/>
    <x v="16"/>
    <s v="NA"/>
    <s v="2020-04"/>
  </r>
  <r>
    <x v="1206"/>
    <x v="58"/>
    <x v="21"/>
    <x v="310"/>
    <x v="798"/>
    <x v="52"/>
    <s v="Post-IPO"/>
    <x v="2"/>
    <n v="0.44"/>
    <s v="2020-04"/>
  </r>
  <r>
    <x v="2404"/>
    <x v="6"/>
    <x v="10"/>
    <x v="1"/>
    <x v="798"/>
    <x v="720"/>
    <s v="Series B"/>
    <x v="2"/>
    <n v="0.1"/>
    <s v="2020-04"/>
  </r>
  <r>
    <x v="472"/>
    <x v="106"/>
    <x v="1"/>
    <x v="43"/>
    <x v="798"/>
    <x v="233"/>
    <s v="Series B"/>
    <x v="31"/>
    <n v="0.1"/>
    <s v="2020-04"/>
  </r>
  <r>
    <x v="2405"/>
    <x v="6"/>
    <x v="24"/>
    <x v="31"/>
    <x v="798"/>
    <x v="69"/>
    <s v="Series A"/>
    <x v="2"/>
    <n v="0.25"/>
    <s v="2020-04"/>
  </r>
  <r>
    <x v="2406"/>
    <x v="62"/>
    <x v="1"/>
    <x v="48"/>
    <x v="798"/>
    <x v="2"/>
    <s v="Series B"/>
    <x v="7"/>
    <n v="0.08"/>
    <s v="2020-04"/>
  </r>
  <r>
    <x v="363"/>
    <x v="90"/>
    <x v="26"/>
    <x v="200"/>
    <x v="799"/>
    <x v="238"/>
    <s v="Unknown"/>
    <x v="2"/>
    <s v="NA"/>
    <s v="2020-04"/>
  </r>
  <r>
    <x v="316"/>
    <x v="82"/>
    <x v="7"/>
    <x v="78"/>
    <x v="799"/>
    <x v="11"/>
    <s v="Unknown"/>
    <x v="2"/>
    <n v="0.16"/>
    <s v="2020-04"/>
  </r>
  <r>
    <x v="2407"/>
    <x v="106"/>
    <x v="1"/>
    <x v="2"/>
    <x v="799"/>
    <x v="190"/>
    <s v="Series B"/>
    <x v="31"/>
    <s v="NA"/>
    <s v="2020-04"/>
  </r>
  <r>
    <x v="1702"/>
    <x v="58"/>
    <x v="15"/>
    <x v="26"/>
    <x v="799"/>
    <x v="550"/>
    <s v="Series C"/>
    <x v="2"/>
    <s v="NA"/>
    <s v="2020-04"/>
  </r>
  <r>
    <x v="2408"/>
    <x v="17"/>
    <x v="27"/>
    <x v="33"/>
    <x v="799"/>
    <x v="390"/>
    <s v="Unknown"/>
    <x v="2"/>
    <n v="0.28999999999999998"/>
    <s v="2020-04"/>
  </r>
  <r>
    <x v="2409"/>
    <x v="6"/>
    <x v="28"/>
    <x v="134"/>
    <x v="799"/>
    <x v="55"/>
    <s v="Series B"/>
    <x v="2"/>
    <n v="0.27"/>
    <s v="2020-04"/>
  </r>
  <r>
    <x v="2410"/>
    <x v="4"/>
    <x v="8"/>
    <x v="180"/>
    <x v="799"/>
    <x v="5"/>
    <s v="Unknown"/>
    <x v="2"/>
    <n v="1"/>
    <s v="2020-04"/>
  </r>
  <r>
    <x v="2411"/>
    <x v="4"/>
    <x v="26"/>
    <x v="187"/>
    <x v="799"/>
    <x v="12"/>
    <s v="Unknown"/>
    <x v="2"/>
    <n v="0.31"/>
    <s v="2020-04"/>
  </r>
  <r>
    <x v="2412"/>
    <x v="9"/>
    <x v="1"/>
    <x v="3"/>
    <x v="799"/>
    <x v="2"/>
    <s v="Series C"/>
    <x v="2"/>
    <s v="NA"/>
    <s v="2020-04"/>
  </r>
  <r>
    <x v="2229"/>
    <x v="6"/>
    <x v="6"/>
    <x v="4"/>
    <x v="800"/>
    <x v="13"/>
    <s v="Post-IPO"/>
    <x v="2"/>
    <n v="0.17"/>
    <s v="2020-04"/>
  </r>
  <r>
    <x v="2259"/>
    <x v="137"/>
    <x v="1"/>
    <x v="332"/>
    <x v="800"/>
    <x v="408"/>
    <s v="Series F"/>
    <x v="2"/>
    <s v="NA"/>
    <s v="2020-04"/>
  </r>
  <r>
    <x v="2043"/>
    <x v="23"/>
    <x v="29"/>
    <x v="0"/>
    <x v="800"/>
    <x v="534"/>
    <s v="Series B"/>
    <x v="2"/>
    <n v="0.1"/>
    <s v="2020-04"/>
  </r>
  <r>
    <x v="2413"/>
    <x v="106"/>
    <x v="1"/>
    <x v="288"/>
    <x v="800"/>
    <x v="7"/>
    <s v="Series B"/>
    <x v="31"/>
    <n v="0.31"/>
    <s v="2020-04"/>
  </r>
  <r>
    <x v="369"/>
    <x v="28"/>
    <x v="27"/>
    <x v="58"/>
    <x v="800"/>
    <x v="241"/>
    <s v="Post-IPO"/>
    <x v="2"/>
    <n v="0.1"/>
    <s v="2020-04"/>
  </r>
  <r>
    <x v="706"/>
    <x v="6"/>
    <x v="27"/>
    <x v="58"/>
    <x v="800"/>
    <x v="436"/>
    <s v="Series D"/>
    <x v="2"/>
    <n v="0.34"/>
    <s v="2020-04"/>
  </r>
  <r>
    <x v="2414"/>
    <x v="56"/>
    <x v="18"/>
    <x v="5"/>
    <x v="800"/>
    <x v="448"/>
    <s v="Series B"/>
    <x v="2"/>
    <n v="0.32"/>
    <s v="2020-04"/>
  </r>
  <r>
    <x v="1831"/>
    <x v="62"/>
    <x v="21"/>
    <x v="15"/>
    <x v="800"/>
    <x v="151"/>
    <s v="Series B"/>
    <x v="7"/>
    <n v="0.15"/>
    <s v="2020-04"/>
  </r>
  <r>
    <x v="685"/>
    <x v="67"/>
    <x v="27"/>
    <x v="37"/>
    <x v="800"/>
    <x v="721"/>
    <s v="Series B"/>
    <x v="2"/>
    <n v="0.05"/>
    <s v="2020-04"/>
  </r>
  <r>
    <x v="2415"/>
    <x v="62"/>
    <x v="11"/>
    <x v="53"/>
    <x v="800"/>
    <x v="12"/>
    <s v="Unknown"/>
    <x v="7"/>
    <n v="7.0000000000000007E-2"/>
    <s v="2020-04"/>
  </r>
  <r>
    <x v="2416"/>
    <x v="10"/>
    <x v="3"/>
    <x v="114"/>
    <x v="800"/>
    <x v="10"/>
    <s v="Unknown"/>
    <x v="3"/>
    <n v="0.04"/>
    <s v="2020-04"/>
  </r>
  <r>
    <x v="2417"/>
    <x v="6"/>
    <x v="2"/>
    <x v="3"/>
    <x v="800"/>
    <x v="143"/>
    <s v="Unknown"/>
    <x v="2"/>
    <s v="NA"/>
    <s v="2020-04"/>
  </r>
  <r>
    <x v="2418"/>
    <x v="10"/>
    <x v="2"/>
    <x v="3"/>
    <x v="800"/>
    <x v="252"/>
    <s v="Series B"/>
    <x v="3"/>
    <n v="0.3"/>
    <s v="2020-04"/>
  </r>
  <r>
    <x v="2419"/>
    <x v="9"/>
    <x v="1"/>
    <x v="3"/>
    <x v="800"/>
    <x v="325"/>
    <s v="Unknown"/>
    <x v="2"/>
    <s v="NA"/>
    <s v="2020-04"/>
  </r>
  <r>
    <x v="1070"/>
    <x v="6"/>
    <x v="6"/>
    <x v="30"/>
    <x v="801"/>
    <x v="169"/>
    <s v="Post-IPO"/>
    <x v="2"/>
    <n v="0.45"/>
    <s v="2020-04"/>
  </r>
  <r>
    <x v="880"/>
    <x v="20"/>
    <x v="21"/>
    <x v="28"/>
    <x v="801"/>
    <x v="510"/>
    <s v="Series D"/>
    <x v="6"/>
    <n v="0.28000000000000003"/>
    <s v="2020-04"/>
  </r>
  <r>
    <x v="2183"/>
    <x v="6"/>
    <x v="10"/>
    <x v="248"/>
    <x v="801"/>
    <x v="539"/>
    <s v="Series C"/>
    <x v="2"/>
    <n v="0.33"/>
    <s v="2020-04"/>
  </r>
  <r>
    <x v="2420"/>
    <x v="6"/>
    <x v="1"/>
    <x v="203"/>
    <x v="801"/>
    <x v="252"/>
    <s v="Series B"/>
    <x v="2"/>
    <n v="0.45"/>
    <s v="2020-04"/>
  </r>
  <r>
    <x v="309"/>
    <x v="6"/>
    <x v="15"/>
    <x v="136"/>
    <x v="801"/>
    <x v="32"/>
    <s v="Series C"/>
    <x v="2"/>
    <n v="0.4"/>
    <s v="2020-04"/>
  </r>
  <r>
    <x v="2421"/>
    <x v="234"/>
    <x v="18"/>
    <x v="54"/>
    <x v="801"/>
    <x v="202"/>
    <s v="Series C"/>
    <x v="43"/>
    <s v="0.35000000000000003"/>
    <s v="2020-04"/>
  </r>
  <r>
    <x v="2422"/>
    <x v="3"/>
    <x v="3"/>
    <x v="92"/>
    <x v="801"/>
    <x v="33"/>
    <s v="Series C"/>
    <x v="2"/>
    <s v="0.35000000000000003"/>
    <s v="2020-04"/>
  </r>
  <r>
    <x v="2423"/>
    <x v="3"/>
    <x v="22"/>
    <x v="5"/>
    <x v="801"/>
    <x v="252"/>
    <s v="Series B"/>
    <x v="2"/>
    <n v="0.4"/>
    <s v="2020-04"/>
  </r>
  <r>
    <x v="1861"/>
    <x v="6"/>
    <x v="3"/>
    <x v="2"/>
    <x v="801"/>
    <x v="164"/>
    <s v="Series C"/>
    <x v="2"/>
    <n v="0.05"/>
    <s v="2020-04"/>
  </r>
  <r>
    <x v="2424"/>
    <x v="12"/>
    <x v="3"/>
    <x v="37"/>
    <x v="801"/>
    <x v="12"/>
    <s v="Unknown"/>
    <x v="2"/>
    <n v="0.25"/>
    <s v="2020-04"/>
  </r>
  <r>
    <x v="312"/>
    <x v="9"/>
    <x v="3"/>
    <x v="72"/>
    <x v="801"/>
    <x v="274"/>
    <s v="Series C"/>
    <x v="2"/>
    <n v="0.1"/>
    <s v="2020-04"/>
  </r>
  <r>
    <x v="2425"/>
    <x v="106"/>
    <x v="15"/>
    <x v="160"/>
    <x v="801"/>
    <x v="412"/>
    <s v="Unknown"/>
    <x v="31"/>
    <n v="0.16"/>
    <s v="2020-04"/>
  </r>
  <r>
    <x v="2426"/>
    <x v="62"/>
    <x v="14"/>
    <x v="48"/>
    <x v="801"/>
    <x v="12"/>
    <s v="Unknown"/>
    <x v="7"/>
    <n v="0.1"/>
    <s v="2020-04"/>
  </r>
  <r>
    <x v="2427"/>
    <x v="106"/>
    <x v="6"/>
    <x v="55"/>
    <x v="801"/>
    <x v="90"/>
    <s v="Series B"/>
    <x v="31"/>
    <n v="0.1"/>
    <s v="2020-04"/>
  </r>
  <r>
    <x v="2428"/>
    <x v="17"/>
    <x v="0"/>
    <x v="328"/>
    <x v="801"/>
    <x v="7"/>
    <s v="Series A"/>
    <x v="2"/>
    <n v="0.12"/>
    <s v="2020-04"/>
  </r>
  <r>
    <x v="2429"/>
    <x v="106"/>
    <x v="1"/>
    <x v="3"/>
    <x v="801"/>
    <x v="458"/>
    <s v="Series D"/>
    <x v="31"/>
    <n v="0.06"/>
    <s v="2020-04"/>
  </r>
  <r>
    <x v="2430"/>
    <x v="8"/>
    <x v="3"/>
    <x v="3"/>
    <x v="801"/>
    <x v="492"/>
    <s v="Series C"/>
    <x v="2"/>
    <s v="NA"/>
    <s v="2020-04"/>
  </r>
  <r>
    <x v="2403"/>
    <x v="42"/>
    <x v="7"/>
    <x v="3"/>
    <x v="801"/>
    <x v="393"/>
    <s v="Series C"/>
    <x v="16"/>
    <n v="0.1"/>
    <s v="2020-04"/>
  </r>
  <r>
    <x v="2431"/>
    <x v="3"/>
    <x v="1"/>
    <x v="3"/>
    <x v="801"/>
    <x v="55"/>
    <s v="Series A"/>
    <x v="2"/>
    <s v="NA"/>
    <s v="2020-04"/>
  </r>
  <r>
    <x v="2432"/>
    <x v="41"/>
    <x v="1"/>
    <x v="3"/>
    <x v="801"/>
    <x v="5"/>
    <s v="Unknown"/>
    <x v="15"/>
    <s v="NA"/>
    <s v="2020-04"/>
  </r>
  <r>
    <x v="2433"/>
    <x v="3"/>
    <x v="21"/>
    <x v="3"/>
    <x v="801"/>
    <x v="193"/>
    <s v="Series D"/>
    <x v="2"/>
    <n v="0.2"/>
    <s v="2020-04"/>
  </r>
  <r>
    <x v="159"/>
    <x v="17"/>
    <x v="0"/>
    <x v="205"/>
    <x v="802"/>
    <x v="722"/>
    <s v="Series F"/>
    <x v="2"/>
    <n v="0.5"/>
    <s v="2020-04"/>
  </r>
  <r>
    <x v="2434"/>
    <x v="17"/>
    <x v="0"/>
    <x v="9"/>
    <x v="802"/>
    <x v="648"/>
    <s v="Series D"/>
    <x v="2"/>
    <n v="0.44"/>
    <s v="2020-04"/>
  </r>
  <r>
    <x v="2435"/>
    <x v="17"/>
    <x v="5"/>
    <x v="183"/>
    <x v="802"/>
    <x v="307"/>
    <s v="Post-IPO"/>
    <x v="2"/>
    <n v="0.53"/>
    <s v="2020-04"/>
  </r>
  <r>
    <x v="956"/>
    <x v="4"/>
    <x v="22"/>
    <x v="333"/>
    <x v="802"/>
    <x v="648"/>
    <s v="Post-IPO"/>
    <x v="2"/>
    <n v="7.0000000000000007E-2"/>
    <s v="2020-04"/>
  </r>
  <r>
    <x v="2436"/>
    <x v="6"/>
    <x v="3"/>
    <x v="1"/>
    <x v="802"/>
    <x v="607"/>
    <s v="Series E"/>
    <x v="2"/>
    <n v="0.2"/>
    <s v="2020-04"/>
  </r>
  <r>
    <x v="2437"/>
    <x v="6"/>
    <x v="1"/>
    <x v="105"/>
    <x v="802"/>
    <x v="12"/>
    <s v="Unknown"/>
    <x v="2"/>
    <s v="NA"/>
    <s v="2020-04"/>
  </r>
  <r>
    <x v="2438"/>
    <x v="11"/>
    <x v="21"/>
    <x v="143"/>
    <x v="802"/>
    <x v="390"/>
    <s v="Series D"/>
    <x v="2"/>
    <n v="0.15"/>
    <s v="2020-04"/>
  </r>
  <r>
    <x v="2439"/>
    <x v="6"/>
    <x v="5"/>
    <x v="74"/>
    <x v="802"/>
    <x v="105"/>
    <s v="Series C"/>
    <x v="2"/>
    <s v="NA"/>
    <s v="2020-04"/>
  </r>
  <r>
    <x v="166"/>
    <x v="3"/>
    <x v="21"/>
    <x v="14"/>
    <x v="802"/>
    <x v="123"/>
    <s v="Series D"/>
    <x v="2"/>
    <n v="0.1"/>
    <s v="2020-04"/>
  </r>
  <r>
    <x v="735"/>
    <x v="3"/>
    <x v="3"/>
    <x v="151"/>
    <x v="802"/>
    <x v="383"/>
    <s v="Private Equity"/>
    <x v="2"/>
    <n v="0.08"/>
    <s v="2020-04"/>
  </r>
  <r>
    <x v="2440"/>
    <x v="3"/>
    <x v="26"/>
    <x v="31"/>
    <x v="802"/>
    <x v="442"/>
    <s v="Unknown"/>
    <x v="2"/>
    <n v="7.0000000000000007E-2"/>
    <s v="2020-04"/>
  </r>
  <r>
    <x v="2441"/>
    <x v="17"/>
    <x v="12"/>
    <x v="164"/>
    <x v="802"/>
    <x v="12"/>
    <s v="Unknown"/>
    <x v="2"/>
    <s v="NA"/>
    <s v="2020-04"/>
  </r>
  <r>
    <x v="2442"/>
    <x v="28"/>
    <x v="1"/>
    <x v="2"/>
    <x v="802"/>
    <x v="370"/>
    <s v="Series C"/>
    <x v="2"/>
    <s v="NA"/>
    <s v="2020-04"/>
  </r>
  <r>
    <x v="2443"/>
    <x v="8"/>
    <x v="18"/>
    <x v="3"/>
    <x v="802"/>
    <x v="128"/>
    <s v="Series A"/>
    <x v="2"/>
    <s v="NA"/>
    <s v="2020-04"/>
  </r>
  <r>
    <x v="2444"/>
    <x v="28"/>
    <x v="3"/>
    <x v="3"/>
    <x v="802"/>
    <x v="149"/>
    <s v="Private Equity"/>
    <x v="2"/>
    <s v="NA"/>
    <s v="2020-04"/>
  </r>
  <r>
    <x v="1866"/>
    <x v="6"/>
    <x v="1"/>
    <x v="1"/>
    <x v="803"/>
    <x v="537"/>
    <s v="Series E"/>
    <x v="2"/>
    <n v="0.33"/>
    <s v="2020-04"/>
  </r>
  <r>
    <x v="1340"/>
    <x v="112"/>
    <x v="3"/>
    <x v="1"/>
    <x v="803"/>
    <x v="723"/>
    <s v="Series A"/>
    <x v="31"/>
    <n v="0.2"/>
    <s v="2020-04"/>
  </r>
  <r>
    <x v="2445"/>
    <x v="3"/>
    <x v="3"/>
    <x v="64"/>
    <x v="803"/>
    <x v="61"/>
    <s v="Series B"/>
    <x v="2"/>
    <n v="0.2"/>
    <s v="2020-04"/>
  </r>
  <r>
    <x v="1166"/>
    <x v="106"/>
    <x v="1"/>
    <x v="14"/>
    <x v="803"/>
    <x v="12"/>
    <s v="Unknown"/>
    <x v="31"/>
    <n v="0.06"/>
    <s v="2020-04"/>
  </r>
  <r>
    <x v="2446"/>
    <x v="17"/>
    <x v="3"/>
    <x v="126"/>
    <x v="803"/>
    <x v="151"/>
    <s v="Acquired"/>
    <x v="2"/>
    <n v="0.1"/>
    <s v="2020-04"/>
  </r>
  <r>
    <x v="903"/>
    <x v="17"/>
    <x v="18"/>
    <x v="56"/>
    <x v="803"/>
    <x v="450"/>
    <s v="Series C"/>
    <x v="2"/>
    <n v="0.14000000000000001"/>
    <s v="2020-04"/>
  </r>
  <r>
    <x v="2447"/>
    <x v="38"/>
    <x v="10"/>
    <x v="121"/>
    <x v="803"/>
    <x v="178"/>
    <s v="Series B"/>
    <x v="7"/>
    <n v="0.32"/>
    <s v="2020-04"/>
  </r>
  <r>
    <x v="2448"/>
    <x v="62"/>
    <x v="1"/>
    <x v="8"/>
    <x v="803"/>
    <x v="32"/>
    <s v="Series B"/>
    <x v="7"/>
    <n v="0.2"/>
    <s v="2020-04"/>
  </r>
  <r>
    <x v="2449"/>
    <x v="58"/>
    <x v="12"/>
    <x v="100"/>
    <x v="803"/>
    <x v="86"/>
    <s v="Private Equity"/>
    <x v="2"/>
    <n v="0.1"/>
    <s v="2020-04"/>
  </r>
  <r>
    <x v="2450"/>
    <x v="237"/>
    <x v="2"/>
    <x v="3"/>
    <x v="803"/>
    <x v="225"/>
    <s v="Post-IPO"/>
    <x v="7"/>
    <s v="NA"/>
    <s v="2020-04"/>
  </r>
  <r>
    <x v="488"/>
    <x v="17"/>
    <x v="7"/>
    <x v="3"/>
    <x v="803"/>
    <x v="184"/>
    <s v="Series D"/>
    <x v="2"/>
    <s v="NA"/>
    <s v="2020-04"/>
  </r>
  <r>
    <x v="1335"/>
    <x v="72"/>
    <x v="27"/>
    <x v="3"/>
    <x v="803"/>
    <x v="402"/>
    <s v="Series C"/>
    <x v="2"/>
    <s v="NA"/>
    <s v="2020-04"/>
  </r>
  <r>
    <x v="624"/>
    <x v="6"/>
    <x v="20"/>
    <x v="5"/>
    <x v="804"/>
    <x v="175"/>
    <s v="Unknown"/>
    <x v="2"/>
    <n v="0.25"/>
    <s v="2020-04"/>
  </r>
  <r>
    <x v="2451"/>
    <x v="201"/>
    <x v="6"/>
    <x v="31"/>
    <x v="805"/>
    <x v="724"/>
    <s v="Unknown"/>
    <x v="49"/>
    <n v="0.12"/>
    <s v="2020-04"/>
  </r>
  <r>
    <x v="2452"/>
    <x v="106"/>
    <x v="19"/>
    <x v="334"/>
    <x v="806"/>
    <x v="346"/>
    <s v="Series D"/>
    <x v="31"/>
    <n v="0.33"/>
    <s v="2020-04"/>
  </r>
  <r>
    <x v="344"/>
    <x v="6"/>
    <x v="3"/>
    <x v="11"/>
    <x v="806"/>
    <x v="575"/>
    <s v="Series D"/>
    <x v="2"/>
    <n v="0.5"/>
    <s v="2020-04"/>
  </r>
  <r>
    <x v="546"/>
    <x v="112"/>
    <x v="7"/>
    <x v="335"/>
    <x v="806"/>
    <x v="12"/>
    <s v="Unknown"/>
    <x v="31"/>
    <n v="0.42"/>
    <s v="2020-04"/>
  </r>
  <r>
    <x v="2453"/>
    <x v="6"/>
    <x v="21"/>
    <x v="336"/>
    <x v="806"/>
    <x v="336"/>
    <s v="Series E"/>
    <x v="2"/>
    <n v="0.37"/>
    <s v="2020-04"/>
  </r>
  <r>
    <x v="1080"/>
    <x v="6"/>
    <x v="10"/>
    <x v="24"/>
    <x v="806"/>
    <x v="496"/>
    <s v="Unknown"/>
    <x v="2"/>
    <s v="NA"/>
    <s v="2020-04"/>
  </r>
  <r>
    <x v="2404"/>
    <x v="6"/>
    <x v="10"/>
    <x v="17"/>
    <x v="806"/>
    <x v="720"/>
    <s v="Series B"/>
    <x v="2"/>
    <s v="NA"/>
    <s v="2020-04"/>
  </r>
  <r>
    <x v="2454"/>
    <x v="71"/>
    <x v="7"/>
    <x v="1"/>
    <x v="806"/>
    <x v="12"/>
    <s v="Unknown"/>
    <x v="26"/>
    <n v="0.1"/>
    <s v="2020-04"/>
  </r>
  <r>
    <x v="2455"/>
    <x v="16"/>
    <x v="24"/>
    <x v="133"/>
    <x v="806"/>
    <x v="55"/>
    <s v="Series B"/>
    <x v="2"/>
    <n v="7.0000000000000007E-2"/>
    <s v="2020-04"/>
  </r>
  <r>
    <x v="437"/>
    <x v="17"/>
    <x v="21"/>
    <x v="14"/>
    <x v="806"/>
    <x v="227"/>
    <s v="Series D"/>
    <x v="2"/>
    <n v="0.13"/>
    <s v="2020-04"/>
  </r>
  <r>
    <x v="2456"/>
    <x v="3"/>
    <x v="1"/>
    <x v="78"/>
    <x v="806"/>
    <x v="252"/>
    <s v="Series B"/>
    <x v="2"/>
    <n v="0.4"/>
    <s v="2020-04"/>
  </r>
  <r>
    <x v="350"/>
    <x v="6"/>
    <x v="8"/>
    <x v="145"/>
    <x v="806"/>
    <x v="72"/>
    <s v="Series D"/>
    <x v="2"/>
    <n v="0.13"/>
    <s v="2020-04"/>
  </r>
  <r>
    <x v="1191"/>
    <x v="3"/>
    <x v="26"/>
    <x v="56"/>
    <x v="806"/>
    <x v="323"/>
    <s v="Series E"/>
    <x v="2"/>
    <n v="0.08"/>
    <s v="2020-04"/>
  </r>
  <r>
    <x v="1191"/>
    <x v="3"/>
    <x v="26"/>
    <x v="70"/>
    <x v="806"/>
    <x v="323"/>
    <s v="Series E"/>
    <x v="2"/>
    <s v="NA"/>
    <s v="2020-04"/>
  </r>
  <r>
    <x v="2457"/>
    <x v="62"/>
    <x v="5"/>
    <x v="160"/>
    <x v="806"/>
    <x v="70"/>
    <s v="Series A"/>
    <x v="7"/>
    <n v="0.25"/>
    <s v="2020-04"/>
  </r>
  <r>
    <x v="2458"/>
    <x v="9"/>
    <x v="5"/>
    <x v="48"/>
    <x v="806"/>
    <x v="190"/>
    <s v="Series A"/>
    <x v="2"/>
    <s v="NA"/>
    <s v="2020-04"/>
  </r>
  <r>
    <x v="2459"/>
    <x v="3"/>
    <x v="26"/>
    <x v="53"/>
    <x v="806"/>
    <x v="12"/>
    <s v="Unknown"/>
    <x v="2"/>
    <n v="0.05"/>
    <s v="2020-04"/>
  </r>
  <r>
    <x v="2460"/>
    <x v="28"/>
    <x v="21"/>
    <x v="35"/>
    <x v="806"/>
    <x v="144"/>
    <s v="Series A"/>
    <x v="2"/>
    <s v="NA"/>
    <s v="2020-04"/>
  </r>
  <r>
    <x v="2461"/>
    <x v="73"/>
    <x v="7"/>
    <x v="100"/>
    <x v="806"/>
    <x v="12"/>
    <s v="Unknown"/>
    <x v="2"/>
    <n v="0.25"/>
    <s v="2020-04"/>
  </r>
  <r>
    <x v="2462"/>
    <x v="67"/>
    <x v="26"/>
    <x v="187"/>
    <x v="806"/>
    <x v="12"/>
    <s v="Unknown"/>
    <x v="2"/>
    <n v="0.2"/>
    <s v="2020-04"/>
  </r>
  <r>
    <x v="2463"/>
    <x v="16"/>
    <x v="27"/>
    <x v="3"/>
    <x v="806"/>
    <x v="90"/>
    <s v="Series A"/>
    <x v="2"/>
    <s v="NA"/>
    <s v="2020-04"/>
  </r>
  <r>
    <x v="2464"/>
    <x v="6"/>
    <x v="12"/>
    <x v="3"/>
    <x v="806"/>
    <x v="33"/>
    <s v="Series B"/>
    <x v="2"/>
    <s v="NA"/>
    <s v="2020-04"/>
  </r>
  <r>
    <x v="2465"/>
    <x v="27"/>
    <x v="7"/>
    <x v="3"/>
    <x v="806"/>
    <x v="149"/>
    <s v="Series B"/>
    <x v="9"/>
    <s v="NA"/>
    <s v="2020-04"/>
  </r>
  <r>
    <x v="2466"/>
    <x v="6"/>
    <x v="12"/>
    <x v="3"/>
    <x v="806"/>
    <x v="261"/>
    <s v="Series A"/>
    <x v="2"/>
    <s v="NA"/>
    <s v="2020-04"/>
  </r>
  <r>
    <x v="2467"/>
    <x v="3"/>
    <x v="15"/>
    <x v="3"/>
    <x v="806"/>
    <x v="151"/>
    <s v="Series B"/>
    <x v="2"/>
    <s v="NA"/>
    <s v="2020-04"/>
  </r>
  <r>
    <x v="1774"/>
    <x v="3"/>
    <x v="22"/>
    <x v="3"/>
    <x v="806"/>
    <x v="4"/>
    <s v="Series C"/>
    <x v="2"/>
    <n v="0.5"/>
    <s v="2020-04"/>
  </r>
  <r>
    <x v="1654"/>
    <x v="198"/>
    <x v="19"/>
    <x v="86"/>
    <x v="807"/>
    <x v="436"/>
    <s v="Post-IPO"/>
    <x v="2"/>
    <s v="0.35000000000000003"/>
    <s v="2020-04"/>
  </r>
  <r>
    <x v="2159"/>
    <x v="6"/>
    <x v="28"/>
    <x v="149"/>
    <x v="807"/>
    <x v="63"/>
    <s v="Series D"/>
    <x v="2"/>
    <n v="0.03"/>
    <s v="2020-04"/>
  </r>
  <r>
    <x v="766"/>
    <x v="62"/>
    <x v="0"/>
    <x v="179"/>
    <x v="807"/>
    <x v="282"/>
    <s v="Series C"/>
    <x v="7"/>
    <n v="0.54"/>
    <s v="2020-04"/>
  </r>
  <r>
    <x v="2468"/>
    <x v="3"/>
    <x v="19"/>
    <x v="103"/>
    <x v="807"/>
    <x v="538"/>
    <s v="Series E"/>
    <x v="2"/>
    <n v="0.22"/>
    <s v="2020-04"/>
  </r>
  <r>
    <x v="2469"/>
    <x v="68"/>
    <x v="19"/>
    <x v="1"/>
    <x v="807"/>
    <x v="79"/>
    <s v="Series D"/>
    <x v="5"/>
    <n v="0.25"/>
    <s v="2020-04"/>
  </r>
  <r>
    <x v="158"/>
    <x v="55"/>
    <x v="10"/>
    <x v="1"/>
    <x v="807"/>
    <x v="251"/>
    <s v="Series B"/>
    <x v="22"/>
    <s v="NA"/>
    <s v="2020-04"/>
  </r>
  <r>
    <x v="2470"/>
    <x v="3"/>
    <x v="22"/>
    <x v="58"/>
    <x v="807"/>
    <x v="23"/>
    <s v="Series D"/>
    <x v="2"/>
    <n v="0.2"/>
    <s v="2020-04"/>
  </r>
  <r>
    <x v="2471"/>
    <x v="3"/>
    <x v="21"/>
    <x v="43"/>
    <x v="807"/>
    <x v="403"/>
    <s v="Series D"/>
    <x v="2"/>
    <n v="0.17"/>
    <s v="2020-04"/>
  </r>
  <r>
    <x v="2472"/>
    <x v="6"/>
    <x v="21"/>
    <x v="74"/>
    <x v="807"/>
    <x v="590"/>
    <s v="Series B"/>
    <x v="2"/>
    <n v="0.3"/>
    <s v="2020-04"/>
  </r>
  <r>
    <x v="714"/>
    <x v="3"/>
    <x v="25"/>
    <x v="14"/>
    <x v="807"/>
    <x v="154"/>
    <s v="Series B"/>
    <x v="2"/>
    <s v="NA"/>
    <s v="2020-04"/>
  </r>
  <r>
    <x v="1848"/>
    <x v="17"/>
    <x v="12"/>
    <x v="157"/>
    <x v="807"/>
    <x v="164"/>
    <s v="Acquired"/>
    <x v="2"/>
    <n v="0.25"/>
    <s v="2020-04"/>
  </r>
  <r>
    <x v="2473"/>
    <x v="19"/>
    <x v="10"/>
    <x v="5"/>
    <x v="807"/>
    <x v="270"/>
    <s v="Series C"/>
    <x v="6"/>
    <s v="NA"/>
    <s v="2020-04"/>
  </r>
  <r>
    <x v="2474"/>
    <x v="17"/>
    <x v="15"/>
    <x v="178"/>
    <x v="807"/>
    <x v="9"/>
    <s v="Private Equity"/>
    <x v="2"/>
    <n v="0.2"/>
    <s v="2020-04"/>
  </r>
  <r>
    <x v="1006"/>
    <x v="6"/>
    <x v="3"/>
    <x v="78"/>
    <x v="807"/>
    <x v="477"/>
    <s v="Series C"/>
    <x v="2"/>
    <s v="NA"/>
    <s v="2020-04"/>
  </r>
  <r>
    <x v="2475"/>
    <x v="6"/>
    <x v="12"/>
    <x v="78"/>
    <x v="807"/>
    <x v="436"/>
    <s v="Series E"/>
    <x v="2"/>
    <n v="0.19"/>
    <s v="2020-04"/>
  </r>
  <r>
    <x v="2476"/>
    <x v="72"/>
    <x v="26"/>
    <x v="2"/>
    <x v="807"/>
    <x v="86"/>
    <s v="Series D"/>
    <x v="2"/>
    <s v="NA"/>
    <s v="2020-04"/>
  </r>
  <r>
    <x v="2477"/>
    <x v="6"/>
    <x v="8"/>
    <x v="2"/>
    <x v="807"/>
    <x v="265"/>
    <s v="Unknown"/>
    <x v="2"/>
    <n v="0.15"/>
    <s v="2020-04"/>
  </r>
  <r>
    <x v="2478"/>
    <x v="6"/>
    <x v="12"/>
    <x v="126"/>
    <x v="807"/>
    <x v="252"/>
    <s v="Series B"/>
    <x v="2"/>
    <s v="NA"/>
    <s v="2020-04"/>
  </r>
  <r>
    <x v="1135"/>
    <x v="3"/>
    <x v="3"/>
    <x v="121"/>
    <x v="807"/>
    <x v="90"/>
    <s v="Series B"/>
    <x v="2"/>
    <n v="7.0000000000000007E-2"/>
    <s v="2020-04"/>
  </r>
  <r>
    <x v="2479"/>
    <x v="4"/>
    <x v="11"/>
    <x v="84"/>
    <x v="807"/>
    <x v="78"/>
    <s v="Unknown"/>
    <x v="2"/>
    <n v="7.0000000000000007E-2"/>
    <s v="2020-04"/>
  </r>
  <r>
    <x v="2480"/>
    <x v="20"/>
    <x v="1"/>
    <x v="180"/>
    <x v="807"/>
    <x v="115"/>
    <s v="Unknown"/>
    <x v="6"/>
    <n v="0.06"/>
    <s v="2020-04"/>
  </r>
  <r>
    <x v="2481"/>
    <x v="28"/>
    <x v="0"/>
    <x v="187"/>
    <x v="807"/>
    <x v="47"/>
    <s v="Series A"/>
    <x v="2"/>
    <n v="7.0000000000000007E-2"/>
    <s v="2020-04"/>
  </r>
  <r>
    <x v="2482"/>
    <x v="23"/>
    <x v="22"/>
    <x v="3"/>
    <x v="807"/>
    <x v="12"/>
    <s v="Unknown"/>
    <x v="2"/>
    <n v="0.5"/>
    <s v="2020-04"/>
  </r>
  <r>
    <x v="2483"/>
    <x v="20"/>
    <x v="21"/>
    <x v="3"/>
    <x v="807"/>
    <x v="477"/>
    <s v="Private Equity"/>
    <x v="6"/>
    <s v="NA"/>
    <s v="2020-04"/>
  </r>
  <r>
    <x v="1977"/>
    <x v="6"/>
    <x v="21"/>
    <x v="3"/>
    <x v="807"/>
    <x v="293"/>
    <s v="Series C"/>
    <x v="2"/>
    <s v="NA"/>
    <s v="2020-04"/>
  </r>
  <r>
    <x v="2484"/>
    <x v="187"/>
    <x v="21"/>
    <x v="3"/>
    <x v="807"/>
    <x v="12"/>
    <s v="Unknown"/>
    <x v="54"/>
    <n v="1"/>
    <s v="2020-04"/>
  </r>
  <r>
    <x v="1490"/>
    <x v="3"/>
    <x v="4"/>
    <x v="3"/>
    <x v="807"/>
    <x v="12"/>
    <s v="Unknown"/>
    <x v="2"/>
    <s v="NA"/>
    <s v="2020-04"/>
  </r>
  <r>
    <x v="2485"/>
    <x v="6"/>
    <x v="6"/>
    <x v="28"/>
    <x v="808"/>
    <x v="635"/>
    <s v="Series B"/>
    <x v="2"/>
    <s v="NA"/>
    <s v="2020-04"/>
  </r>
  <r>
    <x v="2486"/>
    <x v="238"/>
    <x v="7"/>
    <x v="28"/>
    <x v="808"/>
    <x v="12"/>
    <s v="Unknown"/>
    <x v="62"/>
    <n v="0.33"/>
    <s v="2020-04"/>
  </r>
  <r>
    <x v="2487"/>
    <x v="9"/>
    <x v="5"/>
    <x v="1"/>
    <x v="808"/>
    <x v="61"/>
    <s v="Series B"/>
    <x v="2"/>
    <n v="0.2"/>
    <s v="2020-04"/>
  </r>
  <r>
    <x v="66"/>
    <x v="58"/>
    <x v="3"/>
    <x v="294"/>
    <x v="808"/>
    <x v="57"/>
    <s v="Series D"/>
    <x v="2"/>
    <n v="0.12"/>
    <s v="2020-04"/>
  </r>
  <r>
    <x v="731"/>
    <x v="14"/>
    <x v="26"/>
    <x v="166"/>
    <x v="808"/>
    <x v="725"/>
    <s v="Series A"/>
    <x v="5"/>
    <n v="0.25"/>
    <s v="2020-04"/>
  </r>
  <r>
    <x v="2488"/>
    <x v="6"/>
    <x v="1"/>
    <x v="31"/>
    <x v="808"/>
    <x v="442"/>
    <s v="Series C"/>
    <x v="2"/>
    <n v="0.2"/>
    <s v="2020-04"/>
  </r>
  <r>
    <x v="2489"/>
    <x v="6"/>
    <x v="15"/>
    <x v="164"/>
    <x v="808"/>
    <x v="80"/>
    <s v="Series C"/>
    <x v="2"/>
    <n v="0.13"/>
    <s v="2020-04"/>
  </r>
  <r>
    <x v="2490"/>
    <x v="91"/>
    <x v="1"/>
    <x v="112"/>
    <x v="808"/>
    <x v="459"/>
    <s v="Unknown"/>
    <x v="6"/>
    <n v="0.09"/>
    <s v="2020-04"/>
  </r>
  <r>
    <x v="2491"/>
    <x v="8"/>
    <x v="10"/>
    <x v="26"/>
    <x v="808"/>
    <x v="12"/>
    <s v="Unknown"/>
    <x v="2"/>
    <n v="0.37"/>
    <s v="2020-04"/>
  </r>
  <r>
    <x v="1468"/>
    <x v="1"/>
    <x v="25"/>
    <x v="56"/>
    <x v="808"/>
    <x v="175"/>
    <s v="Series C"/>
    <x v="1"/>
    <n v="0.09"/>
    <s v="2020-04"/>
  </r>
  <r>
    <x v="2492"/>
    <x v="17"/>
    <x v="3"/>
    <x v="33"/>
    <x v="808"/>
    <x v="90"/>
    <s v="Series A"/>
    <x v="2"/>
    <n v="0.2"/>
    <s v="2020-04"/>
  </r>
  <r>
    <x v="2493"/>
    <x v="11"/>
    <x v="7"/>
    <x v="160"/>
    <x v="808"/>
    <x v="183"/>
    <s v="Series A"/>
    <x v="2"/>
    <s v="NA"/>
    <s v="2020-04"/>
  </r>
  <r>
    <x v="2494"/>
    <x v="62"/>
    <x v="1"/>
    <x v="48"/>
    <x v="808"/>
    <x v="86"/>
    <s v="Series B"/>
    <x v="7"/>
    <n v="0.2"/>
    <s v="2020-04"/>
  </r>
  <r>
    <x v="2495"/>
    <x v="4"/>
    <x v="3"/>
    <x v="8"/>
    <x v="808"/>
    <x v="315"/>
    <s v="Series C"/>
    <x v="2"/>
    <n v="0.25"/>
    <s v="2020-04"/>
  </r>
  <r>
    <x v="2496"/>
    <x v="6"/>
    <x v="5"/>
    <x v="137"/>
    <x v="808"/>
    <x v="128"/>
    <s v="Series A"/>
    <x v="2"/>
    <n v="0.4"/>
    <s v="2020-04"/>
  </r>
  <r>
    <x v="2497"/>
    <x v="9"/>
    <x v="1"/>
    <x v="3"/>
    <x v="808"/>
    <x v="12"/>
    <s v="Unknown"/>
    <x v="2"/>
    <s v="NA"/>
    <s v="2020-04"/>
  </r>
  <r>
    <x v="2498"/>
    <x v="9"/>
    <x v="21"/>
    <x v="3"/>
    <x v="808"/>
    <x v="199"/>
    <s v="Series D"/>
    <x v="2"/>
    <s v="NA"/>
    <s v="2020-04"/>
  </r>
  <r>
    <x v="2499"/>
    <x v="6"/>
    <x v="21"/>
    <x v="3"/>
    <x v="808"/>
    <x v="267"/>
    <s v="Series C"/>
    <x v="2"/>
    <n v="0.5"/>
    <s v="2020-04"/>
  </r>
  <r>
    <x v="2500"/>
    <x v="239"/>
    <x v="28"/>
    <x v="3"/>
    <x v="808"/>
    <x v="315"/>
    <s v="Series C"/>
    <x v="2"/>
    <s v="NA"/>
    <s v="2020-04"/>
  </r>
  <r>
    <x v="2501"/>
    <x v="3"/>
    <x v="3"/>
    <x v="3"/>
    <x v="808"/>
    <x v="388"/>
    <s v="Series C"/>
    <x v="2"/>
    <n v="0.6"/>
    <s v="2020-04"/>
  </r>
  <r>
    <x v="2502"/>
    <x v="72"/>
    <x v="7"/>
    <x v="3"/>
    <x v="808"/>
    <x v="91"/>
    <s v="Series B"/>
    <x v="2"/>
    <n v="0.5"/>
    <s v="2020-04"/>
  </r>
  <r>
    <x v="2503"/>
    <x v="6"/>
    <x v="24"/>
    <x v="337"/>
    <x v="809"/>
    <x v="402"/>
    <s v="Series D"/>
    <x v="2"/>
    <n v="0.18"/>
    <s v="2020-03"/>
  </r>
  <r>
    <x v="2504"/>
    <x v="28"/>
    <x v="3"/>
    <x v="224"/>
    <x v="809"/>
    <x v="66"/>
    <s v="Series C"/>
    <x v="2"/>
    <n v="0.3"/>
    <s v="2020-03"/>
  </r>
  <r>
    <x v="2505"/>
    <x v="4"/>
    <x v="6"/>
    <x v="338"/>
    <x v="809"/>
    <x v="224"/>
    <s v="Series G"/>
    <x v="2"/>
    <s v="0.41000000000000003"/>
    <s v="2020-03"/>
  </r>
  <r>
    <x v="2506"/>
    <x v="6"/>
    <x v="10"/>
    <x v="209"/>
    <x v="809"/>
    <x v="489"/>
    <s v="Series E"/>
    <x v="2"/>
    <n v="0.3"/>
    <s v="2020-03"/>
  </r>
  <r>
    <x v="2507"/>
    <x v="16"/>
    <x v="24"/>
    <x v="74"/>
    <x v="809"/>
    <x v="395"/>
    <s v="Series D"/>
    <x v="2"/>
    <n v="0.37"/>
    <s v="2020-03"/>
  </r>
  <r>
    <x v="2508"/>
    <x v="26"/>
    <x v="22"/>
    <x v="31"/>
    <x v="809"/>
    <x v="12"/>
    <s v="Acquired"/>
    <x v="2"/>
    <n v="0.25"/>
    <s v="2020-03"/>
  </r>
  <r>
    <x v="2509"/>
    <x v="67"/>
    <x v="3"/>
    <x v="5"/>
    <x v="809"/>
    <x v="67"/>
    <s v="Unknown"/>
    <x v="2"/>
    <s v="NA"/>
    <s v="2020-03"/>
  </r>
  <r>
    <x v="2510"/>
    <x v="6"/>
    <x v="15"/>
    <x v="33"/>
    <x v="809"/>
    <x v="7"/>
    <s v="Series B"/>
    <x v="2"/>
    <s v="NA"/>
    <s v="2020-03"/>
  </r>
  <r>
    <x v="2511"/>
    <x v="4"/>
    <x v="19"/>
    <x v="48"/>
    <x v="809"/>
    <x v="202"/>
    <s v="Series C"/>
    <x v="2"/>
    <n v="0.04"/>
    <s v="2020-03"/>
  </r>
  <r>
    <x v="2512"/>
    <x v="26"/>
    <x v="3"/>
    <x v="187"/>
    <x v="809"/>
    <x v="7"/>
    <s v="Series B"/>
    <x v="2"/>
    <n v="0.14000000000000001"/>
    <s v="2020-03"/>
  </r>
  <r>
    <x v="2513"/>
    <x v="6"/>
    <x v="7"/>
    <x v="3"/>
    <x v="809"/>
    <x v="8"/>
    <s v="Series C"/>
    <x v="2"/>
    <s v="NA"/>
    <s v="2020-03"/>
  </r>
  <r>
    <x v="2514"/>
    <x v="28"/>
    <x v="3"/>
    <x v="3"/>
    <x v="809"/>
    <x v="144"/>
    <s v="Seed"/>
    <x v="2"/>
    <s v="NA"/>
    <s v="2020-03"/>
  </r>
  <r>
    <x v="2179"/>
    <x v="3"/>
    <x v="7"/>
    <x v="3"/>
    <x v="809"/>
    <x v="217"/>
    <s v="Series B"/>
    <x v="2"/>
    <n v="0.3"/>
    <s v="2020-03"/>
  </r>
  <r>
    <x v="2515"/>
    <x v="16"/>
    <x v="12"/>
    <x v="3"/>
    <x v="809"/>
    <x v="115"/>
    <s v="Series A"/>
    <x v="2"/>
    <s v="0.35000000000000003"/>
    <s v="2020-03"/>
  </r>
  <r>
    <x v="2516"/>
    <x v="28"/>
    <x v="1"/>
    <x v="3"/>
    <x v="809"/>
    <x v="12"/>
    <s v="Unknown"/>
    <x v="2"/>
    <s v="NA"/>
    <s v="2020-03"/>
  </r>
  <r>
    <x v="2517"/>
    <x v="17"/>
    <x v="8"/>
    <x v="3"/>
    <x v="809"/>
    <x v="48"/>
    <s v="Series E"/>
    <x v="2"/>
    <s v="NA"/>
    <s v="2020-03"/>
  </r>
  <r>
    <x v="1420"/>
    <x v="6"/>
    <x v="6"/>
    <x v="38"/>
    <x v="810"/>
    <x v="413"/>
    <s v="Series F"/>
    <x v="2"/>
    <n v="0.3"/>
    <s v="2020-03"/>
  </r>
  <r>
    <x v="2518"/>
    <x v="16"/>
    <x v="17"/>
    <x v="17"/>
    <x v="810"/>
    <x v="413"/>
    <s v="Series D"/>
    <x v="2"/>
    <n v="0.25"/>
    <s v="2020-03"/>
  </r>
  <r>
    <x v="2519"/>
    <x v="19"/>
    <x v="7"/>
    <x v="54"/>
    <x v="810"/>
    <x v="635"/>
    <s v="Series B"/>
    <x v="6"/>
    <n v="0.2"/>
    <s v="2020-03"/>
  </r>
  <r>
    <x v="2520"/>
    <x v="1"/>
    <x v="12"/>
    <x v="43"/>
    <x v="810"/>
    <x v="431"/>
    <s v="Series A"/>
    <x v="1"/>
    <n v="0.3"/>
    <s v="2020-03"/>
  </r>
  <r>
    <x v="1102"/>
    <x v="9"/>
    <x v="1"/>
    <x v="166"/>
    <x v="810"/>
    <x v="230"/>
    <s v="Series C"/>
    <x v="2"/>
    <n v="0.3"/>
    <s v="2020-03"/>
  </r>
  <r>
    <x v="2521"/>
    <x v="4"/>
    <x v="26"/>
    <x v="111"/>
    <x v="810"/>
    <x v="334"/>
    <s v="Post-IPO"/>
    <x v="2"/>
    <n v="0.09"/>
    <s v="2020-03"/>
  </r>
  <r>
    <x v="2522"/>
    <x v="6"/>
    <x v="24"/>
    <x v="2"/>
    <x v="810"/>
    <x v="12"/>
    <s v="Unknown"/>
    <x v="2"/>
    <n v="0.1"/>
    <s v="2020-03"/>
  </r>
  <r>
    <x v="2523"/>
    <x v="17"/>
    <x v="4"/>
    <x v="2"/>
    <x v="810"/>
    <x v="230"/>
    <s v="Series E"/>
    <x v="2"/>
    <s v="NA"/>
    <s v="2020-03"/>
  </r>
  <r>
    <x v="2524"/>
    <x v="75"/>
    <x v="10"/>
    <x v="2"/>
    <x v="810"/>
    <x v="187"/>
    <s v="Series A"/>
    <x v="27"/>
    <s v="NA"/>
    <s v="2020-03"/>
  </r>
  <r>
    <x v="2525"/>
    <x v="3"/>
    <x v="22"/>
    <x v="37"/>
    <x v="810"/>
    <x v="143"/>
    <s v="Series A"/>
    <x v="2"/>
    <n v="0.75"/>
    <s v="2020-03"/>
  </r>
  <r>
    <x v="619"/>
    <x v="6"/>
    <x v="21"/>
    <x v="33"/>
    <x v="810"/>
    <x v="61"/>
    <s v="Series A"/>
    <x v="2"/>
    <s v="NA"/>
    <s v="2020-03"/>
  </r>
  <r>
    <x v="2526"/>
    <x v="3"/>
    <x v="0"/>
    <x v="137"/>
    <x v="810"/>
    <x v="128"/>
    <s v="Seed"/>
    <x v="2"/>
    <n v="0.5"/>
    <s v="2020-03"/>
  </r>
  <r>
    <x v="2527"/>
    <x v="6"/>
    <x v="21"/>
    <x v="3"/>
    <x v="810"/>
    <x v="136"/>
    <s v="Series C"/>
    <x v="2"/>
    <s v="NA"/>
    <s v="2020-03"/>
  </r>
  <r>
    <x v="829"/>
    <x v="9"/>
    <x v="15"/>
    <x v="9"/>
    <x v="811"/>
    <x v="420"/>
    <s v="Series B"/>
    <x v="2"/>
    <n v="0.39"/>
    <s v="2020-03"/>
  </r>
  <r>
    <x v="2528"/>
    <x v="4"/>
    <x v="3"/>
    <x v="48"/>
    <x v="811"/>
    <x v="225"/>
    <s v="Series B"/>
    <x v="2"/>
    <n v="1"/>
    <s v="2020-03"/>
  </r>
  <r>
    <x v="2529"/>
    <x v="6"/>
    <x v="6"/>
    <x v="100"/>
    <x v="811"/>
    <x v="142"/>
    <s v="Series A"/>
    <x v="2"/>
    <s v="NA"/>
    <s v="2020-03"/>
  </r>
  <r>
    <x v="2530"/>
    <x v="48"/>
    <x v="7"/>
    <x v="38"/>
    <x v="812"/>
    <x v="381"/>
    <s v="Series D"/>
    <x v="6"/>
    <n v="0.5"/>
    <s v="2020-03"/>
  </r>
  <r>
    <x v="2244"/>
    <x v="3"/>
    <x v="22"/>
    <x v="38"/>
    <x v="812"/>
    <x v="715"/>
    <s v="Series H"/>
    <x v="2"/>
    <s v="NA"/>
    <s v="2020-03"/>
  </r>
  <r>
    <x v="291"/>
    <x v="3"/>
    <x v="21"/>
    <x v="3"/>
    <x v="812"/>
    <x v="726"/>
    <s v="Series F"/>
    <x v="2"/>
    <s v="NA"/>
    <s v="2020-03"/>
  </r>
  <r>
    <x v="2531"/>
    <x v="10"/>
    <x v="20"/>
    <x v="315"/>
    <x v="813"/>
    <x v="197"/>
    <s v="Unknown"/>
    <x v="3"/>
    <n v="0.85"/>
    <s v="2020-03"/>
  </r>
  <r>
    <x v="489"/>
    <x v="9"/>
    <x v="10"/>
    <x v="339"/>
    <x v="813"/>
    <x v="727"/>
    <s v="Series D"/>
    <x v="2"/>
    <n v="0.3"/>
    <s v="2020-03"/>
  </r>
  <r>
    <x v="2532"/>
    <x v="42"/>
    <x v="6"/>
    <x v="38"/>
    <x v="813"/>
    <x v="539"/>
    <s v="Unknown"/>
    <x v="16"/>
    <n v="1"/>
    <s v="2020-03"/>
  </r>
  <r>
    <x v="1377"/>
    <x v="6"/>
    <x v="21"/>
    <x v="286"/>
    <x v="813"/>
    <x v="143"/>
    <s v="Unknown"/>
    <x v="2"/>
    <s v="NA"/>
    <s v="2020-03"/>
  </r>
  <r>
    <x v="1789"/>
    <x v="17"/>
    <x v="27"/>
    <x v="28"/>
    <x v="813"/>
    <x v="646"/>
    <s v="Series E"/>
    <x v="2"/>
    <s v="NA"/>
    <s v="2020-03"/>
  </r>
  <r>
    <x v="2533"/>
    <x v="9"/>
    <x v="0"/>
    <x v="142"/>
    <x v="813"/>
    <x v="295"/>
    <s v="Series C"/>
    <x v="2"/>
    <s v="NA"/>
    <s v="2020-03"/>
  </r>
  <r>
    <x v="2534"/>
    <x v="3"/>
    <x v="22"/>
    <x v="80"/>
    <x v="813"/>
    <x v="334"/>
    <s v="Series B"/>
    <x v="2"/>
    <n v="0.25"/>
    <s v="2020-03"/>
  </r>
  <r>
    <x v="2188"/>
    <x v="3"/>
    <x v="22"/>
    <x v="235"/>
    <x v="813"/>
    <x v="543"/>
    <s v="Series C"/>
    <x v="2"/>
    <n v="0.3"/>
    <s v="2020-03"/>
  </r>
  <r>
    <x v="180"/>
    <x v="6"/>
    <x v="10"/>
    <x v="1"/>
    <x v="813"/>
    <x v="728"/>
    <s v="Series D"/>
    <x v="2"/>
    <n v="0.25"/>
    <s v="2020-03"/>
  </r>
  <r>
    <x v="2535"/>
    <x v="17"/>
    <x v="10"/>
    <x v="1"/>
    <x v="813"/>
    <x v="158"/>
    <s v="Acquired"/>
    <x v="2"/>
    <n v="0.2"/>
    <s v="2020-03"/>
  </r>
  <r>
    <x v="2536"/>
    <x v="37"/>
    <x v="1"/>
    <x v="197"/>
    <x v="813"/>
    <x v="622"/>
    <s v="Post-IPO"/>
    <x v="7"/>
    <n v="0.3"/>
    <s v="2020-03"/>
  </r>
  <r>
    <x v="2537"/>
    <x v="16"/>
    <x v="29"/>
    <x v="133"/>
    <x v="813"/>
    <x v="139"/>
    <s v="Series E"/>
    <x v="2"/>
    <s v="NA"/>
    <s v="2020-03"/>
  </r>
  <r>
    <x v="2538"/>
    <x v="12"/>
    <x v="28"/>
    <x v="14"/>
    <x v="813"/>
    <x v="69"/>
    <s v="Series A"/>
    <x v="2"/>
    <s v="NA"/>
    <s v="2020-03"/>
  </r>
  <r>
    <x v="2539"/>
    <x v="37"/>
    <x v="1"/>
    <x v="170"/>
    <x v="813"/>
    <x v="27"/>
    <s v="Series B"/>
    <x v="7"/>
    <n v="0.1"/>
    <s v="2020-03"/>
  </r>
  <r>
    <x v="1051"/>
    <x v="106"/>
    <x v="22"/>
    <x v="170"/>
    <x v="813"/>
    <x v="163"/>
    <s v="Series C"/>
    <x v="31"/>
    <s v="NA"/>
    <s v="2020-03"/>
  </r>
  <r>
    <x v="2540"/>
    <x v="6"/>
    <x v="0"/>
    <x v="5"/>
    <x v="813"/>
    <x v="132"/>
    <s v="Seed"/>
    <x v="2"/>
    <s v="NA"/>
    <s v="2020-03"/>
  </r>
  <r>
    <x v="2541"/>
    <x v="17"/>
    <x v="0"/>
    <x v="2"/>
    <x v="813"/>
    <x v="73"/>
    <s v="Series C"/>
    <x v="2"/>
    <n v="0.2"/>
    <s v="2020-03"/>
  </r>
  <r>
    <x v="117"/>
    <x v="4"/>
    <x v="15"/>
    <x v="2"/>
    <x v="813"/>
    <x v="149"/>
    <s v="Unknown"/>
    <x v="2"/>
    <n v="0.2"/>
    <s v="2020-03"/>
  </r>
  <r>
    <x v="2542"/>
    <x v="8"/>
    <x v="3"/>
    <x v="33"/>
    <x v="813"/>
    <x v="225"/>
    <s v="Series B"/>
    <x v="2"/>
    <s v="NA"/>
    <s v="2020-03"/>
  </r>
  <r>
    <x v="2472"/>
    <x v="3"/>
    <x v="21"/>
    <x v="100"/>
    <x v="813"/>
    <x v="590"/>
    <s v="Series B"/>
    <x v="2"/>
    <s v="NA"/>
    <s v="2020-03"/>
  </r>
  <r>
    <x v="2543"/>
    <x v="166"/>
    <x v="1"/>
    <x v="3"/>
    <x v="813"/>
    <x v="12"/>
    <s v="Series A"/>
    <x v="31"/>
    <s v="NA"/>
    <s v="2020-03"/>
  </r>
  <r>
    <x v="2544"/>
    <x v="6"/>
    <x v="11"/>
    <x v="3"/>
    <x v="813"/>
    <x v="12"/>
    <s v="Unknown"/>
    <x v="2"/>
    <s v="NA"/>
    <s v="2020-03"/>
  </r>
  <r>
    <x v="2545"/>
    <x v="16"/>
    <x v="8"/>
    <x v="3"/>
    <x v="813"/>
    <x v="513"/>
    <s v="Series H"/>
    <x v="2"/>
    <s v="NA"/>
    <s v="2020-03"/>
  </r>
  <r>
    <x v="2546"/>
    <x v="6"/>
    <x v="21"/>
    <x v="38"/>
    <x v="814"/>
    <x v="329"/>
    <s v="Series C"/>
    <x v="2"/>
    <n v="0.5"/>
    <s v="2020-03"/>
  </r>
  <r>
    <x v="2547"/>
    <x v="48"/>
    <x v="7"/>
    <x v="28"/>
    <x v="814"/>
    <x v="12"/>
    <s v="Unknown"/>
    <x v="6"/>
    <s v="NA"/>
    <s v="2020-03"/>
  </r>
  <r>
    <x v="1844"/>
    <x v="8"/>
    <x v="8"/>
    <x v="31"/>
    <x v="814"/>
    <x v="320"/>
    <s v="Series F"/>
    <x v="2"/>
    <n v="0.1"/>
    <s v="2020-03"/>
  </r>
  <r>
    <x v="2548"/>
    <x v="62"/>
    <x v="17"/>
    <x v="170"/>
    <x v="814"/>
    <x v="320"/>
    <s v="Series C"/>
    <x v="7"/>
    <n v="0.1"/>
    <s v="2020-03"/>
  </r>
  <r>
    <x v="2549"/>
    <x v="111"/>
    <x v="10"/>
    <x v="150"/>
    <x v="814"/>
    <x v="208"/>
    <s v="Series D"/>
    <x v="2"/>
    <s v="NA"/>
    <s v="2020-03"/>
  </r>
  <r>
    <x v="2550"/>
    <x v="6"/>
    <x v="22"/>
    <x v="201"/>
    <x v="814"/>
    <x v="433"/>
    <s v="Series B"/>
    <x v="2"/>
    <n v="0.75"/>
    <s v="2020-03"/>
  </r>
  <r>
    <x v="2551"/>
    <x v="11"/>
    <x v="21"/>
    <x v="121"/>
    <x v="814"/>
    <x v="381"/>
    <s v="Series B"/>
    <x v="2"/>
    <n v="0.2"/>
    <s v="2020-03"/>
  </r>
  <r>
    <x v="2552"/>
    <x v="6"/>
    <x v="4"/>
    <x v="46"/>
    <x v="814"/>
    <x v="28"/>
    <s v="Seed"/>
    <x v="2"/>
    <n v="1"/>
    <s v="2020-03"/>
  </r>
  <r>
    <x v="2553"/>
    <x v="9"/>
    <x v="3"/>
    <x v="3"/>
    <x v="814"/>
    <x v="55"/>
    <s v="Series B"/>
    <x v="2"/>
    <n v="0.4"/>
    <s v="2020-03"/>
  </r>
  <r>
    <x v="2554"/>
    <x v="6"/>
    <x v="7"/>
    <x v="11"/>
    <x v="815"/>
    <x v="729"/>
    <s v="Series D"/>
    <x v="2"/>
    <n v="0.25"/>
    <s v="2020-03"/>
  </r>
  <r>
    <x v="2555"/>
    <x v="6"/>
    <x v="22"/>
    <x v="1"/>
    <x v="815"/>
    <x v="730"/>
    <s v="Series B"/>
    <x v="2"/>
    <s v="NA"/>
    <s v="2020-03"/>
  </r>
  <r>
    <x v="2556"/>
    <x v="62"/>
    <x v="14"/>
    <x v="197"/>
    <x v="815"/>
    <x v="12"/>
    <s v="Unknown"/>
    <x v="7"/>
    <n v="0.3"/>
    <s v="2020-03"/>
  </r>
  <r>
    <x v="2557"/>
    <x v="6"/>
    <x v="26"/>
    <x v="133"/>
    <x v="815"/>
    <x v="12"/>
    <s v="Unknown"/>
    <x v="2"/>
    <n v="0.15"/>
    <s v="2020-03"/>
  </r>
  <r>
    <x v="1954"/>
    <x v="6"/>
    <x v="7"/>
    <x v="65"/>
    <x v="815"/>
    <x v="7"/>
    <s v="Series B"/>
    <x v="2"/>
    <n v="0.23"/>
    <s v="2020-03"/>
  </r>
  <r>
    <x v="2558"/>
    <x v="16"/>
    <x v="3"/>
    <x v="294"/>
    <x v="815"/>
    <x v="635"/>
    <s v="Series C"/>
    <x v="2"/>
    <n v="0.28000000000000003"/>
    <s v="2020-03"/>
  </r>
  <r>
    <x v="1141"/>
    <x v="6"/>
    <x v="11"/>
    <x v="31"/>
    <x v="815"/>
    <x v="70"/>
    <s v="Series A"/>
    <x v="2"/>
    <n v="0.75"/>
    <s v="2020-03"/>
  </r>
  <r>
    <x v="2559"/>
    <x v="3"/>
    <x v="26"/>
    <x v="2"/>
    <x v="815"/>
    <x v="55"/>
    <s v="Series B"/>
    <x v="2"/>
    <n v="0.23"/>
    <s v="2020-03"/>
  </r>
  <r>
    <x v="2560"/>
    <x v="8"/>
    <x v="14"/>
    <x v="35"/>
    <x v="815"/>
    <x v="410"/>
    <s v="Unknown"/>
    <x v="2"/>
    <n v="0.05"/>
    <s v="2020-03"/>
  </r>
  <r>
    <x v="2561"/>
    <x v="6"/>
    <x v="27"/>
    <x v="100"/>
    <x v="815"/>
    <x v="219"/>
    <s v="Series A"/>
    <x v="2"/>
    <s v="NA"/>
    <s v="2020-03"/>
  </r>
  <r>
    <x v="1670"/>
    <x v="93"/>
    <x v="22"/>
    <x v="3"/>
    <x v="815"/>
    <x v="28"/>
    <s v="Series A"/>
    <x v="2"/>
    <s v="NA"/>
    <s v="2020-03"/>
  </r>
  <r>
    <x v="2562"/>
    <x v="9"/>
    <x v="6"/>
    <x v="3"/>
    <x v="815"/>
    <x v="311"/>
    <s v="Series D"/>
    <x v="2"/>
    <n v="0.3"/>
    <s v="2020-03"/>
  </r>
  <r>
    <x v="534"/>
    <x v="6"/>
    <x v="22"/>
    <x v="3"/>
    <x v="815"/>
    <x v="56"/>
    <s v="Series B"/>
    <x v="2"/>
    <n v="0.08"/>
    <s v="2020-03"/>
  </r>
  <r>
    <x v="2563"/>
    <x v="3"/>
    <x v="21"/>
    <x v="3"/>
    <x v="815"/>
    <x v="115"/>
    <s v="Series A"/>
    <x v="2"/>
    <s v="NA"/>
    <s v="2020-03"/>
  </r>
  <r>
    <x v="160"/>
    <x v="6"/>
    <x v="7"/>
    <x v="9"/>
    <x v="816"/>
    <x v="731"/>
    <s v="Series D"/>
    <x v="2"/>
    <n v="0.33"/>
    <s v="2020-03"/>
  </r>
  <r>
    <x v="2564"/>
    <x v="88"/>
    <x v="6"/>
    <x v="80"/>
    <x v="816"/>
    <x v="12"/>
    <s v="Unknown"/>
    <x v="2"/>
    <s v="NA"/>
    <s v="2020-03"/>
  </r>
  <r>
    <x v="2565"/>
    <x v="67"/>
    <x v="0"/>
    <x v="143"/>
    <x v="816"/>
    <x v="132"/>
    <s v="Series B"/>
    <x v="2"/>
    <n v="0.67"/>
    <s v="2020-03"/>
  </r>
  <r>
    <x v="415"/>
    <x v="6"/>
    <x v="22"/>
    <x v="54"/>
    <x v="816"/>
    <x v="34"/>
    <s v="Series B"/>
    <x v="2"/>
    <n v="0.3"/>
    <s v="2020-03"/>
  </r>
  <r>
    <x v="2566"/>
    <x v="6"/>
    <x v="7"/>
    <x v="33"/>
    <x v="816"/>
    <x v="55"/>
    <s v="Series B"/>
    <x v="2"/>
    <s v="NA"/>
    <s v="2020-03"/>
  </r>
  <r>
    <x v="2567"/>
    <x v="62"/>
    <x v="21"/>
    <x v="3"/>
    <x v="816"/>
    <x v="12"/>
    <s v="Unknown"/>
    <x v="7"/>
    <n v="0.25"/>
    <s v="2020-03"/>
  </r>
  <r>
    <x v="2568"/>
    <x v="30"/>
    <x v="12"/>
    <x v="3"/>
    <x v="816"/>
    <x v="381"/>
    <s v="Unknown"/>
    <x v="2"/>
    <n v="0.4"/>
    <s v="2020-03"/>
  </r>
  <r>
    <x v="2260"/>
    <x v="58"/>
    <x v="10"/>
    <x v="3"/>
    <x v="816"/>
    <x v="4"/>
    <s v="Series D"/>
    <x v="2"/>
    <s v="NA"/>
    <s v="2020-03"/>
  </r>
  <r>
    <x v="1383"/>
    <x v="3"/>
    <x v="22"/>
    <x v="340"/>
    <x v="817"/>
    <x v="112"/>
    <s v="Series G"/>
    <x v="2"/>
    <n v="0.15"/>
    <s v="2020-03"/>
  </r>
  <r>
    <x v="1429"/>
    <x v="3"/>
    <x v="22"/>
    <x v="0"/>
    <x v="817"/>
    <x v="194"/>
    <s v="Series D"/>
    <x v="2"/>
    <n v="0.18"/>
    <s v="2020-03"/>
  </r>
  <r>
    <x v="1022"/>
    <x v="4"/>
    <x v="21"/>
    <x v="330"/>
    <x v="817"/>
    <x v="78"/>
    <s v="Acquired"/>
    <x v="2"/>
    <n v="0.5"/>
    <s v="2020-03"/>
  </r>
  <r>
    <x v="2569"/>
    <x v="16"/>
    <x v="7"/>
    <x v="171"/>
    <x v="817"/>
    <x v="518"/>
    <s v="Series B"/>
    <x v="2"/>
    <n v="0.22"/>
    <s v="2020-03"/>
  </r>
  <r>
    <x v="2570"/>
    <x v="28"/>
    <x v="3"/>
    <x v="33"/>
    <x v="817"/>
    <x v="600"/>
    <s v="Acquired"/>
    <x v="2"/>
    <s v="NA"/>
    <s v="2020-03"/>
  </r>
  <r>
    <x v="2571"/>
    <x v="9"/>
    <x v="27"/>
    <x v="33"/>
    <x v="817"/>
    <x v="261"/>
    <s v="Unknown"/>
    <x v="2"/>
    <n v="0.4"/>
    <s v="2020-03"/>
  </r>
  <r>
    <x v="2572"/>
    <x v="6"/>
    <x v="15"/>
    <x v="8"/>
    <x v="817"/>
    <x v="635"/>
    <s v="Series B"/>
    <x v="2"/>
    <n v="0.17"/>
    <s v="2020-03"/>
  </r>
  <r>
    <x v="2573"/>
    <x v="6"/>
    <x v="1"/>
    <x v="46"/>
    <x v="817"/>
    <x v="313"/>
    <s v="Series C"/>
    <x v="2"/>
    <n v="0.25"/>
    <s v="2020-03"/>
  </r>
  <r>
    <x v="2574"/>
    <x v="6"/>
    <x v="7"/>
    <x v="3"/>
    <x v="817"/>
    <x v="11"/>
    <s v="Seed"/>
    <x v="2"/>
    <n v="0.2"/>
    <s v="2020-03"/>
  </r>
  <r>
    <x v="2575"/>
    <x v="3"/>
    <x v="21"/>
    <x v="3"/>
    <x v="817"/>
    <x v="293"/>
    <s v="Series C"/>
    <x v="2"/>
    <n v="0.2"/>
    <s v="2020-03"/>
  </r>
  <r>
    <x v="196"/>
    <x v="9"/>
    <x v="19"/>
    <x v="3"/>
    <x v="817"/>
    <x v="206"/>
    <s v="Series B"/>
    <x v="2"/>
    <s v="NA"/>
    <s v="2020-03"/>
  </r>
  <r>
    <x v="2576"/>
    <x v="3"/>
    <x v="19"/>
    <x v="295"/>
    <x v="818"/>
    <x v="233"/>
    <s v="Acquired"/>
    <x v="2"/>
    <n v="0.98"/>
    <s v="2020-03"/>
  </r>
  <r>
    <x v="2577"/>
    <x v="28"/>
    <x v="7"/>
    <x v="112"/>
    <x v="818"/>
    <x v="25"/>
    <s v="Series B"/>
    <x v="2"/>
    <s v="NA"/>
    <s v="2020-03"/>
  </r>
  <r>
    <x v="2578"/>
    <x v="37"/>
    <x v="8"/>
    <x v="2"/>
    <x v="818"/>
    <x v="261"/>
    <s v="Seed"/>
    <x v="7"/>
    <n v="0.5"/>
    <s v="2020-03"/>
  </r>
  <r>
    <x v="2579"/>
    <x v="16"/>
    <x v="26"/>
    <x v="160"/>
    <x v="818"/>
    <x v="90"/>
    <s v="Series A"/>
    <x v="2"/>
    <s v="NA"/>
    <s v="2020-03"/>
  </r>
  <r>
    <x v="2580"/>
    <x v="9"/>
    <x v="7"/>
    <x v="3"/>
    <x v="818"/>
    <x v="28"/>
    <s v="Seed"/>
    <x v="2"/>
    <n v="1"/>
    <s v="2020-03"/>
  </r>
  <r>
    <x v="34"/>
    <x v="8"/>
    <x v="7"/>
    <x v="3"/>
    <x v="818"/>
    <x v="201"/>
    <s v="Series C"/>
    <x v="2"/>
    <s v="NA"/>
    <s v="2020-03"/>
  </r>
  <r>
    <x v="1366"/>
    <x v="20"/>
    <x v="10"/>
    <x v="17"/>
    <x v="819"/>
    <x v="26"/>
    <s v="Series D"/>
    <x v="6"/>
    <s v="NA"/>
    <s v="2020-03"/>
  </r>
  <r>
    <x v="2581"/>
    <x v="6"/>
    <x v="15"/>
    <x v="118"/>
    <x v="819"/>
    <x v="12"/>
    <s v="Unknown"/>
    <x v="2"/>
    <n v="1"/>
    <s v="2020-03"/>
  </r>
  <r>
    <x v="2582"/>
    <x v="58"/>
    <x v="7"/>
    <x v="31"/>
    <x v="819"/>
    <x v="354"/>
    <s v="Series B"/>
    <x v="2"/>
    <n v="0.5"/>
    <s v="2020-03"/>
  </r>
  <r>
    <x v="2583"/>
    <x v="17"/>
    <x v="7"/>
    <x v="145"/>
    <x v="819"/>
    <x v="388"/>
    <s v="Series C"/>
    <x v="2"/>
    <s v="NA"/>
    <s v="2020-03"/>
  </r>
  <r>
    <x v="2584"/>
    <x v="1"/>
    <x v="25"/>
    <x v="3"/>
    <x v="819"/>
    <x v="148"/>
    <s v="Series A"/>
    <x v="1"/>
    <s v="NA"/>
    <s v="2020-03"/>
  </r>
  <r>
    <x v="2585"/>
    <x v="3"/>
    <x v="19"/>
    <x v="3"/>
    <x v="819"/>
    <x v="142"/>
    <s v="Unknown"/>
    <x v="2"/>
    <n v="1"/>
    <s v="2020-03"/>
  </r>
  <r>
    <x v="2586"/>
    <x v="47"/>
    <x v="21"/>
    <x v="3"/>
    <x v="819"/>
    <x v="600"/>
    <s v="Acquired"/>
    <x v="2"/>
    <s v="NA"/>
    <s v="2020-03"/>
  </r>
  <r>
    <x v="2587"/>
    <x v="54"/>
    <x v="3"/>
    <x v="328"/>
    <x v="820"/>
    <x v="144"/>
    <s v="Seed"/>
    <x v="2"/>
    <n v="0.2"/>
    <s v="2020-03"/>
  </r>
  <r>
    <x v="680"/>
    <x v="11"/>
    <x v="7"/>
    <x v="80"/>
    <x v="821"/>
    <x v="34"/>
    <s v="Series C"/>
    <x v="2"/>
    <n v="0.22"/>
    <s v="2020-03"/>
  </r>
  <r>
    <x v="2588"/>
    <x v="16"/>
    <x v="18"/>
    <x v="134"/>
    <x v="821"/>
    <x v="47"/>
    <s v="Seed"/>
    <x v="2"/>
    <n v="1"/>
    <s v="2020-03"/>
  </r>
  <r>
    <x v="2580"/>
    <x v="9"/>
    <x v="7"/>
    <x v="3"/>
    <x v="821"/>
    <x v="732"/>
    <s v="Seed"/>
    <x v="2"/>
    <n v="1"/>
    <s v="2020-03"/>
  </r>
  <r>
    <x v="2213"/>
    <x v="9"/>
    <x v="10"/>
    <x v="114"/>
    <x v="822"/>
    <x v="431"/>
    <s v="Unknown"/>
    <x v="2"/>
    <n v="0.1"/>
    <s v="2020-03"/>
  </r>
  <r>
    <x v="2589"/>
    <x v="6"/>
    <x v="6"/>
    <x v="180"/>
    <x v="822"/>
    <x v="5"/>
    <s v="Seed"/>
    <x v="2"/>
    <n v="0.75"/>
    <s v="2020-03"/>
  </r>
  <r>
    <x v="2590"/>
    <x v="9"/>
    <x v="21"/>
    <x v="33"/>
    <x v="823"/>
    <x v="242"/>
    <s v="Series C"/>
    <x v="2"/>
    <n v="0.4"/>
    <s v="2020-03"/>
  </r>
  <r>
    <x v="2405"/>
    <x v="28"/>
    <x v="24"/>
    <x v="133"/>
    <x v="824"/>
    <x v="69"/>
    <s v="Series A"/>
    <x v="2"/>
    <s v="NA"/>
    <s v="2020-03"/>
  </r>
  <r>
    <x v="2591"/>
    <x v="240"/>
    <x v="31"/>
    <x v="341"/>
    <x v="825"/>
    <x v="733"/>
    <m/>
    <x v="6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BC6D1-BE9C-674A-B9A5-01BE70F36FC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44" firstHeaderRow="1" firstDataRow="1" firstDataCol="1" rowPageCount="1" colPageCount="1"/>
  <pivotFields count="13">
    <pivotField showAll="0"/>
    <pivotField axis="axisRow"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showAll="0"/>
    <pivotField showAll="0"/>
    <pivotField axis="axisPage"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rowItems>
  <colItems count="1">
    <i/>
  </colItems>
  <pageFields count="1">
    <pageField fld="7" hier="-1"/>
  </pageFields>
  <dataFields count="1">
    <dataField name="Sum of Laid_Off_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8CB0B-D0E2-954E-81CE-3E2E9A261CE9}"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M3:N2595" firstHeaderRow="1" firstDataRow="1" firstDataCol="1"/>
  <pivotFields count="13">
    <pivotField axis="axisRow" showAll="0">
      <items count="2593">
        <item x="1725"/>
        <item x="275"/>
        <item x="1992"/>
        <item x="260"/>
        <item x="1411"/>
        <item x="438"/>
        <item x="1880"/>
        <item x="1554"/>
        <item x="1222"/>
        <item x="1356"/>
        <item x="1835"/>
        <item x="565"/>
        <item x="969"/>
        <item x="2471"/>
        <item x="618"/>
        <item x="1767"/>
        <item x="250"/>
        <item x="1777"/>
        <item x="2064"/>
        <item x="1682"/>
        <item x="272"/>
        <item x="1289"/>
        <item x="1281"/>
        <item x="62"/>
        <item x="1964"/>
        <item x="547"/>
        <item x="966"/>
        <item x="1731"/>
        <item x="1056"/>
        <item x="2490"/>
        <item x="2271"/>
        <item x="471"/>
        <item x="2176"/>
        <item x="1705"/>
        <item x="637"/>
        <item x="959"/>
        <item x="1190"/>
        <item x="1673"/>
        <item x="2354"/>
        <item x="2140"/>
        <item x="2513"/>
        <item x="465"/>
        <item x="1288"/>
        <item x="2033"/>
        <item x="1459"/>
        <item x="2504"/>
        <item x="1649"/>
        <item x="1934"/>
        <item x="995"/>
        <item x="149"/>
        <item x="2061"/>
        <item x="679"/>
        <item x="86"/>
        <item x="2281"/>
        <item x="2127"/>
        <item x="2197"/>
        <item x="1055"/>
        <item x="977"/>
        <item x="1925"/>
        <item x="2338"/>
        <item x="110"/>
        <item x="523"/>
        <item x="2024"/>
        <item x="913"/>
        <item x="2099"/>
        <item x="2311"/>
        <item x="1290"/>
        <item x="1510"/>
        <item x="873"/>
        <item x="2089"/>
        <item x="52"/>
        <item x="526"/>
        <item x="658"/>
        <item x="516"/>
        <item x="2393"/>
        <item x="1800"/>
        <item x="2039"/>
        <item x="2463"/>
        <item x="2"/>
        <item x="380"/>
        <item x="259"/>
        <item x="842"/>
        <item x="1432"/>
        <item x="2103"/>
        <item x="1867"/>
        <item x="2464"/>
        <item x="1808"/>
        <item x="908"/>
        <item x="1915"/>
        <item x="90"/>
        <item x="1746"/>
        <item x="1059"/>
        <item x="720"/>
        <item x="1303"/>
        <item x="1607"/>
        <item x="1073"/>
        <item x="230"/>
        <item x="2528"/>
        <item x="968"/>
        <item x="2458"/>
        <item x="340"/>
        <item x="763"/>
        <item x="379"/>
        <item x="116"/>
        <item x="1029"/>
        <item x="2318"/>
        <item x="499"/>
        <item x="2510"/>
        <item x="1049"/>
        <item x="1938"/>
        <item x="983"/>
        <item x="1661"/>
        <item x="992"/>
        <item x="2584"/>
        <item x="1807"/>
        <item x="1771"/>
        <item x="1928"/>
        <item x="1417"/>
        <item x="1573"/>
        <item x="2344"/>
        <item x="1041"/>
        <item x="593"/>
        <item x="1188"/>
        <item x="669"/>
        <item x="85"/>
        <item x="1987"/>
        <item x="1509"/>
        <item x="509"/>
        <item x="152"/>
        <item x="2012"/>
        <item x="1468"/>
        <item x="1901"/>
        <item x="1094"/>
        <item x="644"/>
        <item x="1885"/>
        <item x="1639"/>
        <item x="1780"/>
        <item x="670"/>
        <item x="38"/>
        <item x="327"/>
        <item x="1444"/>
        <item x="485"/>
        <item x="2455"/>
        <item x="1833"/>
        <item x="1179"/>
        <item x="263"/>
        <item x="1772"/>
        <item x="738"/>
        <item x="1564"/>
        <item x="2443"/>
        <item x="998"/>
        <item x="1910"/>
        <item x="48"/>
        <item x="1526"/>
        <item x="624"/>
        <item x="192"/>
        <item x="948"/>
        <item x="531"/>
        <item x="729"/>
        <item x="2482"/>
        <item x="575"/>
        <item x="2245"/>
        <item x="1045"/>
        <item x="28"/>
        <item x="1668"/>
        <item x="1699"/>
        <item x="2410"/>
        <item x="1382"/>
        <item x="1202"/>
        <item x="154"/>
        <item x="271"/>
        <item x="692"/>
        <item x="633"/>
        <item x="1996"/>
        <item x="2172"/>
        <item x="237"/>
        <item x="216"/>
        <item x="1428"/>
        <item x="1174"/>
        <item x="886"/>
        <item x="2335"/>
        <item x="2349"/>
        <item x="2035"/>
        <item x="416"/>
        <item x="1261"/>
        <item x="2462"/>
        <item x="771"/>
        <item x="1598"/>
        <item x="1306"/>
        <item x="1030"/>
        <item x="2118"/>
        <item x="967"/>
        <item x="627"/>
        <item x="166"/>
        <item x="2202"/>
        <item x="2178"/>
        <item x="628"/>
        <item x="814"/>
        <item x="2546"/>
        <item x="1924"/>
        <item x="608"/>
        <item x="1398"/>
        <item x="45"/>
        <item x="1291"/>
        <item x="1424"/>
        <item x="1956"/>
        <item x="462"/>
        <item x="1988"/>
        <item x="1154"/>
        <item x="626"/>
        <item x="696"/>
        <item x="1101"/>
        <item x="1973"/>
        <item x="2543"/>
        <item x="282"/>
        <item x="393"/>
        <item x="1613"/>
        <item x="2407"/>
        <item x="454"/>
        <item x="2539"/>
        <item x="924"/>
        <item x="302"/>
        <item x="1282"/>
        <item x="837"/>
        <item x="1623"/>
        <item x="1823"/>
        <item x="2036"/>
        <item x="1993"/>
        <item x="997"/>
        <item x="544"/>
        <item x="2298"/>
        <item x="1292"/>
        <item x="1116"/>
        <item x="632"/>
        <item x="2541"/>
        <item x="423"/>
        <item x="2098"/>
        <item x="1320"/>
        <item x="625"/>
        <item x="2203"/>
        <item x="1754"/>
        <item x="410"/>
        <item x="922"/>
        <item x="1869"/>
        <item x="1393"/>
        <item x="356"/>
        <item x="190"/>
        <item x="688"/>
        <item x="528"/>
        <item x="558"/>
        <item x="1696"/>
        <item x="489"/>
        <item x="897"/>
        <item x="2450"/>
        <item x="1501"/>
        <item x="2381"/>
        <item x="1637"/>
        <item x="2014"/>
        <item x="1991"/>
        <item x="1735"/>
        <item x="1076"/>
        <item x="1498"/>
        <item x="2151"/>
        <item x="1257"/>
        <item x="1177"/>
        <item x="782"/>
        <item x="483"/>
        <item x="2116"/>
        <item x="1479"/>
        <item x="1322"/>
        <item x="1122"/>
        <item x="2377"/>
        <item x="577"/>
        <item x="2199"/>
        <item x="606"/>
        <item x="176"/>
        <item x="214"/>
        <item x="1331"/>
        <item x="1512"/>
        <item x="1480"/>
        <item x="682"/>
        <item x="994"/>
        <item x="473"/>
        <item x="115"/>
        <item x="2534"/>
        <item x="949"/>
        <item x="1896"/>
        <item x="2522"/>
        <item x="2270"/>
        <item x="1209"/>
        <item x="1430"/>
        <item x="333"/>
        <item x="84"/>
        <item x="2056"/>
        <item x="2013"/>
        <item x="536"/>
        <item x="1023"/>
        <item x="2083"/>
        <item x="1640"/>
        <item x="2267"/>
        <item x="2485"/>
        <item x="1250"/>
        <item x="971"/>
        <item x="1886"/>
        <item x="2045"/>
        <item x="2448"/>
        <item x="2186"/>
        <item x="1366"/>
        <item x="2445"/>
        <item x="406"/>
        <item x="1025"/>
        <item x="474"/>
        <item x="1870"/>
        <item x="843"/>
        <item x="287"/>
        <item x="2436"/>
        <item x="479"/>
        <item x="1761"/>
        <item x="2030"/>
        <item x="2175"/>
        <item x="243"/>
        <item x="2180"/>
        <item x="1462"/>
        <item x="1983"/>
        <item x="1908"/>
        <item x="892"/>
        <item x="1745"/>
        <item x="896"/>
        <item x="39"/>
        <item x="2370"/>
        <item x="1298"/>
        <item x="1402"/>
        <item x="1434"/>
        <item x="1919"/>
        <item x="2097"/>
        <item x="2257"/>
        <item x="388"/>
        <item x="1702"/>
        <item x="708"/>
        <item x="1173"/>
        <item x="610"/>
        <item x="448"/>
        <item x="1942"/>
        <item x="142"/>
        <item x="673"/>
        <item x="2003"/>
        <item x="813"/>
        <item x="2447"/>
        <item x="1439"/>
        <item x="232"/>
        <item x="1191"/>
        <item x="1932"/>
        <item x="1386"/>
        <item x="709"/>
        <item x="2422"/>
        <item x="1255"/>
        <item x="2218"/>
        <item x="733"/>
        <item x="151"/>
        <item x="2424"/>
        <item x="1473"/>
        <item x="95"/>
        <item x="377"/>
        <item x="2239"/>
        <item x="460"/>
        <item x="384"/>
        <item x="1166"/>
        <item x="47"/>
        <item x="2574"/>
        <item x="2306"/>
        <item x="198"/>
        <item x="401"/>
        <item x="663"/>
        <item x="944"/>
        <item x="619"/>
        <item x="1660"/>
        <item x="1811"/>
        <item x="650"/>
        <item x="683"/>
        <item x="1253"/>
        <item x="861"/>
        <item x="1723"/>
        <item x="1020"/>
        <item x="739"/>
        <item x="1955"/>
        <item x="2483"/>
        <item x="1264"/>
        <item x="1747"/>
        <item x="1544"/>
        <item x="1905"/>
        <item x="1318"/>
        <item x="573"/>
        <item x="1572"/>
        <item x="1656"/>
        <item x="147"/>
        <item x="1843"/>
        <item x="1586"/>
        <item x="2337"/>
        <item x="2323"/>
        <item x="1337"/>
        <item x="1367"/>
        <item x="779"/>
        <item x="2384"/>
        <item x="1425"/>
        <item x="1478"/>
        <item x="891"/>
        <item x="1709"/>
        <item x="1355"/>
        <item x="407"/>
        <item x="1324"/>
        <item x="1521"/>
        <item x="1133"/>
        <item x="1334"/>
        <item x="2155"/>
        <item x="2327"/>
        <item x="2523"/>
        <item x="1893"/>
        <item x="1042"/>
        <item x="1162"/>
        <item x="1293"/>
        <item x="1936"/>
        <item x="579"/>
        <item x="1950"/>
        <item x="694"/>
        <item x="1360"/>
        <item x="1072"/>
        <item x="781"/>
        <item x="276"/>
        <item x="492"/>
        <item x="1518"/>
        <item x="1871"/>
        <item x="533"/>
        <item x="284"/>
        <item x="1633"/>
        <item x="326"/>
        <item x="80"/>
        <item x="2360"/>
        <item x="2189"/>
        <item x="2194"/>
        <item x="792"/>
        <item x="1947"/>
        <item x="399"/>
        <item x="494"/>
        <item x="277"/>
        <item x="1552"/>
        <item x="1632"/>
        <item x="574"/>
        <item x="1591"/>
        <item x="114"/>
        <item x="1401"/>
        <item x="102"/>
        <item x="1208"/>
        <item x="1000"/>
        <item x="972"/>
        <item x="2417"/>
        <item x="2262"/>
        <item x="703"/>
        <item x="208"/>
        <item x="725"/>
        <item x="1921"/>
        <item x="2018"/>
        <item x="838"/>
        <item x="164"/>
        <item x="1344"/>
        <item x="1260"/>
        <item x="279"/>
        <item x="798"/>
        <item x="459"/>
        <item x="2514"/>
        <item x="1165"/>
        <item x="1884"/>
        <item x="1853"/>
        <item x="2468"/>
        <item x="1728"/>
        <item x="1235"/>
        <item x="2406"/>
        <item x="853"/>
        <item x="1315"/>
        <item x="554"/>
        <item x="755"/>
        <item x="1670"/>
        <item x="2386"/>
        <item x="747"/>
        <item x="2414"/>
        <item x="568"/>
        <item x="2320"/>
        <item x="1608"/>
        <item x="274"/>
        <item x="1587"/>
        <item x="411"/>
        <item x="823"/>
        <item x="915"/>
        <item x="1287"/>
        <item x="2163"/>
        <item x="1299"/>
        <item x="2562"/>
        <item x="2121"/>
        <item x="1061"/>
        <item x="824"/>
        <item x="1294"/>
        <item x="685"/>
        <item x="623"/>
        <item x="2190"/>
        <item x="162"/>
        <item x="1502"/>
        <item x="2479"/>
        <item x="903"/>
        <item x="1474"/>
        <item x="808"/>
        <item x="800"/>
        <item x="1347"/>
        <item x="581"/>
        <item x="599"/>
        <item x="1863"/>
        <item x="1500"/>
        <item x="1874"/>
        <item x="567"/>
        <item x="1215"/>
        <item x="936"/>
        <item x="1695"/>
        <item x="1131"/>
        <item x="1671"/>
        <item x="1066"/>
        <item x="2112"/>
        <item x="1975"/>
        <item x="1123"/>
        <item x="1748"/>
        <item x="2006"/>
        <item x="943"/>
        <item x="408"/>
        <item x="1062"/>
        <item x="1383"/>
        <item x="1741"/>
        <item x="55"/>
        <item x="1227"/>
        <item x="2249"/>
        <item x="2426"/>
        <item x="638"/>
        <item x="726"/>
        <item x="69"/>
        <item x="1349"/>
        <item x="2552"/>
        <item x="2378"/>
        <item x="357"/>
        <item x="1805"/>
        <item x="1429"/>
        <item x="447"/>
        <item x="1034"/>
        <item x="661"/>
        <item x="1006"/>
        <item x="1809"/>
        <item x="78"/>
        <item x="91"/>
        <item x="1245"/>
        <item x="1325"/>
        <item x="1916"/>
        <item x="2095"/>
        <item x="833"/>
        <item x="358"/>
        <item x="1609"/>
        <item x="233"/>
        <item x="989"/>
        <item x="497"/>
        <item x="2492"/>
        <item x="1368"/>
        <item x="2261"/>
        <item x="2429"/>
        <item x="2027"/>
        <item x="1960"/>
        <item x="72"/>
        <item x="982"/>
        <item x="2387"/>
        <item x="2265"/>
        <item x="331"/>
        <item x="727"/>
        <item x="1099"/>
        <item x="1338"/>
        <item x="870"/>
        <item x="2578"/>
        <item x="1372"/>
        <item x="19"/>
        <item x="571"/>
        <item x="235"/>
        <item x="934"/>
        <item x="2331"/>
        <item x="334"/>
        <item x="1724"/>
        <item x="335"/>
        <item x="244"/>
        <item x="2225"/>
        <item x="2135"/>
        <item x="2497"/>
        <item x="2076"/>
        <item x="2527"/>
        <item x="2273"/>
        <item x="2057"/>
        <item x="107"/>
        <item x="704"/>
        <item x="1443"/>
        <item x="1295"/>
        <item x="1184"/>
        <item x="1262"/>
        <item x="350"/>
        <item x="1558"/>
        <item x="1830"/>
        <item x="1824"/>
        <item x="2087"/>
        <item x="1559"/>
        <item x="2044"/>
        <item x="700"/>
        <item x="145"/>
        <item x="490"/>
        <item x="2242"/>
        <item x="480"/>
        <item x="264"/>
        <item x="582"/>
        <item x="373"/>
        <item x="1469"/>
        <item x="1789"/>
        <item x="2401"/>
        <item x="2284"/>
        <item x="659"/>
        <item x="2304"/>
        <item x="847"/>
        <item x="728"/>
        <item x="2092"/>
        <item x="854"/>
        <item x="121"/>
        <item x="513"/>
        <item x="609"/>
        <item x="1223"/>
        <item x="667"/>
        <item x="2059"/>
        <item x="470"/>
        <item x="701"/>
        <item x="693"/>
        <item x="2148"/>
        <item x="1336"/>
        <item x="660"/>
        <item x="1321"/>
        <item x="2294"/>
        <item x="1143"/>
        <item x="1566"/>
        <item x="328"/>
        <item x="105"/>
        <item x="1758"/>
        <item x="2326"/>
        <item x="2263"/>
        <item x="238"/>
        <item x="590"/>
        <item x="1539"/>
        <item x="278"/>
        <item x="836"/>
        <item x="2512"/>
        <item x="639"/>
        <item x="1109"/>
        <item x="1636"/>
        <item x="1435"/>
        <item x="1115"/>
        <item x="2537"/>
        <item x="269"/>
        <item x="2382"/>
        <item x="223"/>
        <item x="2353"/>
        <item x="2280"/>
        <item x="534"/>
        <item x="2109"/>
        <item x="2164"/>
        <item x="1616"/>
        <item x="2210"/>
        <item x="186"/>
        <item x="1457"/>
        <item x="976"/>
        <item x="1617"/>
        <item x="2179"/>
        <item x="369"/>
        <item x="1822"/>
        <item x="1486"/>
        <item x="793"/>
        <item x="2279"/>
        <item x="1647"/>
        <item x="1878"/>
        <item x="617"/>
        <item x="1183"/>
        <item x="811"/>
        <item x="1749"/>
        <item x="540"/>
        <item x="2570"/>
        <item x="942"/>
        <item x="1229"/>
        <item x="189"/>
        <item x="859"/>
        <item x="1641"/>
        <item x="907"/>
        <item x="1124"/>
        <item x="2460"/>
        <item x="705"/>
        <item x="2396"/>
        <item x="710"/>
        <item x="505"/>
        <item x="2058"/>
        <item x="1071"/>
        <item x="364"/>
        <item x="2475"/>
        <item x="2488"/>
        <item x="887"/>
        <item x="1269"/>
        <item x="598"/>
        <item x="2405"/>
        <item x="508"/>
        <item x="2214"/>
        <item x="2078"/>
        <item x="2005"/>
        <item x="241"/>
        <item x="2548"/>
        <item x="2423"/>
        <item x="132"/>
        <item x="1259"/>
        <item x="1361"/>
        <item x="1803"/>
        <item x="2469"/>
        <item x="2575"/>
        <item x="1170"/>
        <item x="2581"/>
        <item x="1495"/>
        <item x="1128"/>
        <item x="139"/>
        <item x="1396"/>
        <item x="2325"/>
        <item x="2561"/>
        <item x="2022"/>
        <item x="1470"/>
        <item x="1662"/>
        <item x="2418"/>
        <item x="1052"/>
        <item x="904"/>
        <item x="591"/>
        <item x="1658"/>
        <item x="1689"/>
        <item x="1935"/>
        <item x="1129"/>
        <item x="984"/>
        <item x="2238"/>
        <item x="1258"/>
        <item x="1959"/>
        <item x="42"/>
        <item x="324"/>
        <item x="2068"/>
        <item x="2399"/>
        <item x="501"/>
        <item x="1084"/>
        <item x="1153"/>
        <item x="1646"/>
        <item x="1078"/>
        <item x="1251"/>
        <item x="652"/>
        <item x="2060"/>
        <item x="2072"/>
        <item x="1357"/>
        <item x="1493"/>
        <item x="1100"/>
        <item x="1941"/>
        <item x="339"/>
        <item x="1882"/>
        <item x="960"/>
        <item x="532"/>
        <item x="294"/>
        <item x="1070"/>
        <item x="882"/>
        <item x="1611"/>
        <item x="1377"/>
        <item x="867"/>
        <item x="878"/>
        <item x="717"/>
        <item x="707"/>
        <item x="171"/>
        <item x="1088"/>
        <item x="527"/>
        <item x="440"/>
        <item x="958"/>
        <item x="1622"/>
        <item x="1300"/>
        <item x="59"/>
        <item x="797"/>
        <item x="1813"/>
        <item x="1189"/>
        <item x="1681"/>
        <item x="917"/>
        <item x="756"/>
        <item x="2434"/>
        <item x="686"/>
        <item x="419"/>
        <item x="2519"/>
        <item x="649"/>
        <item x="75"/>
        <item x="2123"/>
        <item x="695"/>
        <item x="429"/>
        <item x="636"/>
        <item x="980"/>
        <item x="1270"/>
        <item x="2547"/>
        <item x="1171"/>
        <item x="157"/>
        <item x="253"/>
        <item x="2130"/>
        <item x="1359"/>
        <item x="2065"/>
        <item x="1610"/>
        <item x="1994"/>
        <item x="1224"/>
        <item x="848"/>
        <item x="1028"/>
        <item x="504"/>
        <item x="1648"/>
        <item x="662"/>
        <item x="1463"/>
        <item x="366"/>
        <item x="629"/>
        <item x="150"/>
        <item x="2015"/>
        <item x="1963"/>
        <item x="395"/>
        <item x="1105"/>
        <item x="183"/>
        <item x="1759"/>
        <item x="1445"/>
        <item x="1503"/>
        <item x="1700"/>
        <item x="258"/>
        <item x="2476"/>
        <item x="1307"/>
        <item x="14"/>
        <item x="83"/>
        <item x="503"/>
        <item x="1060"/>
        <item x="1876"/>
        <item x="1704"/>
        <item x="1533"/>
        <item x="805"/>
        <item x="2313"/>
        <item x="342"/>
        <item x="595"/>
        <item x="300"/>
        <item x="226"/>
        <item x="11"/>
        <item x="841"/>
        <item x="1676"/>
        <item x="298"/>
        <item x="113"/>
        <item x="2157"/>
        <item x="2412"/>
        <item x="1750"/>
        <item x="2567"/>
        <item x="1798"/>
        <item x="1678"/>
        <item x="336"/>
        <item x="2486"/>
        <item x="2336"/>
        <item x="2587"/>
        <item x="2576"/>
        <item x="2309"/>
        <item x="721"/>
        <item x="2063"/>
        <item x="511"/>
        <item x="2565"/>
        <item x="543"/>
        <item x="1701"/>
        <item x="341"/>
        <item x="130"/>
        <item x="1900"/>
        <item x="857"/>
        <item x="572"/>
        <item x="1590"/>
        <item x="1929"/>
        <item x="970"/>
        <item x="343"/>
        <item x="17"/>
        <item x="1716"/>
        <item x="1923"/>
        <item x="825"/>
        <item x="60"/>
        <item x="2038"/>
        <item x="702"/>
        <item x="1192"/>
        <item x="396"/>
        <item x="281"/>
        <item x="1423"/>
        <item x="801"/>
        <item x="767"/>
        <item x="1714"/>
        <item x="316"/>
        <item x="712"/>
        <item x="2008"/>
        <item x="1851"/>
        <item x="289"/>
        <item x="1657"/>
        <item x="15"/>
        <item x="2385"/>
        <item x="1778"/>
        <item x="2133"/>
        <item x="1513"/>
        <item x="774"/>
        <item x="2459"/>
        <item x="2236"/>
        <item x="1015"/>
        <item x="555"/>
        <item x="2070"/>
        <item x="1858"/>
        <item x="1965"/>
        <item x="2411"/>
        <item x="634"/>
        <item x="1254"/>
        <item x="1375"/>
        <item x="2153"/>
        <item x="1753"/>
        <item x="180"/>
        <item x="53"/>
        <item x="2427"/>
        <item x="2082"/>
        <item x="2192"/>
        <item x="88"/>
        <item x="1147"/>
        <item x="1145"/>
        <item x="1242"/>
        <item x="1995"/>
        <item x="821"/>
        <item x="889"/>
        <item x="1004"/>
        <item x="877"/>
        <item x="1438"/>
        <item x="1228"/>
        <item x="2275"/>
        <item x="927"/>
        <item x="1540"/>
        <item x="1850"/>
        <item x="73"/>
        <item x="187"/>
        <item x="2498"/>
        <item x="2204"/>
        <item x="1353"/>
        <item x="1326"/>
        <item x="790"/>
        <item x="1150"/>
        <item x="1655"/>
        <item x="1817"/>
        <item x="2240"/>
        <item x="1201"/>
        <item x="1308"/>
        <item x="1152"/>
        <item x="1652"/>
        <item x="2128"/>
        <item x="1527"/>
        <item x="1770"/>
        <item x="985"/>
        <item x="7"/>
        <item x="104"/>
        <item x="25"/>
        <item x="1949"/>
        <item x="2551"/>
        <item x="245"/>
        <item x="246"/>
        <item x="1033"/>
        <item x="1392"/>
        <item x="769"/>
        <item x="535"/>
        <item x="262"/>
        <item x="2388"/>
        <item x="182"/>
        <item x="1314"/>
        <item x="1391"/>
        <item x="436"/>
        <item x="2571"/>
        <item x="1098"/>
        <item x="909"/>
        <item x="1333"/>
        <item x="58"/>
        <item x="9"/>
        <item x="2440"/>
        <item x="1206"/>
        <item x="2134"/>
        <item x="1454"/>
        <item x="789"/>
        <item x="1690"/>
        <item x="1236"/>
        <item x="975"/>
        <item x="1814"/>
        <item x="18"/>
        <item x="2372"/>
        <item x="635"/>
        <item x="1151"/>
        <item x="2452"/>
        <item x="1125"/>
        <item x="640"/>
        <item x="570"/>
        <item x="2126"/>
        <item x="402"/>
        <item x="2321"/>
        <item x="864"/>
        <item x="1488"/>
        <item x="1390"/>
        <item x="1852"/>
        <item x="806"/>
        <item x="1825"/>
        <item x="819"/>
        <item x="2235"/>
        <item x="737"/>
        <item x="1406"/>
        <item x="1840"/>
        <item x="56"/>
        <item x="1984"/>
        <item x="893"/>
        <item x="1769"/>
        <item x="1692"/>
        <item x="1643"/>
        <item x="2588"/>
        <item x="2253"/>
        <item x="303"/>
        <item x="1909"/>
        <item x="61"/>
        <item x="1219"/>
        <item x="950"/>
        <item x="2520"/>
        <item x="1606"/>
        <item x="731"/>
        <item x="799"/>
        <item x="541"/>
        <item x="604"/>
        <item x="76"/>
        <item x="2375"/>
        <item x="435"/>
        <item x="1508"/>
        <item x="2237"/>
        <item x="2303"/>
        <item x="548"/>
        <item x="1796"/>
        <item x="265"/>
        <item x="1405"/>
        <item x="1476"/>
        <item x="530"/>
        <item x="1048"/>
        <item x="1976"/>
        <item x="1550"/>
        <item x="1027"/>
        <item x="1560"/>
        <item x="64"/>
        <item x="654"/>
        <item x="757"/>
        <item x="2532"/>
        <item x="520"/>
        <item x="1286"/>
        <item x="41"/>
        <item x="488"/>
        <item x="2213"/>
        <item x="2356"/>
        <item x="1665"/>
        <item x="1453"/>
        <item x="1213"/>
        <item x="1106"/>
        <item x="1677"/>
        <item x="2168"/>
        <item x="2200"/>
        <item x="433"/>
        <item x="239"/>
        <item x="2162"/>
        <item x="978"/>
        <item x="563"/>
        <item x="293"/>
        <item x="2196"/>
        <item x="2125"/>
        <item x="2478"/>
        <item x="2031"/>
        <item x="1365"/>
        <item x="1017"/>
        <item x="1268"/>
        <item x="973"/>
        <item x="583"/>
        <item x="319"/>
        <item x="2141"/>
        <item x="280"/>
        <item x="1271"/>
        <item x="120"/>
        <item x="2438"/>
        <item x="991"/>
        <item x="12"/>
        <item x="1272"/>
        <item x="1246"/>
        <item x="2054"/>
        <item x="99"/>
        <item x="2114"/>
        <item x="1582"/>
        <item x="2451"/>
        <item x="1065"/>
        <item x="2182"/>
        <item x="1930"/>
        <item x="1316"/>
        <item x="2368"/>
        <item x="203"/>
        <item x="1776"/>
        <item x="1095"/>
        <item x="191"/>
        <item x="2077"/>
        <item x="1859"/>
        <item x="169"/>
        <item x="1698"/>
        <item x="1207"/>
        <item x="1412"/>
        <item x="2496"/>
        <item x="355"/>
        <item x="645"/>
        <item x="1877"/>
        <item x="31"/>
        <item x="205"/>
        <item x="646"/>
        <item x="2470"/>
        <item x="1506"/>
        <item x="2383"/>
        <item x="1595"/>
        <item x="1561"/>
        <item x="427"/>
        <item x="1669"/>
        <item x="270"/>
        <item x="1240"/>
        <item x="1249"/>
        <item x="210"/>
        <item x="123"/>
        <item x="1442"/>
        <item x="928"/>
        <item x="742"/>
        <item x="322"/>
        <item x="1514"/>
        <item x="680"/>
        <item x="167"/>
        <item x="283"/>
        <item x="2480"/>
        <item x="2269"/>
        <item x="2283"/>
        <item x="1452"/>
        <item x="1364"/>
        <item x="2254"/>
        <item x="81"/>
        <item x="713"/>
        <item x="1584"/>
        <item x="2297"/>
        <item x="1343"/>
        <item x="1897"/>
        <item x="2243"/>
        <item x="478"/>
        <item x="311"/>
        <item x="338"/>
        <item x="1920"/>
        <item x="2051"/>
        <item x="600"/>
        <item x="929"/>
        <item x="2526"/>
        <item x="761"/>
        <item x="222"/>
        <item x="1635"/>
        <item x="495"/>
        <item x="545"/>
        <item x="1834"/>
        <item x="2560"/>
        <item x="234"/>
        <item x="389"/>
        <item x="711"/>
        <item x="10"/>
        <item x="1418"/>
        <item x="1327"/>
        <item x="329"/>
        <item x="2028"/>
        <item x="2456"/>
        <item x="1569"/>
        <item x="2358"/>
        <item x="2474"/>
        <item x="383"/>
        <item x="580"/>
        <item x="2016"/>
        <item x="21"/>
        <item x="1096"/>
        <item x="181"/>
        <item x="1537"/>
        <item x="1342"/>
        <item x="2307"/>
        <item x="1283"/>
        <item x="346"/>
        <item x="1551"/>
        <item x="1592"/>
        <item x="477"/>
        <item x="1763"/>
        <item x="787"/>
        <item x="1009"/>
        <item x="1895"/>
        <item x="1594"/>
        <item x="839"/>
        <item x="1032"/>
        <item x="1385"/>
        <item x="1063"/>
        <item x="177"/>
        <item x="2073"/>
        <item x="653"/>
        <item x="651"/>
        <item x="2276"/>
        <item x="772"/>
        <item x="749"/>
        <item x="434"/>
        <item x="1742"/>
        <item x="26"/>
        <item x="888"/>
        <item x="778"/>
        <item x="92"/>
        <item x="323"/>
        <item x="2159"/>
        <item x="1545"/>
        <item x="461"/>
        <item x="2515"/>
        <item x="2040"/>
        <item x="2503"/>
        <item x="562"/>
        <item x="2425"/>
        <item x="138"/>
        <item x="553"/>
        <item x="697"/>
        <item x="1914"/>
        <item x="2296"/>
        <item x="40"/>
        <item x="1104"/>
        <item x="1562"/>
        <item x="1538"/>
        <item x="1722"/>
        <item x="215"/>
        <item x="2055"/>
        <item x="1720"/>
        <item x="1024"/>
        <item x="665"/>
        <item x="2371"/>
        <item x="2137"/>
        <item x="2188"/>
        <item x="155"/>
        <item x="2395"/>
        <item x="1790"/>
        <item x="1155"/>
        <item x="1461"/>
        <item x="1621"/>
        <item x="1421"/>
        <item x="1715"/>
        <item x="2234"/>
        <item x="2094"/>
        <item x="925"/>
        <item x="1487"/>
        <item x="1644"/>
        <item x="1765"/>
        <item x="2373"/>
        <item x="939"/>
        <item x="2000"/>
        <item x="2206"/>
        <item x="986"/>
        <item x="1168"/>
        <item x="855"/>
        <item x="1828"/>
        <item x="2379"/>
        <item x="2093"/>
        <item x="2573"/>
        <item x="1233"/>
        <item x="2160"/>
        <item x="687"/>
        <item x="397"/>
        <item x="1369"/>
        <item x="2256"/>
        <item x="714"/>
        <item x="1332"/>
        <item x="1762"/>
        <item x="1016"/>
        <item x="314"/>
        <item x="951"/>
        <item x="2499"/>
        <item x="1351"/>
        <item x="1415"/>
        <item x="1022"/>
        <item x="2322"/>
        <item x="1160"/>
        <item x="486"/>
        <item x="304"/>
        <item x="1515"/>
        <item x="449"/>
        <item x="2131"/>
        <item x="1523"/>
        <item x="858"/>
        <item x="1053"/>
        <item x="468"/>
        <item x="2286"/>
        <item x="979"/>
        <item x="305"/>
        <item x="1400"/>
        <item x="930"/>
        <item x="96"/>
        <item x="1951"/>
        <item x="900"/>
        <item x="2500"/>
        <item x="309"/>
        <item x="175"/>
        <item x="2144"/>
        <item x="1751"/>
        <item x="1339"/>
        <item x="1604"/>
        <item x="2224"/>
        <item x="2415"/>
        <item x="1169"/>
        <item x="1946"/>
        <item x="87"/>
        <item x="2340"/>
        <item x="1345"/>
        <item x="2166"/>
        <item x="601"/>
        <item x="458"/>
        <item x="1688"/>
        <item x="810"/>
        <item x="2041"/>
        <item x="1455"/>
        <item x="2147"/>
        <item x="1730"/>
        <item x="1627"/>
        <item x="2329"/>
        <item x="307"/>
        <item x="1018"/>
        <item x="367"/>
        <item x="1097"/>
        <item x="1051"/>
        <item x="2266"/>
        <item x="2525"/>
        <item x="1161"/>
        <item x="1003"/>
        <item x="1781"/>
        <item x="1556"/>
        <item x="2583"/>
        <item x="112"/>
        <item x="1666"/>
        <item x="981"/>
        <item x="224"/>
        <item x="2416"/>
        <item x="1477"/>
        <item x="758"/>
        <item x="1296"/>
        <item x="16"/>
        <item x="507"/>
        <item x="1082"/>
        <item x="748"/>
        <item x="502"/>
        <item x="2389"/>
        <item x="2212"/>
        <item x="43"/>
        <item x="2053"/>
        <item x="1891"/>
        <item x="556"/>
        <item x="1234"/>
        <item x="734"/>
        <item x="1907"/>
        <item x="1304"/>
        <item x="923"/>
        <item x="2555"/>
        <item x="1499"/>
        <item x="2430"/>
        <item x="1902"/>
        <item x="455"/>
        <item x="1721"/>
        <item x="2161"/>
        <item x="1820"/>
        <item x="1132"/>
        <item x="2366"/>
        <item x="2285"/>
        <item x="1273"/>
        <item x="2113"/>
        <item x="30"/>
        <item x="2544"/>
        <item x="2205"/>
        <item x="2264"/>
        <item x="559"/>
        <item x="785"/>
        <item x="451"/>
        <item x="1335"/>
        <item x="2211"/>
        <item x="812"/>
        <item x="469"/>
        <item x="2001"/>
        <item x="1812"/>
        <item x="403"/>
        <item x="875"/>
        <item x="1010"/>
        <item x="2287"/>
        <item x="1058"/>
        <item x="1193"/>
        <item x="1220"/>
        <item x="706"/>
        <item x="2521"/>
        <item x="1297"/>
        <item x="546"/>
        <item x="163"/>
        <item x="381"/>
        <item x="1214"/>
        <item x="156"/>
        <item x="815"/>
        <item x="1081"/>
        <item x="952"/>
        <item x="735"/>
        <item x="1256"/>
        <item x="1764"/>
        <item x="1156"/>
        <item x="716"/>
        <item x="954"/>
        <item x="2107"/>
        <item x="880"/>
        <item x="193"/>
        <item x="912"/>
        <item x="1831"/>
        <item x="133"/>
        <item x="2052"/>
        <item x="832"/>
        <item x="1525"/>
        <item x="363"/>
        <item x="743"/>
        <item x="514"/>
        <item x="2295"/>
        <item x="306"/>
        <item x="129"/>
        <item x="1090"/>
        <item x="127"/>
        <item x="1546"/>
        <item x="1857"/>
        <item x="1866"/>
        <item x="2465"/>
        <item x="2100"/>
        <item x="1107"/>
        <item x="5"/>
        <item x="2348"/>
        <item x="655"/>
        <item x="955"/>
        <item x="1654"/>
        <item x="2004"/>
        <item x="1175"/>
        <item x="2453"/>
        <item x="1363"/>
        <item x="676"/>
        <item x="1176"/>
        <item x="1142"/>
        <item x="1864"/>
        <item x="2302"/>
        <item x="2084"/>
        <item x="1740"/>
        <item x="1230"/>
        <item x="1413"/>
        <item x="1977"/>
        <item x="1376"/>
        <item x="2536"/>
        <item x="370"/>
        <item x="1370"/>
        <item x="775"/>
        <item x="1134"/>
        <item x="537"/>
        <item x="876"/>
        <item x="1117"/>
        <item x="2334"/>
        <item x="2259"/>
        <item x="3"/>
        <item x="417"/>
        <item x="1464"/>
        <item x="2491"/>
        <item x="1038"/>
        <item x="295"/>
        <item x="851"/>
        <item x="1940"/>
        <item x="2376"/>
        <item x="32"/>
        <item x="715"/>
        <item x="1531"/>
        <item x="168"/>
        <item x="550"/>
        <item x="616"/>
        <item x="1013"/>
        <item x="1792"/>
        <item x="1274"/>
        <item x="374"/>
        <item x="1528"/>
        <item x="820"/>
        <item x="768"/>
        <item x="194"/>
        <item x="830"/>
        <item x="231"/>
        <item x="1684"/>
        <item x="1103"/>
        <item x="664"/>
        <item x="1624"/>
        <item x="1436"/>
        <item x="498"/>
        <item x="2330"/>
        <item x="1252"/>
        <item x="1614"/>
        <item x="308"/>
        <item x="834"/>
        <item x="1225"/>
        <item x="1534"/>
        <item x="1203"/>
        <item x="2553"/>
        <item x="2442"/>
        <item x="352"/>
        <item x="2246"/>
        <item x="690"/>
        <item x="605"/>
        <item x="1284"/>
        <item x="1180"/>
        <item x="1516"/>
        <item x="1157"/>
        <item x="1039"/>
        <item x="472"/>
        <item x="1446"/>
        <item x="1588"/>
        <item x="1196"/>
        <item x="1734"/>
        <item x="698"/>
        <item x="288"/>
        <item x="93"/>
        <item x="267"/>
        <item x="2437"/>
        <item x="552"/>
        <item x="1933"/>
        <item x="856"/>
        <item x="414"/>
        <item x="387"/>
        <item x="1465"/>
        <item x="1733"/>
        <item x="607"/>
        <item x="122"/>
        <item x="776"/>
        <item x="2165"/>
        <item x="420"/>
        <item x="1574"/>
        <item x="1050"/>
        <item x="596"/>
        <item x="1837"/>
        <item x="195"/>
        <item x="219"/>
        <item x="933"/>
        <item x="962"/>
        <item x="1645"/>
        <item x="1985"/>
        <item x="519"/>
        <item x="987"/>
        <item x="2198"/>
        <item x="1794"/>
        <item x="850"/>
        <item x="803"/>
        <item x="2308"/>
        <item x="2408"/>
        <item x="1675"/>
        <item x="862"/>
        <item x="299"/>
        <item x="1818"/>
        <item x="1719"/>
        <item x="1847"/>
        <item x="1694"/>
        <item x="2557"/>
        <item x="1575"/>
        <item x="1118"/>
        <item x="1597"/>
        <item x="1394"/>
        <item x="0"/>
        <item x="916"/>
        <item x="1593"/>
        <item x="1576"/>
        <item x="1243"/>
        <item x="2540"/>
        <item x="2143"/>
        <item x="201"/>
        <item x="54"/>
        <item x="1210"/>
        <item x="431"/>
        <item x="1144"/>
        <item x="784"/>
        <item x="770"/>
        <item x="2193"/>
        <item x="2413"/>
        <item x="1194"/>
        <item x="561"/>
        <item x="1836"/>
        <item x="2232"/>
        <item x="1086"/>
        <item x="993"/>
        <item x="1466"/>
        <item x="2043"/>
        <item x="2531"/>
        <item x="671"/>
        <item x="1854"/>
        <item x="2542"/>
        <item x="2316"/>
        <item x="926"/>
        <item x="1139"/>
        <item x="2457"/>
        <item x="945"/>
        <item x="932"/>
        <item x="1159"/>
        <item x="421"/>
        <item x="424"/>
        <item x="1204"/>
        <item x="2025"/>
        <item x="2345"/>
        <item x="802"/>
        <item x="412"/>
        <item x="2227"/>
        <item x="1309"/>
        <item x="1810"/>
        <item x="109"/>
        <item x="315"/>
        <item x="6"/>
        <item x="425"/>
        <item x="2324"/>
        <item x="2362"/>
        <item x="409"/>
        <item x="98"/>
        <item x="1440"/>
        <item x="179"/>
        <item x="134"/>
        <item x="1726"/>
        <item x="2558"/>
        <item x="822"/>
        <item x="2258"/>
        <item x="517"/>
        <item x="647"/>
        <item x="1426"/>
        <item x="1577"/>
        <item x="63"/>
        <item x="2559"/>
        <item x="1887"/>
        <item x="1565"/>
        <item x="1971"/>
        <item x="1472"/>
        <item x="538"/>
        <item x="2152"/>
        <item x="1685"/>
        <item x="1785"/>
        <item x="835"/>
        <item x="1906"/>
        <item x="1346"/>
        <item x="2158"/>
        <item x="1"/>
        <item x="1313"/>
        <item x="1247"/>
        <item x="1238"/>
        <item x="2247"/>
        <item x="1074"/>
        <item x="320"/>
        <item x="2493"/>
        <item x="2589"/>
        <item x="773"/>
        <item x="1922"/>
        <item x="529"/>
        <item x="849"/>
        <item x="1970"/>
        <item x="2220"/>
        <item x="445"/>
        <item x="1352"/>
        <item x="2394"/>
        <item x="1241"/>
        <item x="2549"/>
        <item x="1710"/>
        <item x="672"/>
        <item x="2487"/>
        <item x="1737"/>
        <item x="718"/>
        <item x="1693"/>
        <item x="68"/>
        <item x="2441"/>
        <item x="1067"/>
        <item x="2346"/>
        <item x="760"/>
        <item x="213"/>
        <item x="689"/>
        <item x="2231"/>
        <item x="392"/>
        <item x="318"/>
        <item x="1395"/>
        <item x="964"/>
        <item x="1879"/>
        <item x="443"/>
        <item x="2501"/>
        <item x="1378"/>
        <item x="2577"/>
        <item x="2568"/>
        <item x="2550"/>
        <item x="1102"/>
        <item x="557"/>
        <item x="46"/>
        <item x="791"/>
        <item x="1888"/>
        <item x="2466"/>
        <item x="1855"/>
        <item x="722"/>
        <item x="1460"/>
        <item x="1829"/>
        <item x="2222"/>
        <item x="2449"/>
        <item x="957"/>
        <item x="1275"/>
        <item x="1379"/>
        <item x="236"/>
        <item x="1952"/>
        <item x="1718"/>
        <item x="736"/>
        <item x="1130"/>
        <item x="1126"/>
        <item x="119"/>
        <item x="901"/>
        <item x="1205"/>
        <item x="677"/>
        <item x="386"/>
        <item x="2274"/>
        <item x="1195"/>
        <item x="418"/>
        <item x="2339"/>
        <item x="2101"/>
        <item x="852"/>
        <item x="1330"/>
        <item x="777"/>
        <item x="404"/>
        <item x="1182"/>
        <item x="371"/>
        <item x="1997"/>
        <item x="301"/>
        <item x="359"/>
        <item x="2545"/>
        <item x="1784"/>
        <item x="1449"/>
        <item x="643"/>
        <item x="1620"/>
        <item x="128"/>
        <item x="1788"/>
        <item x="1680"/>
        <item x="268"/>
        <item x="1625"/>
        <item x="1504"/>
        <item x="750"/>
        <item x="1801"/>
        <item x="1605"/>
        <item x="453"/>
        <item x="668"/>
        <item x="1231"/>
        <item x="1164"/>
        <item x="2171"/>
        <item x="611"/>
        <item x="657"/>
        <item x="464"/>
        <item x="2529"/>
        <item x="2066"/>
        <item x="2369"/>
        <item x="1815"/>
        <item x="1475"/>
        <item x="204"/>
        <item x="1752"/>
        <item x="905"/>
        <item x="172"/>
        <item x="2585"/>
        <item x="911"/>
        <item x="1085"/>
        <item x="2170"/>
        <item x="1990"/>
        <item x="2364"/>
        <item x="1619"/>
        <item x="963"/>
        <item x="36"/>
        <item x="2048"/>
        <item x="385"/>
        <item x="1211"/>
        <item x="1433"/>
        <item x="1276"/>
        <item x="136"/>
        <item x="2169"/>
        <item x="220"/>
        <item x="475"/>
        <item x="227"/>
        <item x="2110"/>
        <item x="135"/>
        <item x="524"/>
        <item x="206"/>
        <item x="1567"/>
        <item x="143"/>
        <item x="1738"/>
        <item x="1239"/>
        <item x="1069"/>
        <item x="1265"/>
        <item x="1568"/>
        <item x="1172"/>
        <item x="1505"/>
        <item x="2150"/>
        <item x="1628"/>
        <item x="906"/>
        <item x="1931"/>
        <item x="2174"/>
        <item x="1844"/>
        <item x="178"/>
        <item x="2390"/>
        <item x="1786"/>
        <item x="1679"/>
        <item x="648"/>
        <item x="622"/>
        <item x="941"/>
        <item x="467"/>
        <item x="487"/>
        <item x="2167"/>
        <item x="1419"/>
        <item x="1861"/>
        <item x="1819"/>
        <item x="860"/>
        <item x="1212"/>
        <item x="2288"/>
        <item x="2191"/>
        <item x="1739"/>
        <item x="1524"/>
        <item x="1148"/>
        <item x="2124"/>
        <item x="612"/>
        <item x="1969"/>
        <item x="1232"/>
        <item x="2350"/>
        <item x="744"/>
        <item x="525"/>
        <item x="996"/>
        <item x="1890"/>
        <item x="2074"/>
        <item x="2444"/>
        <item x="2538"/>
        <item x="100"/>
        <item x="2556"/>
        <item x="920"/>
        <item x="615"/>
        <item x="1310"/>
        <item x="1535"/>
        <item x="2132"/>
        <item x="1311"/>
        <item x="1043"/>
        <item x="1414"/>
        <item x="1783"/>
        <item x="1892"/>
        <item x="1755"/>
        <item x="1317"/>
        <item x="910"/>
        <item x="512"/>
        <item x="1651"/>
        <item x="585"/>
        <item x="1450"/>
        <item x="921"/>
        <item x="871"/>
        <item x="809"/>
        <item x="2403"/>
        <item x="146"/>
        <item x="956"/>
        <item x="2248"/>
        <item x="1146"/>
        <item x="2108"/>
        <item x="961"/>
        <item x="1451"/>
        <item x="1354"/>
        <item x="844"/>
        <item x="1119"/>
        <item x="2187"/>
        <item x="1958"/>
        <item x="1937"/>
        <item x="2582"/>
        <item x="2343"/>
        <item x="919"/>
        <item x="291"/>
        <item x="1612"/>
        <item x="2080"/>
        <item x="24"/>
        <item x="1511"/>
        <item x="1110"/>
        <item x="2533"/>
        <item x="762"/>
        <item x="1697"/>
        <item x="1410"/>
        <item x="2305"/>
        <item x="1007"/>
        <item x="1536"/>
        <item x="101"/>
        <item x="2149"/>
        <item x="2409"/>
        <item x="1583"/>
        <item x="2289"/>
        <item x="1140"/>
        <item x="2518"/>
        <item x="1305"/>
        <item x="248"/>
        <item x="666"/>
        <item x="51"/>
        <item x="170"/>
        <item x="766"/>
        <item x="33"/>
        <item x="578"/>
        <item x="2002"/>
        <item x="515"/>
        <item x="510"/>
        <item x="446"/>
        <item x="1340"/>
        <item x="542"/>
        <item x="1008"/>
        <item x="1603"/>
        <item x="1471"/>
        <item x="2505"/>
        <item x="1972"/>
        <item x="1547"/>
        <item x="2185"/>
        <item x="2314"/>
        <item x="1578"/>
        <item x="1629"/>
        <item x="2282"/>
        <item x="1217"/>
        <item x="1021"/>
        <item x="1757"/>
        <item x="678"/>
        <item x="884"/>
        <item x="1615"/>
        <item x="1989"/>
        <item x="2435"/>
        <item x="521"/>
        <item x="1267"/>
        <item x="1667"/>
        <item x="225"/>
        <item x="1158"/>
        <item x="437"/>
        <item x="1743"/>
        <item x="2029"/>
        <item x="2277"/>
        <item x="1031"/>
        <item x="1496"/>
        <item x="430"/>
        <item x="2037"/>
        <item x="2332"/>
        <item x="240"/>
        <item x="1079"/>
        <item x="400"/>
        <item x="699"/>
        <item x="2477"/>
        <item x="946"/>
        <item x="1362"/>
        <item x="2241"/>
        <item x="2252"/>
        <item x="79"/>
        <item x="484"/>
        <item x="953"/>
        <item x="1585"/>
        <item x="2183"/>
        <item x="1248"/>
        <item x="885"/>
        <item x="1766"/>
        <item x="990"/>
        <item x="1966"/>
        <item x="2105"/>
        <item x="597"/>
        <item x="247"/>
        <item x="1846"/>
        <item x="27"/>
        <item x="2315"/>
        <item x="753"/>
        <item x="1903"/>
        <item x="1581"/>
        <item x="2111"/>
        <item x="1599"/>
        <item x="1948"/>
        <item x="491"/>
        <item x="620"/>
        <item x="569"/>
        <item x="2494"/>
        <item x="539"/>
        <item x="826"/>
        <item x="2580"/>
        <item x="1114"/>
        <item x="2139"/>
        <item x="1221"/>
        <item x="1431"/>
        <item x="321"/>
        <item x="1181"/>
        <item x="2233"/>
        <item x="2071"/>
        <item x="1860"/>
        <item x="1862"/>
        <item x="481"/>
        <item x="603"/>
        <item x="1782"/>
        <item x="1626"/>
        <item x="2347"/>
        <item x="444"/>
        <item x="1821"/>
        <item x="2392"/>
        <item x="108"/>
        <item x="1036"/>
        <item x="883"/>
        <item x="1793"/>
        <item x="66"/>
        <item x="602"/>
        <item x="2473"/>
        <item x="1672"/>
        <item x="1981"/>
        <item x="391"/>
        <item x="442"/>
        <item x="2291"/>
        <item x="2120"/>
        <item x="35"/>
        <item x="1638"/>
        <item x="20"/>
        <item x="641"/>
        <item x="872"/>
        <item x="2363"/>
        <item x="37"/>
        <item x="2173"/>
        <item x="1756"/>
        <item x="351"/>
        <item x="1683"/>
        <item x="2365"/>
        <item x="111"/>
        <item x="29"/>
        <item x="1530"/>
        <item x="1237"/>
        <item x="174"/>
        <item x="256"/>
        <item x="273"/>
        <item x="2509"/>
        <item x="1875"/>
        <item x="1787"/>
        <item x="1686"/>
        <item x="691"/>
        <item x="1791"/>
        <item x="1779"/>
        <item x="1744"/>
        <item x="1329"/>
        <item x="560"/>
        <item x="2228"/>
        <item x="2508"/>
        <item x="2431"/>
        <item x="865"/>
        <item x="1002"/>
        <item x="441"/>
        <item x="199"/>
        <item x="1014"/>
        <item x="1894"/>
        <item x="827"/>
        <item x="1328"/>
        <item x="1112"/>
        <item x="1634"/>
        <item x="347"/>
        <item x="1773"/>
        <item x="188"/>
        <item x="2516"/>
        <item x="1630"/>
        <item x="1319"/>
        <item x="2226"/>
        <item x="1178"/>
        <item x="947"/>
        <item x="1374"/>
        <item x="285"/>
        <item x="1199"/>
        <item x="344"/>
        <item x="251"/>
        <item x="332"/>
        <item x="723"/>
        <item x="1881"/>
        <item x="874"/>
        <item x="160"/>
        <item x="257"/>
        <item x="496"/>
        <item x="394"/>
        <item x="141"/>
        <item x="1279"/>
        <item x="2223"/>
        <item x="126"/>
        <item x="845"/>
        <item x="1373"/>
        <item x="1226"/>
        <item x="2007"/>
        <item x="2208"/>
        <item x="1277"/>
        <item x="588"/>
        <item x="1708"/>
        <item x="630"/>
        <item x="1899"/>
        <item x="428"/>
        <item x="1543"/>
        <item x="1517"/>
        <item x="426"/>
        <item x="2260"/>
        <item x="361"/>
        <item x="1653"/>
        <item x="1926"/>
        <item x="1481"/>
        <item x="1650"/>
        <item x="44"/>
        <item x="49"/>
        <item x="2428"/>
        <item x="1939"/>
        <item x="2391"/>
        <item x="684"/>
        <item x="1482"/>
        <item x="1216"/>
        <item x="67"/>
        <item x="463"/>
        <item x="817"/>
        <item x="751"/>
        <item x="1285"/>
        <item x="2049"/>
        <item x="2524"/>
        <item x="118"/>
        <item x="1961"/>
        <item x="2047"/>
        <item x="1083"/>
        <item x="2278"/>
        <item x="1849"/>
        <item x="337"/>
        <item x="450"/>
        <item x="432"/>
        <item x="1904"/>
        <item x="254"/>
        <item x="675"/>
        <item x="2250"/>
        <item x="1980"/>
        <item x="2301"/>
        <item x="2351"/>
        <item x="2069"/>
        <item x="1548"/>
        <item x="161"/>
        <item x="317"/>
        <item x="1483"/>
        <item x="1962"/>
        <item x="594"/>
        <item x="2209"/>
        <item x="1403"/>
        <item x="745"/>
        <item x="1089"/>
        <item x="1838"/>
        <item x="1631"/>
        <item x="1491"/>
        <item x="613"/>
        <item x="1075"/>
        <item x="2352"/>
        <item x="2104"/>
        <item x="1974"/>
        <item x="2011"/>
        <item x="804"/>
        <item x="2085"/>
        <item x="1967"/>
        <item x="1927"/>
        <item x="348"/>
        <item x="2062"/>
        <item x="2009"/>
        <item x="2207"/>
        <item x="330"/>
        <item x="1371"/>
        <item x="2019"/>
        <item x="2397"/>
        <item x="1826"/>
        <item x="228"/>
        <item x="2201"/>
        <item x="1529"/>
        <item x="2026"/>
        <item x="1467"/>
        <item x="1138"/>
        <item x="1019"/>
        <item x="1092"/>
        <item x="493"/>
        <item x="2251"/>
        <item x="1663"/>
        <item x="103"/>
        <item x="2481"/>
        <item x="1484"/>
        <item x="1218"/>
        <item x="1542"/>
        <item x="1945"/>
        <item x="1736"/>
        <item x="1120"/>
        <item x="765"/>
        <item x="780"/>
        <item x="153"/>
        <item x="70"/>
        <item x="1044"/>
        <item x="1001"/>
        <item x="2564"/>
        <item x="549"/>
        <item x="2138"/>
        <item x="506"/>
        <item x="1845"/>
        <item x="2310"/>
        <item x="2590"/>
        <item x="2156"/>
        <item x="1872"/>
        <item x="1642"/>
        <item x="1093"/>
        <item x="794"/>
        <item x="831"/>
        <item x="1384"/>
        <item x="881"/>
        <item x="1553"/>
        <item x="918"/>
        <item x="2272"/>
        <item x="2432"/>
        <item x="218"/>
        <item x="1441"/>
        <item x="631"/>
        <item x="1280"/>
        <item x="863"/>
        <item x="1957"/>
        <item x="1706"/>
        <item x="584"/>
        <item x="2086"/>
        <item x="937"/>
        <item x="184"/>
        <item x="1108"/>
        <item x="1167"/>
        <item x="2090"/>
        <item x="50"/>
        <item x="868"/>
        <item x="117"/>
        <item x="1868"/>
        <item x="2215"/>
        <item x="2255"/>
        <item x="65"/>
        <item x="2046"/>
        <item x="2569"/>
        <item x="1087"/>
        <item x="999"/>
        <item x="211"/>
        <item x="2484"/>
        <item x="1912"/>
        <item x="2467"/>
        <item x="1842"/>
        <item x="1848"/>
        <item x="1111"/>
        <item x="2268"/>
        <item x="1774"/>
        <item x="1570"/>
        <item x="97"/>
        <item x="895"/>
        <item x="2195"/>
        <item x="1944"/>
        <item x="1350"/>
        <item x="209"/>
        <item x="2472"/>
        <item x="1797"/>
        <item x="2317"/>
        <item x="614"/>
        <item x="2117"/>
        <item x="1494"/>
        <item x="1806"/>
        <item x="2216"/>
        <item x="1420"/>
        <item x="754"/>
        <item x="914"/>
        <item x="2292"/>
        <item x="353"/>
        <item x="2181"/>
        <item x="1674"/>
        <item x="375"/>
        <item x="2032"/>
        <item x="795"/>
        <item x="74"/>
        <item x="1137"/>
        <item x="681"/>
        <item x="1348"/>
        <item x="1200"/>
        <item x="589"/>
        <item x="1341"/>
        <item x="1136"/>
        <item x="159"/>
        <item x="71"/>
        <item x="2081"/>
        <item x="1409"/>
        <item x="345"/>
        <item x="1918"/>
        <item x="137"/>
        <item x="2023"/>
        <item x="866"/>
        <item x="197"/>
        <item x="1968"/>
        <item x="2380"/>
        <item x="741"/>
        <item x="22"/>
        <item x="125"/>
        <item x="1040"/>
        <item x="2398"/>
        <item x="846"/>
        <item x="2050"/>
        <item x="1026"/>
        <item x="2341"/>
        <item x="1943"/>
        <item x="2566"/>
        <item x="2454"/>
        <item x="2530"/>
        <item x="1532"/>
        <item x="2010"/>
        <item x="292"/>
        <item x="140"/>
        <item x="2154"/>
        <item x="2136"/>
        <item x="719"/>
        <item x="296"/>
        <item x="82"/>
        <item x="1589"/>
        <item x="310"/>
        <item x="2554"/>
        <item x="405"/>
        <item x="2461"/>
        <item x="2572"/>
        <item x="1135"/>
        <item x="2106"/>
        <item x="2328"/>
        <item x="935"/>
        <item x="8"/>
        <item x="207"/>
        <item x="2079"/>
        <item x="1064"/>
        <item x="57"/>
        <item x="783"/>
        <item x="1729"/>
        <item x="1711"/>
        <item x="1717"/>
        <item x="518"/>
        <item x="2146"/>
        <item x="796"/>
        <item x="1795"/>
        <item x="2586"/>
        <item x="1302"/>
        <item x="382"/>
        <item x="124"/>
        <item x="1873"/>
        <item x="2506"/>
        <item x="362"/>
        <item x="2359"/>
        <item x="200"/>
        <item x="587"/>
        <item x="365"/>
        <item x="1380"/>
        <item x="1703"/>
        <item x="879"/>
        <item x="286"/>
        <item x="1077"/>
        <item x="1579"/>
        <item x="724"/>
        <item x="2219"/>
        <item x="1492"/>
        <item x="764"/>
        <item x="290"/>
        <item x="1832"/>
        <item x="325"/>
        <item x="1687"/>
        <item x="2075"/>
        <item x="1127"/>
        <item x="1563"/>
        <item x="1046"/>
        <item x="1489"/>
        <item x="398"/>
        <item x="1986"/>
        <item x="988"/>
        <item x="2421"/>
        <item x="1841"/>
        <item x="2088"/>
        <item x="1549"/>
        <item x="1301"/>
        <item x="1389"/>
        <item x="2420"/>
        <item x="586"/>
        <item x="297"/>
        <item x="2563"/>
        <item x="466"/>
        <item x="1913"/>
        <item x="1804"/>
        <item x="1047"/>
        <item x="1381"/>
        <item x="2355"/>
        <item x="1198"/>
        <item x="890"/>
        <item x="1768"/>
        <item x="807"/>
        <item x="2495"/>
        <item x="1054"/>
        <item x="2507"/>
        <item x="940"/>
        <item x="34"/>
        <item x="902"/>
        <item x="2312"/>
        <item x="899"/>
        <item x="1691"/>
        <item x="1447"/>
        <item x="869"/>
        <item x="1618"/>
        <item x="1816"/>
        <item x="1448"/>
        <item x="1659"/>
        <item x="261"/>
        <item x="2290"/>
        <item x="378"/>
        <item x="229"/>
        <item x="522"/>
        <item x="1080"/>
        <item x="1497"/>
        <item x="500"/>
        <item x="1522"/>
        <item x="266"/>
        <item x="1244"/>
        <item x="131"/>
        <item x="576"/>
        <item x="106"/>
        <item x="621"/>
        <item x="1520"/>
        <item x="1186"/>
        <item x="1727"/>
        <item x="2217"/>
        <item x="642"/>
        <item x="1982"/>
        <item x="1323"/>
        <item x="1775"/>
        <item x="1422"/>
        <item x="674"/>
        <item x="422"/>
        <item x="1571"/>
        <item x="1091"/>
        <item x="1121"/>
        <item x="148"/>
        <item x="312"/>
        <item x="974"/>
        <item x="1387"/>
        <item x="1163"/>
        <item x="221"/>
        <item x="2145"/>
        <item x="439"/>
        <item x="2439"/>
        <item x="2333"/>
        <item x="2115"/>
        <item x="730"/>
        <item x="89"/>
        <item x="376"/>
        <item x="158"/>
        <item x="1978"/>
        <item x="1664"/>
        <item x="456"/>
        <item x="1600"/>
        <item x="1998"/>
        <item x="746"/>
        <item x="372"/>
        <item x="1999"/>
        <item x="242"/>
        <item x="2400"/>
        <item x="2091"/>
        <item x="476"/>
        <item x="2119"/>
        <item x="931"/>
        <item x="1278"/>
        <item x="13"/>
        <item x="1954"/>
        <item x="1827"/>
        <item x="1799"/>
        <item x="217"/>
        <item x="1917"/>
        <item x="1037"/>
        <item x="2034"/>
        <item x="1601"/>
        <item x="144"/>
        <item x="252"/>
        <item x="1555"/>
        <item x="457"/>
        <item x="759"/>
        <item x="1707"/>
        <item x="2020"/>
        <item x="2142"/>
        <item x="1458"/>
        <item x="2021"/>
        <item x="2299"/>
        <item x="23"/>
        <item x="1005"/>
        <item x="2357"/>
        <item x="786"/>
        <item x="1712"/>
        <item x="1149"/>
        <item x="452"/>
        <item x="2244"/>
        <item x="1266"/>
        <item x="1187"/>
        <item x="2367"/>
        <item x="1856"/>
        <item x="1580"/>
        <item x="1979"/>
        <item x="1358"/>
        <item x="2502"/>
        <item x="1507"/>
        <item x="1397"/>
        <item x="840"/>
        <item x="165"/>
        <item x="173"/>
        <item x="656"/>
        <item x="1596"/>
        <item x="1113"/>
        <item x="1889"/>
        <item x="1490"/>
        <item x="1141"/>
        <item x="2489"/>
        <item x="2446"/>
        <item x="2319"/>
        <item x="1185"/>
        <item x="1197"/>
        <item x="185"/>
        <item x="2293"/>
        <item x="1011"/>
        <item x="965"/>
        <item x="1416"/>
        <item x="1732"/>
        <item x="2129"/>
        <item x="2184"/>
        <item x="1883"/>
        <item x="1802"/>
        <item x="1388"/>
        <item x="249"/>
        <item x="1427"/>
        <item x="1035"/>
        <item x="313"/>
        <item x="2402"/>
        <item x="2122"/>
        <item x="1407"/>
        <item x="740"/>
        <item x="1012"/>
        <item x="551"/>
        <item x="1312"/>
        <item x="1760"/>
        <item x="1865"/>
        <item x="360"/>
        <item x="1485"/>
        <item x="1068"/>
        <item x="2229"/>
        <item x="4"/>
        <item x="938"/>
        <item x="2342"/>
        <item x="2067"/>
        <item x="2579"/>
        <item x="1557"/>
        <item x="1408"/>
        <item x="255"/>
        <item x="482"/>
        <item x="94"/>
        <item x="2102"/>
        <item x="788"/>
        <item x="752"/>
        <item x="2096"/>
        <item x="1263"/>
        <item x="390"/>
        <item x="566"/>
        <item x="1911"/>
        <item x="2221"/>
        <item x="1602"/>
        <item x="1898"/>
        <item x="828"/>
        <item x="2361"/>
        <item x="1839"/>
        <item x="1713"/>
        <item x="1437"/>
        <item x="2511"/>
        <item x="564"/>
        <item x="1953"/>
        <item x="368"/>
        <item x="2517"/>
        <item x="2419"/>
        <item x="354"/>
        <item x="415"/>
        <item x="1404"/>
        <item x="1519"/>
        <item x="2230"/>
        <item x="413"/>
        <item x="2177"/>
        <item x="732"/>
        <item x="2535"/>
        <item x="829"/>
        <item x="2042"/>
        <item x="77"/>
        <item x="2433"/>
        <item x="1541"/>
        <item x="202"/>
        <item x="816"/>
        <item x="898"/>
        <item x="1399"/>
        <item x="2404"/>
        <item x="1057"/>
        <item x="349"/>
        <item x="2374"/>
        <item x="818"/>
        <item x="2017"/>
        <item x="212"/>
        <item x="196"/>
        <item x="592"/>
        <item x="894"/>
        <item x="2300"/>
        <item x="1456"/>
        <item x="2591"/>
        <item t="default"/>
      </items>
    </pivotField>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name="Datewise Layoff"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dataField="1" showAll="0">
      <items count="735">
        <item x="600"/>
        <item x="723"/>
        <item x="684"/>
        <item x="5"/>
        <item x="681"/>
        <item x="670"/>
        <item x="686"/>
        <item x="78"/>
        <item x="125"/>
        <item x="11"/>
        <item x="669"/>
        <item x="666"/>
        <item x="144"/>
        <item x="28"/>
        <item x="732"/>
        <item x="47"/>
        <item x="261"/>
        <item x="115"/>
        <item x="725"/>
        <item x="185"/>
        <item x="678"/>
        <item x="121"/>
        <item x="183"/>
        <item x="69"/>
        <item x="668"/>
        <item x="142"/>
        <item x="674"/>
        <item x="190"/>
        <item x="128"/>
        <item x="680"/>
        <item x="90"/>
        <item x="354"/>
        <item x="143"/>
        <item x="249"/>
        <item x="132"/>
        <item x="178"/>
        <item x="219"/>
        <item x="693"/>
        <item x="675"/>
        <item x="412"/>
        <item x="70"/>
        <item x="225"/>
        <item x="697"/>
        <item x="7"/>
        <item x="168"/>
        <item x="151"/>
        <item x="550"/>
        <item x="690"/>
        <item x="43"/>
        <item x="136"/>
        <item x="10"/>
        <item x="91"/>
        <item x="433"/>
        <item x="55"/>
        <item x="518"/>
        <item x="129"/>
        <item x="21"/>
        <item x="25"/>
        <item x="702"/>
        <item x="252"/>
        <item x="673"/>
        <item x="149"/>
        <item x="92"/>
        <item x="687"/>
        <item x="347"/>
        <item x="94"/>
        <item x="431"/>
        <item x="315"/>
        <item x="381"/>
        <item x="635"/>
        <item x="27"/>
        <item x="86"/>
        <item x="302"/>
        <item x="80"/>
        <item x="373"/>
        <item x="287"/>
        <item x="67"/>
        <item x="13"/>
        <item x="196"/>
        <item x="698"/>
        <item x="492"/>
        <item x="448"/>
        <item x="73"/>
        <item x="689"/>
        <item x="62"/>
        <item x="267"/>
        <item x="495"/>
        <item x="33"/>
        <item x="164"/>
        <item x="677"/>
        <item x="8"/>
        <item x="590"/>
        <item x="395"/>
        <item x="293"/>
        <item x="106"/>
        <item x="32"/>
        <item x="560"/>
        <item x="148"/>
        <item x="61"/>
        <item x="223"/>
        <item x="679"/>
        <item x="334"/>
        <item x="579"/>
        <item x="34"/>
        <item x="323"/>
        <item x="388"/>
        <item x="187"/>
        <item x="337"/>
        <item x="273"/>
        <item x="390"/>
        <item x="6"/>
        <item x="363"/>
        <item x="329"/>
        <item x="66"/>
        <item x="242"/>
        <item x="202"/>
        <item x="450"/>
        <item x="647"/>
        <item x="313"/>
        <item x="539"/>
        <item x="676"/>
        <item x="452"/>
        <item x="227"/>
        <item x="438"/>
        <item x="370"/>
        <item x="175"/>
        <item x="699"/>
        <item x="464"/>
        <item x="667"/>
        <item x="477"/>
        <item x="327"/>
        <item x="77"/>
        <item x="98"/>
        <item x="274"/>
        <item x="158"/>
        <item x="74"/>
        <item x="79"/>
        <item x="230"/>
        <item x="335"/>
        <item x="282"/>
        <item x="436"/>
        <item x="520"/>
        <item x="217"/>
        <item x="4"/>
        <item x="9"/>
        <item x="2"/>
        <item x="233"/>
        <item x="328"/>
        <item x="270"/>
        <item x="682"/>
        <item x="208"/>
        <item x="31"/>
        <item x="317"/>
        <item x="479"/>
        <item x="295"/>
        <item x="259"/>
        <item x="48"/>
        <item x="191"/>
        <item x="485"/>
        <item x="139"/>
        <item x="393"/>
        <item x="352"/>
        <item x="555"/>
        <item x="126"/>
        <item x="721"/>
        <item x="205"/>
        <item x="446"/>
        <item x="193"/>
        <item x="391"/>
        <item x="605"/>
        <item x="459"/>
        <item x="511"/>
        <item x="50"/>
        <item x="435"/>
        <item x="95"/>
        <item x="351"/>
        <item x="320"/>
        <item x="157"/>
        <item x="265"/>
        <item x="154"/>
        <item x="182"/>
        <item x="281"/>
        <item x="181"/>
        <item x="379"/>
        <item x="333"/>
        <item x="672"/>
        <item x="49"/>
        <item x="57"/>
        <item x="380"/>
        <item x="415"/>
        <item x="575"/>
        <item x="439"/>
        <item x="206"/>
        <item x="365"/>
        <item x="549"/>
        <item x="251"/>
        <item x="195"/>
        <item x="387"/>
        <item x="300"/>
        <item x="375"/>
        <item x="229"/>
        <item x="417"/>
        <item x="58"/>
        <item x="105"/>
        <item x="87"/>
        <item x="104"/>
        <item x="296"/>
        <item x="71"/>
        <item x="730"/>
        <item x="56"/>
        <item x="123"/>
        <item x="360"/>
        <item x="184"/>
        <item x="398"/>
        <item x="238"/>
        <item x="661"/>
        <item x="685"/>
        <item x="167"/>
        <item x="133"/>
        <item x="559"/>
        <item x="442"/>
        <item x="573"/>
        <item x="331"/>
        <item x="192"/>
        <item x="654"/>
        <item x="332"/>
        <item x="199"/>
        <item x="695"/>
        <item x="324"/>
        <item x="209"/>
        <item x="271"/>
        <item x="622"/>
        <item x="632"/>
        <item x="564"/>
        <item x="461"/>
        <item x="432"/>
        <item x="705"/>
        <item x="316"/>
        <item x="620"/>
        <item x="470"/>
        <item x="369"/>
        <item x="603"/>
        <item x="26"/>
        <item x="662"/>
        <item x="660"/>
        <item x="510"/>
        <item x="156"/>
        <item x="325"/>
        <item x="145"/>
        <item x="420"/>
        <item x="330"/>
        <item x="618"/>
        <item x="23"/>
        <item x="253"/>
        <item x="262"/>
        <item x="496"/>
        <item x="516"/>
        <item x="402"/>
        <item x="250"/>
        <item x="127"/>
        <item x="81"/>
        <item x="561"/>
        <item x="410"/>
        <item x="147"/>
        <item x="429"/>
        <item x="611"/>
        <item x="319"/>
        <item x="508"/>
        <item x="228"/>
        <item x="629"/>
        <item x="422"/>
        <item x="258"/>
        <item x="72"/>
        <item x="645"/>
        <item x="460"/>
        <item x="694"/>
        <item x="707"/>
        <item x="403"/>
        <item x="419"/>
        <item x="361"/>
        <item x="367"/>
        <item x="444"/>
        <item x="652"/>
        <item x="528"/>
        <item x="339"/>
        <item x="220"/>
        <item x="163"/>
        <item x="580"/>
        <item x="568"/>
        <item x="630"/>
        <item x="524"/>
        <item x="44"/>
        <item x="20"/>
        <item x="513"/>
        <item x="116"/>
        <item x="172"/>
        <item x="150"/>
        <item x="595"/>
        <item x="499"/>
        <item x="487"/>
        <item x="194"/>
        <item x="463"/>
        <item x="368"/>
        <item x="480"/>
        <item x="400"/>
        <item x="653"/>
        <item x="619"/>
        <item x="82"/>
        <item x="659"/>
        <item x="377"/>
        <item x="421"/>
        <item x="537"/>
        <item x="519"/>
        <item x="311"/>
        <item x="336"/>
        <item x="427"/>
        <item x="53"/>
        <item x="346"/>
        <item x="309"/>
        <item x="89"/>
        <item x="122"/>
        <item x="321"/>
        <item x="621"/>
        <item x="394"/>
        <item x="243"/>
        <item x="696"/>
        <item x="691"/>
        <item x="224"/>
        <item x="451"/>
        <item x="120"/>
        <item x="107"/>
        <item x="458"/>
        <item x="110"/>
        <item x="257"/>
        <item x="473"/>
        <item x="648"/>
        <item x="189"/>
        <item x="572"/>
        <item x="358"/>
        <item x="569"/>
        <item x="408"/>
        <item x="484"/>
        <item x="547"/>
        <item x="535"/>
        <item x="633"/>
        <item x="418"/>
        <item x="255"/>
        <item x="169"/>
        <item x="536"/>
        <item x="639"/>
        <item x="64"/>
        <item x="440"/>
        <item x="624"/>
        <item x="454"/>
        <item x="397"/>
        <item x="521"/>
        <item x="376"/>
        <item x="512"/>
        <item x="256"/>
        <item x="724"/>
        <item x="409"/>
        <item x="234"/>
        <item x="683"/>
        <item x="357"/>
        <item x="563"/>
        <item x="85"/>
        <item x="210"/>
        <item x="371"/>
        <item x="719"/>
        <item x="731"/>
        <item x="610"/>
        <item x="141"/>
        <item x="109"/>
        <item x="411"/>
        <item x="278"/>
        <item x="269"/>
        <item x="607"/>
        <item x="215"/>
        <item x="571"/>
        <item x="345"/>
        <item x="462"/>
        <item x="601"/>
        <item x="576"/>
        <item x="517"/>
        <item x="599"/>
        <item x="589"/>
        <item x="362"/>
        <item x="541"/>
        <item x="222"/>
        <item x="713"/>
        <item x="355"/>
        <item x="310"/>
        <item x="17"/>
        <item x="277"/>
        <item x="284"/>
        <item x="246"/>
        <item x="414"/>
        <item x="506"/>
        <item x="88"/>
        <item x="59"/>
        <item x="481"/>
        <item x="728"/>
        <item x="542"/>
        <item x="692"/>
        <item x="592"/>
        <item x="488"/>
        <item x="372"/>
        <item x="534"/>
        <item x="441"/>
        <item x="501"/>
        <item x="244"/>
        <item x="509"/>
        <item x="527"/>
        <item x="343"/>
        <item x="529"/>
        <item x="364"/>
        <item x="413"/>
        <item x="425"/>
        <item x="180"/>
        <item x="268"/>
        <item x="294"/>
        <item x="38"/>
        <item x="646"/>
        <item x="465"/>
        <item x="349"/>
        <item x="586"/>
        <item x="307"/>
        <item x="588"/>
        <item x="486"/>
        <item x="385"/>
        <item x="718"/>
        <item x="288"/>
        <item x="152"/>
        <item x="585"/>
        <item x="276"/>
        <item x="514"/>
        <item x="254"/>
        <item x="211"/>
        <item x="298"/>
        <item x="562"/>
        <item x="644"/>
        <item x="474"/>
        <item x="102"/>
        <item x="356"/>
        <item x="322"/>
        <item x="301"/>
        <item x="489"/>
        <item x="312"/>
        <item x="401"/>
        <item x="204"/>
        <item x="272"/>
        <item x="613"/>
        <item x="597"/>
        <item x="507"/>
        <item x="235"/>
        <item x="626"/>
        <item x="567"/>
        <item x="93"/>
        <item x="426"/>
        <item x="475"/>
        <item x="578"/>
        <item x="407"/>
        <item x="207"/>
        <item x="468"/>
        <item x="306"/>
        <item x="131"/>
        <item x="494"/>
        <item x="476"/>
        <item x="505"/>
        <item x="299"/>
        <item x="186"/>
        <item x="587"/>
        <item x="656"/>
        <item x="430"/>
        <item x="103"/>
        <item x="504"/>
        <item x="631"/>
        <item x="348"/>
        <item x="558"/>
        <item x="117"/>
        <item x="36"/>
        <item x="525"/>
        <item x="111"/>
        <item x="159"/>
        <item x="130"/>
        <item x="201"/>
        <item x="596"/>
        <item x="134"/>
        <item x="374"/>
        <item x="623"/>
        <item x="179"/>
        <item x="627"/>
        <item x="138"/>
        <item x="283"/>
        <item x="726"/>
        <item x="423"/>
        <item x="574"/>
        <item x="643"/>
        <item x="75"/>
        <item x="533"/>
        <item x="538"/>
        <item x="515"/>
        <item x="604"/>
        <item x="198"/>
        <item x="478"/>
        <item x="543"/>
        <item x="137"/>
        <item x="500"/>
        <item x="350"/>
        <item x="602"/>
        <item x="101"/>
        <item x="636"/>
        <item x="526"/>
        <item x="353"/>
        <item x="483"/>
        <item x="290"/>
        <item x="445"/>
        <item x="467"/>
        <item x="701"/>
        <item x="503"/>
        <item x="664"/>
        <item x="608"/>
        <item x="594"/>
        <item x="606"/>
        <item x="248"/>
        <item x="41"/>
        <item x="545"/>
        <item x="651"/>
        <item x="577"/>
        <item x="383"/>
        <item x="389"/>
        <item x="437"/>
        <item x="239"/>
        <item x="146"/>
        <item x="551"/>
        <item x="424"/>
        <item x="727"/>
        <item x="593"/>
        <item x="176"/>
        <item x="260"/>
        <item x="216"/>
        <item x="289"/>
        <item x="566"/>
        <item x="471"/>
        <item x="214"/>
        <item x="170"/>
        <item x="266"/>
        <item x="18"/>
        <item x="405"/>
        <item x="609"/>
        <item x="245"/>
        <item x="155"/>
        <item x="237"/>
        <item x="688"/>
        <item x="3"/>
        <item x="628"/>
        <item x="161"/>
        <item x="544"/>
        <item x="160"/>
        <item x="285"/>
        <item x="366"/>
        <item x="714"/>
        <item x="482"/>
        <item x="340"/>
        <item x="338"/>
        <item x="553"/>
        <item x="108"/>
        <item x="68"/>
        <item x="469"/>
        <item x="552"/>
        <item x="456"/>
        <item x="177"/>
        <item x="241"/>
        <item x="642"/>
        <item x="0"/>
        <item x="359"/>
        <item x="231"/>
        <item x="114"/>
        <item x="532"/>
        <item x="240"/>
        <item x="384"/>
        <item x="280"/>
        <item x="612"/>
        <item x="498"/>
        <item x="378"/>
        <item x="497"/>
        <item x="493"/>
        <item x="171"/>
        <item x="540"/>
        <item x="286"/>
        <item x="291"/>
        <item x="598"/>
        <item x="704"/>
        <item x="162"/>
        <item x="565"/>
        <item x="264"/>
        <item x="96"/>
        <item x="641"/>
        <item x="15"/>
        <item x="344"/>
        <item x="304"/>
        <item x="84"/>
        <item x="658"/>
        <item x="657"/>
        <item x="663"/>
        <item x="716"/>
        <item x="263"/>
        <item x="416"/>
        <item x="341"/>
        <item x="712"/>
        <item x="466"/>
        <item x="37"/>
        <item x="710"/>
        <item x="650"/>
        <item x="472"/>
        <item x="591"/>
        <item x="502"/>
        <item x="54"/>
        <item x="582"/>
        <item x="406"/>
        <item x="581"/>
        <item x="174"/>
        <item x="625"/>
        <item x="308"/>
        <item x="65"/>
        <item x="30"/>
        <item x="709"/>
        <item x="457"/>
        <item x="119"/>
        <item x="717"/>
        <item x="447"/>
        <item x="443"/>
        <item x="531"/>
        <item x="275"/>
        <item x="303"/>
        <item x="548"/>
        <item x="640"/>
        <item x="637"/>
        <item x="153"/>
        <item x="584"/>
        <item x="404"/>
        <item x="554"/>
        <item x="382"/>
        <item x="19"/>
        <item x="399"/>
        <item x="722"/>
        <item x="318"/>
        <item x="617"/>
        <item x="583"/>
        <item x="292"/>
        <item x="655"/>
        <item x="342"/>
        <item x="649"/>
        <item x="314"/>
        <item x="39"/>
        <item x="530"/>
        <item x="135"/>
        <item x="279"/>
        <item x="720"/>
        <item x="118"/>
        <item x="523"/>
        <item x="100"/>
        <item x="434"/>
        <item x="729"/>
        <item x="428"/>
        <item x="188"/>
        <item x="546"/>
        <item x="35"/>
        <item x="99"/>
        <item x="63"/>
        <item x="22"/>
        <item x="52"/>
        <item x="113"/>
        <item x="112"/>
        <item x="14"/>
        <item x="45"/>
        <item x="40"/>
        <item x="1"/>
        <item x="236"/>
        <item x="232"/>
        <item x="715"/>
        <item x="453"/>
        <item x="165"/>
        <item x="226"/>
        <item x="326"/>
        <item x="200"/>
        <item x="634"/>
        <item x="124"/>
        <item x="197"/>
        <item x="703"/>
        <item x="665"/>
        <item x="51"/>
        <item x="24"/>
        <item x="83"/>
        <item x="166"/>
        <item x="173"/>
        <item x="706"/>
        <item x="570"/>
        <item x="60"/>
        <item x="490"/>
        <item x="700"/>
        <item x="140"/>
        <item x="46"/>
        <item x="557"/>
        <item x="708"/>
        <item x="711"/>
        <item x="76"/>
        <item x="305"/>
        <item x="638"/>
        <item x="449"/>
        <item x="455"/>
        <item x="297"/>
        <item x="213"/>
        <item x="556"/>
        <item x="16"/>
        <item x="616"/>
        <item x="386"/>
        <item x="247"/>
        <item x="218"/>
        <item x="29"/>
        <item x="491"/>
        <item x="203"/>
        <item x="221"/>
        <item x="396"/>
        <item x="671"/>
        <item x="42"/>
        <item x="522"/>
        <item x="615"/>
        <item x="392"/>
        <item x="97"/>
        <item x="212"/>
        <item x="614"/>
        <item x="12"/>
        <item x="733"/>
        <item t="default"/>
      </items>
    </pivotField>
    <pivotField showAll="0"/>
    <pivotField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25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rowItems>
  <colItems count="1">
    <i/>
  </colItems>
  <dataFields count="1">
    <dataField name="Sum of Funds_Raised" fld="5" baseField="0" baseItem="0"/>
  </dataFields>
  <formats count="8">
    <format dxfId="39">
      <pivotArea type="all" dataOnly="0" outline="0" fieldPosition="0"/>
    </format>
    <format dxfId="38">
      <pivotArea outline="0" collapsedLevelsAreSubtotals="1" fieldPosition="0"/>
    </format>
    <format dxfId="37">
      <pivotArea field="7" type="button" dataOnly="0" labelOnly="1" outline="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7" type="button" dataOnly="0" labelOnly="1" outline="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8DE27D-C81E-BC4E-8E23-DB1FA8F0467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K67" firstHeaderRow="1" firstDataRow="1" firstDataCol="1"/>
  <pivotFields count="13">
    <pivotField showAll="0">
      <items count="2593">
        <item x="1725"/>
        <item x="275"/>
        <item x="1992"/>
        <item x="260"/>
        <item x="1411"/>
        <item x="438"/>
        <item x="1880"/>
        <item x="1554"/>
        <item x="1222"/>
        <item x="1356"/>
        <item x="1835"/>
        <item x="565"/>
        <item x="969"/>
        <item x="2471"/>
        <item x="618"/>
        <item x="1767"/>
        <item x="250"/>
        <item x="1777"/>
        <item x="2064"/>
        <item x="1682"/>
        <item x="272"/>
        <item x="1289"/>
        <item x="1281"/>
        <item x="62"/>
        <item x="1964"/>
        <item x="547"/>
        <item x="966"/>
        <item x="1731"/>
        <item x="1056"/>
        <item x="2490"/>
        <item x="2271"/>
        <item x="471"/>
        <item x="2176"/>
        <item x="1705"/>
        <item x="637"/>
        <item x="959"/>
        <item x="1190"/>
        <item x="1673"/>
        <item x="2354"/>
        <item x="2140"/>
        <item x="2513"/>
        <item x="465"/>
        <item x="1288"/>
        <item x="2033"/>
        <item x="1459"/>
        <item x="2504"/>
        <item x="1649"/>
        <item x="1934"/>
        <item x="995"/>
        <item x="149"/>
        <item x="2061"/>
        <item x="679"/>
        <item x="86"/>
        <item x="2281"/>
        <item x="2127"/>
        <item x="2197"/>
        <item x="1055"/>
        <item x="977"/>
        <item x="1925"/>
        <item x="2338"/>
        <item x="110"/>
        <item x="523"/>
        <item x="2024"/>
        <item x="913"/>
        <item x="2099"/>
        <item x="2311"/>
        <item x="1290"/>
        <item x="1510"/>
        <item x="873"/>
        <item x="2089"/>
        <item x="52"/>
        <item x="526"/>
        <item x="658"/>
        <item x="516"/>
        <item x="2393"/>
        <item x="1800"/>
        <item x="2039"/>
        <item x="2463"/>
        <item x="2"/>
        <item x="380"/>
        <item x="259"/>
        <item x="842"/>
        <item x="1432"/>
        <item x="2103"/>
        <item x="1867"/>
        <item x="2464"/>
        <item x="1808"/>
        <item x="908"/>
        <item x="1915"/>
        <item x="90"/>
        <item x="1746"/>
        <item x="1059"/>
        <item x="720"/>
        <item x="1303"/>
        <item x="1607"/>
        <item x="1073"/>
        <item x="230"/>
        <item x="2528"/>
        <item x="968"/>
        <item x="2458"/>
        <item x="340"/>
        <item x="763"/>
        <item x="379"/>
        <item x="116"/>
        <item x="1029"/>
        <item x="2318"/>
        <item x="499"/>
        <item x="2510"/>
        <item x="1049"/>
        <item x="1938"/>
        <item x="983"/>
        <item x="1661"/>
        <item x="992"/>
        <item x="2584"/>
        <item x="1807"/>
        <item x="1771"/>
        <item x="1928"/>
        <item x="1417"/>
        <item x="1573"/>
        <item x="2344"/>
        <item x="1041"/>
        <item x="593"/>
        <item x="1188"/>
        <item x="669"/>
        <item x="85"/>
        <item x="1987"/>
        <item x="1509"/>
        <item x="509"/>
        <item x="152"/>
        <item x="2012"/>
        <item x="1468"/>
        <item x="1901"/>
        <item x="1094"/>
        <item x="644"/>
        <item x="1885"/>
        <item x="1639"/>
        <item x="1780"/>
        <item x="670"/>
        <item x="38"/>
        <item x="327"/>
        <item x="1444"/>
        <item x="485"/>
        <item x="2455"/>
        <item x="1833"/>
        <item x="1179"/>
        <item x="263"/>
        <item x="1772"/>
        <item x="738"/>
        <item x="1564"/>
        <item x="2443"/>
        <item x="998"/>
        <item x="1910"/>
        <item x="48"/>
        <item x="1526"/>
        <item x="624"/>
        <item x="192"/>
        <item x="948"/>
        <item x="531"/>
        <item x="729"/>
        <item x="2482"/>
        <item x="575"/>
        <item x="2245"/>
        <item x="1045"/>
        <item x="28"/>
        <item x="1668"/>
        <item x="1699"/>
        <item x="2410"/>
        <item x="1382"/>
        <item x="1202"/>
        <item x="154"/>
        <item x="271"/>
        <item x="692"/>
        <item x="633"/>
        <item x="1996"/>
        <item x="2172"/>
        <item x="237"/>
        <item x="216"/>
        <item x="1428"/>
        <item x="1174"/>
        <item x="886"/>
        <item x="2335"/>
        <item x="2349"/>
        <item x="2035"/>
        <item x="416"/>
        <item x="1261"/>
        <item x="2462"/>
        <item x="771"/>
        <item x="1598"/>
        <item x="1306"/>
        <item x="1030"/>
        <item x="2118"/>
        <item x="967"/>
        <item x="627"/>
        <item x="166"/>
        <item x="2202"/>
        <item x="2178"/>
        <item x="628"/>
        <item x="814"/>
        <item x="2546"/>
        <item x="1924"/>
        <item x="608"/>
        <item x="1398"/>
        <item x="45"/>
        <item x="1291"/>
        <item x="1424"/>
        <item x="1956"/>
        <item x="462"/>
        <item x="1988"/>
        <item x="1154"/>
        <item x="626"/>
        <item x="696"/>
        <item x="1101"/>
        <item x="1973"/>
        <item x="2543"/>
        <item x="282"/>
        <item x="393"/>
        <item x="1613"/>
        <item x="2407"/>
        <item x="454"/>
        <item x="2539"/>
        <item x="924"/>
        <item x="302"/>
        <item x="1282"/>
        <item x="837"/>
        <item x="1623"/>
        <item x="1823"/>
        <item x="2036"/>
        <item x="1993"/>
        <item x="997"/>
        <item x="544"/>
        <item x="2298"/>
        <item x="1292"/>
        <item x="1116"/>
        <item x="632"/>
        <item x="2541"/>
        <item x="423"/>
        <item x="2098"/>
        <item x="1320"/>
        <item x="625"/>
        <item x="2203"/>
        <item x="1754"/>
        <item x="410"/>
        <item x="922"/>
        <item x="1869"/>
        <item x="1393"/>
        <item x="356"/>
        <item x="190"/>
        <item x="688"/>
        <item x="528"/>
        <item x="558"/>
        <item x="1696"/>
        <item x="489"/>
        <item x="897"/>
        <item x="2450"/>
        <item x="1501"/>
        <item x="2381"/>
        <item x="1637"/>
        <item x="2014"/>
        <item x="1991"/>
        <item x="1735"/>
        <item x="1076"/>
        <item x="1498"/>
        <item x="2151"/>
        <item x="1257"/>
        <item x="1177"/>
        <item x="782"/>
        <item x="483"/>
        <item x="2116"/>
        <item x="1479"/>
        <item x="1322"/>
        <item x="1122"/>
        <item x="2377"/>
        <item x="577"/>
        <item x="2199"/>
        <item x="606"/>
        <item x="176"/>
        <item x="214"/>
        <item x="1331"/>
        <item x="1512"/>
        <item x="1480"/>
        <item x="682"/>
        <item x="994"/>
        <item x="473"/>
        <item x="115"/>
        <item x="2534"/>
        <item x="949"/>
        <item x="1896"/>
        <item x="2522"/>
        <item x="2270"/>
        <item x="1209"/>
        <item x="1430"/>
        <item x="333"/>
        <item x="84"/>
        <item x="2056"/>
        <item x="2013"/>
        <item x="536"/>
        <item x="1023"/>
        <item x="2083"/>
        <item x="1640"/>
        <item x="2267"/>
        <item x="2485"/>
        <item x="1250"/>
        <item x="971"/>
        <item x="1886"/>
        <item x="2045"/>
        <item x="2448"/>
        <item x="2186"/>
        <item x="1366"/>
        <item x="2445"/>
        <item x="406"/>
        <item x="1025"/>
        <item x="474"/>
        <item x="1870"/>
        <item x="843"/>
        <item x="287"/>
        <item x="2436"/>
        <item x="479"/>
        <item x="1761"/>
        <item x="2030"/>
        <item x="2175"/>
        <item x="243"/>
        <item x="2180"/>
        <item x="1462"/>
        <item x="1983"/>
        <item x="1908"/>
        <item x="892"/>
        <item x="1745"/>
        <item x="896"/>
        <item x="39"/>
        <item x="2370"/>
        <item x="1298"/>
        <item x="1402"/>
        <item x="1434"/>
        <item x="1919"/>
        <item x="2097"/>
        <item x="2257"/>
        <item x="388"/>
        <item x="1702"/>
        <item x="708"/>
        <item x="1173"/>
        <item x="610"/>
        <item x="448"/>
        <item x="1942"/>
        <item x="142"/>
        <item x="673"/>
        <item x="2003"/>
        <item x="813"/>
        <item x="2447"/>
        <item x="1439"/>
        <item x="232"/>
        <item x="1191"/>
        <item x="1932"/>
        <item x="1386"/>
        <item x="709"/>
        <item x="2422"/>
        <item x="1255"/>
        <item x="2218"/>
        <item x="733"/>
        <item x="151"/>
        <item x="2424"/>
        <item x="1473"/>
        <item x="95"/>
        <item x="377"/>
        <item x="2239"/>
        <item x="460"/>
        <item x="384"/>
        <item x="1166"/>
        <item x="47"/>
        <item x="2574"/>
        <item x="2306"/>
        <item x="198"/>
        <item x="401"/>
        <item x="663"/>
        <item x="944"/>
        <item x="619"/>
        <item x="1660"/>
        <item x="1811"/>
        <item x="650"/>
        <item x="683"/>
        <item x="1253"/>
        <item x="861"/>
        <item x="1723"/>
        <item x="1020"/>
        <item x="739"/>
        <item x="1955"/>
        <item x="2483"/>
        <item x="1264"/>
        <item x="1747"/>
        <item x="1544"/>
        <item x="1905"/>
        <item x="1318"/>
        <item x="573"/>
        <item x="1572"/>
        <item x="1656"/>
        <item x="147"/>
        <item x="1843"/>
        <item x="1586"/>
        <item x="2337"/>
        <item x="2323"/>
        <item x="1337"/>
        <item x="1367"/>
        <item x="779"/>
        <item x="2384"/>
        <item x="1425"/>
        <item x="1478"/>
        <item x="891"/>
        <item x="1709"/>
        <item x="1355"/>
        <item x="407"/>
        <item x="1324"/>
        <item x="1521"/>
        <item x="1133"/>
        <item x="1334"/>
        <item x="2155"/>
        <item x="2327"/>
        <item x="2523"/>
        <item x="1893"/>
        <item x="1042"/>
        <item x="1162"/>
        <item x="1293"/>
        <item x="1936"/>
        <item x="579"/>
        <item x="1950"/>
        <item x="694"/>
        <item x="1360"/>
        <item x="1072"/>
        <item x="781"/>
        <item x="276"/>
        <item x="492"/>
        <item x="1518"/>
        <item x="1871"/>
        <item x="533"/>
        <item x="284"/>
        <item x="1633"/>
        <item x="326"/>
        <item x="80"/>
        <item x="2360"/>
        <item x="2189"/>
        <item x="2194"/>
        <item x="792"/>
        <item x="1947"/>
        <item x="399"/>
        <item x="494"/>
        <item x="277"/>
        <item x="1552"/>
        <item x="1632"/>
        <item x="574"/>
        <item x="1591"/>
        <item x="114"/>
        <item x="1401"/>
        <item x="102"/>
        <item x="1208"/>
        <item x="1000"/>
        <item x="972"/>
        <item x="2417"/>
        <item x="2262"/>
        <item x="703"/>
        <item x="208"/>
        <item x="725"/>
        <item x="1921"/>
        <item x="2018"/>
        <item x="838"/>
        <item x="164"/>
        <item x="1344"/>
        <item x="1260"/>
        <item x="279"/>
        <item x="798"/>
        <item x="459"/>
        <item x="2514"/>
        <item x="1165"/>
        <item x="1884"/>
        <item x="1853"/>
        <item x="2468"/>
        <item x="1728"/>
        <item x="1235"/>
        <item x="2406"/>
        <item x="853"/>
        <item x="1315"/>
        <item x="554"/>
        <item x="755"/>
        <item x="1670"/>
        <item x="2386"/>
        <item x="747"/>
        <item x="2414"/>
        <item x="568"/>
        <item x="2320"/>
        <item x="1608"/>
        <item x="274"/>
        <item x="1587"/>
        <item x="411"/>
        <item x="823"/>
        <item x="915"/>
        <item x="1287"/>
        <item x="2163"/>
        <item x="1299"/>
        <item x="2562"/>
        <item x="2121"/>
        <item x="1061"/>
        <item x="824"/>
        <item x="1294"/>
        <item x="685"/>
        <item x="623"/>
        <item x="2190"/>
        <item x="162"/>
        <item x="1502"/>
        <item x="2479"/>
        <item x="903"/>
        <item x="1474"/>
        <item x="808"/>
        <item x="800"/>
        <item x="1347"/>
        <item x="581"/>
        <item x="599"/>
        <item x="1863"/>
        <item x="1500"/>
        <item x="1874"/>
        <item x="567"/>
        <item x="1215"/>
        <item x="936"/>
        <item x="1695"/>
        <item x="1131"/>
        <item x="1671"/>
        <item x="1066"/>
        <item x="2112"/>
        <item x="1975"/>
        <item x="1123"/>
        <item x="1748"/>
        <item x="2006"/>
        <item x="943"/>
        <item x="408"/>
        <item x="1062"/>
        <item x="1383"/>
        <item x="1741"/>
        <item x="55"/>
        <item x="1227"/>
        <item x="2249"/>
        <item x="2426"/>
        <item x="638"/>
        <item x="726"/>
        <item x="69"/>
        <item x="1349"/>
        <item x="2552"/>
        <item x="2378"/>
        <item x="357"/>
        <item x="1805"/>
        <item x="1429"/>
        <item x="447"/>
        <item x="1034"/>
        <item x="661"/>
        <item x="1006"/>
        <item x="1809"/>
        <item x="78"/>
        <item x="91"/>
        <item x="1245"/>
        <item x="1325"/>
        <item x="1916"/>
        <item x="2095"/>
        <item x="833"/>
        <item x="358"/>
        <item x="1609"/>
        <item x="233"/>
        <item x="989"/>
        <item x="497"/>
        <item x="2492"/>
        <item x="1368"/>
        <item x="2261"/>
        <item x="2429"/>
        <item x="2027"/>
        <item x="1960"/>
        <item x="72"/>
        <item x="982"/>
        <item x="2387"/>
        <item x="2265"/>
        <item x="331"/>
        <item x="727"/>
        <item x="1099"/>
        <item x="1338"/>
        <item x="870"/>
        <item x="2578"/>
        <item x="1372"/>
        <item x="19"/>
        <item x="571"/>
        <item x="235"/>
        <item x="934"/>
        <item x="2331"/>
        <item x="334"/>
        <item x="1724"/>
        <item x="335"/>
        <item x="244"/>
        <item x="2225"/>
        <item x="2135"/>
        <item x="2497"/>
        <item x="2076"/>
        <item x="2527"/>
        <item x="2273"/>
        <item x="2057"/>
        <item x="107"/>
        <item x="704"/>
        <item x="1443"/>
        <item x="1295"/>
        <item x="1184"/>
        <item x="1262"/>
        <item x="350"/>
        <item x="1558"/>
        <item x="1830"/>
        <item x="1824"/>
        <item x="2087"/>
        <item x="1559"/>
        <item x="2044"/>
        <item x="700"/>
        <item x="145"/>
        <item x="490"/>
        <item x="2242"/>
        <item x="480"/>
        <item x="264"/>
        <item x="582"/>
        <item x="373"/>
        <item x="1469"/>
        <item x="1789"/>
        <item x="2401"/>
        <item x="2284"/>
        <item x="659"/>
        <item x="2304"/>
        <item x="847"/>
        <item x="728"/>
        <item x="2092"/>
        <item x="854"/>
        <item x="121"/>
        <item x="513"/>
        <item x="609"/>
        <item x="1223"/>
        <item x="667"/>
        <item x="2059"/>
        <item x="470"/>
        <item x="701"/>
        <item x="693"/>
        <item x="2148"/>
        <item x="1336"/>
        <item x="660"/>
        <item x="1321"/>
        <item x="2294"/>
        <item x="1143"/>
        <item x="1566"/>
        <item x="328"/>
        <item x="105"/>
        <item x="1758"/>
        <item x="2326"/>
        <item x="2263"/>
        <item x="238"/>
        <item x="590"/>
        <item x="1539"/>
        <item x="278"/>
        <item x="836"/>
        <item x="2512"/>
        <item x="639"/>
        <item x="1109"/>
        <item x="1636"/>
        <item x="1435"/>
        <item x="1115"/>
        <item x="2537"/>
        <item x="269"/>
        <item x="2382"/>
        <item x="223"/>
        <item x="2353"/>
        <item x="2280"/>
        <item x="534"/>
        <item x="2109"/>
        <item x="2164"/>
        <item x="1616"/>
        <item x="2210"/>
        <item x="186"/>
        <item x="1457"/>
        <item x="976"/>
        <item x="1617"/>
        <item x="2179"/>
        <item x="369"/>
        <item x="1822"/>
        <item x="1486"/>
        <item x="793"/>
        <item x="2279"/>
        <item x="1647"/>
        <item x="1878"/>
        <item x="617"/>
        <item x="1183"/>
        <item x="811"/>
        <item x="1749"/>
        <item x="540"/>
        <item x="2570"/>
        <item x="942"/>
        <item x="1229"/>
        <item x="189"/>
        <item x="859"/>
        <item x="1641"/>
        <item x="907"/>
        <item x="1124"/>
        <item x="2460"/>
        <item x="705"/>
        <item x="2396"/>
        <item x="710"/>
        <item x="505"/>
        <item x="2058"/>
        <item x="1071"/>
        <item x="364"/>
        <item x="2475"/>
        <item x="2488"/>
        <item x="887"/>
        <item x="1269"/>
        <item x="598"/>
        <item x="2405"/>
        <item x="508"/>
        <item x="2214"/>
        <item x="2078"/>
        <item x="2005"/>
        <item x="241"/>
        <item x="2548"/>
        <item x="2423"/>
        <item x="132"/>
        <item x="1259"/>
        <item x="1361"/>
        <item x="1803"/>
        <item x="2469"/>
        <item x="2575"/>
        <item x="1170"/>
        <item x="2581"/>
        <item x="1495"/>
        <item x="1128"/>
        <item x="139"/>
        <item x="1396"/>
        <item x="2325"/>
        <item x="2561"/>
        <item x="2022"/>
        <item x="1470"/>
        <item x="1662"/>
        <item x="2418"/>
        <item x="1052"/>
        <item x="904"/>
        <item x="591"/>
        <item x="1658"/>
        <item x="1689"/>
        <item x="1935"/>
        <item x="1129"/>
        <item x="984"/>
        <item x="2238"/>
        <item x="1258"/>
        <item x="1959"/>
        <item x="42"/>
        <item x="324"/>
        <item x="2068"/>
        <item x="2399"/>
        <item x="501"/>
        <item x="1084"/>
        <item x="1153"/>
        <item x="1646"/>
        <item x="1078"/>
        <item x="1251"/>
        <item x="652"/>
        <item x="2060"/>
        <item x="2072"/>
        <item x="1357"/>
        <item x="1493"/>
        <item x="1100"/>
        <item x="1941"/>
        <item x="339"/>
        <item x="1882"/>
        <item x="960"/>
        <item x="532"/>
        <item x="294"/>
        <item x="1070"/>
        <item x="882"/>
        <item x="1611"/>
        <item x="1377"/>
        <item x="867"/>
        <item x="878"/>
        <item x="717"/>
        <item x="707"/>
        <item x="171"/>
        <item x="1088"/>
        <item x="527"/>
        <item x="440"/>
        <item x="958"/>
        <item x="1622"/>
        <item x="1300"/>
        <item x="59"/>
        <item x="797"/>
        <item x="1813"/>
        <item x="1189"/>
        <item x="1681"/>
        <item x="917"/>
        <item x="756"/>
        <item x="2434"/>
        <item x="686"/>
        <item x="419"/>
        <item x="2519"/>
        <item x="649"/>
        <item x="75"/>
        <item x="2123"/>
        <item x="695"/>
        <item x="429"/>
        <item x="636"/>
        <item x="980"/>
        <item x="1270"/>
        <item x="2547"/>
        <item x="1171"/>
        <item x="157"/>
        <item x="253"/>
        <item x="2130"/>
        <item x="1359"/>
        <item x="2065"/>
        <item x="1610"/>
        <item x="1994"/>
        <item x="1224"/>
        <item x="848"/>
        <item x="1028"/>
        <item x="504"/>
        <item x="1648"/>
        <item x="662"/>
        <item x="1463"/>
        <item x="366"/>
        <item x="629"/>
        <item x="150"/>
        <item x="2015"/>
        <item x="1963"/>
        <item x="395"/>
        <item x="1105"/>
        <item x="183"/>
        <item x="1759"/>
        <item x="1445"/>
        <item x="1503"/>
        <item x="1700"/>
        <item x="258"/>
        <item x="2476"/>
        <item x="1307"/>
        <item x="14"/>
        <item x="83"/>
        <item x="503"/>
        <item x="1060"/>
        <item x="1876"/>
        <item x="1704"/>
        <item x="1533"/>
        <item x="805"/>
        <item x="2313"/>
        <item x="342"/>
        <item x="595"/>
        <item x="300"/>
        <item x="226"/>
        <item x="11"/>
        <item x="841"/>
        <item x="1676"/>
        <item x="298"/>
        <item x="113"/>
        <item x="2157"/>
        <item x="2412"/>
        <item x="1750"/>
        <item x="2567"/>
        <item x="1798"/>
        <item x="1678"/>
        <item x="336"/>
        <item x="2486"/>
        <item x="2336"/>
        <item x="2587"/>
        <item x="2576"/>
        <item x="2309"/>
        <item x="721"/>
        <item x="2063"/>
        <item x="511"/>
        <item x="2565"/>
        <item x="543"/>
        <item x="1701"/>
        <item x="341"/>
        <item x="130"/>
        <item x="1900"/>
        <item x="857"/>
        <item x="572"/>
        <item x="1590"/>
        <item x="1929"/>
        <item x="970"/>
        <item x="343"/>
        <item x="17"/>
        <item x="1716"/>
        <item x="1923"/>
        <item x="825"/>
        <item x="60"/>
        <item x="2038"/>
        <item x="702"/>
        <item x="1192"/>
        <item x="396"/>
        <item x="281"/>
        <item x="1423"/>
        <item x="801"/>
        <item x="767"/>
        <item x="1714"/>
        <item x="316"/>
        <item x="712"/>
        <item x="2008"/>
        <item x="1851"/>
        <item x="289"/>
        <item x="1657"/>
        <item x="15"/>
        <item x="2385"/>
        <item x="1778"/>
        <item x="2133"/>
        <item x="1513"/>
        <item x="774"/>
        <item x="2459"/>
        <item x="2236"/>
        <item x="1015"/>
        <item x="555"/>
        <item x="2070"/>
        <item x="1858"/>
        <item x="1965"/>
        <item x="2411"/>
        <item x="634"/>
        <item x="1254"/>
        <item x="1375"/>
        <item x="2153"/>
        <item x="1753"/>
        <item x="180"/>
        <item x="53"/>
        <item x="2427"/>
        <item x="2082"/>
        <item x="2192"/>
        <item x="88"/>
        <item x="1147"/>
        <item x="1145"/>
        <item x="1242"/>
        <item x="1995"/>
        <item x="821"/>
        <item x="889"/>
        <item x="1004"/>
        <item x="877"/>
        <item x="1438"/>
        <item x="1228"/>
        <item x="2275"/>
        <item x="927"/>
        <item x="1540"/>
        <item x="1850"/>
        <item x="73"/>
        <item x="187"/>
        <item x="2498"/>
        <item x="2204"/>
        <item x="1353"/>
        <item x="1326"/>
        <item x="790"/>
        <item x="1150"/>
        <item x="1655"/>
        <item x="1817"/>
        <item x="2240"/>
        <item x="1201"/>
        <item x="1308"/>
        <item x="1152"/>
        <item x="1652"/>
        <item x="2128"/>
        <item x="1527"/>
        <item x="1770"/>
        <item x="985"/>
        <item x="7"/>
        <item x="104"/>
        <item x="25"/>
        <item x="1949"/>
        <item x="2551"/>
        <item x="245"/>
        <item x="246"/>
        <item x="1033"/>
        <item x="1392"/>
        <item x="769"/>
        <item x="535"/>
        <item x="262"/>
        <item x="2388"/>
        <item x="182"/>
        <item x="1314"/>
        <item x="1391"/>
        <item x="436"/>
        <item x="2571"/>
        <item x="1098"/>
        <item x="909"/>
        <item x="1333"/>
        <item x="58"/>
        <item x="9"/>
        <item x="2440"/>
        <item x="1206"/>
        <item x="2134"/>
        <item x="1454"/>
        <item x="789"/>
        <item x="1690"/>
        <item x="1236"/>
        <item x="975"/>
        <item x="1814"/>
        <item x="18"/>
        <item x="2372"/>
        <item x="635"/>
        <item x="1151"/>
        <item x="2452"/>
        <item x="1125"/>
        <item x="640"/>
        <item x="570"/>
        <item x="2126"/>
        <item x="402"/>
        <item x="2321"/>
        <item x="864"/>
        <item x="1488"/>
        <item x="1390"/>
        <item x="1852"/>
        <item x="806"/>
        <item x="1825"/>
        <item x="819"/>
        <item x="2235"/>
        <item x="737"/>
        <item x="1406"/>
        <item x="1840"/>
        <item x="56"/>
        <item x="1984"/>
        <item x="893"/>
        <item x="1769"/>
        <item x="1692"/>
        <item x="1643"/>
        <item x="2588"/>
        <item x="2253"/>
        <item x="303"/>
        <item x="1909"/>
        <item x="61"/>
        <item x="1219"/>
        <item x="950"/>
        <item x="2520"/>
        <item x="1606"/>
        <item x="731"/>
        <item x="799"/>
        <item x="541"/>
        <item x="604"/>
        <item x="76"/>
        <item x="2375"/>
        <item x="435"/>
        <item x="1508"/>
        <item x="2237"/>
        <item x="2303"/>
        <item x="548"/>
        <item x="1796"/>
        <item x="265"/>
        <item x="1405"/>
        <item x="1476"/>
        <item x="530"/>
        <item x="1048"/>
        <item x="1976"/>
        <item x="1550"/>
        <item x="1027"/>
        <item x="1560"/>
        <item x="64"/>
        <item x="654"/>
        <item x="757"/>
        <item x="2532"/>
        <item x="520"/>
        <item x="1286"/>
        <item x="41"/>
        <item x="488"/>
        <item x="2213"/>
        <item x="2356"/>
        <item x="1665"/>
        <item x="1453"/>
        <item x="1213"/>
        <item x="1106"/>
        <item x="1677"/>
        <item x="2168"/>
        <item x="2200"/>
        <item x="433"/>
        <item x="239"/>
        <item x="2162"/>
        <item x="978"/>
        <item x="563"/>
        <item x="293"/>
        <item x="2196"/>
        <item x="2125"/>
        <item x="2478"/>
        <item x="2031"/>
        <item x="1365"/>
        <item x="1017"/>
        <item x="1268"/>
        <item x="973"/>
        <item x="583"/>
        <item x="319"/>
        <item x="2141"/>
        <item x="280"/>
        <item x="1271"/>
        <item x="120"/>
        <item x="2438"/>
        <item x="991"/>
        <item x="12"/>
        <item x="1272"/>
        <item x="1246"/>
        <item x="2054"/>
        <item x="99"/>
        <item x="2114"/>
        <item x="1582"/>
        <item x="2451"/>
        <item x="1065"/>
        <item x="2182"/>
        <item x="1930"/>
        <item x="1316"/>
        <item x="2368"/>
        <item x="203"/>
        <item x="1776"/>
        <item x="1095"/>
        <item x="191"/>
        <item x="2077"/>
        <item x="1859"/>
        <item x="169"/>
        <item x="1698"/>
        <item x="1207"/>
        <item x="1412"/>
        <item x="2496"/>
        <item x="355"/>
        <item x="645"/>
        <item x="1877"/>
        <item x="31"/>
        <item x="205"/>
        <item x="646"/>
        <item x="2470"/>
        <item x="1506"/>
        <item x="2383"/>
        <item x="1595"/>
        <item x="1561"/>
        <item x="427"/>
        <item x="1669"/>
        <item x="270"/>
        <item x="1240"/>
        <item x="1249"/>
        <item x="210"/>
        <item x="123"/>
        <item x="1442"/>
        <item x="928"/>
        <item x="742"/>
        <item x="322"/>
        <item x="1514"/>
        <item x="680"/>
        <item x="167"/>
        <item x="283"/>
        <item x="2480"/>
        <item x="2269"/>
        <item x="2283"/>
        <item x="1452"/>
        <item x="1364"/>
        <item x="2254"/>
        <item x="81"/>
        <item x="713"/>
        <item x="1584"/>
        <item x="2297"/>
        <item x="1343"/>
        <item x="1897"/>
        <item x="2243"/>
        <item x="478"/>
        <item x="311"/>
        <item x="338"/>
        <item x="1920"/>
        <item x="2051"/>
        <item x="600"/>
        <item x="929"/>
        <item x="2526"/>
        <item x="761"/>
        <item x="222"/>
        <item x="1635"/>
        <item x="495"/>
        <item x="545"/>
        <item x="1834"/>
        <item x="2560"/>
        <item x="234"/>
        <item x="389"/>
        <item x="711"/>
        <item x="10"/>
        <item x="1418"/>
        <item x="1327"/>
        <item x="329"/>
        <item x="2028"/>
        <item x="2456"/>
        <item x="1569"/>
        <item x="2358"/>
        <item x="2474"/>
        <item x="383"/>
        <item x="580"/>
        <item x="2016"/>
        <item x="21"/>
        <item x="1096"/>
        <item x="181"/>
        <item x="1537"/>
        <item x="1342"/>
        <item x="2307"/>
        <item x="1283"/>
        <item x="346"/>
        <item x="1551"/>
        <item x="1592"/>
        <item x="477"/>
        <item x="1763"/>
        <item x="787"/>
        <item x="1009"/>
        <item x="1895"/>
        <item x="1594"/>
        <item x="839"/>
        <item x="1032"/>
        <item x="1385"/>
        <item x="1063"/>
        <item x="177"/>
        <item x="2073"/>
        <item x="653"/>
        <item x="651"/>
        <item x="2276"/>
        <item x="772"/>
        <item x="749"/>
        <item x="434"/>
        <item x="1742"/>
        <item x="26"/>
        <item x="888"/>
        <item x="778"/>
        <item x="92"/>
        <item x="323"/>
        <item x="2159"/>
        <item x="1545"/>
        <item x="461"/>
        <item x="2515"/>
        <item x="2040"/>
        <item x="2503"/>
        <item x="562"/>
        <item x="2425"/>
        <item x="138"/>
        <item x="553"/>
        <item x="697"/>
        <item x="1914"/>
        <item x="2296"/>
        <item x="40"/>
        <item x="1104"/>
        <item x="1562"/>
        <item x="1538"/>
        <item x="1722"/>
        <item x="215"/>
        <item x="2055"/>
        <item x="1720"/>
        <item x="1024"/>
        <item x="665"/>
        <item x="2371"/>
        <item x="2137"/>
        <item x="2188"/>
        <item x="155"/>
        <item x="2395"/>
        <item x="1790"/>
        <item x="1155"/>
        <item x="1461"/>
        <item x="1621"/>
        <item x="1421"/>
        <item x="1715"/>
        <item x="2234"/>
        <item x="2094"/>
        <item x="925"/>
        <item x="1487"/>
        <item x="1644"/>
        <item x="1765"/>
        <item x="2373"/>
        <item x="939"/>
        <item x="2000"/>
        <item x="2206"/>
        <item x="986"/>
        <item x="1168"/>
        <item x="855"/>
        <item x="1828"/>
        <item x="2379"/>
        <item x="2093"/>
        <item x="2573"/>
        <item x="1233"/>
        <item x="2160"/>
        <item x="687"/>
        <item x="397"/>
        <item x="1369"/>
        <item x="2256"/>
        <item x="714"/>
        <item x="1332"/>
        <item x="1762"/>
        <item x="1016"/>
        <item x="314"/>
        <item x="951"/>
        <item x="2499"/>
        <item x="1351"/>
        <item x="1415"/>
        <item x="1022"/>
        <item x="2322"/>
        <item x="1160"/>
        <item x="486"/>
        <item x="304"/>
        <item x="1515"/>
        <item x="449"/>
        <item x="2131"/>
        <item x="1523"/>
        <item x="858"/>
        <item x="1053"/>
        <item x="468"/>
        <item x="2286"/>
        <item x="979"/>
        <item x="305"/>
        <item x="1400"/>
        <item x="930"/>
        <item x="96"/>
        <item x="1951"/>
        <item x="900"/>
        <item x="2500"/>
        <item x="309"/>
        <item x="175"/>
        <item x="2144"/>
        <item x="1751"/>
        <item x="1339"/>
        <item x="1604"/>
        <item x="2224"/>
        <item x="2415"/>
        <item x="1169"/>
        <item x="1946"/>
        <item x="87"/>
        <item x="2340"/>
        <item x="1345"/>
        <item x="2166"/>
        <item x="601"/>
        <item x="458"/>
        <item x="1688"/>
        <item x="810"/>
        <item x="2041"/>
        <item x="1455"/>
        <item x="2147"/>
        <item x="1730"/>
        <item x="1627"/>
        <item x="2329"/>
        <item x="307"/>
        <item x="1018"/>
        <item x="367"/>
        <item x="1097"/>
        <item x="1051"/>
        <item x="2266"/>
        <item x="2525"/>
        <item x="1161"/>
        <item x="1003"/>
        <item x="1781"/>
        <item x="1556"/>
        <item x="2583"/>
        <item x="112"/>
        <item x="1666"/>
        <item x="981"/>
        <item x="224"/>
        <item x="2416"/>
        <item x="1477"/>
        <item x="758"/>
        <item x="1296"/>
        <item x="16"/>
        <item x="507"/>
        <item x="1082"/>
        <item x="748"/>
        <item x="502"/>
        <item x="2389"/>
        <item x="2212"/>
        <item x="43"/>
        <item x="2053"/>
        <item x="1891"/>
        <item x="556"/>
        <item x="1234"/>
        <item x="734"/>
        <item x="1907"/>
        <item x="1304"/>
        <item x="923"/>
        <item x="2555"/>
        <item x="1499"/>
        <item x="2430"/>
        <item x="1902"/>
        <item x="455"/>
        <item x="1721"/>
        <item x="2161"/>
        <item x="1820"/>
        <item x="1132"/>
        <item x="2366"/>
        <item x="2285"/>
        <item x="1273"/>
        <item x="2113"/>
        <item x="30"/>
        <item x="2544"/>
        <item x="2205"/>
        <item x="2264"/>
        <item x="559"/>
        <item x="785"/>
        <item x="451"/>
        <item x="1335"/>
        <item x="2211"/>
        <item x="812"/>
        <item x="469"/>
        <item x="2001"/>
        <item x="1812"/>
        <item x="403"/>
        <item x="875"/>
        <item x="1010"/>
        <item x="2287"/>
        <item x="1058"/>
        <item x="1193"/>
        <item x="1220"/>
        <item x="706"/>
        <item x="2521"/>
        <item x="1297"/>
        <item x="546"/>
        <item x="163"/>
        <item x="381"/>
        <item x="1214"/>
        <item x="156"/>
        <item x="815"/>
        <item x="1081"/>
        <item x="952"/>
        <item x="735"/>
        <item x="1256"/>
        <item x="1764"/>
        <item x="1156"/>
        <item x="716"/>
        <item x="954"/>
        <item x="2107"/>
        <item x="880"/>
        <item x="193"/>
        <item x="912"/>
        <item x="1831"/>
        <item x="133"/>
        <item x="2052"/>
        <item x="832"/>
        <item x="1525"/>
        <item x="363"/>
        <item x="743"/>
        <item x="514"/>
        <item x="2295"/>
        <item x="306"/>
        <item x="129"/>
        <item x="1090"/>
        <item x="127"/>
        <item x="1546"/>
        <item x="1857"/>
        <item x="1866"/>
        <item x="2465"/>
        <item x="2100"/>
        <item x="1107"/>
        <item x="5"/>
        <item x="2348"/>
        <item x="655"/>
        <item x="955"/>
        <item x="1654"/>
        <item x="2004"/>
        <item x="1175"/>
        <item x="2453"/>
        <item x="1363"/>
        <item x="676"/>
        <item x="1176"/>
        <item x="1142"/>
        <item x="1864"/>
        <item x="2302"/>
        <item x="2084"/>
        <item x="1740"/>
        <item x="1230"/>
        <item x="1413"/>
        <item x="1977"/>
        <item x="1376"/>
        <item x="2536"/>
        <item x="370"/>
        <item x="1370"/>
        <item x="775"/>
        <item x="1134"/>
        <item x="537"/>
        <item x="876"/>
        <item x="1117"/>
        <item x="2334"/>
        <item x="2259"/>
        <item x="3"/>
        <item x="417"/>
        <item x="1464"/>
        <item x="2491"/>
        <item x="1038"/>
        <item x="295"/>
        <item x="851"/>
        <item x="1940"/>
        <item x="2376"/>
        <item x="32"/>
        <item x="715"/>
        <item x="1531"/>
        <item x="168"/>
        <item x="550"/>
        <item x="616"/>
        <item x="1013"/>
        <item x="1792"/>
        <item x="1274"/>
        <item x="374"/>
        <item x="1528"/>
        <item x="820"/>
        <item x="768"/>
        <item x="194"/>
        <item x="830"/>
        <item x="231"/>
        <item x="1684"/>
        <item x="1103"/>
        <item x="664"/>
        <item x="1624"/>
        <item x="1436"/>
        <item x="498"/>
        <item x="2330"/>
        <item x="1252"/>
        <item x="1614"/>
        <item x="308"/>
        <item x="834"/>
        <item x="1225"/>
        <item x="1534"/>
        <item x="1203"/>
        <item x="2553"/>
        <item x="2442"/>
        <item x="352"/>
        <item x="2246"/>
        <item x="690"/>
        <item x="605"/>
        <item x="1284"/>
        <item x="1180"/>
        <item x="1516"/>
        <item x="1157"/>
        <item x="1039"/>
        <item x="472"/>
        <item x="1446"/>
        <item x="1588"/>
        <item x="1196"/>
        <item x="1734"/>
        <item x="698"/>
        <item x="288"/>
        <item x="93"/>
        <item x="267"/>
        <item x="2437"/>
        <item x="552"/>
        <item x="1933"/>
        <item x="856"/>
        <item x="414"/>
        <item x="387"/>
        <item x="1465"/>
        <item x="1733"/>
        <item x="607"/>
        <item x="122"/>
        <item x="776"/>
        <item x="2165"/>
        <item x="420"/>
        <item x="1574"/>
        <item x="1050"/>
        <item x="596"/>
        <item x="1837"/>
        <item x="195"/>
        <item x="219"/>
        <item x="933"/>
        <item x="962"/>
        <item x="1645"/>
        <item x="1985"/>
        <item x="519"/>
        <item x="987"/>
        <item x="2198"/>
        <item x="1794"/>
        <item x="850"/>
        <item x="803"/>
        <item x="2308"/>
        <item x="2408"/>
        <item x="1675"/>
        <item x="862"/>
        <item x="299"/>
        <item x="1818"/>
        <item x="1719"/>
        <item x="1847"/>
        <item x="1694"/>
        <item x="2557"/>
        <item x="1575"/>
        <item x="1118"/>
        <item x="1597"/>
        <item x="1394"/>
        <item x="0"/>
        <item x="916"/>
        <item x="1593"/>
        <item x="1576"/>
        <item x="1243"/>
        <item x="2540"/>
        <item x="2143"/>
        <item x="201"/>
        <item x="54"/>
        <item x="1210"/>
        <item x="431"/>
        <item x="1144"/>
        <item x="784"/>
        <item x="770"/>
        <item x="2193"/>
        <item x="2413"/>
        <item x="1194"/>
        <item x="561"/>
        <item x="1836"/>
        <item x="2232"/>
        <item x="1086"/>
        <item x="993"/>
        <item x="1466"/>
        <item x="2043"/>
        <item x="2531"/>
        <item x="671"/>
        <item x="1854"/>
        <item x="2542"/>
        <item x="2316"/>
        <item x="926"/>
        <item x="1139"/>
        <item x="2457"/>
        <item x="945"/>
        <item x="932"/>
        <item x="1159"/>
        <item x="421"/>
        <item x="424"/>
        <item x="1204"/>
        <item x="2025"/>
        <item x="2345"/>
        <item x="802"/>
        <item x="412"/>
        <item x="2227"/>
        <item x="1309"/>
        <item x="1810"/>
        <item x="109"/>
        <item x="315"/>
        <item x="6"/>
        <item x="425"/>
        <item x="2324"/>
        <item x="2362"/>
        <item x="409"/>
        <item x="98"/>
        <item x="1440"/>
        <item x="179"/>
        <item x="134"/>
        <item x="1726"/>
        <item x="2558"/>
        <item x="822"/>
        <item x="2258"/>
        <item x="517"/>
        <item x="647"/>
        <item x="1426"/>
        <item x="1577"/>
        <item x="63"/>
        <item x="2559"/>
        <item x="1887"/>
        <item x="1565"/>
        <item x="1971"/>
        <item x="1472"/>
        <item x="538"/>
        <item x="2152"/>
        <item x="1685"/>
        <item x="1785"/>
        <item x="835"/>
        <item x="1906"/>
        <item x="1346"/>
        <item x="2158"/>
        <item x="1"/>
        <item x="1313"/>
        <item x="1247"/>
        <item x="1238"/>
        <item x="2247"/>
        <item x="1074"/>
        <item x="320"/>
        <item x="2493"/>
        <item x="2589"/>
        <item x="773"/>
        <item x="1922"/>
        <item x="529"/>
        <item x="849"/>
        <item x="1970"/>
        <item x="2220"/>
        <item x="445"/>
        <item x="1352"/>
        <item x="2394"/>
        <item x="1241"/>
        <item x="2549"/>
        <item x="1710"/>
        <item x="672"/>
        <item x="2487"/>
        <item x="1737"/>
        <item x="718"/>
        <item x="1693"/>
        <item x="68"/>
        <item x="2441"/>
        <item x="1067"/>
        <item x="2346"/>
        <item x="760"/>
        <item x="213"/>
        <item x="689"/>
        <item x="2231"/>
        <item x="392"/>
        <item x="318"/>
        <item x="1395"/>
        <item x="964"/>
        <item x="1879"/>
        <item x="443"/>
        <item x="2501"/>
        <item x="1378"/>
        <item x="2577"/>
        <item x="2568"/>
        <item x="2550"/>
        <item x="1102"/>
        <item x="557"/>
        <item x="46"/>
        <item x="791"/>
        <item x="1888"/>
        <item x="2466"/>
        <item x="1855"/>
        <item x="722"/>
        <item x="1460"/>
        <item x="1829"/>
        <item x="2222"/>
        <item x="2449"/>
        <item x="957"/>
        <item x="1275"/>
        <item x="1379"/>
        <item x="236"/>
        <item x="1952"/>
        <item x="1718"/>
        <item x="736"/>
        <item x="1130"/>
        <item x="1126"/>
        <item x="119"/>
        <item x="901"/>
        <item x="1205"/>
        <item x="677"/>
        <item x="386"/>
        <item x="2274"/>
        <item x="1195"/>
        <item x="418"/>
        <item x="2339"/>
        <item x="2101"/>
        <item x="852"/>
        <item x="1330"/>
        <item x="777"/>
        <item x="404"/>
        <item x="1182"/>
        <item x="371"/>
        <item x="1997"/>
        <item x="301"/>
        <item x="359"/>
        <item x="2545"/>
        <item x="1784"/>
        <item x="1449"/>
        <item x="643"/>
        <item x="1620"/>
        <item x="128"/>
        <item x="1788"/>
        <item x="1680"/>
        <item x="268"/>
        <item x="1625"/>
        <item x="1504"/>
        <item x="750"/>
        <item x="1801"/>
        <item x="1605"/>
        <item x="453"/>
        <item x="668"/>
        <item x="1231"/>
        <item x="1164"/>
        <item x="2171"/>
        <item x="611"/>
        <item x="657"/>
        <item x="464"/>
        <item x="2529"/>
        <item x="2066"/>
        <item x="2369"/>
        <item x="1815"/>
        <item x="1475"/>
        <item x="204"/>
        <item x="1752"/>
        <item x="905"/>
        <item x="172"/>
        <item x="2585"/>
        <item x="911"/>
        <item x="1085"/>
        <item x="2170"/>
        <item x="1990"/>
        <item x="2364"/>
        <item x="1619"/>
        <item x="963"/>
        <item x="36"/>
        <item x="2048"/>
        <item x="385"/>
        <item x="1211"/>
        <item x="1433"/>
        <item x="1276"/>
        <item x="136"/>
        <item x="2169"/>
        <item x="220"/>
        <item x="475"/>
        <item x="227"/>
        <item x="2110"/>
        <item x="135"/>
        <item x="524"/>
        <item x="206"/>
        <item x="1567"/>
        <item x="143"/>
        <item x="1738"/>
        <item x="1239"/>
        <item x="1069"/>
        <item x="1265"/>
        <item x="1568"/>
        <item x="1172"/>
        <item x="1505"/>
        <item x="2150"/>
        <item x="1628"/>
        <item x="906"/>
        <item x="1931"/>
        <item x="2174"/>
        <item x="1844"/>
        <item x="178"/>
        <item x="2390"/>
        <item x="1786"/>
        <item x="1679"/>
        <item x="648"/>
        <item x="622"/>
        <item x="941"/>
        <item x="467"/>
        <item x="487"/>
        <item x="2167"/>
        <item x="1419"/>
        <item x="1861"/>
        <item x="1819"/>
        <item x="860"/>
        <item x="1212"/>
        <item x="2288"/>
        <item x="2191"/>
        <item x="1739"/>
        <item x="1524"/>
        <item x="1148"/>
        <item x="2124"/>
        <item x="612"/>
        <item x="1969"/>
        <item x="1232"/>
        <item x="2350"/>
        <item x="744"/>
        <item x="525"/>
        <item x="996"/>
        <item x="1890"/>
        <item x="2074"/>
        <item x="2444"/>
        <item x="2538"/>
        <item x="100"/>
        <item x="2556"/>
        <item x="920"/>
        <item x="615"/>
        <item x="1310"/>
        <item x="1535"/>
        <item x="2132"/>
        <item x="1311"/>
        <item x="1043"/>
        <item x="1414"/>
        <item x="1783"/>
        <item x="1892"/>
        <item x="1755"/>
        <item x="1317"/>
        <item x="910"/>
        <item x="512"/>
        <item x="1651"/>
        <item x="585"/>
        <item x="1450"/>
        <item x="921"/>
        <item x="871"/>
        <item x="809"/>
        <item x="2403"/>
        <item x="146"/>
        <item x="956"/>
        <item x="2248"/>
        <item x="1146"/>
        <item x="2108"/>
        <item x="961"/>
        <item x="1451"/>
        <item x="1354"/>
        <item x="844"/>
        <item x="1119"/>
        <item x="2187"/>
        <item x="1958"/>
        <item x="1937"/>
        <item x="2582"/>
        <item x="2343"/>
        <item x="919"/>
        <item x="291"/>
        <item x="1612"/>
        <item x="2080"/>
        <item x="24"/>
        <item x="1511"/>
        <item x="1110"/>
        <item x="2533"/>
        <item x="762"/>
        <item x="1697"/>
        <item x="1410"/>
        <item x="2305"/>
        <item x="1007"/>
        <item x="1536"/>
        <item x="101"/>
        <item x="2149"/>
        <item x="2409"/>
        <item x="1583"/>
        <item x="2289"/>
        <item x="1140"/>
        <item x="2518"/>
        <item x="1305"/>
        <item x="248"/>
        <item x="666"/>
        <item x="51"/>
        <item x="170"/>
        <item x="766"/>
        <item x="33"/>
        <item x="578"/>
        <item x="2002"/>
        <item x="515"/>
        <item x="510"/>
        <item x="446"/>
        <item x="1340"/>
        <item x="542"/>
        <item x="1008"/>
        <item x="1603"/>
        <item x="1471"/>
        <item x="2505"/>
        <item x="1972"/>
        <item x="1547"/>
        <item x="2185"/>
        <item x="2314"/>
        <item x="1578"/>
        <item x="1629"/>
        <item x="2282"/>
        <item x="1217"/>
        <item x="1021"/>
        <item x="1757"/>
        <item x="678"/>
        <item x="884"/>
        <item x="1615"/>
        <item x="1989"/>
        <item x="2435"/>
        <item x="521"/>
        <item x="1267"/>
        <item x="1667"/>
        <item x="225"/>
        <item x="1158"/>
        <item x="437"/>
        <item x="1743"/>
        <item x="2029"/>
        <item x="2277"/>
        <item x="1031"/>
        <item x="1496"/>
        <item x="430"/>
        <item x="2037"/>
        <item x="2332"/>
        <item x="240"/>
        <item x="1079"/>
        <item x="400"/>
        <item x="699"/>
        <item x="2477"/>
        <item x="946"/>
        <item x="1362"/>
        <item x="2241"/>
        <item x="2252"/>
        <item x="79"/>
        <item x="484"/>
        <item x="953"/>
        <item x="1585"/>
        <item x="2183"/>
        <item x="1248"/>
        <item x="885"/>
        <item x="1766"/>
        <item x="990"/>
        <item x="1966"/>
        <item x="2105"/>
        <item x="597"/>
        <item x="247"/>
        <item x="1846"/>
        <item x="27"/>
        <item x="2315"/>
        <item x="753"/>
        <item x="1903"/>
        <item x="1581"/>
        <item x="2111"/>
        <item x="1599"/>
        <item x="1948"/>
        <item x="491"/>
        <item x="620"/>
        <item x="569"/>
        <item x="2494"/>
        <item x="539"/>
        <item x="826"/>
        <item x="2580"/>
        <item x="1114"/>
        <item x="2139"/>
        <item x="1221"/>
        <item x="1431"/>
        <item x="321"/>
        <item x="1181"/>
        <item x="2233"/>
        <item x="2071"/>
        <item x="1860"/>
        <item x="1862"/>
        <item x="481"/>
        <item x="603"/>
        <item x="1782"/>
        <item x="1626"/>
        <item x="2347"/>
        <item x="444"/>
        <item x="1821"/>
        <item x="2392"/>
        <item x="108"/>
        <item x="1036"/>
        <item x="883"/>
        <item x="1793"/>
        <item x="66"/>
        <item x="602"/>
        <item x="2473"/>
        <item x="1672"/>
        <item x="1981"/>
        <item x="391"/>
        <item x="442"/>
        <item x="2291"/>
        <item x="2120"/>
        <item x="35"/>
        <item x="1638"/>
        <item x="20"/>
        <item x="641"/>
        <item x="872"/>
        <item x="2363"/>
        <item x="37"/>
        <item x="2173"/>
        <item x="1756"/>
        <item x="351"/>
        <item x="1683"/>
        <item x="2365"/>
        <item x="111"/>
        <item x="29"/>
        <item x="1530"/>
        <item x="1237"/>
        <item x="174"/>
        <item x="256"/>
        <item x="273"/>
        <item x="2509"/>
        <item x="1875"/>
        <item x="1787"/>
        <item x="1686"/>
        <item x="691"/>
        <item x="1791"/>
        <item x="1779"/>
        <item x="1744"/>
        <item x="1329"/>
        <item x="560"/>
        <item x="2228"/>
        <item x="2508"/>
        <item x="2431"/>
        <item x="865"/>
        <item x="1002"/>
        <item x="441"/>
        <item x="199"/>
        <item x="1014"/>
        <item x="1894"/>
        <item x="827"/>
        <item x="1328"/>
        <item x="1112"/>
        <item x="1634"/>
        <item x="347"/>
        <item x="1773"/>
        <item x="188"/>
        <item x="2516"/>
        <item x="1630"/>
        <item x="1319"/>
        <item x="2226"/>
        <item x="1178"/>
        <item x="947"/>
        <item x="1374"/>
        <item x="285"/>
        <item x="1199"/>
        <item x="344"/>
        <item x="251"/>
        <item x="332"/>
        <item x="723"/>
        <item x="1881"/>
        <item x="874"/>
        <item x="160"/>
        <item x="257"/>
        <item x="496"/>
        <item x="394"/>
        <item x="141"/>
        <item x="1279"/>
        <item x="2223"/>
        <item x="126"/>
        <item x="845"/>
        <item x="1373"/>
        <item x="1226"/>
        <item x="2007"/>
        <item x="2208"/>
        <item x="1277"/>
        <item x="588"/>
        <item x="1708"/>
        <item x="630"/>
        <item x="1899"/>
        <item x="428"/>
        <item x="1543"/>
        <item x="1517"/>
        <item x="426"/>
        <item x="2260"/>
        <item x="361"/>
        <item x="1653"/>
        <item x="1926"/>
        <item x="1481"/>
        <item x="1650"/>
        <item x="44"/>
        <item x="49"/>
        <item x="2428"/>
        <item x="1939"/>
        <item x="2391"/>
        <item x="684"/>
        <item x="1482"/>
        <item x="1216"/>
        <item x="67"/>
        <item x="463"/>
        <item x="817"/>
        <item x="751"/>
        <item x="1285"/>
        <item x="2049"/>
        <item x="2524"/>
        <item x="118"/>
        <item x="1961"/>
        <item x="2047"/>
        <item x="1083"/>
        <item x="2278"/>
        <item x="1849"/>
        <item x="337"/>
        <item x="450"/>
        <item x="432"/>
        <item x="1904"/>
        <item x="254"/>
        <item x="675"/>
        <item x="2250"/>
        <item x="1980"/>
        <item x="2301"/>
        <item x="2351"/>
        <item x="2069"/>
        <item x="1548"/>
        <item x="161"/>
        <item x="317"/>
        <item x="1483"/>
        <item x="1962"/>
        <item x="594"/>
        <item x="2209"/>
        <item x="1403"/>
        <item x="745"/>
        <item x="1089"/>
        <item x="1838"/>
        <item x="1631"/>
        <item x="1491"/>
        <item x="613"/>
        <item x="1075"/>
        <item x="2352"/>
        <item x="2104"/>
        <item x="1974"/>
        <item x="2011"/>
        <item x="804"/>
        <item x="2085"/>
        <item x="1967"/>
        <item x="1927"/>
        <item x="348"/>
        <item x="2062"/>
        <item x="2009"/>
        <item x="2207"/>
        <item x="330"/>
        <item x="1371"/>
        <item x="2019"/>
        <item x="2397"/>
        <item x="1826"/>
        <item x="228"/>
        <item x="2201"/>
        <item x="1529"/>
        <item x="2026"/>
        <item x="1467"/>
        <item x="1138"/>
        <item x="1019"/>
        <item x="1092"/>
        <item x="493"/>
        <item x="2251"/>
        <item x="1663"/>
        <item x="103"/>
        <item x="2481"/>
        <item x="1484"/>
        <item x="1218"/>
        <item x="1542"/>
        <item x="1945"/>
        <item x="1736"/>
        <item x="1120"/>
        <item x="765"/>
        <item x="780"/>
        <item x="153"/>
        <item x="70"/>
        <item x="1044"/>
        <item x="1001"/>
        <item x="2564"/>
        <item x="549"/>
        <item x="2138"/>
        <item x="506"/>
        <item x="1845"/>
        <item x="2310"/>
        <item x="2590"/>
        <item x="2156"/>
        <item x="1872"/>
        <item x="1642"/>
        <item x="1093"/>
        <item x="794"/>
        <item x="831"/>
        <item x="1384"/>
        <item x="881"/>
        <item x="1553"/>
        <item x="918"/>
        <item x="2272"/>
        <item x="2432"/>
        <item x="218"/>
        <item x="1441"/>
        <item x="631"/>
        <item x="1280"/>
        <item x="863"/>
        <item x="1957"/>
        <item x="1706"/>
        <item x="584"/>
        <item x="2086"/>
        <item x="937"/>
        <item x="184"/>
        <item x="1108"/>
        <item x="1167"/>
        <item x="2090"/>
        <item x="50"/>
        <item x="868"/>
        <item x="117"/>
        <item x="1868"/>
        <item x="2215"/>
        <item x="2255"/>
        <item x="65"/>
        <item x="2046"/>
        <item x="2569"/>
        <item x="1087"/>
        <item x="999"/>
        <item x="211"/>
        <item x="2484"/>
        <item x="1912"/>
        <item x="2467"/>
        <item x="1842"/>
        <item x="1848"/>
        <item x="1111"/>
        <item x="2268"/>
        <item x="1774"/>
        <item x="1570"/>
        <item x="97"/>
        <item x="895"/>
        <item x="2195"/>
        <item x="1944"/>
        <item x="1350"/>
        <item x="209"/>
        <item x="2472"/>
        <item x="1797"/>
        <item x="2317"/>
        <item x="614"/>
        <item x="2117"/>
        <item x="1494"/>
        <item x="1806"/>
        <item x="2216"/>
        <item x="1420"/>
        <item x="754"/>
        <item x="914"/>
        <item x="2292"/>
        <item x="353"/>
        <item x="2181"/>
        <item x="1674"/>
        <item x="375"/>
        <item x="2032"/>
        <item x="795"/>
        <item x="74"/>
        <item x="1137"/>
        <item x="681"/>
        <item x="1348"/>
        <item x="1200"/>
        <item x="589"/>
        <item x="1341"/>
        <item x="1136"/>
        <item x="159"/>
        <item x="71"/>
        <item x="2081"/>
        <item x="1409"/>
        <item x="345"/>
        <item x="1918"/>
        <item x="137"/>
        <item x="2023"/>
        <item x="866"/>
        <item x="197"/>
        <item x="1968"/>
        <item x="2380"/>
        <item x="741"/>
        <item x="22"/>
        <item x="125"/>
        <item x="1040"/>
        <item x="2398"/>
        <item x="846"/>
        <item x="2050"/>
        <item x="1026"/>
        <item x="2341"/>
        <item x="1943"/>
        <item x="2566"/>
        <item x="2454"/>
        <item x="2530"/>
        <item x="1532"/>
        <item x="2010"/>
        <item x="292"/>
        <item x="140"/>
        <item x="2154"/>
        <item x="2136"/>
        <item x="719"/>
        <item x="296"/>
        <item x="82"/>
        <item x="1589"/>
        <item x="310"/>
        <item x="2554"/>
        <item x="405"/>
        <item x="2461"/>
        <item x="2572"/>
        <item x="1135"/>
        <item x="2106"/>
        <item x="2328"/>
        <item x="935"/>
        <item x="8"/>
        <item x="207"/>
        <item x="2079"/>
        <item x="1064"/>
        <item x="57"/>
        <item x="783"/>
        <item x="1729"/>
        <item x="1711"/>
        <item x="1717"/>
        <item x="518"/>
        <item x="2146"/>
        <item x="796"/>
        <item x="1795"/>
        <item x="2586"/>
        <item x="1302"/>
        <item x="382"/>
        <item x="124"/>
        <item x="1873"/>
        <item x="2506"/>
        <item x="362"/>
        <item x="2359"/>
        <item x="200"/>
        <item x="587"/>
        <item x="365"/>
        <item x="1380"/>
        <item x="1703"/>
        <item x="879"/>
        <item x="286"/>
        <item x="1077"/>
        <item x="1579"/>
        <item x="724"/>
        <item x="2219"/>
        <item x="1492"/>
        <item x="764"/>
        <item x="290"/>
        <item x="1832"/>
        <item x="325"/>
        <item x="1687"/>
        <item x="2075"/>
        <item x="1127"/>
        <item x="1563"/>
        <item x="1046"/>
        <item x="1489"/>
        <item x="398"/>
        <item x="1986"/>
        <item x="988"/>
        <item x="2421"/>
        <item x="1841"/>
        <item x="2088"/>
        <item x="1549"/>
        <item x="1301"/>
        <item x="1389"/>
        <item x="2420"/>
        <item x="586"/>
        <item x="297"/>
        <item x="2563"/>
        <item x="466"/>
        <item x="1913"/>
        <item x="1804"/>
        <item x="1047"/>
        <item x="1381"/>
        <item x="2355"/>
        <item x="1198"/>
        <item x="890"/>
        <item x="1768"/>
        <item x="807"/>
        <item x="2495"/>
        <item x="1054"/>
        <item x="2507"/>
        <item x="940"/>
        <item x="34"/>
        <item x="902"/>
        <item x="2312"/>
        <item x="899"/>
        <item x="1691"/>
        <item x="1447"/>
        <item x="869"/>
        <item x="1618"/>
        <item x="1816"/>
        <item x="1448"/>
        <item x="1659"/>
        <item x="261"/>
        <item x="2290"/>
        <item x="378"/>
        <item x="229"/>
        <item x="522"/>
        <item x="1080"/>
        <item x="1497"/>
        <item x="500"/>
        <item x="1522"/>
        <item x="266"/>
        <item x="1244"/>
        <item x="131"/>
        <item x="576"/>
        <item x="106"/>
        <item x="621"/>
        <item x="1520"/>
        <item x="1186"/>
        <item x="1727"/>
        <item x="2217"/>
        <item x="642"/>
        <item x="1982"/>
        <item x="1323"/>
        <item x="1775"/>
        <item x="1422"/>
        <item x="674"/>
        <item x="422"/>
        <item x="1571"/>
        <item x="1091"/>
        <item x="1121"/>
        <item x="148"/>
        <item x="312"/>
        <item x="974"/>
        <item x="1387"/>
        <item x="1163"/>
        <item x="221"/>
        <item x="2145"/>
        <item x="439"/>
        <item x="2439"/>
        <item x="2333"/>
        <item x="2115"/>
        <item x="730"/>
        <item x="89"/>
        <item x="376"/>
        <item x="158"/>
        <item x="1978"/>
        <item x="1664"/>
        <item x="456"/>
        <item x="1600"/>
        <item x="1998"/>
        <item x="746"/>
        <item x="372"/>
        <item x="1999"/>
        <item x="242"/>
        <item x="2400"/>
        <item x="2091"/>
        <item x="476"/>
        <item x="2119"/>
        <item x="931"/>
        <item x="1278"/>
        <item x="13"/>
        <item x="1954"/>
        <item x="1827"/>
        <item x="1799"/>
        <item x="217"/>
        <item x="1917"/>
        <item x="1037"/>
        <item x="2034"/>
        <item x="1601"/>
        <item x="144"/>
        <item x="252"/>
        <item x="1555"/>
        <item x="457"/>
        <item x="759"/>
        <item x="1707"/>
        <item x="2020"/>
        <item x="2142"/>
        <item x="1458"/>
        <item x="2021"/>
        <item x="2299"/>
        <item x="23"/>
        <item x="1005"/>
        <item x="2357"/>
        <item x="786"/>
        <item x="1712"/>
        <item x="1149"/>
        <item x="452"/>
        <item x="2244"/>
        <item x="1266"/>
        <item x="1187"/>
        <item x="2367"/>
        <item x="1856"/>
        <item x="1580"/>
        <item x="1979"/>
        <item x="1358"/>
        <item x="2502"/>
        <item x="1507"/>
        <item x="1397"/>
        <item x="840"/>
        <item x="165"/>
        <item x="173"/>
        <item x="656"/>
        <item x="1596"/>
        <item x="1113"/>
        <item x="1889"/>
        <item x="1490"/>
        <item x="1141"/>
        <item x="2489"/>
        <item x="2446"/>
        <item x="2319"/>
        <item x="1185"/>
        <item x="1197"/>
        <item x="185"/>
        <item x="2293"/>
        <item x="1011"/>
        <item x="965"/>
        <item x="1416"/>
        <item x="1732"/>
        <item x="2129"/>
        <item x="2184"/>
        <item x="1883"/>
        <item x="1802"/>
        <item x="1388"/>
        <item x="249"/>
        <item x="1427"/>
        <item x="1035"/>
        <item x="313"/>
        <item x="2402"/>
        <item x="2122"/>
        <item x="1407"/>
        <item x="740"/>
        <item x="1012"/>
        <item x="551"/>
        <item x="1312"/>
        <item x="1760"/>
        <item x="1865"/>
        <item x="360"/>
        <item x="1485"/>
        <item x="1068"/>
        <item x="2229"/>
        <item x="4"/>
        <item x="938"/>
        <item x="2342"/>
        <item x="2067"/>
        <item x="2579"/>
        <item x="1557"/>
        <item x="1408"/>
        <item x="255"/>
        <item x="482"/>
        <item x="94"/>
        <item x="2102"/>
        <item x="788"/>
        <item x="752"/>
        <item x="2096"/>
        <item x="1263"/>
        <item x="390"/>
        <item x="566"/>
        <item x="1911"/>
        <item x="2221"/>
        <item x="1602"/>
        <item x="1898"/>
        <item x="828"/>
        <item x="2361"/>
        <item x="1839"/>
        <item x="1713"/>
        <item x="1437"/>
        <item x="2511"/>
        <item x="564"/>
        <item x="1953"/>
        <item x="368"/>
        <item x="2517"/>
        <item x="2419"/>
        <item x="354"/>
        <item x="415"/>
        <item x="1404"/>
        <item x="1519"/>
        <item x="2230"/>
        <item x="413"/>
        <item x="2177"/>
        <item x="732"/>
        <item x="2535"/>
        <item x="829"/>
        <item x="2042"/>
        <item x="77"/>
        <item x="2433"/>
        <item x="1541"/>
        <item x="202"/>
        <item x="816"/>
        <item x="898"/>
        <item x="1399"/>
        <item x="2404"/>
        <item x="1057"/>
        <item x="349"/>
        <item x="2374"/>
        <item x="818"/>
        <item x="2017"/>
        <item x="212"/>
        <item x="196"/>
        <item x="592"/>
        <item x="894"/>
        <item x="2300"/>
        <item x="1456"/>
        <item x="2591"/>
        <item t="default"/>
      </items>
    </pivotField>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name="Datewise Layoff"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showAll="0"/>
    <pivotField showAll="0"/>
    <pivotField axis="axisRow"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rowItems>
  <colItems count="1">
    <i/>
  </colItems>
  <dataFields count="1">
    <dataField name="Sum of Laid_Off_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90757-1ADE-7C4F-9B74-199379889CE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H2595" firstHeaderRow="1" firstDataRow="1" firstDataCol="1" rowPageCount="1" colPageCount="1"/>
  <pivotFields count="13">
    <pivotField axis="axisRow" showAll="0">
      <items count="2593">
        <item x="1725"/>
        <item x="275"/>
        <item x="1992"/>
        <item x="260"/>
        <item x="1411"/>
        <item x="438"/>
        <item x="1880"/>
        <item x="1554"/>
        <item x="1222"/>
        <item x="1356"/>
        <item x="1835"/>
        <item x="565"/>
        <item x="969"/>
        <item x="2471"/>
        <item x="618"/>
        <item x="1767"/>
        <item x="250"/>
        <item x="1777"/>
        <item x="2064"/>
        <item x="1682"/>
        <item x="272"/>
        <item x="1289"/>
        <item x="1281"/>
        <item x="62"/>
        <item x="1964"/>
        <item x="547"/>
        <item x="966"/>
        <item x="1731"/>
        <item x="1056"/>
        <item x="2490"/>
        <item x="2271"/>
        <item x="471"/>
        <item x="2176"/>
        <item x="1705"/>
        <item x="637"/>
        <item x="959"/>
        <item x="1190"/>
        <item x="1673"/>
        <item x="2354"/>
        <item x="2140"/>
        <item x="2513"/>
        <item x="465"/>
        <item x="1288"/>
        <item x="2033"/>
        <item x="1459"/>
        <item x="2504"/>
        <item x="1649"/>
        <item x="1934"/>
        <item x="995"/>
        <item x="149"/>
        <item x="2061"/>
        <item x="679"/>
        <item x="86"/>
        <item x="2281"/>
        <item x="2127"/>
        <item x="2197"/>
        <item x="1055"/>
        <item x="977"/>
        <item x="1925"/>
        <item x="2338"/>
        <item x="110"/>
        <item x="523"/>
        <item x="2024"/>
        <item x="913"/>
        <item x="2099"/>
        <item x="2311"/>
        <item x="1290"/>
        <item x="1510"/>
        <item x="873"/>
        <item x="2089"/>
        <item x="52"/>
        <item x="526"/>
        <item x="658"/>
        <item x="516"/>
        <item x="2393"/>
        <item x="1800"/>
        <item x="2039"/>
        <item x="2463"/>
        <item x="2"/>
        <item x="380"/>
        <item x="259"/>
        <item x="842"/>
        <item x="1432"/>
        <item x="2103"/>
        <item x="1867"/>
        <item x="2464"/>
        <item x="1808"/>
        <item x="908"/>
        <item x="1915"/>
        <item x="90"/>
        <item x="1746"/>
        <item x="1059"/>
        <item x="720"/>
        <item x="1303"/>
        <item x="1607"/>
        <item x="1073"/>
        <item x="230"/>
        <item x="2528"/>
        <item x="968"/>
        <item x="2458"/>
        <item x="340"/>
        <item x="763"/>
        <item x="379"/>
        <item x="116"/>
        <item x="1029"/>
        <item x="2318"/>
        <item x="499"/>
        <item x="2510"/>
        <item x="1049"/>
        <item x="1938"/>
        <item x="983"/>
        <item x="1661"/>
        <item x="992"/>
        <item x="2584"/>
        <item x="1807"/>
        <item x="1771"/>
        <item x="1928"/>
        <item x="1417"/>
        <item x="1573"/>
        <item x="2344"/>
        <item x="1041"/>
        <item x="593"/>
        <item x="1188"/>
        <item x="669"/>
        <item x="85"/>
        <item x="1987"/>
        <item x="1509"/>
        <item x="509"/>
        <item x="152"/>
        <item x="2012"/>
        <item x="1468"/>
        <item x="1901"/>
        <item x="1094"/>
        <item x="644"/>
        <item x="1885"/>
        <item x="1639"/>
        <item x="1780"/>
        <item x="670"/>
        <item x="38"/>
        <item x="327"/>
        <item x="1444"/>
        <item x="485"/>
        <item x="2455"/>
        <item x="1833"/>
        <item x="1179"/>
        <item x="263"/>
        <item x="1772"/>
        <item x="738"/>
        <item x="1564"/>
        <item x="2443"/>
        <item x="998"/>
        <item x="1910"/>
        <item x="48"/>
        <item x="1526"/>
        <item x="624"/>
        <item x="192"/>
        <item x="948"/>
        <item x="531"/>
        <item x="729"/>
        <item x="2482"/>
        <item x="575"/>
        <item x="2245"/>
        <item x="1045"/>
        <item x="28"/>
        <item x="1668"/>
        <item x="1699"/>
        <item x="2410"/>
        <item x="1382"/>
        <item x="1202"/>
        <item x="154"/>
        <item x="271"/>
        <item x="692"/>
        <item x="633"/>
        <item x="1996"/>
        <item x="2172"/>
        <item x="237"/>
        <item x="216"/>
        <item x="1428"/>
        <item x="1174"/>
        <item x="886"/>
        <item x="2335"/>
        <item x="2349"/>
        <item x="2035"/>
        <item x="416"/>
        <item x="1261"/>
        <item x="2462"/>
        <item x="771"/>
        <item x="1598"/>
        <item x="1306"/>
        <item x="1030"/>
        <item x="2118"/>
        <item x="967"/>
        <item x="627"/>
        <item x="166"/>
        <item x="2202"/>
        <item x="2178"/>
        <item x="628"/>
        <item x="814"/>
        <item x="2546"/>
        <item x="1924"/>
        <item x="608"/>
        <item x="1398"/>
        <item x="45"/>
        <item x="1291"/>
        <item x="1424"/>
        <item x="1956"/>
        <item x="462"/>
        <item x="1988"/>
        <item x="1154"/>
        <item x="626"/>
        <item x="696"/>
        <item x="1101"/>
        <item x="1973"/>
        <item x="2543"/>
        <item x="282"/>
        <item x="393"/>
        <item x="1613"/>
        <item x="2407"/>
        <item x="454"/>
        <item x="2539"/>
        <item x="924"/>
        <item x="302"/>
        <item x="1282"/>
        <item x="837"/>
        <item x="1623"/>
        <item x="1823"/>
        <item x="2036"/>
        <item x="1993"/>
        <item x="997"/>
        <item x="544"/>
        <item x="2298"/>
        <item x="1292"/>
        <item x="1116"/>
        <item x="632"/>
        <item x="2541"/>
        <item x="423"/>
        <item x="2098"/>
        <item x="1320"/>
        <item x="625"/>
        <item x="2203"/>
        <item x="1754"/>
        <item x="410"/>
        <item x="922"/>
        <item x="1869"/>
        <item x="1393"/>
        <item x="356"/>
        <item x="190"/>
        <item x="688"/>
        <item x="528"/>
        <item x="558"/>
        <item x="1696"/>
        <item x="489"/>
        <item x="897"/>
        <item x="2450"/>
        <item x="1501"/>
        <item x="2381"/>
        <item x="1637"/>
        <item x="2014"/>
        <item x="1991"/>
        <item x="1735"/>
        <item x="1076"/>
        <item x="1498"/>
        <item x="2151"/>
        <item x="1257"/>
        <item x="1177"/>
        <item x="782"/>
        <item x="483"/>
        <item x="2116"/>
        <item x="1479"/>
        <item x="1322"/>
        <item x="1122"/>
        <item x="2377"/>
        <item x="577"/>
        <item x="2199"/>
        <item x="606"/>
        <item x="176"/>
        <item x="214"/>
        <item x="1331"/>
        <item x="1512"/>
        <item x="1480"/>
        <item x="682"/>
        <item x="994"/>
        <item x="473"/>
        <item x="115"/>
        <item x="2534"/>
        <item x="949"/>
        <item x="1896"/>
        <item x="2522"/>
        <item x="2270"/>
        <item x="1209"/>
        <item x="1430"/>
        <item x="333"/>
        <item x="84"/>
        <item x="2056"/>
        <item x="2013"/>
        <item x="536"/>
        <item x="1023"/>
        <item x="2083"/>
        <item x="1640"/>
        <item x="2267"/>
        <item x="2485"/>
        <item x="1250"/>
        <item x="971"/>
        <item x="1886"/>
        <item x="2045"/>
        <item x="2448"/>
        <item x="2186"/>
        <item x="1366"/>
        <item x="2445"/>
        <item x="406"/>
        <item x="1025"/>
        <item x="474"/>
        <item x="1870"/>
        <item x="843"/>
        <item x="287"/>
        <item x="2436"/>
        <item x="479"/>
        <item x="1761"/>
        <item x="2030"/>
        <item x="2175"/>
        <item x="243"/>
        <item x="2180"/>
        <item x="1462"/>
        <item x="1983"/>
        <item x="1908"/>
        <item x="892"/>
        <item x="1745"/>
        <item x="896"/>
        <item x="39"/>
        <item x="2370"/>
        <item x="1298"/>
        <item x="1402"/>
        <item x="1434"/>
        <item x="1919"/>
        <item x="2097"/>
        <item x="2257"/>
        <item x="388"/>
        <item x="1702"/>
        <item x="708"/>
        <item x="1173"/>
        <item x="610"/>
        <item x="448"/>
        <item x="1942"/>
        <item x="142"/>
        <item x="673"/>
        <item x="2003"/>
        <item x="813"/>
        <item x="2447"/>
        <item x="1439"/>
        <item x="232"/>
        <item x="1191"/>
        <item x="1932"/>
        <item x="1386"/>
        <item x="709"/>
        <item x="2422"/>
        <item x="1255"/>
        <item x="2218"/>
        <item x="733"/>
        <item x="151"/>
        <item x="2424"/>
        <item x="1473"/>
        <item x="95"/>
        <item x="377"/>
        <item x="2239"/>
        <item x="460"/>
        <item x="384"/>
        <item x="1166"/>
        <item x="47"/>
        <item x="2574"/>
        <item x="2306"/>
        <item x="198"/>
        <item x="401"/>
        <item x="663"/>
        <item x="944"/>
        <item x="619"/>
        <item x="1660"/>
        <item x="1811"/>
        <item x="650"/>
        <item x="683"/>
        <item x="1253"/>
        <item x="861"/>
        <item x="1723"/>
        <item x="1020"/>
        <item x="739"/>
        <item x="1955"/>
        <item x="2483"/>
        <item x="1264"/>
        <item x="1747"/>
        <item x="1544"/>
        <item x="1905"/>
        <item x="1318"/>
        <item x="573"/>
        <item x="1572"/>
        <item x="1656"/>
        <item x="147"/>
        <item x="1843"/>
        <item x="1586"/>
        <item x="2337"/>
        <item x="2323"/>
        <item x="1337"/>
        <item x="1367"/>
        <item x="779"/>
        <item x="2384"/>
        <item x="1425"/>
        <item x="1478"/>
        <item x="891"/>
        <item x="1709"/>
        <item x="1355"/>
        <item x="407"/>
        <item x="1324"/>
        <item x="1521"/>
        <item x="1133"/>
        <item x="1334"/>
        <item x="2155"/>
        <item x="2327"/>
        <item x="2523"/>
        <item x="1893"/>
        <item x="1042"/>
        <item x="1162"/>
        <item x="1293"/>
        <item x="1936"/>
        <item x="579"/>
        <item x="1950"/>
        <item x="694"/>
        <item x="1360"/>
        <item x="1072"/>
        <item x="781"/>
        <item x="276"/>
        <item x="492"/>
        <item x="1518"/>
        <item x="1871"/>
        <item x="533"/>
        <item x="284"/>
        <item x="1633"/>
        <item x="326"/>
        <item x="80"/>
        <item x="2360"/>
        <item x="2189"/>
        <item x="2194"/>
        <item x="792"/>
        <item x="1947"/>
        <item x="399"/>
        <item x="494"/>
        <item x="277"/>
        <item x="1552"/>
        <item x="1632"/>
        <item x="574"/>
        <item x="1591"/>
        <item x="114"/>
        <item x="1401"/>
        <item x="102"/>
        <item x="1208"/>
        <item x="1000"/>
        <item x="972"/>
        <item x="2417"/>
        <item x="2262"/>
        <item x="703"/>
        <item x="208"/>
        <item x="725"/>
        <item x="1921"/>
        <item x="2018"/>
        <item x="838"/>
        <item x="164"/>
        <item x="1344"/>
        <item x="1260"/>
        <item x="279"/>
        <item x="798"/>
        <item x="459"/>
        <item x="2514"/>
        <item x="1165"/>
        <item x="1884"/>
        <item x="1853"/>
        <item x="2468"/>
        <item x="1728"/>
        <item x="1235"/>
        <item x="2406"/>
        <item x="853"/>
        <item x="1315"/>
        <item x="554"/>
        <item x="755"/>
        <item x="1670"/>
        <item x="2386"/>
        <item x="747"/>
        <item x="2414"/>
        <item x="568"/>
        <item x="2320"/>
        <item x="1608"/>
        <item x="274"/>
        <item x="1587"/>
        <item x="411"/>
        <item x="823"/>
        <item x="915"/>
        <item x="1287"/>
        <item x="2163"/>
        <item x="1299"/>
        <item x="2562"/>
        <item x="2121"/>
        <item x="1061"/>
        <item x="824"/>
        <item x="1294"/>
        <item x="685"/>
        <item x="623"/>
        <item x="2190"/>
        <item x="162"/>
        <item x="1502"/>
        <item x="2479"/>
        <item x="903"/>
        <item x="1474"/>
        <item x="808"/>
        <item x="800"/>
        <item x="1347"/>
        <item x="581"/>
        <item x="599"/>
        <item x="1863"/>
        <item x="1500"/>
        <item x="1874"/>
        <item x="567"/>
        <item x="1215"/>
        <item x="936"/>
        <item x="1695"/>
        <item x="1131"/>
        <item x="1671"/>
        <item x="1066"/>
        <item x="2112"/>
        <item x="1975"/>
        <item x="1123"/>
        <item x="1748"/>
        <item x="2006"/>
        <item x="943"/>
        <item x="408"/>
        <item x="1062"/>
        <item x="1383"/>
        <item x="1741"/>
        <item x="55"/>
        <item x="1227"/>
        <item x="2249"/>
        <item x="2426"/>
        <item x="638"/>
        <item x="726"/>
        <item x="69"/>
        <item x="1349"/>
        <item x="2552"/>
        <item x="2378"/>
        <item x="357"/>
        <item x="1805"/>
        <item x="1429"/>
        <item x="447"/>
        <item x="1034"/>
        <item x="661"/>
        <item x="1006"/>
        <item x="1809"/>
        <item x="78"/>
        <item x="91"/>
        <item x="1245"/>
        <item x="1325"/>
        <item x="1916"/>
        <item x="2095"/>
        <item x="833"/>
        <item x="358"/>
        <item x="1609"/>
        <item x="233"/>
        <item x="989"/>
        <item x="497"/>
        <item x="2492"/>
        <item x="1368"/>
        <item x="2261"/>
        <item x="2429"/>
        <item x="2027"/>
        <item x="1960"/>
        <item x="72"/>
        <item x="982"/>
        <item x="2387"/>
        <item x="2265"/>
        <item x="331"/>
        <item x="727"/>
        <item x="1099"/>
        <item x="1338"/>
        <item x="870"/>
        <item x="2578"/>
        <item x="1372"/>
        <item x="19"/>
        <item x="571"/>
        <item x="235"/>
        <item x="934"/>
        <item x="2331"/>
        <item x="334"/>
        <item x="1724"/>
        <item x="335"/>
        <item x="244"/>
        <item x="2225"/>
        <item x="2135"/>
        <item x="2497"/>
        <item x="2076"/>
        <item x="2527"/>
        <item x="2273"/>
        <item x="2057"/>
        <item x="107"/>
        <item x="704"/>
        <item x="1443"/>
        <item x="1295"/>
        <item x="1184"/>
        <item x="1262"/>
        <item x="350"/>
        <item x="1558"/>
        <item x="1830"/>
        <item x="1824"/>
        <item x="2087"/>
        <item x="1559"/>
        <item x="2044"/>
        <item x="700"/>
        <item x="145"/>
        <item x="490"/>
        <item x="2242"/>
        <item x="480"/>
        <item x="264"/>
        <item x="582"/>
        <item x="373"/>
        <item x="1469"/>
        <item x="1789"/>
        <item x="2401"/>
        <item x="2284"/>
        <item x="659"/>
        <item x="2304"/>
        <item x="847"/>
        <item x="728"/>
        <item x="2092"/>
        <item x="854"/>
        <item x="121"/>
        <item x="513"/>
        <item x="609"/>
        <item x="1223"/>
        <item x="667"/>
        <item x="2059"/>
        <item x="470"/>
        <item x="701"/>
        <item x="693"/>
        <item x="2148"/>
        <item x="1336"/>
        <item x="660"/>
        <item x="1321"/>
        <item x="2294"/>
        <item x="1143"/>
        <item x="1566"/>
        <item x="328"/>
        <item x="105"/>
        <item x="1758"/>
        <item x="2326"/>
        <item x="2263"/>
        <item x="238"/>
        <item x="590"/>
        <item x="1539"/>
        <item x="278"/>
        <item x="836"/>
        <item x="2512"/>
        <item x="639"/>
        <item x="1109"/>
        <item x="1636"/>
        <item x="1435"/>
        <item x="1115"/>
        <item x="2537"/>
        <item x="269"/>
        <item x="2382"/>
        <item x="223"/>
        <item x="2353"/>
        <item x="2280"/>
        <item x="534"/>
        <item x="2109"/>
        <item x="2164"/>
        <item x="1616"/>
        <item x="2210"/>
        <item x="186"/>
        <item x="1457"/>
        <item x="976"/>
        <item x="1617"/>
        <item x="2179"/>
        <item x="369"/>
        <item x="1822"/>
        <item x="1486"/>
        <item x="793"/>
        <item x="2279"/>
        <item x="1647"/>
        <item x="1878"/>
        <item x="617"/>
        <item x="1183"/>
        <item x="811"/>
        <item x="1749"/>
        <item x="540"/>
        <item x="2570"/>
        <item x="942"/>
        <item x="1229"/>
        <item x="189"/>
        <item x="859"/>
        <item x="1641"/>
        <item x="907"/>
        <item x="1124"/>
        <item x="2460"/>
        <item x="705"/>
        <item x="2396"/>
        <item x="710"/>
        <item x="505"/>
        <item x="2058"/>
        <item x="1071"/>
        <item x="364"/>
        <item x="2475"/>
        <item x="2488"/>
        <item x="887"/>
        <item x="1269"/>
        <item x="598"/>
        <item x="2405"/>
        <item x="508"/>
        <item x="2214"/>
        <item x="2078"/>
        <item x="2005"/>
        <item x="241"/>
        <item x="2548"/>
        <item x="2423"/>
        <item x="132"/>
        <item x="1259"/>
        <item x="1361"/>
        <item x="1803"/>
        <item x="2469"/>
        <item x="2575"/>
        <item x="1170"/>
        <item x="2581"/>
        <item x="1495"/>
        <item x="1128"/>
        <item x="139"/>
        <item x="1396"/>
        <item x="2325"/>
        <item x="2561"/>
        <item x="2022"/>
        <item x="1470"/>
        <item x="1662"/>
        <item x="2418"/>
        <item x="1052"/>
        <item x="904"/>
        <item x="591"/>
        <item x="1658"/>
        <item x="1689"/>
        <item x="1935"/>
        <item x="1129"/>
        <item x="984"/>
        <item x="2238"/>
        <item x="1258"/>
        <item x="1959"/>
        <item x="42"/>
        <item x="324"/>
        <item x="2068"/>
        <item x="2399"/>
        <item x="501"/>
        <item x="1084"/>
        <item x="1153"/>
        <item x="1646"/>
        <item x="1078"/>
        <item x="1251"/>
        <item x="652"/>
        <item x="2060"/>
        <item x="2072"/>
        <item x="1357"/>
        <item x="1493"/>
        <item x="1100"/>
        <item x="1941"/>
        <item x="339"/>
        <item x="1882"/>
        <item x="960"/>
        <item x="532"/>
        <item x="294"/>
        <item x="1070"/>
        <item x="882"/>
        <item x="1611"/>
        <item x="1377"/>
        <item x="867"/>
        <item x="878"/>
        <item x="717"/>
        <item x="707"/>
        <item x="171"/>
        <item x="1088"/>
        <item x="527"/>
        <item x="440"/>
        <item x="958"/>
        <item x="1622"/>
        <item x="1300"/>
        <item x="59"/>
        <item x="797"/>
        <item x="1813"/>
        <item x="1189"/>
        <item x="1681"/>
        <item x="917"/>
        <item x="756"/>
        <item x="2434"/>
        <item x="686"/>
        <item x="419"/>
        <item x="2519"/>
        <item x="649"/>
        <item x="75"/>
        <item x="2123"/>
        <item x="695"/>
        <item x="429"/>
        <item x="636"/>
        <item x="980"/>
        <item x="1270"/>
        <item x="2547"/>
        <item x="1171"/>
        <item x="157"/>
        <item x="253"/>
        <item x="2130"/>
        <item x="1359"/>
        <item x="2065"/>
        <item x="1610"/>
        <item x="1994"/>
        <item x="1224"/>
        <item x="848"/>
        <item x="1028"/>
        <item x="504"/>
        <item x="1648"/>
        <item x="662"/>
        <item x="1463"/>
        <item x="366"/>
        <item x="629"/>
        <item x="150"/>
        <item x="2015"/>
        <item x="1963"/>
        <item x="395"/>
        <item x="1105"/>
        <item x="183"/>
        <item x="1759"/>
        <item x="1445"/>
        <item x="1503"/>
        <item x="1700"/>
        <item x="258"/>
        <item x="2476"/>
        <item x="1307"/>
        <item x="14"/>
        <item x="83"/>
        <item x="503"/>
        <item x="1060"/>
        <item x="1876"/>
        <item x="1704"/>
        <item x="1533"/>
        <item x="805"/>
        <item x="2313"/>
        <item x="342"/>
        <item x="595"/>
        <item x="300"/>
        <item x="226"/>
        <item x="11"/>
        <item x="841"/>
        <item x="1676"/>
        <item x="298"/>
        <item x="113"/>
        <item x="2157"/>
        <item x="2412"/>
        <item x="1750"/>
        <item x="2567"/>
        <item x="1798"/>
        <item x="1678"/>
        <item x="336"/>
        <item x="2486"/>
        <item x="2336"/>
        <item x="2587"/>
        <item x="2576"/>
        <item x="2309"/>
        <item x="721"/>
        <item x="2063"/>
        <item x="511"/>
        <item x="2565"/>
        <item x="543"/>
        <item x="1701"/>
        <item x="341"/>
        <item x="130"/>
        <item x="1900"/>
        <item x="857"/>
        <item x="572"/>
        <item x="1590"/>
        <item x="1929"/>
        <item x="970"/>
        <item x="343"/>
        <item x="17"/>
        <item x="1716"/>
        <item x="1923"/>
        <item x="825"/>
        <item x="60"/>
        <item x="2038"/>
        <item x="702"/>
        <item x="1192"/>
        <item x="396"/>
        <item x="281"/>
        <item x="1423"/>
        <item x="801"/>
        <item x="767"/>
        <item x="1714"/>
        <item x="316"/>
        <item x="712"/>
        <item x="2008"/>
        <item x="1851"/>
        <item x="289"/>
        <item x="1657"/>
        <item x="15"/>
        <item x="2385"/>
        <item x="1778"/>
        <item x="2133"/>
        <item x="1513"/>
        <item x="774"/>
        <item x="2459"/>
        <item x="2236"/>
        <item x="1015"/>
        <item x="555"/>
        <item x="2070"/>
        <item x="1858"/>
        <item x="1965"/>
        <item x="2411"/>
        <item x="634"/>
        <item x="1254"/>
        <item x="1375"/>
        <item x="2153"/>
        <item x="1753"/>
        <item x="180"/>
        <item x="53"/>
        <item x="2427"/>
        <item x="2082"/>
        <item x="2192"/>
        <item x="88"/>
        <item x="1147"/>
        <item x="1145"/>
        <item x="1242"/>
        <item x="1995"/>
        <item x="821"/>
        <item x="889"/>
        <item x="1004"/>
        <item x="877"/>
        <item x="1438"/>
        <item x="1228"/>
        <item x="2275"/>
        <item x="927"/>
        <item x="1540"/>
        <item x="1850"/>
        <item x="73"/>
        <item x="187"/>
        <item x="2498"/>
        <item x="2204"/>
        <item x="1353"/>
        <item x="1326"/>
        <item x="790"/>
        <item x="1150"/>
        <item x="1655"/>
        <item x="1817"/>
        <item x="2240"/>
        <item x="1201"/>
        <item x="1308"/>
        <item x="1152"/>
        <item x="1652"/>
        <item x="2128"/>
        <item x="1527"/>
        <item x="1770"/>
        <item x="985"/>
        <item x="7"/>
        <item x="104"/>
        <item x="25"/>
        <item x="1949"/>
        <item x="2551"/>
        <item x="245"/>
        <item x="246"/>
        <item x="1033"/>
        <item x="1392"/>
        <item x="769"/>
        <item x="535"/>
        <item x="262"/>
        <item x="2388"/>
        <item x="182"/>
        <item x="1314"/>
        <item x="1391"/>
        <item x="436"/>
        <item x="2571"/>
        <item x="1098"/>
        <item x="909"/>
        <item x="1333"/>
        <item x="58"/>
        <item x="9"/>
        <item x="2440"/>
        <item x="1206"/>
        <item x="2134"/>
        <item x="1454"/>
        <item x="789"/>
        <item x="1690"/>
        <item x="1236"/>
        <item x="975"/>
        <item x="1814"/>
        <item x="18"/>
        <item x="2372"/>
        <item x="635"/>
        <item x="1151"/>
        <item x="2452"/>
        <item x="1125"/>
        <item x="640"/>
        <item x="570"/>
        <item x="2126"/>
        <item x="402"/>
        <item x="2321"/>
        <item x="864"/>
        <item x="1488"/>
        <item x="1390"/>
        <item x="1852"/>
        <item x="806"/>
        <item x="1825"/>
        <item x="819"/>
        <item x="2235"/>
        <item x="737"/>
        <item x="1406"/>
        <item x="1840"/>
        <item x="56"/>
        <item x="1984"/>
        <item x="893"/>
        <item x="1769"/>
        <item x="1692"/>
        <item x="1643"/>
        <item x="2588"/>
        <item x="2253"/>
        <item x="303"/>
        <item x="1909"/>
        <item x="61"/>
        <item x="1219"/>
        <item x="950"/>
        <item x="2520"/>
        <item x="1606"/>
        <item x="731"/>
        <item x="799"/>
        <item x="541"/>
        <item x="604"/>
        <item x="76"/>
        <item x="2375"/>
        <item x="435"/>
        <item x="1508"/>
        <item x="2237"/>
        <item x="2303"/>
        <item x="548"/>
        <item x="1796"/>
        <item x="265"/>
        <item x="1405"/>
        <item x="1476"/>
        <item x="530"/>
        <item x="1048"/>
        <item x="1976"/>
        <item x="1550"/>
        <item x="1027"/>
        <item x="1560"/>
        <item x="64"/>
        <item x="654"/>
        <item x="757"/>
        <item x="2532"/>
        <item x="520"/>
        <item x="1286"/>
        <item x="41"/>
        <item x="488"/>
        <item x="2213"/>
        <item x="2356"/>
        <item x="1665"/>
        <item x="1453"/>
        <item x="1213"/>
        <item x="1106"/>
        <item x="1677"/>
        <item x="2168"/>
        <item x="2200"/>
        <item x="433"/>
        <item x="239"/>
        <item x="2162"/>
        <item x="978"/>
        <item x="563"/>
        <item x="293"/>
        <item x="2196"/>
        <item x="2125"/>
        <item x="2478"/>
        <item x="2031"/>
        <item x="1365"/>
        <item x="1017"/>
        <item x="1268"/>
        <item x="973"/>
        <item x="583"/>
        <item x="319"/>
        <item x="2141"/>
        <item x="280"/>
        <item x="1271"/>
        <item x="120"/>
        <item x="2438"/>
        <item x="991"/>
        <item x="12"/>
        <item x="1272"/>
        <item x="1246"/>
        <item x="2054"/>
        <item x="99"/>
        <item x="2114"/>
        <item x="1582"/>
        <item x="2451"/>
        <item x="1065"/>
        <item x="2182"/>
        <item x="1930"/>
        <item x="1316"/>
        <item x="2368"/>
        <item x="203"/>
        <item x="1776"/>
        <item x="1095"/>
        <item x="191"/>
        <item x="2077"/>
        <item x="1859"/>
        <item x="169"/>
        <item x="1698"/>
        <item x="1207"/>
        <item x="1412"/>
        <item x="2496"/>
        <item x="355"/>
        <item x="645"/>
        <item x="1877"/>
        <item x="31"/>
        <item x="205"/>
        <item x="646"/>
        <item x="2470"/>
        <item x="1506"/>
        <item x="2383"/>
        <item x="1595"/>
        <item x="1561"/>
        <item x="427"/>
        <item x="1669"/>
        <item x="270"/>
        <item x="1240"/>
        <item x="1249"/>
        <item x="210"/>
        <item x="123"/>
        <item x="1442"/>
        <item x="928"/>
        <item x="742"/>
        <item x="322"/>
        <item x="1514"/>
        <item x="680"/>
        <item x="167"/>
        <item x="283"/>
        <item x="2480"/>
        <item x="2269"/>
        <item x="2283"/>
        <item x="1452"/>
        <item x="1364"/>
        <item x="2254"/>
        <item x="81"/>
        <item x="713"/>
        <item x="1584"/>
        <item x="2297"/>
        <item x="1343"/>
        <item x="1897"/>
        <item x="2243"/>
        <item x="478"/>
        <item x="311"/>
        <item x="338"/>
        <item x="1920"/>
        <item x="2051"/>
        <item x="600"/>
        <item x="929"/>
        <item x="2526"/>
        <item x="761"/>
        <item x="222"/>
        <item x="1635"/>
        <item x="495"/>
        <item x="545"/>
        <item x="1834"/>
        <item x="2560"/>
        <item x="234"/>
        <item x="389"/>
        <item x="711"/>
        <item x="10"/>
        <item x="1418"/>
        <item x="1327"/>
        <item x="329"/>
        <item x="2028"/>
        <item x="2456"/>
        <item x="1569"/>
        <item x="2358"/>
        <item x="2474"/>
        <item x="383"/>
        <item x="580"/>
        <item x="2016"/>
        <item x="21"/>
        <item x="1096"/>
        <item x="181"/>
        <item x="1537"/>
        <item x="1342"/>
        <item x="2307"/>
        <item x="1283"/>
        <item x="346"/>
        <item x="1551"/>
        <item x="1592"/>
        <item x="477"/>
        <item x="1763"/>
        <item x="787"/>
        <item x="1009"/>
        <item x="1895"/>
        <item x="1594"/>
        <item x="839"/>
        <item x="1032"/>
        <item x="1385"/>
        <item x="1063"/>
        <item x="177"/>
        <item x="2073"/>
        <item x="653"/>
        <item x="651"/>
        <item x="2276"/>
        <item x="772"/>
        <item x="749"/>
        <item x="434"/>
        <item x="1742"/>
        <item x="26"/>
        <item x="888"/>
        <item x="778"/>
        <item x="92"/>
        <item x="323"/>
        <item x="2159"/>
        <item x="1545"/>
        <item x="461"/>
        <item x="2515"/>
        <item x="2040"/>
        <item x="2503"/>
        <item x="562"/>
        <item x="2425"/>
        <item x="138"/>
        <item x="553"/>
        <item x="697"/>
        <item x="1914"/>
        <item x="2296"/>
        <item x="40"/>
        <item x="1104"/>
        <item x="1562"/>
        <item x="1538"/>
        <item x="1722"/>
        <item x="215"/>
        <item x="2055"/>
        <item x="1720"/>
        <item x="1024"/>
        <item x="665"/>
        <item x="2371"/>
        <item x="2137"/>
        <item x="2188"/>
        <item x="155"/>
        <item x="2395"/>
        <item x="1790"/>
        <item x="1155"/>
        <item x="1461"/>
        <item x="1621"/>
        <item x="1421"/>
        <item x="1715"/>
        <item x="2234"/>
        <item x="2094"/>
        <item x="925"/>
        <item x="1487"/>
        <item x="1644"/>
        <item x="1765"/>
        <item x="2373"/>
        <item x="939"/>
        <item x="2000"/>
        <item x="2206"/>
        <item x="986"/>
        <item x="1168"/>
        <item x="855"/>
        <item x="1828"/>
        <item x="2379"/>
        <item x="2093"/>
        <item x="2573"/>
        <item x="1233"/>
        <item x="2160"/>
        <item x="687"/>
        <item x="397"/>
        <item x="1369"/>
        <item x="2256"/>
        <item x="714"/>
        <item x="1332"/>
        <item x="1762"/>
        <item x="1016"/>
        <item x="314"/>
        <item x="951"/>
        <item x="2499"/>
        <item x="1351"/>
        <item x="1415"/>
        <item x="1022"/>
        <item x="2322"/>
        <item x="1160"/>
        <item x="486"/>
        <item x="304"/>
        <item x="1515"/>
        <item x="449"/>
        <item x="2131"/>
        <item x="1523"/>
        <item x="858"/>
        <item x="1053"/>
        <item x="468"/>
        <item x="2286"/>
        <item x="979"/>
        <item x="305"/>
        <item x="1400"/>
        <item x="930"/>
        <item x="96"/>
        <item x="1951"/>
        <item x="900"/>
        <item x="2500"/>
        <item x="309"/>
        <item x="175"/>
        <item x="2144"/>
        <item x="1751"/>
        <item x="1339"/>
        <item x="1604"/>
        <item x="2224"/>
        <item x="2415"/>
        <item x="1169"/>
        <item x="1946"/>
        <item x="87"/>
        <item x="2340"/>
        <item x="1345"/>
        <item x="2166"/>
        <item x="601"/>
        <item x="458"/>
        <item x="1688"/>
        <item x="810"/>
        <item x="2041"/>
        <item x="1455"/>
        <item x="2147"/>
        <item x="1730"/>
        <item x="1627"/>
        <item x="2329"/>
        <item x="307"/>
        <item x="1018"/>
        <item x="367"/>
        <item x="1097"/>
        <item x="1051"/>
        <item x="2266"/>
        <item x="2525"/>
        <item x="1161"/>
        <item x="1003"/>
        <item x="1781"/>
        <item x="1556"/>
        <item x="2583"/>
        <item x="112"/>
        <item x="1666"/>
        <item x="981"/>
        <item x="224"/>
        <item x="2416"/>
        <item x="1477"/>
        <item x="758"/>
        <item x="1296"/>
        <item x="16"/>
        <item x="507"/>
        <item x="1082"/>
        <item x="748"/>
        <item x="502"/>
        <item x="2389"/>
        <item x="2212"/>
        <item x="43"/>
        <item x="2053"/>
        <item x="1891"/>
        <item x="556"/>
        <item x="1234"/>
        <item x="734"/>
        <item x="1907"/>
        <item x="1304"/>
        <item x="923"/>
        <item x="2555"/>
        <item x="1499"/>
        <item x="2430"/>
        <item x="1902"/>
        <item x="455"/>
        <item x="1721"/>
        <item x="2161"/>
        <item x="1820"/>
        <item x="1132"/>
        <item x="2366"/>
        <item x="2285"/>
        <item x="1273"/>
        <item x="2113"/>
        <item x="30"/>
        <item x="2544"/>
        <item x="2205"/>
        <item x="2264"/>
        <item x="559"/>
        <item x="785"/>
        <item x="451"/>
        <item x="1335"/>
        <item x="2211"/>
        <item x="812"/>
        <item x="469"/>
        <item x="2001"/>
        <item x="1812"/>
        <item x="403"/>
        <item x="875"/>
        <item x="1010"/>
        <item x="2287"/>
        <item x="1058"/>
        <item x="1193"/>
        <item x="1220"/>
        <item x="706"/>
        <item x="2521"/>
        <item x="1297"/>
        <item x="546"/>
        <item x="163"/>
        <item x="381"/>
        <item x="1214"/>
        <item x="156"/>
        <item x="815"/>
        <item x="1081"/>
        <item x="952"/>
        <item x="735"/>
        <item x="1256"/>
        <item x="1764"/>
        <item x="1156"/>
        <item x="716"/>
        <item x="954"/>
        <item x="2107"/>
        <item x="880"/>
        <item x="193"/>
        <item x="912"/>
        <item x="1831"/>
        <item x="133"/>
        <item x="2052"/>
        <item x="832"/>
        <item x="1525"/>
        <item x="363"/>
        <item x="743"/>
        <item x="514"/>
        <item x="2295"/>
        <item x="306"/>
        <item x="129"/>
        <item x="1090"/>
        <item x="127"/>
        <item x="1546"/>
        <item x="1857"/>
        <item x="1866"/>
        <item x="2465"/>
        <item x="2100"/>
        <item x="1107"/>
        <item x="5"/>
        <item x="2348"/>
        <item x="655"/>
        <item x="955"/>
        <item x="1654"/>
        <item x="2004"/>
        <item x="1175"/>
        <item x="2453"/>
        <item x="1363"/>
        <item x="676"/>
        <item x="1176"/>
        <item x="1142"/>
        <item x="1864"/>
        <item x="2302"/>
        <item x="2084"/>
        <item x="1740"/>
        <item x="1230"/>
        <item x="1413"/>
        <item x="1977"/>
        <item x="1376"/>
        <item x="2536"/>
        <item x="370"/>
        <item x="1370"/>
        <item x="775"/>
        <item x="1134"/>
        <item x="537"/>
        <item x="876"/>
        <item x="1117"/>
        <item x="2334"/>
        <item x="2259"/>
        <item x="3"/>
        <item x="417"/>
        <item x="1464"/>
        <item x="2491"/>
        <item x="1038"/>
        <item x="295"/>
        <item x="851"/>
        <item x="1940"/>
        <item x="2376"/>
        <item x="32"/>
        <item x="715"/>
        <item x="1531"/>
        <item x="168"/>
        <item x="550"/>
        <item x="616"/>
        <item x="1013"/>
        <item x="1792"/>
        <item x="1274"/>
        <item x="374"/>
        <item x="1528"/>
        <item x="820"/>
        <item x="768"/>
        <item x="194"/>
        <item x="830"/>
        <item x="231"/>
        <item x="1684"/>
        <item x="1103"/>
        <item x="664"/>
        <item x="1624"/>
        <item x="1436"/>
        <item x="498"/>
        <item x="2330"/>
        <item x="1252"/>
        <item x="1614"/>
        <item x="308"/>
        <item x="834"/>
        <item x="1225"/>
        <item x="1534"/>
        <item x="1203"/>
        <item x="2553"/>
        <item x="2442"/>
        <item x="352"/>
        <item x="2246"/>
        <item x="690"/>
        <item x="605"/>
        <item x="1284"/>
        <item x="1180"/>
        <item x="1516"/>
        <item x="1157"/>
        <item x="1039"/>
        <item x="472"/>
        <item x="1446"/>
        <item x="1588"/>
        <item x="1196"/>
        <item x="1734"/>
        <item x="698"/>
        <item x="288"/>
        <item x="93"/>
        <item x="267"/>
        <item x="2437"/>
        <item x="552"/>
        <item x="1933"/>
        <item x="856"/>
        <item x="414"/>
        <item x="387"/>
        <item x="1465"/>
        <item x="1733"/>
        <item x="607"/>
        <item x="122"/>
        <item x="776"/>
        <item x="2165"/>
        <item x="420"/>
        <item x="1574"/>
        <item x="1050"/>
        <item x="596"/>
        <item x="1837"/>
        <item x="195"/>
        <item x="219"/>
        <item x="933"/>
        <item x="962"/>
        <item x="1645"/>
        <item x="1985"/>
        <item x="519"/>
        <item x="987"/>
        <item x="2198"/>
        <item x="1794"/>
        <item x="850"/>
        <item x="803"/>
        <item x="2308"/>
        <item x="2408"/>
        <item x="1675"/>
        <item x="862"/>
        <item x="299"/>
        <item x="1818"/>
        <item x="1719"/>
        <item x="1847"/>
        <item x="1694"/>
        <item x="2557"/>
        <item x="1575"/>
        <item x="1118"/>
        <item x="1597"/>
        <item x="1394"/>
        <item x="0"/>
        <item x="916"/>
        <item x="1593"/>
        <item x="1576"/>
        <item x="1243"/>
        <item x="2540"/>
        <item x="2143"/>
        <item x="201"/>
        <item x="54"/>
        <item x="1210"/>
        <item x="431"/>
        <item x="1144"/>
        <item x="784"/>
        <item x="770"/>
        <item x="2193"/>
        <item x="2413"/>
        <item x="1194"/>
        <item x="561"/>
        <item x="1836"/>
        <item x="2232"/>
        <item x="1086"/>
        <item x="993"/>
        <item x="1466"/>
        <item x="2043"/>
        <item x="2531"/>
        <item x="671"/>
        <item x="1854"/>
        <item x="2542"/>
        <item x="2316"/>
        <item x="926"/>
        <item x="1139"/>
        <item x="2457"/>
        <item x="945"/>
        <item x="932"/>
        <item x="1159"/>
        <item x="421"/>
        <item x="424"/>
        <item x="1204"/>
        <item x="2025"/>
        <item x="2345"/>
        <item x="802"/>
        <item x="412"/>
        <item x="2227"/>
        <item x="1309"/>
        <item x="1810"/>
        <item x="109"/>
        <item x="315"/>
        <item x="6"/>
        <item x="425"/>
        <item x="2324"/>
        <item x="2362"/>
        <item x="409"/>
        <item x="98"/>
        <item x="1440"/>
        <item x="179"/>
        <item x="134"/>
        <item x="1726"/>
        <item x="2558"/>
        <item x="822"/>
        <item x="2258"/>
        <item x="517"/>
        <item x="647"/>
        <item x="1426"/>
        <item x="1577"/>
        <item x="63"/>
        <item x="2559"/>
        <item x="1887"/>
        <item x="1565"/>
        <item x="1971"/>
        <item x="1472"/>
        <item x="538"/>
        <item x="2152"/>
        <item x="1685"/>
        <item x="1785"/>
        <item x="835"/>
        <item x="1906"/>
        <item x="1346"/>
        <item x="2158"/>
        <item x="1"/>
        <item x="1313"/>
        <item x="1247"/>
        <item x="1238"/>
        <item x="2247"/>
        <item x="1074"/>
        <item x="320"/>
        <item x="2493"/>
        <item x="2589"/>
        <item x="773"/>
        <item x="1922"/>
        <item x="529"/>
        <item x="849"/>
        <item x="1970"/>
        <item x="2220"/>
        <item x="445"/>
        <item x="1352"/>
        <item x="2394"/>
        <item x="1241"/>
        <item x="2549"/>
        <item x="1710"/>
        <item x="672"/>
        <item x="2487"/>
        <item x="1737"/>
        <item x="718"/>
        <item x="1693"/>
        <item x="68"/>
        <item x="2441"/>
        <item x="1067"/>
        <item x="2346"/>
        <item x="760"/>
        <item x="213"/>
        <item x="689"/>
        <item x="2231"/>
        <item x="392"/>
        <item x="318"/>
        <item x="1395"/>
        <item x="964"/>
        <item x="1879"/>
        <item x="443"/>
        <item x="2501"/>
        <item x="1378"/>
        <item x="2577"/>
        <item x="2568"/>
        <item x="2550"/>
        <item x="1102"/>
        <item x="557"/>
        <item x="46"/>
        <item x="791"/>
        <item x="1888"/>
        <item x="2466"/>
        <item x="1855"/>
        <item x="722"/>
        <item x="1460"/>
        <item x="1829"/>
        <item x="2222"/>
        <item x="2449"/>
        <item x="957"/>
        <item x="1275"/>
        <item x="1379"/>
        <item x="236"/>
        <item x="1952"/>
        <item x="1718"/>
        <item x="736"/>
        <item x="1130"/>
        <item x="1126"/>
        <item x="119"/>
        <item x="901"/>
        <item x="1205"/>
        <item x="677"/>
        <item x="386"/>
        <item x="2274"/>
        <item x="1195"/>
        <item x="418"/>
        <item x="2339"/>
        <item x="2101"/>
        <item x="852"/>
        <item x="1330"/>
        <item x="777"/>
        <item x="404"/>
        <item x="1182"/>
        <item x="371"/>
        <item x="1997"/>
        <item x="301"/>
        <item x="359"/>
        <item x="2545"/>
        <item x="1784"/>
        <item x="1449"/>
        <item x="643"/>
        <item x="1620"/>
        <item x="128"/>
        <item x="1788"/>
        <item x="1680"/>
        <item x="268"/>
        <item x="1625"/>
        <item x="1504"/>
        <item x="750"/>
        <item x="1801"/>
        <item x="1605"/>
        <item x="453"/>
        <item x="668"/>
        <item x="1231"/>
        <item x="1164"/>
        <item x="2171"/>
        <item x="611"/>
        <item x="657"/>
        <item x="464"/>
        <item x="2529"/>
        <item x="2066"/>
        <item x="2369"/>
        <item x="1815"/>
        <item x="1475"/>
        <item x="204"/>
        <item x="1752"/>
        <item x="905"/>
        <item x="172"/>
        <item x="2585"/>
        <item x="911"/>
        <item x="1085"/>
        <item x="2170"/>
        <item x="1990"/>
        <item x="2364"/>
        <item x="1619"/>
        <item x="963"/>
        <item x="36"/>
        <item x="2048"/>
        <item x="385"/>
        <item x="1211"/>
        <item x="1433"/>
        <item x="1276"/>
        <item x="136"/>
        <item x="2169"/>
        <item x="220"/>
        <item x="475"/>
        <item x="227"/>
        <item x="2110"/>
        <item x="135"/>
        <item x="524"/>
        <item x="206"/>
        <item x="1567"/>
        <item x="143"/>
        <item x="1738"/>
        <item x="1239"/>
        <item x="1069"/>
        <item x="1265"/>
        <item x="1568"/>
        <item x="1172"/>
        <item x="1505"/>
        <item x="2150"/>
        <item x="1628"/>
        <item x="906"/>
        <item x="1931"/>
        <item x="2174"/>
        <item x="1844"/>
        <item x="178"/>
        <item x="2390"/>
        <item x="1786"/>
        <item x="1679"/>
        <item x="648"/>
        <item x="622"/>
        <item x="941"/>
        <item x="467"/>
        <item x="487"/>
        <item x="2167"/>
        <item x="1419"/>
        <item x="1861"/>
        <item x="1819"/>
        <item x="860"/>
        <item x="1212"/>
        <item x="2288"/>
        <item x="2191"/>
        <item x="1739"/>
        <item x="1524"/>
        <item x="1148"/>
        <item x="2124"/>
        <item x="612"/>
        <item x="1969"/>
        <item x="1232"/>
        <item x="2350"/>
        <item x="744"/>
        <item x="525"/>
        <item x="996"/>
        <item x="1890"/>
        <item x="2074"/>
        <item x="2444"/>
        <item x="2538"/>
        <item x="100"/>
        <item x="2556"/>
        <item x="920"/>
        <item x="615"/>
        <item x="1310"/>
        <item x="1535"/>
        <item x="2132"/>
        <item x="1311"/>
        <item x="1043"/>
        <item x="1414"/>
        <item x="1783"/>
        <item x="1892"/>
        <item x="1755"/>
        <item x="1317"/>
        <item x="910"/>
        <item x="512"/>
        <item x="1651"/>
        <item x="585"/>
        <item x="1450"/>
        <item x="921"/>
        <item x="871"/>
        <item x="809"/>
        <item x="2403"/>
        <item x="146"/>
        <item x="956"/>
        <item x="2248"/>
        <item x="1146"/>
        <item x="2108"/>
        <item x="961"/>
        <item x="1451"/>
        <item x="1354"/>
        <item x="844"/>
        <item x="1119"/>
        <item x="2187"/>
        <item x="1958"/>
        <item x="1937"/>
        <item x="2582"/>
        <item x="2343"/>
        <item x="919"/>
        <item x="291"/>
        <item x="1612"/>
        <item x="2080"/>
        <item x="24"/>
        <item x="1511"/>
        <item x="1110"/>
        <item x="2533"/>
        <item x="762"/>
        <item x="1697"/>
        <item x="1410"/>
        <item x="2305"/>
        <item x="1007"/>
        <item x="1536"/>
        <item x="101"/>
        <item x="2149"/>
        <item x="2409"/>
        <item x="1583"/>
        <item x="2289"/>
        <item x="1140"/>
        <item x="2518"/>
        <item x="1305"/>
        <item x="248"/>
        <item x="666"/>
        <item x="51"/>
        <item x="170"/>
        <item x="766"/>
        <item x="33"/>
        <item x="578"/>
        <item x="2002"/>
        <item x="515"/>
        <item x="510"/>
        <item x="446"/>
        <item x="1340"/>
        <item x="542"/>
        <item x="1008"/>
        <item x="1603"/>
        <item x="1471"/>
        <item x="2505"/>
        <item x="1972"/>
        <item x="1547"/>
        <item x="2185"/>
        <item x="2314"/>
        <item x="1578"/>
        <item x="1629"/>
        <item x="2282"/>
        <item x="1217"/>
        <item x="1021"/>
        <item x="1757"/>
        <item x="678"/>
        <item x="884"/>
        <item x="1615"/>
        <item x="1989"/>
        <item x="2435"/>
        <item x="521"/>
        <item x="1267"/>
        <item x="1667"/>
        <item x="225"/>
        <item x="1158"/>
        <item x="437"/>
        <item x="1743"/>
        <item x="2029"/>
        <item x="2277"/>
        <item x="1031"/>
        <item x="1496"/>
        <item x="430"/>
        <item x="2037"/>
        <item x="2332"/>
        <item x="240"/>
        <item x="1079"/>
        <item x="400"/>
        <item x="699"/>
        <item x="2477"/>
        <item x="946"/>
        <item x="1362"/>
        <item x="2241"/>
        <item x="2252"/>
        <item x="79"/>
        <item x="484"/>
        <item x="953"/>
        <item x="1585"/>
        <item x="2183"/>
        <item x="1248"/>
        <item x="885"/>
        <item x="1766"/>
        <item x="990"/>
        <item x="1966"/>
        <item x="2105"/>
        <item x="597"/>
        <item x="247"/>
        <item x="1846"/>
        <item x="27"/>
        <item x="2315"/>
        <item x="753"/>
        <item x="1903"/>
        <item x="1581"/>
        <item x="2111"/>
        <item x="1599"/>
        <item x="1948"/>
        <item x="491"/>
        <item x="620"/>
        <item x="569"/>
        <item x="2494"/>
        <item x="539"/>
        <item x="826"/>
        <item x="2580"/>
        <item x="1114"/>
        <item x="2139"/>
        <item x="1221"/>
        <item x="1431"/>
        <item x="321"/>
        <item x="1181"/>
        <item x="2233"/>
        <item x="2071"/>
        <item x="1860"/>
        <item x="1862"/>
        <item x="481"/>
        <item x="603"/>
        <item x="1782"/>
        <item x="1626"/>
        <item x="2347"/>
        <item x="444"/>
        <item x="1821"/>
        <item x="2392"/>
        <item x="108"/>
        <item x="1036"/>
        <item x="883"/>
        <item x="1793"/>
        <item x="66"/>
        <item x="602"/>
        <item x="2473"/>
        <item x="1672"/>
        <item x="1981"/>
        <item x="391"/>
        <item x="442"/>
        <item x="2291"/>
        <item x="2120"/>
        <item x="35"/>
        <item x="1638"/>
        <item x="20"/>
        <item x="641"/>
        <item x="872"/>
        <item x="2363"/>
        <item x="37"/>
        <item x="2173"/>
        <item x="1756"/>
        <item x="351"/>
        <item x="1683"/>
        <item x="2365"/>
        <item x="111"/>
        <item x="29"/>
        <item x="1530"/>
        <item x="1237"/>
        <item x="174"/>
        <item x="256"/>
        <item x="273"/>
        <item x="2509"/>
        <item x="1875"/>
        <item x="1787"/>
        <item x="1686"/>
        <item x="691"/>
        <item x="1791"/>
        <item x="1779"/>
        <item x="1744"/>
        <item x="1329"/>
        <item x="560"/>
        <item x="2228"/>
        <item x="2508"/>
        <item x="2431"/>
        <item x="865"/>
        <item x="1002"/>
        <item x="441"/>
        <item x="199"/>
        <item x="1014"/>
        <item x="1894"/>
        <item x="827"/>
        <item x="1328"/>
        <item x="1112"/>
        <item x="1634"/>
        <item x="347"/>
        <item x="1773"/>
        <item x="188"/>
        <item x="2516"/>
        <item x="1630"/>
        <item x="1319"/>
        <item x="2226"/>
        <item x="1178"/>
        <item x="947"/>
        <item x="1374"/>
        <item x="285"/>
        <item x="1199"/>
        <item x="344"/>
        <item x="251"/>
        <item x="332"/>
        <item x="723"/>
        <item x="1881"/>
        <item x="874"/>
        <item x="160"/>
        <item x="257"/>
        <item x="496"/>
        <item x="394"/>
        <item x="141"/>
        <item x="1279"/>
        <item x="2223"/>
        <item x="126"/>
        <item x="845"/>
        <item x="1373"/>
        <item x="1226"/>
        <item x="2007"/>
        <item x="2208"/>
        <item x="1277"/>
        <item x="588"/>
        <item x="1708"/>
        <item x="630"/>
        <item x="1899"/>
        <item x="428"/>
        <item x="1543"/>
        <item x="1517"/>
        <item x="426"/>
        <item x="2260"/>
        <item x="361"/>
        <item x="1653"/>
        <item x="1926"/>
        <item x="1481"/>
        <item x="1650"/>
        <item x="44"/>
        <item x="49"/>
        <item x="2428"/>
        <item x="1939"/>
        <item x="2391"/>
        <item x="684"/>
        <item x="1482"/>
        <item x="1216"/>
        <item x="67"/>
        <item x="463"/>
        <item x="817"/>
        <item x="751"/>
        <item x="1285"/>
        <item x="2049"/>
        <item x="2524"/>
        <item x="118"/>
        <item x="1961"/>
        <item x="2047"/>
        <item x="1083"/>
        <item x="2278"/>
        <item x="1849"/>
        <item x="337"/>
        <item x="450"/>
        <item x="432"/>
        <item x="1904"/>
        <item x="254"/>
        <item x="675"/>
        <item x="2250"/>
        <item x="1980"/>
        <item x="2301"/>
        <item x="2351"/>
        <item x="2069"/>
        <item x="1548"/>
        <item x="161"/>
        <item x="317"/>
        <item x="1483"/>
        <item x="1962"/>
        <item x="594"/>
        <item x="2209"/>
        <item x="1403"/>
        <item x="745"/>
        <item x="1089"/>
        <item x="1838"/>
        <item x="1631"/>
        <item x="1491"/>
        <item x="613"/>
        <item x="1075"/>
        <item x="2352"/>
        <item x="2104"/>
        <item x="1974"/>
        <item x="2011"/>
        <item x="804"/>
        <item x="2085"/>
        <item x="1967"/>
        <item x="1927"/>
        <item x="348"/>
        <item x="2062"/>
        <item x="2009"/>
        <item x="2207"/>
        <item x="330"/>
        <item x="1371"/>
        <item x="2019"/>
        <item x="2397"/>
        <item x="1826"/>
        <item x="228"/>
        <item x="2201"/>
        <item x="1529"/>
        <item x="2026"/>
        <item x="1467"/>
        <item x="1138"/>
        <item x="1019"/>
        <item x="1092"/>
        <item x="493"/>
        <item x="2251"/>
        <item x="1663"/>
        <item x="103"/>
        <item x="2481"/>
        <item x="1484"/>
        <item x="1218"/>
        <item x="1542"/>
        <item x="1945"/>
        <item x="1736"/>
        <item x="1120"/>
        <item x="765"/>
        <item x="780"/>
        <item x="153"/>
        <item x="70"/>
        <item x="1044"/>
        <item x="1001"/>
        <item x="2564"/>
        <item x="549"/>
        <item x="2138"/>
        <item x="506"/>
        <item x="1845"/>
        <item x="2310"/>
        <item x="2590"/>
        <item x="2156"/>
        <item x="1872"/>
        <item x="1642"/>
        <item x="1093"/>
        <item x="794"/>
        <item x="831"/>
        <item x="1384"/>
        <item x="881"/>
        <item x="1553"/>
        <item x="918"/>
        <item x="2272"/>
        <item x="2432"/>
        <item x="218"/>
        <item x="1441"/>
        <item x="631"/>
        <item x="1280"/>
        <item x="863"/>
        <item x="1957"/>
        <item x="1706"/>
        <item x="584"/>
        <item x="2086"/>
        <item x="937"/>
        <item x="184"/>
        <item x="1108"/>
        <item x="1167"/>
        <item x="2090"/>
        <item x="50"/>
        <item x="868"/>
        <item x="117"/>
        <item x="1868"/>
        <item x="2215"/>
        <item x="2255"/>
        <item x="65"/>
        <item x="2046"/>
        <item x="2569"/>
        <item x="1087"/>
        <item x="999"/>
        <item x="211"/>
        <item x="2484"/>
        <item x="1912"/>
        <item x="2467"/>
        <item x="1842"/>
        <item x="1848"/>
        <item x="1111"/>
        <item x="2268"/>
        <item x="1774"/>
        <item x="1570"/>
        <item x="97"/>
        <item x="895"/>
        <item x="2195"/>
        <item x="1944"/>
        <item x="1350"/>
        <item x="209"/>
        <item x="2472"/>
        <item x="1797"/>
        <item x="2317"/>
        <item x="614"/>
        <item x="2117"/>
        <item x="1494"/>
        <item x="1806"/>
        <item x="2216"/>
        <item x="1420"/>
        <item x="754"/>
        <item x="914"/>
        <item x="2292"/>
        <item x="353"/>
        <item x="2181"/>
        <item x="1674"/>
        <item x="375"/>
        <item x="2032"/>
        <item x="795"/>
        <item x="74"/>
        <item x="1137"/>
        <item x="681"/>
        <item x="1348"/>
        <item x="1200"/>
        <item x="589"/>
        <item x="1341"/>
        <item x="1136"/>
        <item x="159"/>
        <item x="71"/>
        <item x="2081"/>
        <item x="1409"/>
        <item x="345"/>
        <item x="1918"/>
        <item x="137"/>
        <item x="2023"/>
        <item x="866"/>
        <item x="197"/>
        <item x="1968"/>
        <item x="2380"/>
        <item x="741"/>
        <item x="22"/>
        <item x="125"/>
        <item x="1040"/>
        <item x="2398"/>
        <item x="846"/>
        <item x="2050"/>
        <item x="1026"/>
        <item x="2341"/>
        <item x="1943"/>
        <item x="2566"/>
        <item x="2454"/>
        <item x="2530"/>
        <item x="1532"/>
        <item x="2010"/>
        <item x="292"/>
        <item x="140"/>
        <item x="2154"/>
        <item x="2136"/>
        <item x="719"/>
        <item x="296"/>
        <item x="82"/>
        <item x="1589"/>
        <item x="310"/>
        <item x="2554"/>
        <item x="405"/>
        <item x="2461"/>
        <item x="2572"/>
        <item x="1135"/>
        <item x="2106"/>
        <item x="2328"/>
        <item x="935"/>
        <item x="8"/>
        <item x="207"/>
        <item x="2079"/>
        <item x="1064"/>
        <item x="57"/>
        <item x="783"/>
        <item x="1729"/>
        <item x="1711"/>
        <item x="1717"/>
        <item x="518"/>
        <item x="2146"/>
        <item x="796"/>
        <item x="1795"/>
        <item x="2586"/>
        <item x="1302"/>
        <item x="382"/>
        <item x="124"/>
        <item x="1873"/>
        <item x="2506"/>
        <item x="362"/>
        <item x="2359"/>
        <item x="200"/>
        <item x="587"/>
        <item x="365"/>
        <item x="1380"/>
        <item x="1703"/>
        <item x="879"/>
        <item x="286"/>
        <item x="1077"/>
        <item x="1579"/>
        <item x="724"/>
        <item x="2219"/>
        <item x="1492"/>
        <item x="764"/>
        <item x="290"/>
        <item x="1832"/>
        <item x="325"/>
        <item x="1687"/>
        <item x="2075"/>
        <item x="1127"/>
        <item x="1563"/>
        <item x="1046"/>
        <item x="1489"/>
        <item x="398"/>
        <item x="1986"/>
        <item x="988"/>
        <item x="2421"/>
        <item x="1841"/>
        <item x="2088"/>
        <item x="1549"/>
        <item x="1301"/>
        <item x="1389"/>
        <item x="2420"/>
        <item x="586"/>
        <item x="297"/>
        <item x="2563"/>
        <item x="466"/>
        <item x="1913"/>
        <item x="1804"/>
        <item x="1047"/>
        <item x="1381"/>
        <item x="2355"/>
        <item x="1198"/>
        <item x="890"/>
        <item x="1768"/>
        <item x="807"/>
        <item x="2495"/>
        <item x="1054"/>
        <item x="2507"/>
        <item x="940"/>
        <item x="34"/>
        <item x="902"/>
        <item x="2312"/>
        <item x="899"/>
        <item x="1691"/>
        <item x="1447"/>
        <item x="869"/>
        <item x="1618"/>
        <item x="1816"/>
        <item x="1448"/>
        <item x="1659"/>
        <item x="261"/>
        <item x="2290"/>
        <item x="378"/>
        <item x="229"/>
        <item x="522"/>
        <item x="1080"/>
        <item x="1497"/>
        <item x="500"/>
        <item x="1522"/>
        <item x="266"/>
        <item x="1244"/>
        <item x="131"/>
        <item x="576"/>
        <item x="106"/>
        <item x="621"/>
        <item x="1520"/>
        <item x="1186"/>
        <item x="1727"/>
        <item x="2217"/>
        <item x="642"/>
        <item x="1982"/>
        <item x="1323"/>
        <item x="1775"/>
        <item x="1422"/>
        <item x="674"/>
        <item x="422"/>
        <item x="1571"/>
        <item x="1091"/>
        <item x="1121"/>
        <item x="148"/>
        <item x="312"/>
        <item x="974"/>
        <item x="1387"/>
        <item x="1163"/>
        <item x="221"/>
        <item x="2145"/>
        <item x="439"/>
        <item x="2439"/>
        <item x="2333"/>
        <item x="2115"/>
        <item x="730"/>
        <item x="89"/>
        <item x="376"/>
        <item x="158"/>
        <item x="1978"/>
        <item x="1664"/>
        <item x="456"/>
        <item x="1600"/>
        <item x="1998"/>
        <item x="746"/>
        <item x="372"/>
        <item x="1999"/>
        <item x="242"/>
        <item x="2400"/>
        <item x="2091"/>
        <item x="476"/>
        <item x="2119"/>
        <item x="931"/>
        <item x="1278"/>
        <item x="13"/>
        <item x="1954"/>
        <item x="1827"/>
        <item x="1799"/>
        <item x="217"/>
        <item x="1917"/>
        <item x="1037"/>
        <item x="2034"/>
        <item x="1601"/>
        <item x="144"/>
        <item x="252"/>
        <item x="1555"/>
        <item x="457"/>
        <item x="759"/>
        <item x="1707"/>
        <item x="2020"/>
        <item x="2142"/>
        <item x="1458"/>
        <item x="2021"/>
        <item x="2299"/>
        <item x="23"/>
        <item x="1005"/>
        <item x="2357"/>
        <item x="786"/>
        <item x="1712"/>
        <item x="1149"/>
        <item x="452"/>
        <item x="2244"/>
        <item x="1266"/>
        <item x="1187"/>
        <item x="2367"/>
        <item x="1856"/>
        <item x="1580"/>
        <item x="1979"/>
        <item x="1358"/>
        <item x="2502"/>
        <item x="1507"/>
        <item x="1397"/>
        <item x="840"/>
        <item x="165"/>
        <item x="173"/>
        <item x="656"/>
        <item x="1596"/>
        <item x="1113"/>
        <item x="1889"/>
        <item x="1490"/>
        <item x="1141"/>
        <item x="2489"/>
        <item x="2446"/>
        <item x="2319"/>
        <item x="1185"/>
        <item x="1197"/>
        <item x="185"/>
        <item x="2293"/>
        <item x="1011"/>
        <item x="965"/>
        <item x="1416"/>
        <item x="1732"/>
        <item x="2129"/>
        <item x="2184"/>
        <item x="1883"/>
        <item x="1802"/>
        <item x="1388"/>
        <item x="249"/>
        <item x="1427"/>
        <item x="1035"/>
        <item x="313"/>
        <item x="2402"/>
        <item x="2122"/>
        <item x="1407"/>
        <item x="740"/>
        <item x="1012"/>
        <item x="551"/>
        <item x="1312"/>
        <item x="1760"/>
        <item x="1865"/>
        <item x="360"/>
        <item x="1485"/>
        <item x="1068"/>
        <item x="2229"/>
        <item x="4"/>
        <item x="938"/>
        <item x="2342"/>
        <item x="2067"/>
        <item x="2579"/>
        <item x="1557"/>
        <item x="1408"/>
        <item x="255"/>
        <item x="482"/>
        <item x="94"/>
        <item x="2102"/>
        <item x="788"/>
        <item x="752"/>
        <item x="2096"/>
        <item x="1263"/>
        <item x="390"/>
        <item x="566"/>
        <item x="1911"/>
        <item x="2221"/>
        <item x="1602"/>
        <item x="1898"/>
        <item x="828"/>
        <item x="2361"/>
        <item x="1839"/>
        <item x="1713"/>
        <item x="1437"/>
        <item x="2511"/>
        <item x="564"/>
        <item x="1953"/>
        <item x="368"/>
        <item x="2517"/>
        <item x="2419"/>
        <item x="354"/>
        <item x="415"/>
        <item x="1404"/>
        <item x="1519"/>
        <item x="2230"/>
        <item x="413"/>
        <item x="2177"/>
        <item x="732"/>
        <item x="2535"/>
        <item x="829"/>
        <item x="2042"/>
        <item x="77"/>
        <item x="2433"/>
        <item x="1541"/>
        <item x="202"/>
        <item x="816"/>
        <item x="898"/>
        <item x="1399"/>
        <item x="2404"/>
        <item x="1057"/>
        <item x="349"/>
        <item x="2374"/>
        <item x="818"/>
        <item x="2017"/>
        <item x="212"/>
        <item x="196"/>
        <item x="592"/>
        <item x="894"/>
        <item x="2300"/>
        <item x="1456"/>
        <item x="2591"/>
        <item t="default"/>
      </items>
    </pivotField>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name="Datewise Layoff" axis="axisPage"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showAll="0"/>
    <pivotField showAll="0"/>
    <pivotField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25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rowItems>
  <colItems count="1">
    <i/>
  </colItems>
  <pageFields count="1">
    <pageField fld="4" hier="-1"/>
  </pageFields>
  <dataFields count="1">
    <dataField name="Sum of Laid_Off_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FAE784-C6FC-A840-A7C9-DB93D4111D3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E35" firstHeaderRow="1" firstDataRow="1" firstDataCol="1"/>
  <pivotFields count="13">
    <pivotField showAll="0"/>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axis="axisRow"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showAll="0"/>
    <pivotField showAll="0"/>
    <pivotField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Laid_Off_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FC329-4958-B441-9B5A-B813CCAAD11F}"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7">
  <location ref="V3:W15" firstHeaderRow="1" firstDataRow="1" firstDataCol="1" rowPageCount="1" colPageCount="1"/>
  <pivotFields count="13">
    <pivotField showAll="0">
      <items count="2593">
        <item x="1725"/>
        <item x="275"/>
        <item x="1992"/>
        <item x="260"/>
        <item x="1411"/>
        <item x="438"/>
        <item x="1880"/>
        <item x="1554"/>
        <item x="1222"/>
        <item x="1356"/>
        <item x="1835"/>
        <item x="565"/>
        <item x="969"/>
        <item x="2471"/>
        <item x="618"/>
        <item x="1767"/>
        <item x="250"/>
        <item x="1777"/>
        <item x="2064"/>
        <item x="1682"/>
        <item x="272"/>
        <item x="1289"/>
        <item x="1281"/>
        <item x="62"/>
        <item x="1964"/>
        <item x="547"/>
        <item x="966"/>
        <item x="1731"/>
        <item x="1056"/>
        <item x="2490"/>
        <item x="2271"/>
        <item x="471"/>
        <item x="2176"/>
        <item x="1705"/>
        <item x="637"/>
        <item x="959"/>
        <item x="1190"/>
        <item x="1673"/>
        <item x="2354"/>
        <item x="2140"/>
        <item x="2513"/>
        <item x="465"/>
        <item x="1288"/>
        <item x="2033"/>
        <item x="1459"/>
        <item x="2504"/>
        <item x="1649"/>
        <item x="1934"/>
        <item x="995"/>
        <item x="149"/>
        <item x="2061"/>
        <item x="679"/>
        <item x="86"/>
        <item x="2281"/>
        <item x="2127"/>
        <item x="2197"/>
        <item x="1055"/>
        <item x="977"/>
        <item x="1925"/>
        <item x="2338"/>
        <item x="110"/>
        <item x="523"/>
        <item x="2024"/>
        <item x="913"/>
        <item x="2099"/>
        <item x="2311"/>
        <item x="1290"/>
        <item x="1510"/>
        <item x="873"/>
        <item x="2089"/>
        <item x="52"/>
        <item x="526"/>
        <item x="658"/>
        <item x="516"/>
        <item x="2393"/>
        <item x="1800"/>
        <item x="2039"/>
        <item x="2463"/>
        <item x="2"/>
        <item x="380"/>
        <item x="259"/>
        <item x="842"/>
        <item x="1432"/>
        <item x="2103"/>
        <item x="1867"/>
        <item x="2464"/>
        <item x="1808"/>
        <item x="908"/>
        <item x="1915"/>
        <item x="90"/>
        <item x="1746"/>
        <item x="1059"/>
        <item x="720"/>
        <item x="1303"/>
        <item x="1607"/>
        <item x="1073"/>
        <item x="230"/>
        <item x="2528"/>
        <item x="968"/>
        <item x="2458"/>
        <item x="340"/>
        <item x="763"/>
        <item x="379"/>
        <item x="116"/>
        <item x="1029"/>
        <item x="2318"/>
        <item x="499"/>
        <item x="2510"/>
        <item x="1049"/>
        <item x="1938"/>
        <item x="983"/>
        <item x="1661"/>
        <item x="992"/>
        <item x="2584"/>
        <item x="1807"/>
        <item x="1771"/>
        <item x="1928"/>
        <item x="1417"/>
        <item x="1573"/>
        <item x="2344"/>
        <item x="1041"/>
        <item x="593"/>
        <item x="1188"/>
        <item x="669"/>
        <item x="85"/>
        <item x="1987"/>
        <item x="1509"/>
        <item x="509"/>
        <item x="152"/>
        <item x="2012"/>
        <item x="1468"/>
        <item x="1901"/>
        <item x="1094"/>
        <item x="644"/>
        <item x="1885"/>
        <item x="1639"/>
        <item x="1780"/>
        <item x="670"/>
        <item x="38"/>
        <item x="327"/>
        <item x="1444"/>
        <item x="485"/>
        <item x="2455"/>
        <item x="1833"/>
        <item x="1179"/>
        <item x="263"/>
        <item x="1772"/>
        <item x="738"/>
        <item x="1564"/>
        <item x="2443"/>
        <item x="998"/>
        <item x="1910"/>
        <item x="48"/>
        <item x="1526"/>
        <item x="624"/>
        <item x="192"/>
        <item x="948"/>
        <item x="531"/>
        <item x="729"/>
        <item x="2482"/>
        <item x="575"/>
        <item x="2245"/>
        <item x="1045"/>
        <item x="28"/>
        <item x="1668"/>
        <item x="1699"/>
        <item x="2410"/>
        <item x="1382"/>
        <item x="1202"/>
        <item x="154"/>
        <item x="271"/>
        <item x="692"/>
        <item x="633"/>
        <item x="1996"/>
        <item x="2172"/>
        <item x="237"/>
        <item x="216"/>
        <item x="1428"/>
        <item x="1174"/>
        <item x="886"/>
        <item x="2335"/>
        <item x="2349"/>
        <item x="2035"/>
        <item x="416"/>
        <item x="1261"/>
        <item x="2462"/>
        <item x="771"/>
        <item x="1598"/>
        <item x="1306"/>
        <item x="1030"/>
        <item x="2118"/>
        <item x="967"/>
        <item x="627"/>
        <item x="166"/>
        <item x="2202"/>
        <item x="2178"/>
        <item x="628"/>
        <item x="814"/>
        <item x="2546"/>
        <item x="1924"/>
        <item x="608"/>
        <item x="1398"/>
        <item x="45"/>
        <item x="1291"/>
        <item x="1424"/>
        <item x="1956"/>
        <item x="462"/>
        <item x="1988"/>
        <item x="1154"/>
        <item x="626"/>
        <item x="696"/>
        <item x="1101"/>
        <item x="1973"/>
        <item x="2543"/>
        <item x="282"/>
        <item x="393"/>
        <item x="1613"/>
        <item x="2407"/>
        <item x="454"/>
        <item x="2539"/>
        <item x="924"/>
        <item x="302"/>
        <item x="1282"/>
        <item x="837"/>
        <item x="1623"/>
        <item x="1823"/>
        <item x="2036"/>
        <item x="1993"/>
        <item x="997"/>
        <item x="544"/>
        <item x="2298"/>
        <item x="1292"/>
        <item x="1116"/>
        <item x="632"/>
        <item x="2541"/>
        <item x="423"/>
        <item x="2098"/>
        <item x="1320"/>
        <item x="625"/>
        <item x="2203"/>
        <item x="1754"/>
        <item x="410"/>
        <item x="922"/>
        <item x="1869"/>
        <item x="1393"/>
        <item x="356"/>
        <item x="190"/>
        <item x="688"/>
        <item x="528"/>
        <item x="558"/>
        <item x="1696"/>
        <item x="489"/>
        <item x="897"/>
        <item x="2450"/>
        <item x="1501"/>
        <item x="2381"/>
        <item x="1637"/>
        <item x="2014"/>
        <item x="1991"/>
        <item x="1735"/>
        <item x="1076"/>
        <item x="1498"/>
        <item x="2151"/>
        <item x="1257"/>
        <item x="1177"/>
        <item x="782"/>
        <item x="483"/>
        <item x="2116"/>
        <item x="1479"/>
        <item x="1322"/>
        <item x="1122"/>
        <item x="2377"/>
        <item x="577"/>
        <item x="2199"/>
        <item x="606"/>
        <item x="176"/>
        <item x="214"/>
        <item x="1331"/>
        <item x="1512"/>
        <item x="1480"/>
        <item x="682"/>
        <item x="994"/>
        <item x="473"/>
        <item x="115"/>
        <item x="2534"/>
        <item x="949"/>
        <item x="1896"/>
        <item x="2522"/>
        <item x="2270"/>
        <item x="1209"/>
        <item x="1430"/>
        <item x="333"/>
        <item x="84"/>
        <item x="2056"/>
        <item x="2013"/>
        <item x="536"/>
        <item x="1023"/>
        <item x="2083"/>
        <item x="1640"/>
        <item x="2267"/>
        <item x="2485"/>
        <item x="1250"/>
        <item x="971"/>
        <item x="1886"/>
        <item x="2045"/>
        <item x="2448"/>
        <item x="2186"/>
        <item x="1366"/>
        <item x="2445"/>
        <item x="406"/>
        <item x="1025"/>
        <item x="474"/>
        <item x="1870"/>
        <item x="843"/>
        <item x="287"/>
        <item x="2436"/>
        <item x="479"/>
        <item x="1761"/>
        <item x="2030"/>
        <item x="2175"/>
        <item x="243"/>
        <item x="2180"/>
        <item x="1462"/>
        <item x="1983"/>
        <item x="1908"/>
        <item x="892"/>
        <item x="1745"/>
        <item x="896"/>
        <item x="39"/>
        <item x="2370"/>
        <item x="1298"/>
        <item x="1402"/>
        <item x="1434"/>
        <item x="1919"/>
        <item x="2097"/>
        <item x="2257"/>
        <item x="388"/>
        <item x="1702"/>
        <item x="708"/>
        <item x="1173"/>
        <item x="610"/>
        <item x="448"/>
        <item x="1942"/>
        <item x="142"/>
        <item x="673"/>
        <item x="2003"/>
        <item x="813"/>
        <item x="2447"/>
        <item x="1439"/>
        <item x="232"/>
        <item x="1191"/>
        <item x="1932"/>
        <item x="1386"/>
        <item x="709"/>
        <item x="2422"/>
        <item x="1255"/>
        <item x="2218"/>
        <item x="733"/>
        <item x="151"/>
        <item x="2424"/>
        <item x="1473"/>
        <item x="95"/>
        <item x="377"/>
        <item x="2239"/>
        <item x="460"/>
        <item x="384"/>
        <item x="1166"/>
        <item x="47"/>
        <item x="2574"/>
        <item x="2306"/>
        <item x="198"/>
        <item x="401"/>
        <item x="663"/>
        <item x="944"/>
        <item x="619"/>
        <item x="1660"/>
        <item x="1811"/>
        <item x="650"/>
        <item x="683"/>
        <item x="1253"/>
        <item x="861"/>
        <item x="1723"/>
        <item x="1020"/>
        <item x="739"/>
        <item x="1955"/>
        <item x="2483"/>
        <item x="1264"/>
        <item x="1747"/>
        <item x="1544"/>
        <item x="1905"/>
        <item x="1318"/>
        <item x="573"/>
        <item x="1572"/>
        <item x="1656"/>
        <item x="147"/>
        <item x="1843"/>
        <item x="1586"/>
        <item x="2337"/>
        <item x="2323"/>
        <item x="1337"/>
        <item x="1367"/>
        <item x="779"/>
        <item x="2384"/>
        <item x="1425"/>
        <item x="1478"/>
        <item x="891"/>
        <item x="1709"/>
        <item x="1355"/>
        <item x="407"/>
        <item x="1324"/>
        <item x="1521"/>
        <item x="1133"/>
        <item x="1334"/>
        <item x="2155"/>
        <item x="2327"/>
        <item x="2523"/>
        <item x="1893"/>
        <item x="1042"/>
        <item x="1162"/>
        <item x="1293"/>
        <item x="1936"/>
        <item x="579"/>
        <item x="1950"/>
        <item x="694"/>
        <item x="1360"/>
        <item x="1072"/>
        <item x="781"/>
        <item x="276"/>
        <item x="492"/>
        <item x="1518"/>
        <item x="1871"/>
        <item x="533"/>
        <item x="284"/>
        <item x="1633"/>
        <item x="326"/>
        <item x="80"/>
        <item x="2360"/>
        <item x="2189"/>
        <item x="2194"/>
        <item x="792"/>
        <item x="1947"/>
        <item x="399"/>
        <item x="494"/>
        <item x="277"/>
        <item x="1552"/>
        <item x="1632"/>
        <item x="574"/>
        <item x="1591"/>
        <item x="114"/>
        <item x="1401"/>
        <item x="102"/>
        <item x="1208"/>
        <item x="1000"/>
        <item x="972"/>
        <item x="2417"/>
        <item x="2262"/>
        <item x="703"/>
        <item x="208"/>
        <item x="725"/>
        <item x="1921"/>
        <item x="2018"/>
        <item x="838"/>
        <item x="164"/>
        <item x="1344"/>
        <item x="1260"/>
        <item x="279"/>
        <item x="798"/>
        <item x="459"/>
        <item x="2514"/>
        <item x="1165"/>
        <item x="1884"/>
        <item x="1853"/>
        <item x="2468"/>
        <item x="1728"/>
        <item x="1235"/>
        <item x="2406"/>
        <item x="853"/>
        <item x="1315"/>
        <item x="554"/>
        <item x="755"/>
        <item x="1670"/>
        <item x="2386"/>
        <item x="747"/>
        <item x="2414"/>
        <item x="568"/>
        <item x="2320"/>
        <item x="1608"/>
        <item x="274"/>
        <item x="1587"/>
        <item x="411"/>
        <item x="823"/>
        <item x="915"/>
        <item x="1287"/>
        <item x="2163"/>
        <item x="1299"/>
        <item x="2562"/>
        <item x="2121"/>
        <item x="1061"/>
        <item x="824"/>
        <item x="1294"/>
        <item x="685"/>
        <item x="623"/>
        <item x="2190"/>
        <item x="162"/>
        <item x="1502"/>
        <item x="2479"/>
        <item x="903"/>
        <item x="1474"/>
        <item x="808"/>
        <item x="800"/>
        <item x="1347"/>
        <item x="581"/>
        <item x="599"/>
        <item x="1863"/>
        <item x="1500"/>
        <item x="1874"/>
        <item x="567"/>
        <item x="1215"/>
        <item x="936"/>
        <item x="1695"/>
        <item x="1131"/>
        <item x="1671"/>
        <item x="1066"/>
        <item x="2112"/>
        <item x="1975"/>
        <item x="1123"/>
        <item x="1748"/>
        <item x="2006"/>
        <item x="943"/>
        <item x="408"/>
        <item x="1062"/>
        <item x="1383"/>
        <item x="1741"/>
        <item x="55"/>
        <item x="1227"/>
        <item x="2249"/>
        <item x="2426"/>
        <item x="638"/>
        <item x="726"/>
        <item x="69"/>
        <item x="1349"/>
        <item x="2552"/>
        <item x="2378"/>
        <item x="357"/>
        <item x="1805"/>
        <item x="1429"/>
        <item x="447"/>
        <item x="1034"/>
        <item x="661"/>
        <item x="1006"/>
        <item x="1809"/>
        <item x="78"/>
        <item x="91"/>
        <item x="1245"/>
        <item x="1325"/>
        <item x="1916"/>
        <item x="2095"/>
        <item x="833"/>
        <item x="358"/>
        <item x="1609"/>
        <item x="233"/>
        <item x="989"/>
        <item x="497"/>
        <item x="2492"/>
        <item x="1368"/>
        <item x="2261"/>
        <item x="2429"/>
        <item x="2027"/>
        <item x="1960"/>
        <item x="72"/>
        <item x="982"/>
        <item x="2387"/>
        <item x="2265"/>
        <item x="331"/>
        <item x="727"/>
        <item x="1099"/>
        <item x="1338"/>
        <item x="870"/>
        <item x="2578"/>
        <item x="1372"/>
        <item x="19"/>
        <item x="571"/>
        <item x="235"/>
        <item x="934"/>
        <item x="2331"/>
        <item x="334"/>
        <item x="1724"/>
        <item x="335"/>
        <item x="244"/>
        <item x="2225"/>
        <item x="2135"/>
        <item x="2497"/>
        <item x="2076"/>
        <item x="2527"/>
        <item x="2273"/>
        <item x="2057"/>
        <item x="107"/>
        <item x="704"/>
        <item x="1443"/>
        <item x="1295"/>
        <item x="1184"/>
        <item x="1262"/>
        <item x="350"/>
        <item x="1558"/>
        <item x="1830"/>
        <item x="1824"/>
        <item x="2087"/>
        <item x="1559"/>
        <item x="2044"/>
        <item x="700"/>
        <item x="145"/>
        <item x="490"/>
        <item x="2242"/>
        <item x="480"/>
        <item x="264"/>
        <item x="582"/>
        <item x="373"/>
        <item x="1469"/>
        <item x="1789"/>
        <item x="2401"/>
        <item x="2284"/>
        <item x="659"/>
        <item x="2304"/>
        <item x="847"/>
        <item x="728"/>
        <item x="2092"/>
        <item x="854"/>
        <item x="121"/>
        <item x="513"/>
        <item x="609"/>
        <item x="1223"/>
        <item x="667"/>
        <item x="2059"/>
        <item x="470"/>
        <item x="701"/>
        <item x="693"/>
        <item x="2148"/>
        <item x="1336"/>
        <item x="660"/>
        <item x="1321"/>
        <item x="2294"/>
        <item x="1143"/>
        <item x="1566"/>
        <item x="328"/>
        <item x="105"/>
        <item x="1758"/>
        <item x="2326"/>
        <item x="2263"/>
        <item x="238"/>
        <item x="590"/>
        <item x="1539"/>
        <item x="278"/>
        <item x="836"/>
        <item x="2512"/>
        <item x="639"/>
        <item x="1109"/>
        <item x="1636"/>
        <item x="1435"/>
        <item x="1115"/>
        <item x="2537"/>
        <item x="269"/>
        <item x="2382"/>
        <item x="223"/>
        <item x="2353"/>
        <item x="2280"/>
        <item x="534"/>
        <item x="2109"/>
        <item x="2164"/>
        <item x="1616"/>
        <item x="2210"/>
        <item x="186"/>
        <item x="1457"/>
        <item x="976"/>
        <item x="1617"/>
        <item x="2179"/>
        <item x="369"/>
        <item x="1822"/>
        <item x="1486"/>
        <item x="793"/>
        <item x="2279"/>
        <item x="1647"/>
        <item x="1878"/>
        <item x="617"/>
        <item x="1183"/>
        <item x="811"/>
        <item x="1749"/>
        <item x="540"/>
        <item x="2570"/>
        <item x="942"/>
        <item x="1229"/>
        <item x="189"/>
        <item x="859"/>
        <item x="1641"/>
        <item x="907"/>
        <item x="1124"/>
        <item x="2460"/>
        <item x="705"/>
        <item x="2396"/>
        <item x="710"/>
        <item x="505"/>
        <item x="2058"/>
        <item x="1071"/>
        <item x="364"/>
        <item x="2475"/>
        <item x="2488"/>
        <item x="887"/>
        <item x="1269"/>
        <item x="598"/>
        <item x="2405"/>
        <item x="508"/>
        <item x="2214"/>
        <item x="2078"/>
        <item x="2005"/>
        <item x="241"/>
        <item x="2548"/>
        <item x="2423"/>
        <item x="132"/>
        <item x="1259"/>
        <item x="1361"/>
        <item x="1803"/>
        <item x="2469"/>
        <item x="2575"/>
        <item x="1170"/>
        <item x="2581"/>
        <item x="1495"/>
        <item x="1128"/>
        <item x="139"/>
        <item x="1396"/>
        <item x="2325"/>
        <item x="2561"/>
        <item x="2022"/>
        <item x="1470"/>
        <item x="1662"/>
        <item x="2418"/>
        <item x="1052"/>
        <item x="904"/>
        <item x="591"/>
        <item x="1658"/>
        <item x="1689"/>
        <item x="1935"/>
        <item x="1129"/>
        <item x="984"/>
        <item x="2238"/>
        <item x="1258"/>
        <item x="1959"/>
        <item x="42"/>
        <item x="324"/>
        <item x="2068"/>
        <item x="2399"/>
        <item x="501"/>
        <item x="1084"/>
        <item x="1153"/>
        <item x="1646"/>
        <item x="1078"/>
        <item x="1251"/>
        <item x="652"/>
        <item x="2060"/>
        <item x="2072"/>
        <item x="1357"/>
        <item x="1493"/>
        <item x="1100"/>
        <item x="1941"/>
        <item x="339"/>
        <item x="1882"/>
        <item x="960"/>
        <item x="532"/>
        <item x="294"/>
        <item x="1070"/>
        <item x="882"/>
        <item x="1611"/>
        <item x="1377"/>
        <item x="867"/>
        <item x="878"/>
        <item x="717"/>
        <item x="707"/>
        <item x="171"/>
        <item x="1088"/>
        <item x="527"/>
        <item x="440"/>
        <item x="958"/>
        <item x="1622"/>
        <item x="1300"/>
        <item x="59"/>
        <item x="797"/>
        <item x="1813"/>
        <item x="1189"/>
        <item x="1681"/>
        <item x="917"/>
        <item x="756"/>
        <item x="2434"/>
        <item x="686"/>
        <item x="419"/>
        <item x="2519"/>
        <item x="649"/>
        <item x="75"/>
        <item x="2123"/>
        <item x="695"/>
        <item x="429"/>
        <item x="636"/>
        <item x="980"/>
        <item x="1270"/>
        <item x="2547"/>
        <item x="1171"/>
        <item x="157"/>
        <item x="253"/>
        <item x="2130"/>
        <item x="1359"/>
        <item x="2065"/>
        <item x="1610"/>
        <item x="1994"/>
        <item x="1224"/>
        <item x="848"/>
        <item x="1028"/>
        <item x="504"/>
        <item x="1648"/>
        <item x="662"/>
        <item x="1463"/>
        <item x="366"/>
        <item x="629"/>
        <item x="150"/>
        <item x="2015"/>
        <item x="1963"/>
        <item x="395"/>
        <item x="1105"/>
        <item x="183"/>
        <item x="1759"/>
        <item x="1445"/>
        <item x="1503"/>
        <item x="1700"/>
        <item x="258"/>
        <item x="2476"/>
        <item x="1307"/>
        <item x="14"/>
        <item x="83"/>
        <item x="503"/>
        <item x="1060"/>
        <item x="1876"/>
        <item x="1704"/>
        <item x="1533"/>
        <item x="805"/>
        <item x="2313"/>
        <item x="342"/>
        <item x="595"/>
        <item x="300"/>
        <item x="226"/>
        <item x="11"/>
        <item x="841"/>
        <item x="1676"/>
        <item x="298"/>
        <item x="113"/>
        <item x="2157"/>
        <item x="2412"/>
        <item x="1750"/>
        <item x="2567"/>
        <item x="1798"/>
        <item x="1678"/>
        <item x="336"/>
        <item x="2486"/>
        <item x="2336"/>
        <item x="2587"/>
        <item x="2576"/>
        <item x="2309"/>
        <item x="721"/>
        <item x="2063"/>
        <item x="511"/>
        <item x="2565"/>
        <item x="543"/>
        <item x="1701"/>
        <item x="341"/>
        <item x="130"/>
        <item x="1900"/>
        <item x="857"/>
        <item x="572"/>
        <item x="1590"/>
        <item x="1929"/>
        <item x="970"/>
        <item x="343"/>
        <item x="17"/>
        <item x="1716"/>
        <item x="1923"/>
        <item x="825"/>
        <item x="60"/>
        <item x="2038"/>
        <item x="702"/>
        <item x="1192"/>
        <item x="396"/>
        <item x="281"/>
        <item x="1423"/>
        <item x="801"/>
        <item x="767"/>
        <item x="1714"/>
        <item x="316"/>
        <item x="712"/>
        <item x="2008"/>
        <item x="1851"/>
        <item x="289"/>
        <item x="1657"/>
        <item x="15"/>
        <item x="2385"/>
        <item x="1778"/>
        <item x="2133"/>
        <item x="1513"/>
        <item x="774"/>
        <item x="2459"/>
        <item x="2236"/>
        <item x="1015"/>
        <item x="555"/>
        <item x="2070"/>
        <item x="1858"/>
        <item x="1965"/>
        <item x="2411"/>
        <item x="634"/>
        <item x="1254"/>
        <item x="1375"/>
        <item x="2153"/>
        <item x="1753"/>
        <item x="180"/>
        <item x="53"/>
        <item x="2427"/>
        <item x="2082"/>
        <item x="2192"/>
        <item x="88"/>
        <item x="1147"/>
        <item x="1145"/>
        <item x="1242"/>
        <item x="1995"/>
        <item x="821"/>
        <item x="889"/>
        <item x="1004"/>
        <item x="877"/>
        <item x="1438"/>
        <item x="1228"/>
        <item x="2275"/>
        <item x="927"/>
        <item x="1540"/>
        <item x="1850"/>
        <item x="73"/>
        <item x="187"/>
        <item x="2498"/>
        <item x="2204"/>
        <item x="1353"/>
        <item x="1326"/>
        <item x="790"/>
        <item x="1150"/>
        <item x="1655"/>
        <item x="1817"/>
        <item x="2240"/>
        <item x="1201"/>
        <item x="1308"/>
        <item x="1152"/>
        <item x="1652"/>
        <item x="2128"/>
        <item x="1527"/>
        <item x="1770"/>
        <item x="985"/>
        <item x="7"/>
        <item x="104"/>
        <item x="25"/>
        <item x="1949"/>
        <item x="2551"/>
        <item x="245"/>
        <item x="246"/>
        <item x="1033"/>
        <item x="1392"/>
        <item x="769"/>
        <item x="535"/>
        <item x="262"/>
        <item x="2388"/>
        <item x="182"/>
        <item x="1314"/>
        <item x="1391"/>
        <item x="436"/>
        <item x="2571"/>
        <item x="1098"/>
        <item x="909"/>
        <item x="1333"/>
        <item x="58"/>
        <item x="9"/>
        <item x="2440"/>
        <item x="1206"/>
        <item x="2134"/>
        <item x="1454"/>
        <item x="789"/>
        <item x="1690"/>
        <item x="1236"/>
        <item x="975"/>
        <item x="1814"/>
        <item x="18"/>
        <item x="2372"/>
        <item x="635"/>
        <item x="1151"/>
        <item x="2452"/>
        <item x="1125"/>
        <item x="640"/>
        <item x="570"/>
        <item x="2126"/>
        <item x="402"/>
        <item x="2321"/>
        <item x="864"/>
        <item x="1488"/>
        <item x="1390"/>
        <item x="1852"/>
        <item x="806"/>
        <item x="1825"/>
        <item x="819"/>
        <item x="2235"/>
        <item x="737"/>
        <item x="1406"/>
        <item x="1840"/>
        <item x="56"/>
        <item x="1984"/>
        <item x="893"/>
        <item x="1769"/>
        <item x="1692"/>
        <item x="1643"/>
        <item x="2588"/>
        <item x="2253"/>
        <item x="303"/>
        <item x="1909"/>
        <item x="61"/>
        <item x="1219"/>
        <item x="950"/>
        <item x="2520"/>
        <item x="1606"/>
        <item x="731"/>
        <item x="799"/>
        <item x="541"/>
        <item x="604"/>
        <item x="76"/>
        <item x="2375"/>
        <item x="435"/>
        <item x="1508"/>
        <item x="2237"/>
        <item x="2303"/>
        <item x="548"/>
        <item x="1796"/>
        <item x="265"/>
        <item x="1405"/>
        <item x="1476"/>
        <item x="530"/>
        <item x="1048"/>
        <item x="1976"/>
        <item x="1550"/>
        <item x="1027"/>
        <item x="1560"/>
        <item x="64"/>
        <item x="654"/>
        <item x="757"/>
        <item x="2532"/>
        <item x="520"/>
        <item x="1286"/>
        <item x="41"/>
        <item x="488"/>
        <item x="2213"/>
        <item x="2356"/>
        <item x="1665"/>
        <item x="1453"/>
        <item x="1213"/>
        <item x="1106"/>
        <item x="1677"/>
        <item x="2168"/>
        <item x="2200"/>
        <item x="433"/>
        <item x="239"/>
        <item x="2162"/>
        <item x="978"/>
        <item x="563"/>
        <item x="293"/>
        <item x="2196"/>
        <item x="2125"/>
        <item x="2478"/>
        <item x="2031"/>
        <item x="1365"/>
        <item x="1017"/>
        <item x="1268"/>
        <item x="973"/>
        <item x="583"/>
        <item x="319"/>
        <item x="2141"/>
        <item x="280"/>
        <item x="1271"/>
        <item x="120"/>
        <item x="2438"/>
        <item x="991"/>
        <item x="12"/>
        <item x="1272"/>
        <item x="1246"/>
        <item x="2054"/>
        <item x="99"/>
        <item x="2114"/>
        <item x="1582"/>
        <item x="2451"/>
        <item x="1065"/>
        <item x="2182"/>
        <item x="1930"/>
        <item x="1316"/>
        <item x="2368"/>
        <item x="203"/>
        <item x="1776"/>
        <item x="1095"/>
        <item x="191"/>
        <item x="2077"/>
        <item x="1859"/>
        <item x="169"/>
        <item x="1698"/>
        <item x="1207"/>
        <item x="1412"/>
        <item x="2496"/>
        <item x="355"/>
        <item x="645"/>
        <item x="1877"/>
        <item x="31"/>
        <item x="205"/>
        <item x="646"/>
        <item x="2470"/>
        <item x="1506"/>
        <item x="2383"/>
        <item x="1595"/>
        <item x="1561"/>
        <item x="427"/>
        <item x="1669"/>
        <item x="270"/>
        <item x="1240"/>
        <item x="1249"/>
        <item x="210"/>
        <item x="123"/>
        <item x="1442"/>
        <item x="928"/>
        <item x="742"/>
        <item x="322"/>
        <item x="1514"/>
        <item x="680"/>
        <item x="167"/>
        <item x="283"/>
        <item x="2480"/>
        <item x="2269"/>
        <item x="2283"/>
        <item x="1452"/>
        <item x="1364"/>
        <item x="2254"/>
        <item x="81"/>
        <item x="713"/>
        <item x="1584"/>
        <item x="2297"/>
        <item x="1343"/>
        <item x="1897"/>
        <item x="2243"/>
        <item x="478"/>
        <item x="311"/>
        <item x="338"/>
        <item x="1920"/>
        <item x="2051"/>
        <item x="600"/>
        <item x="929"/>
        <item x="2526"/>
        <item x="761"/>
        <item x="222"/>
        <item x="1635"/>
        <item x="495"/>
        <item x="545"/>
        <item x="1834"/>
        <item x="2560"/>
        <item x="234"/>
        <item x="389"/>
        <item x="711"/>
        <item x="10"/>
        <item x="1418"/>
        <item x="1327"/>
        <item x="329"/>
        <item x="2028"/>
        <item x="2456"/>
        <item x="1569"/>
        <item x="2358"/>
        <item x="2474"/>
        <item x="383"/>
        <item x="580"/>
        <item x="2016"/>
        <item x="21"/>
        <item x="1096"/>
        <item x="181"/>
        <item x="1537"/>
        <item x="1342"/>
        <item x="2307"/>
        <item x="1283"/>
        <item x="346"/>
        <item x="1551"/>
        <item x="1592"/>
        <item x="477"/>
        <item x="1763"/>
        <item x="787"/>
        <item x="1009"/>
        <item x="1895"/>
        <item x="1594"/>
        <item x="839"/>
        <item x="1032"/>
        <item x="1385"/>
        <item x="1063"/>
        <item x="177"/>
        <item x="2073"/>
        <item x="653"/>
        <item x="651"/>
        <item x="2276"/>
        <item x="772"/>
        <item x="749"/>
        <item x="434"/>
        <item x="1742"/>
        <item x="26"/>
        <item x="888"/>
        <item x="778"/>
        <item x="92"/>
        <item x="323"/>
        <item x="2159"/>
        <item x="1545"/>
        <item x="461"/>
        <item x="2515"/>
        <item x="2040"/>
        <item x="2503"/>
        <item x="562"/>
        <item x="2425"/>
        <item x="138"/>
        <item x="553"/>
        <item x="697"/>
        <item x="1914"/>
        <item x="2296"/>
        <item x="40"/>
        <item x="1104"/>
        <item x="1562"/>
        <item x="1538"/>
        <item x="1722"/>
        <item x="215"/>
        <item x="2055"/>
        <item x="1720"/>
        <item x="1024"/>
        <item x="665"/>
        <item x="2371"/>
        <item x="2137"/>
        <item x="2188"/>
        <item x="155"/>
        <item x="2395"/>
        <item x="1790"/>
        <item x="1155"/>
        <item x="1461"/>
        <item x="1621"/>
        <item x="1421"/>
        <item x="1715"/>
        <item x="2234"/>
        <item x="2094"/>
        <item x="925"/>
        <item x="1487"/>
        <item x="1644"/>
        <item x="1765"/>
        <item x="2373"/>
        <item x="939"/>
        <item x="2000"/>
        <item x="2206"/>
        <item x="986"/>
        <item x="1168"/>
        <item x="855"/>
        <item x="1828"/>
        <item x="2379"/>
        <item x="2093"/>
        <item x="2573"/>
        <item x="1233"/>
        <item x="2160"/>
        <item x="687"/>
        <item x="397"/>
        <item x="1369"/>
        <item x="2256"/>
        <item x="714"/>
        <item x="1332"/>
        <item x="1762"/>
        <item x="1016"/>
        <item x="314"/>
        <item x="951"/>
        <item x="2499"/>
        <item x="1351"/>
        <item x="1415"/>
        <item x="1022"/>
        <item x="2322"/>
        <item x="1160"/>
        <item x="486"/>
        <item x="304"/>
        <item x="1515"/>
        <item x="449"/>
        <item x="2131"/>
        <item x="1523"/>
        <item x="858"/>
        <item x="1053"/>
        <item x="468"/>
        <item x="2286"/>
        <item x="979"/>
        <item x="305"/>
        <item x="1400"/>
        <item x="930"/>
        <item x="96"/>
        <item x="1951"/>
        <item x="900"/>
        <item x="2500"/>
        <item x="309"/>
        <item x="175"/>
        <item x="2144"/>
        <item x="1751"/>
        <item x="1339"/>
        <item x="1604"/>
        <item x="2224"/>
        <item x="2415"/>
        <item x="1169"/>
        <item x="1946"/>
        <item x="87"/>
        <item x="2340"/>
        <item x="1345"/>
        <item x="2166"/>
        <item x="601"/>
        <item x="458"/>
        <item x="1688"/>
        <item x="810"/>
        <item x="2041"/>
        <item x="1455"/>
        <item x="2147"/>
        <item x="1730"/>
        <item x="1627"/>
        <item x="2329"/>
        <item x="307"/>
        <item x="1018"/>
        <item x="367"/>
        <item x="1097"/>
        <item x="1051"/>
        <item x="2266"/>
        <item x="2525"/>
        <item x="1161"/>
        <item x="1003"/>
        <item x="1781"/>
        <item x="1556"/>
        <item x="2583"/>
        <item x="112"/>
        <item x="1666"/>
        <item x="981"/>
        <item x="224"/>
        <item x="2416"/>
        <item x="1477"/>
        <item x="758"/>
        <item x="1296"/>
        <item x="16"/>
        <item x="507"/>
        <item x="1082"/>
        <item x="748"/>
        <item x="502"/>
        <item x="2389"/>
        <item x="2212"/>
        <item x="43"/>
        <item x="2053"/>
        <item x="1891"/>
        <item x="556"/>
        <item x="1234"/>
        <item x="734"/>
        <item x="1907"/>
        <item x="1304"/>
        <item x="923"/>
        <item x="2555"/>
        <item x="1499"/>
        <item x="2430"/>
        <item x="1902"/>
        <item x="455"/>
        <item x="1721"/>
        <item x="2161"/>
        <item x="1820"/>
        <item x="1132"/>
        <item x="2366"/>
        <item x="2285"/>
        <item x="1273"/>
        <item x="2113"/>
        <item x="30"/>
        <item x="2544"/>
        <item x="2205"/>
        <item x="2264"/>
        <item x="559"/>
        <item x="785"/>
        <item x="451"/>
        <item x="1335"/>
        <item x="2211"/>
        <item x="812"/>
        <item x="469"/>
        <item x="2001"/>
        <item x="1812"/>
        <item x="403"/>
        <item x="875"/>
        <item x="1010"/>
        <item x="2287"/>
        <item x="1058"/>
        <item x="1193"/>
        <item x="1220"/>
        <item x="706"/>
        <item x="2521"/>
        <item x="1297"/>
        <item x="546"/>
        <item x="163"/>
        <item x="381"/>
        <item x="1214"/>
        <item x="156"/>
        <item x="815"/>
        <item x="1081"/>
        <item x="952"/>
        <item x="735"/>
        <item x="1256"/>
        <item x="1764"/>
        <item x="1156"/>
        <item x="716"/>
        <item x="954"/>
        <item x="2107"/>
        <item x="880"/>
        <item x="193"/>
        <item x="912"/>
        <item x="1831"/>
        <item x="133"/>
        <item x="2052"/>
        <item x="832"/>
        <item x="1525"/>
        <item x="363"/>
        <item x="743"/>
        <item x="514"/>
        <item x="2295"/>
        <item x="306"/>
        <item x="129"/>
        <item x="1090"/>
        <item x="127"/>
        <item x="1546"/>
        <item x="1857"/>
        <item x="1866"/>
        <item x="2465"/>
        <item x="2100"/>
        <item x="1107"/>
        <item x="5"/>
        <item x="2348"/>
        <item x="655"/>
        <item x="955"/>
        <item x="1654"/>
        <item x="2004"/>
        <item x="1175"/>
        <item x="2453"/>
        <item x="1363"/>
        <item x="676"/>
        <item x="1176"/>
        <item x="1142"/>
        <item x="1864"/>
        <item x="2302"/>
        <item x="2084"/>
        <item x="1740"/>
        <item x="1230"/>
        <item x="1413"/>
        <item x="1977"/>
        <item x="1376"/>
        <item x="2536"/>
        <item x="370"/>
        <item x="1370"/>
        <item x="775"/>
        <item x="1134"/>
        <item x="537"/>
        <item x="876"/>
        <item x="1117"/>
        <item x="2334"/>
        <item x="2259"/>
        <item x="3"/>
        <item x="417"/>
        <item x="1464"/>
        <item x="2491"/>
        <item x="1038"/>
        <item x="295"/>
        <item x="851"/>
        <item x="1940"/>
        <item x="2376"/>
        <item x="32"/>
        <item x="715"/>
        <item x="1531"/>
        <item x="168"/>
        <item x="550"/>
        <item x="616"/>
        <item x="1013"/>
        <item x="1792"/>
        <item x="1274"/>
        <item x="374"/>
        <item x="1528"/>
        <item x="820"/>
        <item x="768"/>
        <item x="194"/>
        <item x="830"/>
        <item x="231"/>
        <item x="1684"/>
        <item x="1103"/>
        <item x="664"/>
        <item x="1624"/>
        <item x="1436"/>
        <item x="498"/>
        <item x="2330"/>
        <item x="1252"/>
        <item x="1614"/>
        <item x="308"/>
        <item x="834"/>
        <item x="1225"/>
        <item x="1534"/>
        <item x="1203"/>
        <item x="2553"/>
        <item x="2442"/>
        <item x="352"/>
        <item x="2246"/>
        <item x="690"/>
        <item x="605"/>
        <item x="1284"/>
        <item x="1180"/>
        <item x="1516"/>
        <item x="1157"/>
        <item x="1039"/>
        <item x="472"/>
        <item x="1446"/>
        <item x="1588"/>
        <item x="1196"/>
        <item x="1734"/>
        <item x="698"/>
        <item x="288"/>
        <item x="93"/>
        <item x="267"/>
        <item x="2437"/>
        <item x="552"/>
        <item x="1933"/>
        <item x="856"/>
        <item x="414"/>
        <item x="387"/>
        <item x="1465"/>
        <item x="1733"/>
        <item x="607"/>
        <item x="122"/>
        <item x="776"/>
        <item x="2165"/>
        <item x="420"/>
        <item x="1574"/>
        <item x="1050"/>
        <item x="596"/>
        <item x="1837"/>
        <item x="195"/>
        <item x="219"/>
        <item x="933"/>
        <item x="962"/>
        <item x="1645"/>
        <item x="1985"/>
        <item x="519"/>
        <item x="987"/>
        <item x="2198"/>
        <item x="1794"/>
        <item x="850"/>
        <item x="803"/>
        <item x="2308"/>
        <item x="2408"/>
        <item x="1675"/>
        <item x="862"/>
        <item x="299"/>
        <item x="1818"/>
        <item x="1719"/>
        <item x="1847"/>
        <item x="1694"/>
        <item x="2557"/>
        <item x="1575"/>
        <item x="1118"/>
        <item x="1597"/>
        <item x="1394"/>
        <item x="0"/>
        <item x="916"/>
        <item x="1593"/>
        <item x="1576"/>
        <item x="1243"/>
        <item x="2540"/>
        <item x="2143"/>
        <item x="201"/>
        <item x="54"/>
        <item x="1210"/>
        <item x="431"/>
        <item x="1144"/>
        <item x="784"/>
        <item x="770"/>
        <item x="2193"/>
        <item x="2413"/>
        <item x="1194"/>
        <item x="561"/>
        <item x="1836"/>
        <item x="2232"/>
        <item x="1086"/>
        <item x="993"/>
        <item x="1466"/>
        <item x="2043"/>
        <item x="2531"/>
        <item x="671"/>
        <item x="1854"/>
        <item x="2542"/>
        <item x="2316"/>
        <item x="926"/>
        <item x="1139"/>
        <item x="2457"/>
        <item x="945"/>
        <item x="932"/>
        <item x="1159"/>
        <item x="421"/>
        <item x="424"/>
        <item x="1204"/>
        <item x="2025"/>
        <item x="2345"/>
        <item x="802"/>
        <item x="412"/>
        <item x="2227"/>
        <item x="1309"/>
        <item x="1810"/>
        <item x="109"/>
        <item x="315"/>
        <item x="6"/>
        <item x="425"/>
        <item x="2324"/>
        <item x="2362"/>
        <item x="409"/>
        <item x="98"/>
        <item x="1440"/>
        <item x="179"/>
        <item x="134"/>
        <item x="1726"/>
        <item x="2558"/>
        <item x="822"/>
        <item x="2258"/>
        <item x="517"/>
        <item x="647"/>
        <item x="1426"/>
        <item x="1577"/>
        <item x="63"/>
        <item x="2559"/>
        <item x="1887"/>
        <item x="1565"/>
        <item x="1971"/>
        <item x="1472"/>
        <item x="538"/>
        <item x="2152"/>
        <item x="1685"/>
        <item x="1785"/>
        <item x="835"/>
        <item x="1906"/>
        <item x="1346"/>
        <item x="2158"/>
        <item x="1"/>
        <item x="1313"/>
        <item x="1247"/>
        <item x="1238"/>
        <item x="2247"/>
        <item x="1074"/>
        <item x="320"/>
        <item x="2493"/>
        <item x="2589"/>
        <item x="773"/>
        <item x="1922"/>
        <item x="529"/>
        <item x="849"/>
        <item x="1970"/>
        <item x="2220"/>
        <item x="445"/>
        <item x="1352"/>
        <item x="2394"/>
        <item x="1241"/>
        <item x="2549"/>
        <item x="1710"/>
        <item x="672"/>
        <item x="2487"/>
        <item x="1737"/>
        <item x="718"/>
        <item x="1693"/>
        <item x="68"/>
        <item x="2441"/>
        <item x="1067"/>
        <item x="2346"/>
        <item x="760"/>
        <item x="213"/>
        <item x="689"/>
        <item x="2231"/>
        <item x="392"/>
        <item x="318"/>
        <item x="1395"/>
        <item x="964"/>
        <item x="1879"/>
        <item x="443"/>
        <item x="2501"/>
        <item x="1378"/>
        <item x="2577"/>
        <item x="2568"/>
        <item x="2550"/>
        <item x="1102"/>
        <item x="557"/>
        <item x="46"/>
        <item x="791"/>
        <item x="1888"/>
        <item x="2466"/>
        <item x="1855"/>
        <item x="722"/>
        <item x="1460"/>
        <item x="1829"/>
        <item x="2222"/>
        <item x="2449"/>
        <item x="957"/>
        <item x="1275"/>
        <item x="1379"/>
        <item x="236"/>
        <item x="1952"/>
        <item x="1718"/>
        <item x="736"/>
        <item x="1130"/>
        <item x="1126"/>
        <item x="119"/>
        <item x="901"/>
        <item x="1205"/>
        <item x="677"/>
        <item x="386"/>
        <item x="2274"/>
        <item x="1195"/>
        <item x="418"/>
        <item x="2339"/>
        <item x="2101"/>
        <item x="852"/>
        <item x="1330"/>
        <item x="777"/>
        <item x="404"/>
        <item x="1182"/>
        <item x="371"/>
        <item x="1997"/>
        <item x="301"/>
        <item x="359"/>
        <item x="2545"/>
        <item x="1784"/>
        <item x="1449"/>
        <item x="643"/>
        <item x="1620"/>
        <item x="128"/>
        <item x="1788"/>
        <item x="1680"/>
        <item x="268"/>
        <item x="1625"/>
        <item x="1504"/>
        <item x="750"/>
        <item x="1801"/>
        <item x="1605"/>
        <item x="453"/>
        <item x="668"/>
        <item x="1231"/>
        <item x="1164"/>
        <item x="2171"/>
        <item x="611"/>
        <item x="657"/>
        <item x="464"/>
        <item x="2529"/>
        <item x="2066"/>
        <item x="2369"/>
        <item x="1815"/>
        <item x="1475"/>
        <item x="204"/>
        <item x="1752"/>
        <item x="905"/>
        <item x="172"/>
        <item x="2585"/>
        <item x="911"/>
        <item x="1085"/>
        <item x="2170"/>
        <item x="1990"/>
        <item x="2364"/>
        <item x="1619"/>
        <item x="963"/>
        <item x="36"/>
        <item x="2048"/>
        <item x="385"/>
        <item x="1211"/>
        <item x="1433"/>
        <item x="1276"/>
        <item x="136"/>
        <item x="2169"/>
        <item x="220"/>
        <item x="475"/>
        <item x="227"/>
        <item x="2110"/>
        <item x="135"/>
        <item x="524"/>
        <item x="206"/>
        <item x="1567"/>
        <item x="143"/>
        <item x="1738"/>
        <item x="1239"/>
        <item x="1069"/>
        <item x="1265"/>
        <item x="1568"/>
        <item x="1172"/>
        <item x="1505"/>
        <item x="2150"/>
        <item x="1628"/>
        <item x="906"/>
        <item x="1931"/>
        <item x="2174"/>
        <item x="1844"/>
        <item x="178"/>
        <item x="2390"/>
        <item x="1786"/>
        <item x="1679"/>
        <item x="648"/>
        <item x="622"/>
        <item x="941"/>
        <item x="467"/>
        <item x="487"/>
        <item x="2167"/>
        <item x="1419"/>
        <item x="1861"/>
        <item x="1819"/>
        <item x="860"/>
        <item x="1212"/>
        <item x="2288"/>
        <item x="2191"/>
        <item x="1739"/>
        <item x="1524"/>
        <item x="1148"/>
        <item x="2124"/>
        <item x="612"/>
        <item x="1969"/>
        <item x="1232"/>
        <item x="2350"/>
        <item x="744"/>
        <item x="525"/>
        <item x="996"/>
        <item x="1890"/>
        <item x="2074"/>
        <item x="2444"/>
        <item x="2538"/>
        <item x="100"/>
        <item x="2556"/>
        <item x="920"/>
        <item x="615"/>
        <item x="1310"/>
        <item x="1535"/>
        <item x="2132"/>
        <item x="1311"/>
        <item x="1043"/>
        <item x="1414"/>
        <item x="1783"/>
        <item x="1892"/>
        <item x="1755"/>
        <item x="1317"/>
        <item x="910"/>
        <item x="512"/>
        <item x="1651"/>
        <item x="585"/>
        <item x="1450"/>
        <item x="921"/>
        <item x="871"/>
        <item x="809"/>
        <item x="2403"/>
        <item x="146"/>
        <item x="956"/>
        <item x="2248"/>
        <item x="1146"/>
        <item x="2108"/>
        <item x="961"/>
        <item x="1451"/>
        <item x="1354"/>
        <item x="844"/>
        <item x="1119"/>
        <item x="2187"/>
        <item x="1958"/>
        <item x="1937"/>
        <item x="2582"/>
        <item x="2343"/>
        <item x="919"/>
        <item x="291"/>
        <item x="1612"/>
        <item x="2080"/>
        <item x="24"/>
        <item x="1511"/>
        <item x="1110"/>
        <item x="2533"/>
        <item x="762"/>
        <item x="1697"/>
        <item x="1410"/>
        <item x="2305"/>
        <item x="1007"/>
        <item x="1536"/>
        <item x="101"/>
        <item x="2149"/>
        <item x="2409"/>
        <item x="1583"/>
        <item x="2289"/>
        <item x="1140"/>
        <item x="2518"/>
        <item x="1305"/>
        <item x="248"/>
        <item x="666"/>
        <item x="51"/>
        <item x="170"/>
        <item x="766"/>
        <item x="33"/>
        <item x="578"/>
        <item x="2002"/>
        <item x="515"/>
        <item x="510"/>
        <item x="446"/>
        <item x="1340"/>
        <item x="542"/>
        <item x="1008"/>
        <item x="1603"/>
        <item x="1471"/>
        <item x="2505"/>
        <item x="1972"/>
        <item x="1547"/>
        <item x="2185"/>
        <item x="2314"/>
        <item x="1578"/>
        <item x="1629"/>
        <item x="2282"/>
        <item x="1217"/>
        <item x="1021"/>
        <item x="1757"/>
        <item x="678"/>
        <item x="884"/>
        <item x="1615"/>
        <item x="1989"/>
        <item x="2435"/>
        <item x="521"/>
        <item x="1267"/>
        <item x="1667"/>
        <item x="225"/>
        <item x="1158"/>
        <item x="437"/>
        <item x="1743"/>
        <item x="2029"/>
        <item x="2277"/>
        <item x="1031"/>
        <item x="1496"/>
        <item x="430"/>
        <item x="2037"/>
        <item x="2332"/>
        <item x="240"/>
        <item x="1079"/>
        <item x="400"/>
        <item x="699"/>
        <item x="2477"/>
        <item x="946"/>
        <item x="1362"/>
        <item x="2241"/>
        <item x="2252"/>
        <item x="79"/>
        <item x="484"/>
        <item x="953"/>
        <item x="1585"/>
        <item x="2183"/>
        <item x="1248"/>
        <item x="885"/>
        <item x="1766"/>
        <item x="990"/>
        <item x="1966"/>
        <item x="2105"/>
        <item x="597"/>
        <item x="247"/>
        <item x="1846"/>
        <item x="27"/>
        <item x="2315"/>
        <item x="753"/>
        <item x="1903"/>
        <item x="1581"/>
        <item x="2111"/>
        <item x="1599"/>
        <item x="1948"/>
        <item x="491"/>
        <item x="620"/>
        <item x="569"/>
        <item x="2494"/>
        <item x="539"/>
        <item x="826"/>
        <item x="2580"/>
        <item x="1114"/>
        <item x="2139"/>
        <item x="1221"/>
        <item x="1431"/>
        <item x="321"/>
        <item x="1181"/>
        <item x="2233"/>
        <item x="2071"/>
        <item x="1860"/>
        <item x="1862"/>
        <item x="481"/>
        <item x="603"/>
        <item x="1782"/>
        <item x="1626"/>
        <item x="2347"/>
        <item x="444"/>
        <item x="1821"/>
        <item x="2392"/>
        <item x="108"/>
        <item x="1036"/>
        <item x="883"/>
        <item x="1793"/>
        <item x="66"/>
        <item x="602"/>
        <item x="2473"/>
        <item x="1672"/>
        <item x="1981"/>
        <item x="391"/>
        <item x="442"/>
        <item x="2291"/>
        <item x="2120"/>
        <item x="35"/>
        <item x="1638"/>
        <item x="20"/>
        <item x="641"/>
        <item x="872"/>
        <item x="2363"/>
        <item x="37"/>
        <item x="2173"/>
        <item x="1756"/>
        <item x="351"/>
        <item x="1683"/>
        <item x="2365"/>
        <item x="111"/>
        <item x="29"/>
        <item x="1530"/>
        <item x="1237"/>
        <item x="174"/>
        <item x="256"/>
        <item x="273"/>
        <item x="2509"/>
        <item x="1875"/>
        <item x="1787"/>
        <item x="1686"/>
        <item x="691"/>
        <item x="1791"/>
        <item x="1779"/>
        <item x="1744"/>
        <item x="1329"/>
        <item x="560"/>
        <item x="2228"/>
        <item x="2508"/>
        <item x="2431"/>
        <item x="865"/>
        <item x="1002"/>
        <item x="441"/>
        <item x="199"/>
        <item x="1014"/>
        <item x="1894"/>
        <item x="827"/>
        <item x="1328"/>
        <item x="1112"/>
        <item x="1634"/>
        <item x="347"/>
        <item x="1773"/>
        <item x="188"/>
        <item x="2516"/>
        <item x="1630"/>
        <item x="1319"/>
        <item x="2226"/>
        <item x="1178"/>
        <item x="947"/>
        <item x="1374"/>
        <item x="285"/>
        <item x="1199"/>
        <item x="344"/>
        <item x="251"/>
        <item x="332"/>
        <item x="723"/>
        <item x="1881"/>
        <item x="874"/>
        <item x="160"/>
        <item x="257"/>
        <item x="496"/>
        <item x="394"/>
        <item x="141"/>
        <item x="1279"/>
        <item x="2223"/>
        <item x="126"/>
        <item x="845"/>
        <item x="1373"/>
        <item x="1226"/>
        <item x="2007"/>
        <item x="2208"/>
        <item x="1277"/>
        <item x="588"/>
        <item x="1708"/>
        <item x="630"/>
        <item x="1899"/>
        <item x="428"/>
        <item x="1543"/>
        <item x="1517"/>
        <item x="426"/>
        <item x="2260"/>
        <item x="361"/>
        <item x="1653"/>
        <item x="1926"/>
        <item x="1481"/>
        <item x="1650"/>
        <item x="44"/>
        <item x="49"/>
        <item x="2428"/>
        <item x="1939"/>
        <item x="2391"/>
        <item x="684"/>
        <item x="1482"/>
        <item x="1216"/>
        <item x="67"/>
        <item x="463"/>
        <item x="817"/>
        <item x="751"/>
        <item x="1285"/>
        <item x="2049"/>
        <item x="2524"/>
        <item x="118"/>
        <item x="1961"/>
        <item x="2047"/>
        <item x="1083"/>
        <item x="2278"/>
        <item x="1849"/>
        <item x="337"/>
        <item x="450"/>
        <item x="432"/>
        <item x="1904"/>
        <item x="254"/>
        <item x="675"/>
        <item x="2250"/>
        <item x="1980"/>
        <item x="2301"/>
        <item x="2351"/>
        <item x="2069"/>
        <item x="1548"/>
        <item x="161"/>
        <item x="317"/>
        <item x="1483"/>
        <item x="1962"/>
        <item x="594"/>
        <item x="2209"/>
        <item x="1403"/>
        <item x="745"/>
        <item x="1089"/>
        <item x="1838"/>
        <item x="1631"/>
        <item x="1491"/>
        <item x="613"/>
        <item x="1075"/>
        <item x="2352"/>
        <item x="2104"/>
        <item x="1974"/>
        <item x="2011"/>
        <item x="804"/>
        <item x="2085"/>
        <item x="1967"/>
        <item x="1927"/>
        <item x="348"/>
        <item x="2062"/>
        <item x="2009"/>
        <item x="2207"/>
        <item x="330"/>
        <item x="1371"/>
        <item x="2019"/>
        <item x="2397"/>
        <item x="1826"/>
        <item x="228"/>
        <item x="2201"/>
        <item x="1529"/>
        <item x="2026"/>
        <item x="1467"/>
        <item x="1138"/>
        <item x="1019"/>
        <item x="1092"/>
        <item x="493"/>
        <item x="2251"/>
        <item x="1663"/>
        <item x="103"/>
        <item x="2481"/>
        <item x="1484"/>
        <item x="1218"/>
        <item x="1542"/>
        <item x="1945"/>
        <item x="1736"/>
        <item x="1120"/>
        <item x="765"/>
        <item x="780"/>
        <item x="153"/>
        <item x="70"/>
        <item x="1044"/>
        <item x="1001"/>
        <item x="2564"/>
        <item x="549"/>
        <item x="2138"/>
        <item x="506"/>
        <item x="1845"/>
        <item x="2310"/>
        <item x="2590"/>
        <item x="2156"/>
        <item x="1872"/>
        <item x="1642"/>
        <item x="1093"/>
        <item x="794"/>
        <item x="831"/>
        <item x="1384"/>
        <item x="881"/>
        <item x="1553"/>
        <item x="918"/>
        <item x="2272"/>
        <item x="2432"/>
        <item x="218"/>
        <item x="1441"/>
        <item x="631"/>
        <item x="1280"/>
        <item x="863"/>
        <item x="1957"/>
        <item x="1706"/>
        <item x="584"/>
        <item x="2086"/>
        <item x="937"/>
        <item x="184"/>
        <item x="1108"/>
        <item x="1167"/>
        <item x="2090"/>
        <item x="50"/>
        <item x="868"/>
        <item x="117"/>
        <item x="1868"/>
        <item x="2215"/>
        <item x="2255"/>
        <item x="65"/>
        <item x="2046"/>
        <item x="2569"/>
        <item x="1087"/>
        <item x="999"/>
        <item x="211"/>
        <item x="2484"/>
        <item x="1912"/>
        <item x="2467"/>
        <item x="1842"/>
        <item x="1848"/>
        <item x="1111"/>
        <item x="2268"/>
        <item x="1774"/>
        <item x="1570"/>
        <item x="97"/>
        <item x="895"/>
        <item x="2195"/>
        <item x="1944"/>
        <item x="1350"/>
        <item x="209"/>
        <item x="2472"/>
        <item x="1797"/>
        <item x="2317"/>
        <item x="614"/>
        <item x="2117"/>
        <item x="1494"/>
        <item x="1806"/>
        <item x="2216"/>
        <item x="1420"/>
        <item x="754"/>
        <item x="914"/>
        <item x="2292"/>
        <item x="353"/>
        <item x="2181"/>
        <item x="1674"/>
        <item x="375"/>
        <item x="2032"/>
        <item x="795"/>
        <item x="74"/>
        <item x="1137"/>
        <item x="681"/>
        <item x="1348"/>
        <item x="1200"/>
        <item x="589"/>
        <item x="1341"/>
        <item x="1136"/>
        <item x="159"/>
        <item x="71"/>
        <item x="2081"/>
        <item x="1409"/>
        <item x="345"/>
        <item x="1918"/>
        <item x="137"/>
        <item x="2023"/>
        <item x="866"/>
        <item x="197"/>
        <item x="1968"/>
        <item x="2380"/>
        <item x="741"/>
        <item x="22"/>
        <item x="125"/>
        <item x="1040"/>
        <item x="2398"/>
        <item x="846"/>
        <item x="2050"/>
        <item x="1026"/>
        <item x="2341"/>
        <item x="1943"/>
        <item x="2566"/>
        <item x="2454"/>
        <item x="2530"/>
        <item x="1532"/>
        <item x="2010"/>
        <item x="292"/>
        <item x="140"/>
        <item x="2154"/>
        <item x="2136"/>
        <item x="719"/>
        <item x="296"/>
        <item x="82"/>
        <item x="1589"/>
        <item x="310"/>
        <item x="2554"/>
        <item x="405"/>
        <item x="2461"/>
        <item x="2572"/>
        <item x="1135"/>
        <item x="2106"/>
        <item x="2328"/>
        <item x="935"/>
        <item x="8"/>
        <item x="207"/>
        <item x="2079"/>
        <item x="1064"/>
        <item x="57"/>
        <item x="783"/>
        <item x="1729"/>
        <item x="1711"/>
        <item x="1717"/>
        <item x="518"/>
        <item x="2146"/>
        <item x="796"/>
        <item x="1795"/>
        <item x="2586"/>
        <item x="1302"/>
        <item x="382"/>
        <item x="124"/>
        <item x="1873"/>
        <item x="2506"/>
        <item x="362"/>
        <item x="2359"/>
        <item x="200"/>
        <item x="587"/>
        <item x="365"/>
        <item x="1380"/>
        <item x="1703"/>
        <item x="879"/>
        <item x="286"/>
        <item x="1077"/>
        <item x="1579"/>
        <item x="724"/>
        <item x="2219"/>
        <item x="1492"/>
        <item x="764"/>
        <item x="290"/>
        <item x="1832"/>
        <item x="325"/>
        <item x="1687"/>
        <item x="2075"/>
        <item x="1127"/>
        <item x="1563"/>
        <item x="1046"/>
        <item x="1489"/>
        <item x="398"/>
        <item x="1986"/>
        <item x="988"/>
        <item x="2421"/>
        <item x="1841"/>
        <item x="2088"/>
        <item x="1549"/>
        <item x="1301"/>
        <item x="1389"/>
        <item x="2420"/>
        <item x="586"/>
        <item x="297"/>
        <item x="2563"/>
        <item x="466"/>
        <item x="1913"/>
        <item x="1804"/>
        <item x="1047"/>
        <item x="1381"/>
        <item x="2355"/>
        <item x="1198"/>
        <item x="890"/>
        <item x="1768"/>
        <item x="807"/>
        <item x="2495"/>
        <item x="1054"/>
        <item x="2507"/>
        <item x="940"/>
        <item x="34"/>
        <item x="902"/>
        <item x="2312"/>
        <item x="899"/>
        <item x="1691"/>
        <item x="1447"/>
        <item x="869"/>
        <item x="1618"/>
        <item x="1816"/>
        <item x="1448"/>
        <item x="1659"/>
        <item x="261"/>
        <item x="2290"/>
        <item x="378"/>
        <item x="229"/>
        <item x="522"/>
        <item x="1080"/>
        <item x="1497"/>
        <item x="500"/>
        <item x="1522"/>
        <item x="266"/>
        <item x="1244"/>
        <item x="131"/>
        <item x="576"/>
        <item x="106"/>
        <item x="621"/>
        <item x="1520"/>
        <item x="1186"/>
        <item x="1727"/>
        <item x="2217"/>
        <item x="642"/>
        <item x="1982"/>
        <item x="1323"/>
        <item x="1775"/>
        <item x="1422"/>
        <item x="674"/>
        <item x="422"/>
        <item x="1571"/>
        <item x="1091"/>
        <item x="1121"/>
        <item x="148"/>
        <item x="312"/>
        <item x="974"/>
        <item x="1387"/>
        <item x="1163"/>
        <item x="221"/>
        <item x="2145"/>
        <item x="439"/>
        <item x="2439"/>
        <item x="2333"/>
        <item x="2115"/>
        <item x="730"/>
        <item x="89"/>
        <item x="376"/>
        <item x="158"/>
        <item x="1978"/>
        <item x="1664"/>
        <item x="456"/>
        <item x="1600"/>
        <item x="1998"/>
        <item x="746"/>
        <item x="372"/>
        <item x="1999"/>
        <item x="242"/>
        <item x="2400"/>
        <item x="2091"/>
        <item x="476"/>
        <item x="2119"/>
        <item x="931"/>
        <item x="1278"/>
        <item x="13"/>
        <item x="1954"/>
        <item x="1827"/>
        <item x="1799"/>
        <item x="217"/>
        <item x="1917"/>
        <item x="1037"/>
        <item x="2034"/>
        <item x="1601"/>
        <item x="144"/>
        <item x="252"/>
        <item x="1555"/>
        <item x="457"/>
        <item x="759"/>
        <item x="1707"/>
        <item x="2020"/>
        <item x="2142"/>
        <item x="1458"/>
        <item x="2021"/>
        <item x="2299"/>
        <item x="23"/>
        <item x="1005"/>
        <item x="2357"/>
        <item x="786"/>
        <item x="1712"/>
        <item x="1149"/>
        <item x="452"/>
        <item x="2244"/>
        <item x="1266"/>
        <item x="1187"/>
        <item x="2367"/>
        <item x="1856"/>
        <item x="1580"/>
        <item x="1979"/>
        <item x="1358"/>
        <item x="2502"/>
        <item x="1507"/>
        <item x="1397"/>
        <item x="840"/>
        <item x="165"/>
        <item x="173"/>
        <item x="656"/>
        <item x="1596"/>
        <item x="1113"/>
        <item x="1889"/>
        <item x="1490"/>
        <item x="1141"/>
        <item x="2489"/>
        <item x="2446"/>
        <item x="2319"/>
        <item x="1185"/>
        <item x="1197"/>
        <item x="185"/>
        <item x="2293"/>
        <item x="1011"/>
        <item x="965"/>
        <item x="1416"/>
        <item x="1732"/>
        <item x="2129"/>
        <item x="2184"/>
        <item x="1883"/>
        <item x="1802"/>
        <item x="1388"/>
        <item x="249"/>
        <item x="1427"/>
        <item x="1035"/>
        <item x="313"/>
        <item x="2402"/>
        <item x="2122"/>
        <item x="1407"/>
        <item x="740"/>
        <item x="1012"/>
        <item x="551"/>
        <item x="1312"/>
        <item x="1760"/>
        <item x="1865"/>
        <item x="360"/>
        <item x="1485"/>
        <item x="1068"/>
        <item x="2229"/>
        <item x="4"/>
        <item x="938"/>
        <item x="2342"/>
        <item x="2067"/>
        <item x="2579"/>
        <item x="1557"/>
        <item x="1408"/>
        <item x="255"/>
        <item x="482"/>
        <item x="94"/>
        <item x="2102"/>
        <item x="788"/>
        <item x="752"/>
        <item x="2096"/>
        <item x="1263"/>
        <item x="390"/>
        <item x="566"/>
        <item x="1911"/>
        <item x="2221"/>
        <item x="1602"/>
        <item x="1898"/>
        <item x="828"/>
        <item x="2361"/>
        <item x="1839"/>
        <item x="1713"/>
        <item x="1437"/>
        <item x="2511"/>
        <item x="564"/>
        <item x="1953"/>
        <item x="368"/>
        <item x="2517"/>
        <item x="2419"/>
        <item x="354"/>
        <item x="415"/>
        <item x="1404"/>
        <item x="1519"/>
        <item x="2230"/>
        <item x="413"/>
        <item x="2177"/>
        <item x="732"/>
        <item x="2535"/>
        <item x="829"/>
        <item x="2042"/>
        <item x="77"/>
        <item x="2433"/>
        <item x="1541"/>
        <item x="202"/>
        <item x="816"/>
        <item x="898"/>
        <item x="1399"/>
        <item x="2404"/>
        <item x="1057"/>
        <item x="349"/>
        <item x="2374"/>
        <item x="818"/>
        <item x="2017"/>
        <item x="212"/>
        <item x="196"/>
        <item x="592"/>
        <item x="894"/>
        <item x="2300"/>
        <item x="1456"/>
        <item x="2591"/>
        <item t="default"/>
      </items>
    </pivotField>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name="Datewise Layoff"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showAll="0">
      <items count="735">
        <item x="600"/>
        <item x="723"/>
        <item x="684"/>
        <item x="5"/>
        <item x="681"/>
        <item x="670"/>
        <item x="686"/>
        <item x="78"/>
        <item x="125"/>
        <item x="11"/>
        <item x="669"/>
        <item x="666"/>
        <item x="144"/>
        <item x="28"/>
        <item x="732"/>
        <item x="47"/>
        <item x="261"/>
        <item x="115"/>
        <item x="725"/>
        <item x="185"/>
        <item x="678"/>
        <item x="121"/>
        <item x="183"/>
        <item x="69"/>
        <item x="668"/>
        <item x="142"/>
        <item x="674"/>
        <item x="190"/>
        <item x="128"/>
        <item x="680"/>
        <item x="90"/>
        <item x="354"/>
        <item x="143"/>
        <item x="249"/>
        <item x="132"/>
        <item x="178"/>
        <item x="219"/>
        <item x="693"/>
        <item x="675"/>
        <item x="412"/>
        <item x="70"/>
        <item x="225"/>
        <item x="697"/>
        <item x="7"/>
        <item x="168"/>
        <item x="151"/>
        <item x="550"/>
        <item x="690"/>
        <item x="43"/>
        <item x="136"/>
        <item x="10"/>
        <item x="91"/>
        <item x="433"/>
        <item x="55"/>
        <item x="518"/>
        <item x="129"/>
        <item x="21"/>
        <item x="25"/>
        <item x="702"/>
        <item x="252"/>
        <item x="673"/>
        <item x="149"/>
        <item x="92"/>
        <item x="687"/>
        <item x="347"/>
        <item x="94"/>
        <item x="431"/>
        <item x="315"/>
        <item x="381"/>
        <item x="635"/>
        <item x="27"/>
        <item x="86"/>
        <item x="302"/>
        <item x="80"/>
        <item x="373"/>
        <item x="287"/>
        <item x="67"/>
        <item x="13"/>
        <item x="196"/>
        <item x="698"/>
        <item x="492"/>
        <item x="448"/>
        <item x="73"/>
        <item x="689"/>
        <item x="62"/>
        <item x="267"/>
        <item x="495"/>
        <item x="33"/>
        <item x="164"/>
        <item x="677"/>
        <item x="8"/>
        <item x="590"/>
        <item x="395"/>
        <item x="293"/>
        <item x="106"/>
        <item x="32"/>
        <item x="560"/>
        <item x="148"/>
        <item x="61"/>
        <item x="223"/>
        <item x="679"/>
        <item x="334"/>
        <item x="579"/>
        <item x="34"/>
        <item x="323"/>
        <item x="388"/>
        <item x="187"/>
        <item x="337"/>
        <item x="273"/>
        <item x="390"/>
        <item x="6"/>
        <item x="363"/>
        <item x="329"/>
        <item x="66"/>
        <item x="242"/>
        <item x="202"/>
        <item x="450"/>
        <item x="647"/>
        <item x="313"/>
        <item x="539"/>
        <item x="676"/>
        <item x="452"/>
        <item x="227"/>
        <item x="438"/>
        <item x="370"/>
        <item x="175"/>
        <item x="699"/>
        <item x="464"/>
        <item x="667"/>
        <item x="477"/>
        <item x="327"/>
        <item x="77"/>
        <item x="98"/>
        <item x="274"/>
        <item x="158"/>
        <item x="74"/>
        <item x="79"/>
        <item x="230"/>
        <item x="335"/>
        <item x="282"/>
        <item x="436"/>
        <item x="520"/>
        <item x="217"/>
        <item x="4"/>
        <item x="9"/>
        <item x="2"/>
        <item x="233"/>
        <item x="328"/>
        <item x="270"/>
        <item x="682"/>
        <item x="208"/>
        <item x="31"/>
        <item x="317"/>
        <item x="479"/>
        <item x="295"/>
        <item x="259"/>
        <item x="48"/>
        <item x="191"/>
        <item x="485"/>
        <item x="139"/>
        <item x="393"/>
        <item x="352"/>
        <item x="555"/>
        <item x="126"/>
        <item x="721"/>
        <item x="205"/>
        <item x="446"/>
        <item x="193"/>
        <item x="391"/>
        <item x="605"/>
        <item x="459"/>
        <item x="511"/>
        <item x="50"/>
        <item x="435"/>
        <item x="95"/>
        <item x="351"/>
        <item x="320"/>
        <item x="157"/>
        <item x="265"/>
        <item x="154"/>
        <item x="182"/>
        <item x="281"/>
        <item x="181"/>
        <item x="379"/>
        <item x="333"/>
        <item x="672"/>
        <item x="49"/>
        <item x="57"/>
        <item x="380"/>
        <item x="415"/>
        <item x="575"/>
        <item x="439"/>
        <item x="206"/>
        <item x="365"/>
        <item x="549"/>
        <item x="251"/>
        <item x="195"/>
        <item x="387"/>
        <item x="300"/>
        <item x="375"/>
        <item x="229"/>
        <item x="417"/>
        <item x="58"/>
        <item x="105"/>
        <item x="87"/>
        <item x="104"/>
        <item x="296"/>
        <item x="71"/>
        <item x="730"/>
        <item x="56"/>
        <item x="123"/>
        <item x="360"/>
        <item x="184"/>
        <item x="398"/>
        <item x="238"/>
        <item x="661"/>
        <item x="685"/>
        <item x="167"/>
        <item x="133"/>
        <item x="559"/>
        <item x="442"/>
        <item x="573"/>
        <item x="331"/>
        <item x="192"/>
        <item x="654"/>
        <item x="332"/>
        <item x="199"/>
        <item x="695"/>
        <item x="324"/>
        <item x="209"/>
        <item x="271"/>
        <item x="622"/>
        <item x="632"/>
        <item x="564"/>
        <item x="461"/>
        <item x="432"/>
        <item x="705"/>
        <item x="316"/>
        <item x="620"/>
        <item x="470"/>
        <item x="369"/>
        <item x="603"/>
        <item x="26"/>
        <item x="662"/>
        <item x="660"/>
        <item x="510"/>
        <item x="156"/>
        <item x="325"/>
        <item x="145"/>
        <item x="420"/>
        <item x="330"/>
        <item x="618"/>
        <item x="23"/>
        <item x="253"/>
        <item x="262"/>
        <item x="496"/>
        <item x="516"/>
        <item x="402"/>
        <item x="250"/>
        <item x="127"/>
        <item x="81"/>
        <item x="561"/>
        <item x="410"/>
        <item x="147"/>
        <item x="429"/>
        <item x="611"/>
        <item x="319"/>
        <item x="508"/>
        <item x="228"/>
        <item x="629"/>
        <item x="422"/>
        <item x="258"/>
        <item x="72"/>
        <item x="645"/>
        <item x="460"/>
        <item x="694"/>
        <item x="707"/>
        <item x="403"/>
        <item x="419"/>
        <item x="361"/>
        <item x="367"/>
        <item x="444"/>
        <item x="652"/>
        <item x="528"/>
        <item x="339"/>
        <item x="220"/>
        <item x="163"/>
        <item x="580"/>
        <item x="568"/>
        <item x="630"/>
        <item x="524"/>
        <item x="44"/>
        <item x="20"/>
        <item x="513"/>
        <item x="116"/>
        <item x="172"/>
        <item x="150"/>
        <item x="595"/>
        <item x="499"/>
        <item x="487"/>
        <item x="194"/>
        <item x="463"/>
        <item x="368"/>
        <item x="480"/>
        <item x="400"/>
        <item x="653"/>
        <item x="619"/>
        <item x="82"/>
        <item x="659"/>
        <item x="377"/>
        <item x="421"/>
        <item x="537"/>
        <item x="519"/>
        <item x="311"/>
        <item x="336"/>
        <item x="427"/>
        <item x="53"/>
        <item x="346"/>
        <item x="309"/>
        <item x="89"/>
        <item x="122"/>
        <item x="321"/>
        <item x="621"/>
        <item x="394"/>
        <item x="243"/>
        <item x="696"/>
        <item x="691"/>
        <item x="224"/>
        <item x="451"/>
        <item x="120"/>
        <item x="107"/>
        <item x="458"/>
        <item x="110"/>
        <item x="257"/>
        <item x="473"/>
        <item x="648"/>
        <item x="189"/>
        <item x="572"/>
        <item x="358"/>
        <item x="569"/>
        <item x="408"/>
        <item x="484"/>
        <item x="547"/>
        <item x="535"/>
        <item x="633"/>
        <item x="418"/>
        <item x="255"/>
        <item x="169"/>
        <item x="536"/>
        <item x="639"/>
        <item x="64"/>
        <item x="440"/>
        <item x="624"/>
        <item x="454"/>
        <item x="397"/>
        <item x="521"/>
        <item x="376"/>
        <item x="512"/>
        <item x="256"/>
        <item x="724"/>
        <item x="409"/>
        <item x="234"/>
        <item x="683"/>
        <item x="357"/>
        <item x="563"/>
        <item x="85"/>
        <item x="210"/>
        <item x="371"/>
        <item x="719"/>
        <item x="731"/>
        <item x="610"/>
        <item x="141"/>
        <item x="109"/>
        <item x="411"/>
        <item x="278"/>
        <item x="269"/>
        <item x="607"/>
        <item x="215"/>
        <item x="571"/>
        <item x="345"/>
        <item x="462"/>
        <item x="601"/>
        <item x="576"/>
        <item x="517"/>
        <item x="599"/>
        <item x="589"/>
        <item x="362"/>
        <item x="541"/>
        <item x="222"/>
        <item x="713"/>
        <item x="355"/>
        <item x="310"/>
        <item x="17"/>
        <item x="277"/>
        <item x="284"/>
        <item x="246"/>
        <item x="414"/>
        <item x="506"/>
        <item x="88"/>
        <item x="59"/>
        <item x="481"/>
        <item x="728"/>
        <item x="542"/>
        <item x="692"/>
        <item x="592"/>
        <item x="488"/>
        <item x="372"/>
        <item x="534"/>
        <item x="441"/>
        <item x="501"/>
        <item x="244"/>
        <item x="509"/>
        <item x="527"/>
        <item x="343"/>
        <item x="529"/>
        <item x="364"/>
        <item x="413"/>
        <item x="425"/>
        <item x="180"/>
        <item x="268"/>
        <item x="294"/>
        <item x="38"/>
        <item x="646"/>
        <item x="465"/>
        <item x="349"/>
        <item x="586"/>
        <item x="307"/>
        <item x="588"/>
        <item x="486"/>
        <item x="385"/>
        <item x="718"/>
        <item x="288"/>
        <item x="152"/>
        <item x="585"/>
        <item x="276"/>
        <item x="514"/>
        <item x="254"/>
        <item x="211"/>
        <item x="298"/>
        <item x="562"/>
        <item x="644"/>
        <item x="474"/>
        <item x="102"/>
        <item x="356"/>
        <item x="322"/>
        <item x="301"/>
        <item x="489"/>
        <item x="312"/>
        <item x="401"/>
        <item x="204"/>
        <item x="272"/>
        <item x="613"/>
        <item x="597"/>
        <item x="507"/>
        <item x="235"/>
        <item x="626"/>
        <item x="567"/>
        <item x="93"/>
        <item x="426"/>
        <item x="475"/>
        <item x="578"/>
        <item x="407"/>
        <item x="207"/>
        <item x="468"/>
        <item x="306"/>
        <item x="131"/>
        <item x="494"/>
        <item x="476"/>
        <item x="505"/>
        <item x="299"/>
        <item x="186"/>
        <item x="587"/>
        <item x="656"/>
        <item x="430"/>
        <item x="103"/>
        <item x="504"/>
        <item x="631"/>
        <item x="348"/>
        <item x="558"/>
        <item x="117"/>
        <item x="36"/>
        <item x="525"/>
        <item x="111"/>
        <item x="159"/>
        <item x="130"/>
        <item x="201"/>
        <item x="596"/>
        <item x="134"/>
        <item x="374"/>
        <item x="623"/>
        <item x="179"/>
        <item x="627"/>
        <item x="138"/>
        <item x="283"/>
        <item x="726"/>
        <item x="423"/>
        <item x="574"/>
        <item x="643"/>
        <item x="75"/>
        <item x="533"/>
        <item x="538"/>
        <item x="515"/>
        <item x="604"/>
        <item x="198"/>
        <item x="478"/>
        <item x="543"/>
        <item x="137"/>
        <item x="500"/>
        <item x="350"/>
        <item x="602"/>
        <item x="101"/>
        <item x="636"/>
        <item x="526"/>
        <item x="353"/>
        <item x="483"/>
        <item x="290"/>
        <item x="445"/>
        <item x="467"/>
        <item x="701"/>
        <item x="503"/>
        <item x="664"/>
        <item x="608"/>
        <item x="594"/>
        <item x="606"/>
        <item x="248"/>
        <item x="41"/>
        <item x="545"/>
        <item x="651"/>
        <item x="577"/>
        <item x="383"/>
        <item x="389"/>
        <item x="437"/>
        <item x="239"/>
        <item x="146"/>
        <item x="551"/>
        <item x="424"/>
        <item x="727"/>
        <item x="593"/>
        <item x="176"/>
        <item x="260"/>
        <item x="216"/>
        <item x="289"/>
        <item x="566"/>
        <item x="471"/>
        <item x="214"/>
        <item x="170"/>
        <item x="266"/>
        <item x="18"/>
        <item x="405"/>
        <item x="609"/>
        <item x="245"/>
        <item x="155"/>
        <item x="237"/>
        <item x="688"/>
        <item x="3"/>
        <item x="628"/>
        <item x="161"/>
        <item x="544"/>
        <item x="160"/>
        <item x="285"/>
        <item x="366"/>
        <item x="714"/>
        <item x="482"/>
        <item x="340"/>
        <item x="338"/>
        <item x="553"/>
        <item x="108"/>
        <item x="68"/>
        <item x="469"/>
        <item x="552"/>
        <item x="456"/>
        <item x="177"/>
        <item x="241"/>
        <item x="642"/>
        <item x="0"/>
        <item x="359"/>
        <item x="231"/>
        <item x="114"/>
        <item x="532"/>
        <item x="240"/>
        <item x="384"/>
        <item x="280"/>
        <item x="612"/>
        <item x="498"/>
        <item x="378"/>
        <item x="497"/>
        <item x="493"/>
        <item x="171"/>
        <item x="540"/>
        <item x="286"/>
        <item x="291"/>
        <item x="598"/>
        <item x="704"/>
        <item x="162"/>
        <item x="565"/>
        <item x="264"/>
        <item x="96"/>
        <item x="641"/>
        <item x="15"/>
        <item x="344"/>
        <item x="304"/>
        <item x="84"/>
        <item x="658"/>
        <item x="657"/>
        <item x="663"/>
        <item x="716"/>
        <item x="263"/>
        <item x="416"/>
        <item x="341"/>
        <item x="712"/>
        <item x="466"/>
        <item x="37"/>
        <item x="710"/>
        <item x="650"/>
        <item x="472"/>
        <item x="591"/>
        <item x="502"/>
        <item x="54"/>
        <item x="582"/>
        <item x="406"/>
        <item x="581"/>
        <item x="174"/>
        <item x="625"/>
        <item x="308"/>
        <item x="65"/>
        <item x="30"/>
        <item x="709"/>
        <item x="457"/>
        <item x="119"/>
        <item x="717"/>
        <item x="447"/>
        <item x="443"/>
        <item x="531"/>
        <item x="275"/>
        <item x="303"/>
        <item x="548"/>
        <item x="640"/>
        <item x="637"/>
        <item x="153"/>
        <item x="584"/>
        <item x="404"/>
        <item x="554"/>
        <item x="382"/>
        <item x="19"/>
        <item x="399"/>
        <item x="722"/>
        <item x="318"/>
        <item x="617"/>
        <item x="583"/>
        <item x="292"/>
        <item x="655"/>
        <item x="342"/>
        <item x="649"/>
        <item x="314"/>
        <item x="39"/>
        <item x="530"/>
        <item x="135"/>
        <item x="279"/>
        <item x="720"/>
        <item x="118"/>
        <item x="523"/>
        <item x="100"/>
        <item x="434"/>
        <item x="729"/>
        <item x="428"/>
        <item x="188"/>
        <item x="546"/>
        <item x="35"/>
        <item x="99"/>
        <item x="63"/>
        <item x="22"/>
        <item x="52"/>
        <item x="113"/>
        <item x="112"/>
        <item x="14"/>
        <item x="45"/>
        <item x="40"/>
        <item x="1"/>
        <item x="236"/>
        <item x="232"/>
        <item x="715"/>
        <item x="453"/>
        <item x="165"/>
        <item x="226"/>
        <item x="326"/>
        <item x="200"/>
        <item x="634"/>
        <item x="124"/>
        <item x="197"/>
        <item x="703"/>
        <item x="665"/>
        <item x="51"/>
        <item x="24"/>
        <item x="83"/>
        <item x="166"/>
        <item x="173"/>
        <item x="706"/>
        <item x="570"/>
        <item x="60"/>
        <item x="490"/>
        <item x="700"/>
        <item x="140"/>
        <item x="46"/>
        <item x="557"/>
        <item x="708"/>
        <item x="711"/>
        <item x="76"/>
        <item x="305"/>
        <item x="638"/>
        <item x="449"/>
        <item x="455"/>
        <item x="297"/>
        <item x="213"/>
        <item x="556"/>
        <item x="16"/>
        <item x="616"/>
        <item x="386"/>
        <item x="247"/>
        <item x="218"/>
        <item x="29"/>
        <item x="491"/>
        <item x="203"/>
        <item x="221"/>
        <item x="396"/>
        <item x="671"/>
        <item x="42"/>
        <item x="522"/>
        <item x="615"/>
        <item x="392"/>
        <item x="97"/>
        <item x="212"/>
        <item x="614"/>
        <item x="12"/>
        <item x="733"/>
        <item t="default"/>
      </items>
    </pivotField>
    <pivotField showAll="0"/>
    <pivotField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8">
        <item sd="0" x="0"/>
        <item sd="0" x="1"/>
        <item sd="0" x="2"/>
        <item sd="0" x="3"/>
        <item sd="0" x="4"/>
        <item sd="0" x="5"/>
        <item sd="0" x="6"/>
        <item t="default"/>
      </items>
    </pivotField>
  </pivotFields>
  <rowFields count="1">
    <field x="10"/>
  </rowFields>
  <rowItems count="12">
    <i>
      <x v="1"/>
    </i>
    <i>
      <x v="2"/>
    </i>
    <i>
      <x v="3"/>
    </i>
    <i>
      <x v="4"/>
    </i>
    <i>
      <x v="5"/>
    </i>
    <i>
      <x v="6"/>
    </i>
    <i>
      <x v="7"/>
    </i>
    <i>
      <x v="8"/>
    </i>
    <i>
      <x v="9"/>
    </i>
    <i>
      <x v="10"/>
    </i>
    <i>
      <x v="11"/>
    </i>
    <i>
      <x v="12"/>
    </i>
  </rowItems>
  <colItems count="1">
    <i/>
  </colItems>
  <pageFields count="1">
    <pageField fld="12" hier="-1"/>
  </pageFields>
  <dataFields count="1">
    <dataField name="Sum of Laid_Off_Count" fld="3" baseField="0" baseItem="0"/>
  </dataFields>
  <formats count="8">
    <format dxfId="47">
      <pivotArea type="all" dataOnly="0" outline="0" fieldPosition="0"/>
    </format>
    <format dxfId="46">
      <pivotArea outline="0" collapsedLevelsAreSubtotals="1" fieldPosition="0"/>
    </format>
    <format dxfId="45">
      <pivotArea field="7" type="button" dataOnly="0" labelOnly="1" outline="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7" type="button" dataOnly="0" labelOnly="1" outline="0"/>
    </format>
    <format dxfId="40">
      <pivotArea dataOnly="0" labelOnly="1" outline="0" axis="axisValues" fieldPosition="0"/>
    </format>
  </formats>
  <chartFormats count="2">
    <chartFormat chart="22"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6B525-C4FB-3E4C-BC60-046E28B83417}" name="PivotTable12" cacheId="0" applyNumberFormats="0" applyBorderFormats="0" applyFontFormats="0" applyPatternFormats="0" applyAlignmentFormats="0" applyWidthHeightFormats="1" dataCaption="Values" errorCaption="0" showError="1" showMissing="0" updatedVersion="8" minRefreshableVersion="3" rowGrandTotals="0" colGrandTotals="0" itemPrintTitles="1" createdVersion="8" indent="0" outline="1" outlineData="1" multipleFieldFilters="0">
  <location ref="P3:S2595" firstHeaderRow="0" firstDataRow="1" firstDataCol="1" rowPageCount="1" colPageCount="1"/>
  <pivotFields count="13">
    <pivotField axis="axisRow" showAll="0">
      <items count="2593">
        <item x="1725"/>
        <item x="275"/>
        <item x="1992"/>
        <item x="260"/>
        <item x="1411"/>
        <item x="438"/>
        <item x="1880"/>
        <item x="1554"/>
        <item x="1222"/>
        <item x="1356"/>
        <item x="1835"/>
        <item x="565"/>
        <item x="969"/>
        <item x="2471"/>
        <item x="618"/>
        <item x="1767"/>
        <item x="250"/>
        <item x="1777"/>
        <item x="2064"/>
        <item x="1682"/>
        <item x="272"/>
        <item x="1289"/>
        <item x="1281"/>
        <item x="62"/>
        <item x="1964"/>
        <item x="547"/>
        <item x="966"/>
        <item x="1731"/>
        <item x="1056"/>
        <item x="2490"/>
        <item x="2271"/>
        <item x="471"/>
        <item x="2176"/>
        <item x="1705"/>
        <item x="637"/>
        <item x="959"/>
        <item x="1190"/>
        <item x="1673"/>
        <item x="2354"/>
        <item x="2140"/>
        <item x="2513"/>
        <item x="465"/>
        <item x="1288"/>
        <item x="2033"/>
        <item x="1459"/>
        <item x="2504"/>
        <item x="1649"/>
        <item x="1934"/>
        <item x="995"/>
        <item x="149"/>
        <item x="2061"/>
        <item x="679"/>
        <item x="86"/>
        <item x="2281"/>
        <item x="2127"/>
        <item x="2197"/>
        <item x="1055"/>
        <item x="977"/>
        <item x="1925"/>
        <item x="2338"/>
        <item x="110"/>
        <item x="523"/>
        <item x="2024"/>
        <item x="913"/>
        <item x="2099"/>
        <item x="2311"/>
        <item x="1290"/>
        <item x="1510"/>
        <item x="873"/>
        <item x="2089"/>
        <item x="52"/>
        <item x="526"/>
        <item x="658"/>
        <item x="516"/>
        <item x="2393"/>
        <item x="1800"/>
        <item x="2039"/>
        <item x="2463"/>
        <item x="2"/>
        <item x="380"/>
        <item x="259"/>
        <item x="842"/>
        <item x="1432"/>
        <item x="2103"/>
        <item x="1867"/>
        <item x="2464"/>
        <item x="1808"/>
        <item x="908"/>
        <item x="1915"/>
        <item x="90"/>
        <item x="1746"/>
        <item x="1059"/>
        <item x="720"/>
        <item x="1303"/>
        <item x="1607"/>
        <item x="1073"/>
        <item x="230"/>
        <item x="2528"/>
        <item x="968"/>
        <item x="2458"/>
        <item x="340"/>
        <item x="763"/>
        <item x="379"/>
        <item x="116"/>
        <item x="1029"/>
        <item x="2318"/>
        <item x="499"/>
        <item x="2510"/>
        <item x="1049"/>
        <item x="1938"/>
        <item x="983"/>
        <item x="1661"/>
        <item x="992"/>
        <item x="2584"/>
        <item x="1807"/>
        <item x="1771"/>
        <item x="1928"/>
        <item x="1417"/>
        <item x="1573"/>
        <item x="2344"/>
        <item x="1041"/>
        <item x="593"/>
        <item x="1188"/>
        <item x="669"/>
        <item x="85"/>
        <item x="1987"/>
        <item x="1509"/>
        <item x="509"/>
        <item x="152"/>
        <item x="2012"/>
        <item x="1468"/>
        <item x="1901"/>
        <item x="1094"/>
        <item x="644"/>
        <item x="1885"/>
        <item x="1639"/>
        <item x="1780"/>
        <item x="670"/>
        <item x="38"/>
        <item x="327"/>
        <item x="1444"/>
        <item x="485"/>
        <item x="2455"/>
        <item x="1833"/>
        <item x="1179"/>
        <item x="263"/>
        <item x="1772"/>
        <item x="738"/>
        <item x="1564"/>
        <item x="2443"/>
        <item x="998"/>
        <item x="1910"/>
        <item x="48"/>
        <item x="1526"/>
        <item x="624"/>
        <item x="192"/>
        <item x="948"/>
        <item x="531"/>
        <item x="729"/>
        <item x="2482"/>
        <item x="575"/>
        <item x="2245"/>
        <item x="1045"/>
        <item x="28"/>
        <item x="1668"/>
        <item x="1699"/>
        <item x="2410"/>
        <item x="1382"/>
        <item x="1202"/>
        <item x="154"/>
        <item x="271"/>
        <item x="692"/>
        <item x="633"/>
        <item x="1996"/>
        <item x="2172"/>
        <item x="237"/>
        <item x="216"/>
        <item x="1428"/>
        <item x="1174"/>
        <item x="886"/>
        <item x="2335"/>
        <item x="2349"/>
        <item x="2035"/>
        <item x="416"/>
        <item x="1261"/>
        <item x="2462"/>
        <item x="771"/>
        <item x="1598"/>
        <item x="1306"/>
        <item x="1030"/>
        <item x="2118"/>
        <item x="967"/>
        <item x="627"/>
        <item x="166"/>
        <item x="2202"/>
        <item x="2178"/>
        <item x="628"/>
        <item x="814"/>
        <item x="2546"/>
        <item x="1924"/>
        <item x="608"/>
        <item x="1398"/>
        <item x="45"/>
        <item x="1291"/>
        <item x="1424"/>
        <item x="1956"/>
        <item x="462"/>
        <item x="1988"/>
        <item x="1154"/>
        <item x="626"/>
        <item x="696"/>
        <item x="1101"/>
        <item x="1973"/>
        <item x="2543"/>
        <item x="282"/>
        <item x="393"/>
        <item x="1613"/>
        <item x="2407"/>
        <item x="454"/>
        <item x="2539"/>
        <item x="924"/>
        <item x="302"/>
        <item x="1282"/>
        <item x="837"/>
        <item x="1623"/>
        <item x="1823"/>
        <item x="2036"/>
        <item x="1993"/>
        <item x="997"/>
        <item x="544"/>
        <item x="2298"/>
        <item x="1292"/>
        <item x="1116"/>
        <item x="632"/>
        <item x="2541"/>
        <item x="423"/>
        <item x="2098"/>
        <item x="1320"/>
        <item x="625"/>
        <item x="2203"/>
        <item x="1754"/>
        <item x="410"/>
        <item x="922"/>
        <item x="1869"/>
        <item x="1393"/>
        <item x="356"/>
        <item x="190"/>
        <item x="688"/>
        <item x="528"/>
        <item x="558"/>
        <item x="1696"/>
        <item x="489"/>
        <item x="897"/>
        <item x="2450"/>
        <item x="1501"/>
        <item x="2381"/>
        <item x="1637"/>
        <item x="2014"/>
        <item x="1991"/>
        <item x="1735"/>
        <item x="1076"/>
        <item x="1498"/>
        <item x="2151"/>
        <item x="1257"/>
        <item x="1177"/>
        <item x="782"/>
        <item x="483"/>
        <item x="2116"/>
        <item x="1479"/>
        <item x="1322"/>
        <item x="1122"/>
        <item x="2377"/>
        <item x="577"/>
        <item x="2199"/>
        <item x="606"/>
        <item x="176"/>
        <item x="214"/>
        <item x="1331"/>
        <item x="1512"/>
        <item x="1480"/>
        <item x="682"/>
        <item x="994"/>
        <item x="473"/>
        <item x="115"/>
        <item x="2534"/>
        <item x="949"/>
        <item x="1896"/>
        <item x="2522"/>
        <item x="2270"/>
        <item x="1209"/>
        <item x="1430"/>
        <item x="333"/>
        <item x="84"/>
        <item x="2056"/>
        <item x="2013"/>
        <item x="536"/>
        <item x="1023"/>
        <item x="2083"/>
        <item x="1640"/>
        <item x="2267"/>
        <item x="2485"/>
        <item x="1250"/>
        <item x="971"/>
        <item x="1886"/>
        <item x="2045"/>
        <item x="2448"/>
        <item x="2186"/>
        <item x="1366"/>
        <item x="2445"/>
        <item x="406"/>
        <item x="1025"/>
        <item x="474"/>
        <item x="1870"/>
        <item x="843"/>
        <item x="287"/>
        <item x="2436"/>
        <item x="479"/>
        <item x="1761"/>
        <item x="2030"/>
        <item x="2175"/>
        <item x="243"/>
        <item x="2180"/>
        <item x="1462"/>
        <item x="1983"/>
        <item x="1908"/>
        <item x="892"/>
        <item x="1745"/>
        <item x="896"/>
        <item x="39"/>
        <item x="2370"/>
        <item x="1298"/>
        <item x="1402"/>
        <item x="1434"/>
        <item x="1919"/>
        <item x="2097"/>
        <item x="2257"/>
        <item x="388"/>
        <item x="1702"/>
        <item x="708"/>
        <item x="1173"/>
        <item x="610"/>
        <item x="448"/>
        <item x="1942"/>
        <item x="142"/>
        <item x="673"/>
        <item x="2003"/>
        <item x="813"/>
        <item x="2447"/>
        <item x="1439"/>
        <item x="232"/>
        <item x="1191"/>
        <item x="1932"/>
        <item x="1386"/>
        <item x="709"/>
        <item x="2422"/>
        <item x="1255"/>
        <item x="2218"/>
        <item x="733"/>
        <item x="151"/>
        <item x="2424"/>
        <item x="1473"/>
        <item x="95"/>
        <item x="377"/>
        <item x="2239"/>
        <item x="460"/>
        <item x="384"/>
        <item x="1166"/>
        <item x="47"/>
        <item x="2574"/>
        <item x="2306"/>
        <item x="198"/>
        <item x="401"/>
        <item x="663"/>
        <item x="944"/>
        <item x="619"/>
        <item x="1660"/>
        <item x="1811"/>
        <item x="650"/>
        <item x="683"/>
        <item x="1253"/>
        <item x="861"/>
        <item x="1723"/>
        <item x="1020"/>
        <item x="739"/>
        <item x="1955"/>
        <item x="2483"/>
        <item x="1264"/>
        <item x="1747"/>
        <item x="1544"/>
        <item x="1905"/>
        <item x="1318"/>
        <item x="573"/>
        <item x="1572"/>
        <item x="1656"/>
        <item x="147"/>
        <item x="1843"/>
        <item x="1586"/>
        <item x="2337"/>
        <item x="2323"/>
        <item x="1337"/>
        <item x="1367"/>
        <item x="779"/>
        <item x="2384"/>
        <item x="1425"/>
        <item x="1478"/>
        <item x="891"/>
        <item x="1709"/>
        <item x="1355"/>
        <item x="407"/>
        <item x="1324"/>
        <item x="1521"/>
        <item x="1133"/>
        <item x="1334"/>
        <item x="2155"/>
        <item x="2327"/>
        <item x="2523"/>
        <item x="1893"/>
        <item x="1042"/>
        <item x="1162"/>
        <item x="1293"/>
        <item x="1936"/>
        <item x="579"/>
        <item x="1950"/>
        <item x="694"/>
        <item x="1360"/>
        <item x="1072"/>
        <item x="781"/>
        <item x="276"/>
        <item x="492"/>
        <item x="1518"/>
        <item x="1871"/>
        <item x="533"/>
        <item x="284"/>
        <item x="1633"/>
        <item x="326"/>
        <item x="80"/>
        <item x="2360"/>
        <item x="2189"/>
        <item x="2194"/>
        <item x="792"/>
        <item x="1947"/>
        <item x="399"/>
        <item x="494"/>
        <item x="277"/>
        <item x="1552"/>
        <item x="1632"/>
        <item x="574"/>
        <item x="1591"/>
        <item x="114"/>
        <item x="1401"/>
        <item x="102"/>
        <item x="1208"/>
        <item x="1000"/>
        <item x="972"/>
        <item x="2417"/>
        <item x="2262"/>
        <item x="703"/>
        <item x="208"/>
        <item x="725"/>
        <item x="1921"/>
        <item x="2018"/>
        <item x="838"/>
        <item x="164"/>
        <item x="1344"/>
        <item x="1260"/>
        <item x="279"/>
        <item x="798"/>
        <item x="459"/>
        <item x="2514"/>
        <item x="1165"/>
        <item x="1884"/>
        <item x="1853"/>
        <item x="2468"/>
        <item x="1728"/>
        <item x="1235"/>
        <item x="2406"/>
        <item x="853"/>
        <item x="1315"/>
        <item x="554"/>
        <item x="755"/>
        <item x="1670"/>
        <item x="2386"/>
        <item x="747"/>
        <item x="2414"/>
        <item x="568"/>
        <item x="2320"/>
        <item x="1608"/>
        <item x="274"/>
        <item x="1587"/>
        <item x="411"/>
        <item x="823"/>
        <item x="915"/>
        <item x="1287"/>
        <item x="2163"/>
        <item x="1299"/>
        <item x="2562"/>
        <item x="2121"/>
        <item x="1061"/>
        <item x="824"/>
        <item x="1294"/>
        <item x="685"/>
        <item x="623"/>
        <item x="2190"/>
        <item x="162"/>
        <item x="1502"/>
        <item x="2479"/>
        <item x="903"/>
        <item x="1474"/>
        <item x="808"/>
        <item x="800"/>
        <item x="1347"/>
        <item x="581"/>
        <item x="599"/>
        <item x="1863"/>
        <item x="1500"/>
        <item x="1874"/>
        <item x="567"/>
        <item x="1215"/>
        <item x="936"/>
        <item x="1695"/>
        <item x="1131"/>
        <item x="1671"/>
        <item x="1066"/>
        <item x="2112"/>
        <item x="1975"/>
        <item x="1123"/>
        <item x="1748"/>
        <item x="2006"/>
        <item x="943"/>
        <item x="408"/>
        <item x="1062"/>
        <item x="1383"/>
        <item x="1741"/>
        <item x="55"/>
        <item x="1227"/>
        <item x="2249"/>
        <item x="2426"/>
        <item x="638"/>
        <item x="726"/>
        <item x="69"/>
        <item x="1349"/>
        <item x="2552"/>
        <item x="2378"/>
        <item x="357"/>
        <item x="1805"/>
        <item x="1429"/>
        <item x="447"/>
        <item x="1034"/>
        <item x="661"/>
        <item x="1006"/>
        <item x="1809"/>
        <item x="78"/>
        <item x="91"/>
        <item x="1245"/>
        <item x="1325"/>
        <item x="1916"/>
        <item x="2095"/>
        <item x="833"/>
        <item x="358"/>
        <item x="1609"/>
        <item x="233"/>
        <item x="989"/>
        <item x="497"/>
        <item x="2492"/>
        <item x="1368"/>
        <item x="2261"/>
        <item x="2429"/>
        <item x="2027"/>
        <item x="1960"/>
        <item x="72"/>
        <item x="982"/>
        <item x="2387"/>
        <item x="2265"/>
        <item x="331"/>
        <item x="727"/>
        <item x="1099"/>
        <item x="1338"/>
        <item x="870"/>
        <item x="2578"/>
        <item x="1372"/>
        <item x="19"/>
        <item x="571"/>
        <item x="235"/>
        <item x="934"/>
        <item x="2331"/>
        <item x="334"/>
        <item x="1724"/>
        <item x="335"/>
        <item x="244"/>
        <item x="2225"/>
        <item x="2135"/>
        <item x="2497"/>
        <item x="2076"/>
        <item x="2527"/>
        <item x="2273"/>
        <item x="2057"/>
        <item x="107"/>
        <item x="704"/>
        <item x="1443"/>
        <item x="1295"/>
        <item x="1184"/>
        <item x="1262"/>
        <item x="350"/>
        <item x="1558"/>
        <item x="1830"/>
        <item x="1824"/>
        <item x="2087"/>
        <item x="1559"/>
        <item x="2044"/>
        <item x="700"/>
        <item x="145"/>
        <item x="490"/>
        <item x="2242"/>
        <item x="480"/>
        <item x="264"/>
        <item x="582"/>
        <item x="373"/>
        <item x="1469"/>
        <item x="1789"/>
        <item x="2401"/>
        <item x="2284"/>
        <item x="659"/>
        <item x="2304"/>
        <item x="847"/>
        <item x="728"/>
        <item x="2092"/>
        <item x="854"/>
        <item x="121"/>
        <item x="513"/>
        <item x="609"/>
        <item x="1223"/>
        <item x="667"/>
        <item x="2059"/>
        <item x="470"/>
        <item x="701"/>
        <item x="693"/>
        <item x="2148"/>
        <item x="1336"/>
        <item x="660"/>
        <item x="1321"/>
        <item x="2294"/>
        <item x="1143"/>
        <item x="1566"/>
        <item x="328"/>
        <item x="105"/>
        <item x="1758"/>
        <item x="2326"/>
        <item x="2263"/>
        <item x="238"/>
        <item x="590"/>
        <item x="1539"/>
        <item x="278"/>
        <item x="836"/>
        <item x="2512"/>
        <item x="639"/>
        <item x="1109"/>
        <item x="1636"/>
        <item x="1435"/>
        <item x="1115"/>
        <item x="2537"/>
        <item x="269"/>
        <item x="2382"/>
        <item x="223"/>
        <item x="2353"/>
        <item x="2280"/>
        <item x="534"/>
        <item x="2109"/>
        <item x="2164"/>
        <item x="1616"/>
        <item x="2210"/>
        <item x="186"/>
        <item x="1457"/>
        <item x="976"/>
        <item x="1617"/>
        <item x="2179"/>
        <item x="369"/>
        <item x="1822"/>
        <item x="1486"/>
        <item x="793"/>
        <item x="2279"/>
        <item x="1647"/>
        <item x="1878"/>
        <item x="617"/>
        <item x="1183"/>
        <item x="811"/>
        <item x="1749"/>
        <item x="540"/>
        <item x="2570"/>
        <item x="942"/>
        <item x="1229"/>
        <item x="189"/>
        <item x="859"/>
        <item x="1641"/>
        <item x="907"/>
        <item x="1124"/>
        <item x="2460"/>
        <item x="705"/>
        <item x="2396"/>
        <item x="710"/>
        <item x="505"/>
        <item x="2058"/>
        <item x="1071"/>
        <item x="364"/>
        <item x="2475"/>
        <item x="2488"/>
        <item x="887"/>
        <item x="1269"/>
        <item x="598"/>
        <item x="2405"/>
        <item x="508"/>
        <item x="2214"/>
        <item x="2078"/>
        <item x="2005"/>
        <item x="241"/>
        <item x="2548"/>
        <item x="2423"/>
        <item x="132"/>
        <item x="1259"/>
        <item x="1361"/>
        <item x="1803"/>
        <item x="2469"/>
        <item x="2575"/>
        <item x="1170"/>
        <item x="2581"/>
        <item x="1495"/>
        <item x="1128"/>
        <item x="139"/>
        <item x="1396"/>
        <item x="2325"/>
        <item x="2561"/>
        <item x="2022"/>
        <item x="1470"/>
        <item x="1662"/>
        <item x="2418"/>
        <item x="1052"/>
        <item x="904"/>
        <item x="591"/>
        <item x="1658"/>
        <item x="1689"/>
        <item x="1935"/>
        <item x="1129"/>
        <item x="984"/>
        <item x="2238"/>
        <item x="1258"/>
        <item x="1959"/>
        <item x="42"/>
        <item x="324"/>
        <item x="2068"/>
        <item x="2399"/>
        <item x="501"/>
        <item x="1084"/>
        <item x="1153"/>
        <item x="1646"/>
        <item x="1078"/>
        <item x="1251"/>
        <item x="652"/>
        <item x="2060"/>
        <item x="2072"/>
        <item x="1357"/>
        <item x="1493"/>
        <item x="1100"/>
        <item x="1941"/>
        <item x="339"/>
        <item x="1882"/>
        <item x="960"/>
        <item x="532"/>
        <item x="294"/>
        <item x="1070"/>
        <item x="882"/>
        <item x="1611"/>
        <item x="1377"/>
        <item x="867"/>
        <item x="878"/>
        <item x="717"/>
        <item x="707"/>
        <item x="171"/>
        <item x="1088"/>
        <item x="527"/>
        <item x="440"/>
        <item x="958"/>
        <item x="1622"/>
        <item x="1300"/>
        <item x="59"/>
        <item x="797"/>
        <item x="1813"/>
        <item x="1189"/>
        <item x="1681"/>
        <item x="917"/>
        <item x="756"/>
        <item x="2434"/>
        <item x="686"/>
        <item x="419"/>
        <item x="2519"/>
        <item x="649"/>
        <item x="75"/>
        <item x="2123"/>
        <item x="695"/>
        <item x="429"/>
        <item x="636"/>
        <item x="980"/>
        <item x="1270"/>
        <item x="2547"/>
        <item x="1171"/>
        <item x="157"/>
        <item x="253"/>
        <item x="2130"/>
        <item x="1359"/>
        <item x="2065"/>
        <item x="1610"/>
        <item x="1994"/>
        <item x="1224"/>
        <item x="848"/>
        <item x="1028"/>
        <item x="504"/>
        <item x="1648"/>
        <item x="662"/>
        <item x="1463"/>
        <item x="366"/>
        <item x="629"/>
        <item x="150"/>
        <item x="2015"/>
        <item x="1963"/>
        <item x="395"/>
        <item x="1105"/>
        <item x="183"/>
        <item x="1759"/>
        <item x="1445"/>
        <item x="1503"/>
        <item x="1700"/>
        <item x="258"/>
        <item x="2476"/>
        <item x="1307"/>
        <item x="14"/>
        <item x="83"/>
        <item x="503"/>
        <item x="1060"/>
        <item x="1876"/>
        <item x="1704"/>
        <item x="1533"/>
        <item x="805"/>
        <item x="2313"/>
        <item x="342"/>
        <item x="595"/>
        <item x="300"/>
        <item x="226"/>
        <item x="11"/>
        <item x="841"/>
        <item x="1676"/>
        <item x="298"/>
        <item x="113"/>
        <item x="2157"/>
        <item x="2412"/>
        <item x="1750"/>
        <item x="2567"/>
        <item x="1798"/>
        <item x="1678"/>
        <item x="336"/>
        <item x="2486"/>
        <item x="2336"/>
        <item x="2587"/>
        <item x="2576"/>
        <item x="2309"/>
        <item x="721"/>
        <item x="2063"/>
        <item x="511"/>
        <item x="2565"/>
        <item x="543"/>
        <item x="1701"/>
        <item x="341"/>
        <item x="130"/>
        <item x="1900"/>
        <item x="857"/>
        <item x="572"/>
        <item x="1590"/>
        <item x="1929"/>
        <item x="970"/>
        <item x="343"/>
        <item x="17"/>
        <item x="1716"/>
        <item x="1923"/>
        <item x="825"/>
        <item x="60"/>
        <item x="2038"/>
        <item x="702"/>
        <item x="1192"/>
        <item x="396"/>
        <item x="281"/>
        <item x="1423"/>
        <item x="801"/>
        <item x="767"/>
        <item x="1714"/>
        <item x="316"/>
        <item x="712"/>
        <item x="2008"/>
        <item x="1851"/>
        <item x="289"/>
        <item x="1657"/>
        <item x="15"/>
        <item x="2385"/>
        <item x="1778"/>
        <item x="2133"/>
        <item x="1513"/>
        <item x="774"/>
        <item x="2459"/>
        <item x="2236"/>
        <item x="1015"/>
        <item x="555"/>
        <item x="2070"/>
        <item x="1858"/>
        <item x="1965"/>
        <item x="2411"/>
        <item x="634"/>
        <item x="1254"/>
        <item x="1375"/>
        <item x="2153"/>
        <item x="1753"/>
        <item x="180"/>
        <item x="53"/>
        <item x="2427"/>
        <item x="2082"/>
        <item x="2192"/>
        <item x="88"/>
        <item x="1147"/>
        <item x="1145"/>
        <item x="1242"/>
        <item x="1995"/>
        <item x="821"/>
        <item x="889"/>
        <item x="1004"/>
        <item x="877"/>
        <item x="1438"/>
        <item x="1228"/>
        <item x="2275"/>
        <item x="927"/>
        <item x="1540"/>
        <item x="1850"/>
        <item x="73"/>
        <item x="187"/>
        <item x="2498"/>
        <item x="2204"/>
        <item x="1353"/>
        <item x="1326"/>
        <item x="790"/>
        <item x="1150"/>
        <item x="1655"/>
        <item x="1817"/>
        <item x="2240"/>
        <item x="1201"/>
        <item x="1308"/>
        <item x="1152"/>
        <item x="1652"/>
        <item x="2128"/>
        <item x="1527"/>
        <item x="1770"/>
        <item x="985"/>
        <item x="7"/>
        <item x="104"/>
        <item x="25"/>
        <item x="1949"/>
        <item x="2551"/>
        <item x="245"/>
        <item x="246"/>
        <item x="1033"/>
        <item x="1392"/>
        <item x="769"/>
        <item x="535"/>
        <item x="262"/>
        <item x="2388"/>
        <item x="182"/>
        <item x="1314"/>
        <item x="1391"/>
        <item x="436"/>
        <item x="2571"/>
        <item x="1098"/>
        <item x="909"/>
        <item x="1333"/>
        <item x="58"/>
        <item x="9"/>
        <item x="2440"/>
        <item x="1206"/>
        <item x="2134"/>
        <item x="1454"/>
        <item x="789"/>
        <item x="1690"/>
        <item x="1236"/>
        <item x="975"/>
        <item x="1814"/>
        <item x="18"/>
        <item x="2372"/>
        <item x="635"/>
        <item x="1151"/>
        <item x="2452"/>
        <item x="1125"/>
        <item x="640"/>
        <item x="570"/>
        <item x="2126"/>
        <item x="402"/>
        <item x="2321"/>
        <item x="864"/>
        <item x="1488"/>
        <item x="1390"/>
        <item x="1852"/>
        <item x="806"/>
        <item x="1825"/>
        <item x="819"/>
        <item x="2235"/>
        <item x="737"/>
        <item x="1406"/>
        <item x="1840"/>
        <item x="56"/>
        <item x="1984"/>
        <item x="893"/>
        <item x="1769"/>
        <item x="1692"/>
        <item x="1643"/>
        <item x="2588"/>
        <item x="2253"/>
        <item x="303"/>
        <item x="1909"/>
        <item x="61"/>
        <item x="1219"/>
        <item x="950"/>
        <item x="2520"/>
        <item x="1606"/>
        <item x="731"/>
        <item x="799"/>
        <item x="541"/>
        <item x="604"/>
        <item x="76"/>
        <item x="2375"/>
        <item x="435"/>
        <item x="1508"/>
        <item x="2237"/>
        <item x="2303"/>
        <item x="548"/>
        <item x="1796"/>
        <item x="265"/>
        <item x="1405"/>
        <item x="1476"/>
        <item x="530"/>
        <item x="1048"/>
        <item x="1976"/>
        <item x="1550"/>
        <item x="1027"/>
        <item x="1560"/>
        <item x="64"/>
        <item x="654"/>
        <item x="757"/>
        <item x="2532"/>
        <item x="520"/>
        <item x="1286"/>
        <item x="41"/>
        <item x="488"/>
        <item x="2213"/>
        <item x="2356"/>
        <item x="1665"/>
        <item x="1453"/>
        <item x="1213"/>
        <item x="1106"/>
        <item x="1677"/>
        <item x="2168"/>
        <item x="2200"/>
        <item x="433"/>
        <item x="239"/>
        <item x="2162"/>
        <item x="978"/>
        <item x="563"/>
        <item x="293"/>
        <item x="2196"/>
        <item x="2125"/>
        <item x="2478"/>
        <item x="2031"/>
        <item x="1365"/>
        <item x="1017"/>
        <item x="1268"/>
        <item x="973"/>
        <item x="583"/>
        <item x="319"/>
        <item x="2141"/>
        <item x="280"/>
        <item x="1271"/>
        <item x="120"/>
        <item x="2438"/>
        <item x="991"/>
        <item x="12"/>
        <item x="1272"/>
        <item x="1246"/>
        <item x="2054"/>
        <item x="99"/>
        <item x="2114"/>
        <item x="1582"/>
        <item x="2451"/>
        <item x="1065"/>
        <item x="2182"/>
        <item x="1930"/>
        <item x="1316"/>
        <item x="2368"/>
        <item x="203"/>
        <item x="1776"/>
        <item x="1095"/>
        <item x="191"/>
        <item x="2077"/>
        <item x="1859"/>
        <item x="169"/>
        <item x="1698"/>
        <item x="1207"/>
        <item x="1412"/>
        <item x="2496"/>
        <item x="355"/>
        <item x="645"/>
        <item x="1877"/>
        <item x="31"/>
        <item x="205"/>
        <item x="646"/>
        <item x="2470"/>
        <item x="1506"/>
        <item x="2383"/>
        <item x="1595"/>
        <item x="1561"/>
        <item x="427"/>
        <item x="1669"/>
        <item x="270"/>
        <item x="1240"/>
        <item x="1249"/>
        <item x="210"/>
        <item x="123"/>
        <item x="1442"/>
        <item x="928"/>
        <item x="742"/>
        <item x="322"/>
        <item x="1514"/>
        <item x="680"/>
        <item x="167"/>
        <item x="283"/>
        <item x="2480"/>
        <item x="2269"/>
        <item x="2283"/>
        <item x="1452"/>
        <item x="1364"/>
        <item x="2254"/>
        <item x="81"/>
        <item x="713"/>
        <item x="1584"/>
        <item x="2297"/>
        <item x="1343"/>
        <item x="1897"/>
        <item x="2243"/>
        <item x="478"/>
        <item x="311"/>
        <item x="338"/>
        <item x="1920"/>
        <item x="2051"/>
        <item x="600"/>
        <item x="929"/>
        <item x="2526"/>
        <item x="761"/>
        <item x="222"/>
        <item x="1635"/>
        <item x="495"/>
        <item x="545"/>
        <item x="1834"/>
        <item x="2560"/>
        <item x="234"/>
        <item x="389"/>
        <item x="711"/>
        <item x="10"/>
        <item x="1418"/>
        <item x="1327"/>
        <item x="329"/>
        <item x="2028"/>
        <item x="2456"/>
        <item x="1569"/>
        <item x="2358"/>
        <item x="2474"/>
        <item x="383"/>
        <item x="580"/>
        <item x="2016"/>
        <item x="21"/>
        <item x="1096"/>
        <item x="181"/>
        <item x="1537"/>
        <item x="1342"/>
        <item x="2307"/>
        <item x="1283"/>
        <item x="346"/>
        <item x="1551"/>
        <item x="1592"/>
        <item x="477"/>
        <item x="1763"/>
        <item x="787"/>
        <item x="1009"/>
        <item x="1895"/>
        <item x="1594"/>
        <item x="839"/>
        <item x="1032"/>
        <item x="1385"/>
        <item x="1063"/>
        <item x="177"/>
        <item x="2073"/>
        <item x="653"/>
        <item x="651"/>
        <item x="2276"/>
        <item x="772"/>
        <item x="749"/>
        <item x="434"/>
        <item x="1742"/>
        <item x="26"/>
        <item x="888"/>
        <item x="778"/>
        <item x="92"/>
        <item x="323"/>
        <item x="2159"/>
        <item x="1545"/>
        <item x="461"/>
        <item x="2515"/>
        <item x="2040"/>
        <item x="2503"/>
        <item x="562"/>
        <item x="2425"/>
        <item x="138"/>
        <item x="553"/>
        <item x="697"/>
        <item x="1914"/>
        <item x="2296"/>
        <item x="40"/>
        <item x="1104"/>
        <item x="1562"/>
        <item x="1538"/>
        <item x="1722"/>
        <item x="215"/>
        <item x="2055"/>
        <item x="1720"/>
        <item x="1024"/>
        <item x="665"/>
        <item x="2371"/>
        <item x="2137"/>
        <item x="2188"/>
        <item x="155"/>
        <item x="2395"/>
        <item x="1790"/>
        <item x="1155"/>
        <item x="1461"/>
        <item x="1621"/>
        <item x="1421"/>
        <item x="1715"/>
        <item x="2234"/>
        <item x="2094"/>
        <item x="925"/>
        <item x="1487"/>
        <item x="1644"/>
        <item x="1765"/>
        <item x="2373"/>
        <item x="939"/>
        <item x="2000"/>
        <item x="2206"/>
        <item x="986"/>
        <item x="1168"/>
        <item x="855"/>
        <item x="1828"/>
        <item x="2379"/>
        <item x="2093"/>
        <item x="2573"/>
        <item x="1233"/>
        <item x="2160"/>
        <item x="687"/>
        <item x="397"/>
        <item x="1369"/>
        <item x="2256"/>
        <item x="714"/>
        <item x="1332"/>
        <item x="1762"/>
        <item x="1016"/>
        <item x="314"/>
        <item x="951"/>
        <item x="2499"/>
        <item x="1351"/>
        <item x="1415"/>
        <item x="1022"/>
        <item x="2322"/>
        <item x="1160"/>
        <item x="486"/>
        <item x="304"/>
        <item x="1515"/>
        <item x="449"/>
        <item x="2131"/>
        <item x="1523"/>
        <item x="858"/>
        <item x="1053"/>
        <item x="468"/>
        <item x="2286"/>
        <item x="979"/>
        <item x="305"/>
        <item x="1400"/>
        <item x="930"/>
        <item x="96"/>
        <item x="1951"/>
        <item x="900"/>
        <item x="2500"/>
        <item x="309"/>
        <item x="175"/>
        <item x="2144"/>
        <item x="1751"/>
        <item x="1339"/>
        <item x="1604"/>
        <item x="2224"/>
        <item x="2415"/>
        <item x="1169"/>
        <item x="1946"/>
        <item x="87"/>
        <item x="2340"/>
        <item x="1345"/>
        <item x="2166"/>
        <item x="601"/>
        <item x="458"/>
        <item x="1688"/>
        <item x="810"/>
        <item x="2041"/>
        <item x="1455"/>
        <item x="2147"/>
        <item x="1730"/>
        <item x="1627"/>
        <item x="2329"/>
        <item x="307"/>
        <item x="1018"/>
        <item x="367"/>
        <item x="1097"/>
        <item x="1051"/>
        <item x="2266"/>
        <item x="2525"/>
        <item x="1161"/>
        <item x="1003"/>
        <item x="1781"/>
        <item x="1556"/>
        <item x="2583"/>
        <item x="112"/>
        <item x="1666"/>
        <item x="981"/>
        <item x="224"/>
        <item x="2416"/>
        <item x="1477"/>
        <item x="758"/>
        <item x="1296"/>
        <item x="16"/>
        <item x="507"/>
        <item x="1082"/>
        <item x="748"/>
        <item x="502"/>
        <item x="2389"/>
        <item x="2212"/>
        <item x="43"/>
        <item x="2053"/>
        <item x="1891"/>
        <item x="556"/>
        <item x="1234"/>
        <item x="734"/>
        <item x="1907"/>
        <item x="1304"/>
        <item x="923"/>
        <item x="2555"/>
        <item x="1499"/>
        <item x="2430"/>
        <item x="1902"/>
        <item x="455"/>
        <item x="1721"/>
        <item x="2161"/>
        <item x="1820"/>
        <item x="1132"/>
        <item x="2366"/>
        <item x="2285"/>
        <item x="1273"/>
        <item x="2113"/>
        <item x="30"/>
        <item x="2544"/>
        <item x="2205"/>
        <item x="2264"/>
        <item x="559"/>
        <item x="785"/>
        <item x="451"/>
        <item x="1335"/>
        <item x="2211"/>
        <item x="812"/>
        <item x="469"/>
        <item x="2001"/>
        <item x="1812"/>
        <item x="403"/>
        <item x="875"/>
        <item x="1010"/>
        <item x="2287"/>
        <item x="1058"/>
        <item x="1193"/>
        <item x="1220"/>
        <item x="706"/>
        <item x="2521"/>
        <item x="1297"/>
        <item x="546"/>
        <item x="163"/>
        <item x="381"/>
        <item x="1214"/>
        <item x="156"/>
        <item x="815"/>
        <item x="1081"/>
        <item x="952"/>
        <item x="735"/>
        <item x="1256"/>
        <item x="1764"/>
        <item x="1156"/>
        <item x="716"/>
        <item x="954"/>
        <item x="2107"/>
        <item x="880"/>
        <item x="193"/>
        <item x="912"/>
        <item x="1831"/>
        <item x="133"/>
        <item x="2052"/>
        <item x="832"/>
        <item x="1525"/>
        <item x="363"/>
        <item x="743"/>
        <item x="514"/>
        <item x="2295"/>
        <item x="306"/>
        <item x="129"/>
        <item x="1090"/>
        <item x="127"/>
        <item x="1546"/>
        <item x="1857"/>
        <item x="1866"/>
        <item x="2465"/>
        <item x="2100"/>
        <item x="1107"/>
        <item x="5"/>
        <item x="2348"/>
        <item x="655"/>
        <item x="955"/>
        <item x="1654"/>
        <item x="2004"/>
        <item x="1175"/>
        <item x="2453"/>
        <item x="1363"/>
        <item x="676"/>
        <item x="1176"/>
        <item x="1142"/>
        <item x="1864"/>
        <item x="2302"/>
        <item x="2084"/>
        <item x="1740"/>
        <item x="1230"/>
        <item x="1413"/>
        <item x="1977"/>
        <item x="1376"/>
        <item x="2536"/>
        <item x="370"/>
        <item x="1370"/>
        <item x="775"/>
        <item x="1134"/>
        <item x="537"/>
        <item x="876"/>
        <item x="1117"/>
        <item x="2334"/>
        <item x="2259"/>
        <item x="3"/>
        <item x="417"/>
        <item x="1464"/>
        <item x="2491"/>
        <item x="1038"/>
        <item x="295"/>
        <item x="851"/>
        <item x="1940"/>
        <item x="2376"/>
        <item x="32"/>
        <item x="715"/>
        <item x="1531"/>
        <item x="168"/>
        <item x="550"/>
        <item x="616"/>
        <item x="1013"/>
        <item x="1792"/>
        <item x="1274"/>
        <item x="374"/>
        <item x="1528"/>
        <item x="820"/>
        <item x="768"/>
        <item x="194"/>
        <item x="830"/>
        <item x="231"/>
        <item x="1684"/>
        <item x="1103"/>
        <item x="664"/>
        <item x="1624"/>
        <item x="1436"/>
        <item x="498"/>
        <item x="2330"/>
        <item x="1252"/>
        <item x="1614"/>
        <item x="308"/>
        <item x="834"/>
        <item x="1225"/>
        <item x="1534"/>
        <item x="1203"/>
        <item x="2553"/>
        <item x="2442"/>
        <item x="352"/>
        <item x="2246"/>
        <item x="690"/>
        <item x="605"/>
        <item x="1284"/>
        <item x="1180"/>
        <item x="1516"/>
        <item x="1157"/>
        <item x="1039"/>
        <item x="472"/>
        <item x="1446"/>
        <item x="1588"/>
        <item x="1196"/>
        <item x="1734"/>
        <item x="698"/>
        <item x="288"/>
        <item x="93"/>
        <item x="267"/>
        <item x="2437"/>
        <item x="552"/>
        <item x="1933"/>
        <item x="856"/>
        <item x="414"/>
        <item x="387"/>
        <item x="1465"/>
        <item x="1733"/>
        <item x="607"/>
        <item x="122"/>
        <item x="776"/>
        <item x="2165"/>
        <item x="420"/>
        <item x="1574"/>
        <item x="1050"/>
        <item x="596"/>
        <item x="1837"/>
        <item x="195"/>
        <item x="219"/>
        <item x="933"/>
        <item x="962"/>
        <item x="1645"/>
        <item x="1985"/>
        <item x="519"/>
        <item x="987"/>
        <item x="2198"/>
        <item x="1794"/>
        <item x="850"/>
        <item x="803"/>
        <item x="2308"/>
        <item x="2408"/>
        <item x="1675"/>
        <item x="862"/>
        <item x="299"/>
        <item x="1818"/>
        <item x="1719"/>
        <item x="1847"/>
        <item x="1694"/>
        <item x="2557"/>
        <item x="1575"/>
        <item x="1118"/>
        <item x="1597"/>
        <item x="1394"/>
        <item x="0"/>
        <item x="916"/>
        <item x="1593"/>
        <item x="1576"/>
        <item x="1243"/>
        <item x="2540"/>
        <item x="2143"/>
        <item x="201"/>
        <item x="54"/>
        <item x="1210"/>
        <item x="431"/>
        <item x="1144"/>
        <item x="784"/>
        <item x="770"/>
        <item x="2193"/>
        <item x="2413"/>
        <item x="1194"/>
        <item x="561"/>
        <item x="1836"/>
        <item x="2232"/>
        <item x="1086"/>
        <item x="993"/>
        <item x="1466"/>
        <item x="2043"/>
        <item x="2531"/>
        <item x="671"/>
        <item x="1854"/>
        <item x="2542"/>
        <item x="2316"/>
        <item x="926"/>
        <item x="1139"/>
        <item x="2457"/>
        <item x="945"/>
        <item x="932"/>
        <item x="1159"/>
        <item x="421"/>
        <item x="424"/>
        <item x="1204"/>
        <item x="2025"/>
        <item x="2345"/>
        <item x="802"/>
        <item x="412"/>
        <item x="2227"/>
        <item x="1309"/>
        <item x="1810"/>
        <item x="109"/>
        <item x="315"/>
        <item x="6"/>
        <item x="425"/>
        <item x="2324"/>
        <item x="2362"/>
        <item x="409"/>
        <item x="98"/>
        <item x="1440"/>
        <item x="179"/>
        <item x="134"/>
        <item x="1726"/>
        <item x="2558"/>
        <item x="822"/>
        <item x="2258"/>
        <item x="517"/>
        <item x="647"/>
        <item x="1426"/>
        <item x="1577"/>
        <item x="63"/>
        <item x="2559"/>
        <item x="1887"/>
        <item x="1565"/>
        <item x="1971"/>
        <item x="1472"/>
        <item x="538"/>
        <item x="2152"/>
        <item x="1685"/>
        <item x="1785"/>
        <item x="835"/>
        <item x="1906"/>
        <item x="1346"/>
        <item x="2158"/>
        <item x="1"/>
        <item x="1313"/>
        <item x="1247"/>
        <item x="1238"/>
        <item x="2247"/>
        <item x="1074"/>
        <item x="320"/>
        <item x="2493"/>
        <item x="2589"/>
        <item x="773"/>
        <item x="1922"/>
        <item x="529"/>
        <item x="849"/>
        <item x="1970"/>
        <item x="2220"/>
        <item x="445"/>
        <item x="1352"/>
        <item x="2394"/>
        <item x="1241"/>
        <item x="2549"/>
        <item x="1710"/>
        <item x="672"/>
        <item x="2487"/>
        <item x="1737"/>
        <item x="718"/>
        <item x="1693"/>
        <item x="68"/>
        <item x="2441"/>
        <item x="1067"/>
        <item x="2346"/>
        <item x="760"/>
        <item x="213"/>
        <item x="689"/>
        <item x="2231"/>
        <item x="392"/>
        <item x="318"/>
        <item x="1395"/>
        <item x="964"/>
        <item x="1879"/>
        <item x="443"/>
        <item x="2501"/>
        <item x="1378"/>
        <item x="2577"/>
        <item x="2568"/>
        <item x="2550"/>
        <item x="1102"/>
        <item x="557"/>
        <item x="46"/>
        <item x="791"/>
        <item x="1888"/>
        <item x="2466"/>
        <item x="1855"/>
        <item x="722"/>
        <item x="1460"/>
        <item x="1829"/>
        <item x="2222"/>
        <item x="2449"/>
        <item x="957"/>
        <item x="1275"/>
        <item x="1379"/>
        <item x="236"/>
        <item x="1952"/>
        <item x="1718"/>
        <item x="736"/>
        <item x="1130"/>
        <item x="1126"/>
        <item x="119"/>
        <item x="901"/>
        <item x="1205"/>
        <item x="677"/>
        <item x="386"/>
        <item x="2274"/>
        <item x="1195"/>
        <item x="418"/>
        <item x="2339"/>
        <item x="2101"/>
        <item x="852"/>
        <item x="1330"/>
        <item x="777"/>
        <item x="404"/>
        <item x="1182"/>
        <item x="371"/>
        <item x="1997"/>
        <item x="301"/>
        <item x="359"/>
        <item x="2545"/>
        <item x="1784"/>
        <item x="1449"/>
        <item x="643"/>
        <item x="1620"/>
        <item x="128"/>
        <item x="1788"/>
        <item x="1680"/>
        <item x="268"/>
        <item x="1625"/>
        <item x="1504"/>
        <item x="750"/>
        <item x="1801"/>
        <item x="1605"/>
        <item x="453"/>
        <item x="668"/>
        <item x="1231"/>
        <item x="1164"/>
        <item x="2171"/>
        <item x="611"/>
        <item x="657"/>
        <item x="464"/>
        <item x="2529"/>
        <item x="2066"/>
        <item x="2369"/>
        <item x="1815"/>
        <item x="1475"/>
        <item x="204"/>
        <item x="1752"/>
        <item x="905"/>
        <item x="172"/>
        <item x="2585"/>
        <item x="911"/>
        <item x="1085"/>
        <item x="2170"/>
        <item x="1990"/>
        <item x="2364"/>
        <item x="1619"/>
        <item x="963"/>
        <item x="36"/>
        <item x="2048"/>
        <item x="385"/>
        <item x="1211"/>
        <item x="1433"/>
        <item x="1276"/>
        <item x="136"/>
        <item x="2169"/>
        <item x="220"/>
        <item x="475"/>
        <item x="227"/>
        <item x="2110"/>
        <item x="135"/>
        <item x="524"/>
        <item x="206"/>
        <item x="1567"/>
        <item x="143"/>
        <item x="1738"/>
        <item x="1239"/>
        <item x="1069"/>
        <item x="1265"/>
        <item x="1568"/>
        <item x="1172"/>
        <item x="1505"/>
        <item x="2150"/>
        <item x="1628"/>
        <item x="906"/>
        <item x="1931"/>
        <item x="2174"/>
        <item x="1844"/>
        <item x="178"/>
        <item x="2390"/>
        <item x="1786"/>
        <item x="1679"/>
        <item x="648"/>
        <item x="622"/>
        <item x="941"/>
        <item x="467"/>
        <item x="487"/>
        <item x="2167"/>
        <item x="1419"/>
        <item x="1861"/>
        <item x="1819"/>
        <item x="860"/>
        <item x="1212"/>
        <item x="2288"/>
        <item x="2191"/>
        <item x="1739"/>
        <item x="1524"/>
        <item x="1148"/>
        <item x="2124"/>
        <item x="612"/>
        <item x="1969"/>
        <item x="1232"/>
        <item x="2350"/>
        <item x="744"/>
        <item x="525"/>
        <item x="996"/>
        <item x="1890"/>
        <item x="2074"/>
        <item x="2444"/>
        <item x="2538"/>
        <item x="100"/>
        <item x="2556"/>
        <item x="920"/>
        <item x="615"/>
        <item x="1310"/>
        <item x="1535"/>
        <item x="2132"/>
        <item x="1311"/>
        <item x="1043"/>
        <item x="1414"/>
        <item x="1783"/>
        <item x="1892"/>
        <item x="1755"/>
        <item x="1317"/>
        <item x="910"/>
        <item x="512"/>
        <item x="1651"/>
        <item x="585"/>
        <item x="1450"/>
        <item x="921"/>
        <item x="871"/>
        <item x="809"/>
        <item x="2403"/>
        <item x="146"/>
        <item x="956"/>
        <item x="2248"/>
        <item x="1146"/>
        <item x="2108"/>
        <item x="961"/>
        <item x="1451"/>
        <item x="1354"/>
        <item x="844"/>
        <item x="1119"/>
        <item x="2187"/>
        <item x="1958"/>
        <item x="1937"/>
        <item x="2582"/>
        <item x="2343"/>
        <item x="919"/>
        <item x="291"/>
        <item x="1612"/>
        <item x="2080"/>
        <item x="24"/>
        <item x="1511"/>
        <item x="1110"/>
        <item x="2533"/>
        <item x="762"/>
        <item x="1697"/>
        <item x="1410"/>
        <item x="2305"/>
        <item x="1007"/>
        <item x="1536"/>
        <item x="101"/>
        <item x="2149"/>
        <item x="2409"/>
        <item x="1583"/>
        <item x="2289"/>
        <item x="1140"/>
        <item x="2518"/>
        <item x="1305"/>
        <item x="248"/>
        <item x="666"/>
        <item x="51"/>
        <item x="170"/>
        <item x="766"/>
        <item x="33"/>
        <item x="578"/>
        <item x="2002"/>
        <item x="515"/>
        <item x="510"/>
        <item x="446"/>
        <item x="1340"/>
        <item x="542"/>
        <item x="1008"/>
        <item x="1603"/>
        <item x="1471"/>
        <item x="2505"/>
        <item x="1972"/>
        <item x="1547"/>
        <item x="2185"/>
        <item x="2314"/>
        <item x="1578"/>
        <item x="1629"/>
        <item x="2282"/>
        <item x="1217"/>
        <item x="1021"/>
        <item x="1757"/>
        <item x="678"/>
        <item x="884"/>
        <item x="1615"/>
        <item x="1989"/>
        <item x="2435"/>
        <item x="521"/>
        <item x="1267"/>
        <item x="1667"/>
        <item x="225"/>
        <item x="1158"/>
        <item x="437"/>
        <item x="1743"/>
        <item x="2029"/>
        <item x="2277"/>
        <item x="1031"/>
        <item x="1496"/>
        <item x="430"/>
        <item x="2037"/>
        <item x="2332"/>
        <item x="240"/>
        <item x="1079"/>
        <item x="400"/>
        <item x="699"/>
        <item x="2477"/>
        <item x="946"/>
        <item x="1362"/>
        <item x="2241"/>
        <item x="2252"/>
        <item x="79"/>
        <item x="484"/>
        <item x="953"/>
        <item x="1585"/>
        <item x="2183"/>
        <item x="1248"/>
        <item x="885"/>
        <item x="1766"/>
        <item x="990"/>
        <item x="1966"/>
        <item x="2105"/>
        <item x="597"/>
        <item x="247"/>
        <item x="1846"/>
        <item x="27"/>
        <item x="2315"/>
        <item x="753"/>
        <item x="1903"/>
        <item x="1581"/>
        <item x="2111"/>
        <item x="1599"/>
        <item x="1948"/>
        <item x="491"/>
        <item x="620"/>
        <item x="569"/>
        <item x="2494"/>
        <item x="539"/>
        <item x="826"/>
        <item x="2580"/>
        <item x="1114"/>
        <item x="2139"/>
        <item x="1221"/>
        <item x="1431"/>
        <item x="321"/>
        <item x="1181"/>
        <item x="2233"/>
        <item x="2071"/>
        <item x="1860"/>
        <item x="1862"/>
        <item x="481"/>
        <item x="603"/>
        <item x="1782"/>
        <item x="1626"/>
        <item x="2347"/>
        <item x="444"/>
        <item x="1821"/>
        <item x="2392"/>
        <item x="108"/>
        <item x="1036"/>
        <item x="883"/>
        <item x="1793"/>
        <item x="66"/>
        <item x="602"/>
        <item x="2473"/>
        <item x="1672"/>
        <item x="1981"/>
        <item x="391"/>
        <item x="442"/>
        <item x="2291"/>
        <item x="2120"/>
        <item x="35"/>
        <item x="1638"/>
        <item x="20"/>
        <item x="641"/>
        <item x="872"/>
        <item x="2363"/>
        <item x="37"/>
        <item x="2173"/>
        <item x="1756"/>
        <item x="351"/>
        <item x="1683"/>
        <item x="2365"/>
        <item x="111"/>
        <item x="29"/>
        <item x="1530"/>
        <item x="1237"/>
        <item x="174"/>
        <item x="256"/>
        <item x="273"/>
        <item x="2509"/>
        <item x="1875"/>
        <item x="1787"/>
        <item x="1686"/>
        <item x="691"/>
        <item x="1791"/>
        <item x="1779"/>
        <item x="1744"/>
        <item x="1329"/>
        <item x="560"/>
        <item x="2228"/>
        <item x="2508"/>
        <item x="2431"/>
        <item x="865"/>
        <item x="1002"/>
        <item x="441"/>
        <item x="199"/>
        <item x="1014"/>
        <item x="1894"/>
        <item x="827"/>
        <item x="1328"/>
        <item x="1112"/>
        <item x="1634"/>
        <item x="347"/>
        <item x="1773"/>
        <item x="188"/>
        <item x="2516"/>
        <item x="1630"/>
        <item x="1319"/>
        <item x="2226"/>
        <item x="1178"/>
        <item x="947"/>
        <item x="1374"/>
        <item x="285"/>
        <item x="1199"/>
        <item x="344"/>
        <item x="251"/>
        <item x="332"/>
        <item x="723"/>
        <item x="1881"/>
        <item x="874"/>
        <item x="160"/>
        <item x="257"/>
        <item x="496"/>
        <item x="394"/>
        <item x="141"/>
        <item x="1279"/>
        <item x="2223"/>
        <item x="126"/>
        <item x="845"/>
        <item x="1373"/>
        <item x="1226"/>
        <item x="2007"/>
        <item x="2208"/>
        <item x="1277"/>
        <item x="588"/>
        <item x="1708"/>
        <item x="630"/>
        <item x="1899"/>
        <item x="428"/>
        <item x="1543"/>
        <item x="1517"/>
        <item x="426"/>
        <item x="2260"/>
        <item x="361"/>
        <item x="1653"/>
        <item x="1926"/>
        <item x="1481"/>
        <item x="1650"/>
        <item x="44"/>
        <item x="49"/>
        <item x="2428"/>
        <item x="1939"/>
        <item x="2391"/>
        <item x="684"/>
        <item x="1482"/>
        <item x="1216"/>
        <item x="67"/>
        <item x="463"/>
        <item x="817"/>
        <item x="751"/>
        <item x="1285"/>
        <item x="2049"/>
        <item x="2524"/>
        <item x="118"/>
        <item x="1961"/>
        <item x="2047"/>
        <item x="1083"/>
        <item x="2278"/>
        <item x="1849"/>
        <item x="337"/>
        <item x="450"/>
        <item x="432"/>
        <item x="1904"/>
        <item x="254"/>
        <item x="675"/>
        <item x="2250"/>
        <item x="1980"/>
        <item x="2301"/>
        <item x="2351"/>
        <item x="2069"/>
        <item x="1548"/>
        <item x="161"/>
        <item x="317"/>
        <item x="1483"/>
        <item x="1962"/>
        <item x="594"/>
        <item x="2209"/>
        <item x="1403"/>
        <item x="745"/>
        <item x="1089"/>
        <item x="1838"/>
        <item x="1631"/>
        <item x="1491"/>
        <item x="613"/>
        <item x="1075"/>
        <item x="2352"/>
        <item x="2104"/>
        <item x="1974"/>
        <item x="2011"/>
        <item x="804"/>
        <item x="2085"/>
        <item x="1967"/>
        <item x="1927"/>
        <item x="348"/>
        <item x="2062"/>
        <item x="2009"/>
        <item x="2207"/>
        <item x="330"/>
        <item x="1371"/>
        <item x="2019"/>
        <item x="2397"/>
        <item x="1826"/>
        <item x="228"/>
        <item x="2201"/>
        <item x="1529"/>
        <item x="2026"/>
        <item x="1467"/>
        <item x="1138"/>
        <item x="1019"/>
        <item x="1092"/>
        <item x="493"/>
        <item x="2251"/>
        <item x="1663"/>
        <item x="103"/>
        <item x="2481"/>
        <item x="1484"/>
        <item x="1218"/>
        <item x="1542"/>
        <item x="1945"/>
        <item x="1736"/>
        <item x="1120"/>
        <item x="765"/>
        <item x="780"/>
        <item x="153"/>
        <item x="70"/>
        <item x="1044"/>
        <item x="1001"/>
        <item x="2564"/>
        <item x="549"/>
        <item x="2138"/>
        <item x="506"/>
        <item x="1845"/>
        <item x="2310"/>
        <item x="2590"/>
        <item x="2156"/>
        <item x="1872"/>
        <item x="1642"/>
        <item x="1093"/>
        <item x="794"/>
        <item x="831"/>
        <item x="1384"/>
        <item x="881"/>
        <item x="1553"/>
        <item x="918"/>
        <item x="2272"/>
        <item x="2432"/>
        <item x="218"/>
        <item x="1441"/>
        <item x="631"/>
        <item x="1280"/>
        <item x="863"/>
        <item x="1957"/>
        <item x="1706"/>
        <item x="584"/>
        <item x="2086"/>
        <item x="937"/>
        <item x="184"/>
        <item x="1108"/>
        <item x="1167"/>
        <item x="2090"/>
        <item x="50"/>
        <item x="868"/>
        <item x="117"/>
        <item x="1868"/>
        <item x="2215"/>
        <item x="2255"/>
        <item x="65"/>
        <item x="2046"/>
        <item x="2569"/>
        <item x="1087"/>
        <item x="999"/>
        <item x="211"/>
        <item x="2484"/>
        <item x="1912"/>
        <item x="2467"/>
        <item x="1842"/>
        <item x="1848"/>
        <item x="1111"/>
        <item x="2268"/>
        <item x="1774"/>
        <item x="1570"/>
        <item x="97"/>
        <item x="895"/>
        <item x="2195"/>
        <item x="1944"/>
        <item x="1350"/>
        <item x="209"/>
        <item x="2472"/>
        <item x="1797"/>
        <item x="2317"/>
        <item x="614"/>
        <item x="2117"/>
        <item x="1494"/>
        <item x="1806"/>
        <item x="2216"/>
        <item x="1420"/>
        <item x="754"/>
        <item x="914"/>
        <item x="2292"/>
        <item x="353"/>
        <item x="2181"/>
        <item x="1674"/>
        <item x="375"/>
        <item x="2032"/>
        <item x="795"/>
        <item x="74"/>
        <item x="1137"/>
        <item x="681"/>
        <item x="1348"/>
        <item x="1200"/>
        <item x="589"/>
        <item x="1341"/>
        <item x="1136"/>
        <item x="159"/>
        <item x="71"/>
        <item x="2081"/>
        <item x="1409"/>
        <item x="345"/>
        <item x="1918"/>
        <item x="137"/>
        <item x="2023"/>
        <item x="866"/>
        <item x="197"/>
        <item x="1968"/>
        <item x="2380"/>
        <item x="741"/>
        <item x="22"/>
        <item x="125"/>
        <item x="1040"/>
        <item x="2398"/>
        <item x="846"/>
        <item x="2050"/>
        <item x="1026"/>
        <item x="2341"/>
        <item x="1943"/>
        <item x="2566"/>
        <item x="2454"/>
        <item x="2530"/>
        <item x="1532"/>
        <item x="2010"/>
        <item x="292"/>
        <item x="140"/>
        <item x="2154"/>
        <item x="2136"/>
        <item x="719"/>
        <item x="296"/>
        <item x="82"/>
        <item x="1589"/>
        <item x="310"/>
        <item x="2554"/>
        <item x="405"/>
        <item x="2461"/>
        <item x="2572"/>
        <item x="1135"/>
        <item x="2106"/>
        <item x="2328"/>
        <item x="935"/>
        <item x="8"/>
        <item x="207"/>
        <item x="2079"/>
        <item x="1064"/>
        <item x="57"/>
        <item x="783"/>
        <item x="1729"/>
        <item x="1711"/>
        <item x="1717"/>
        <item x="518"/>
        <item x="2146"/>
        <item x="796"/>
        <item x="1795"/>
        <item x="2586"/>
        <item x="1302"/>
        <item x="382"/>
        <item x="124"/>
        <item x="1873"/>
        <item x="2506"/>
        <item x="362"/>
        <item x="2359"/>
        <item x="200"/>
        <item x="587"/>
        <item x="365"/>
        <item x="1380"/>
        <item x="1703"/>
        <item x="879"/>
        <item x="286"/>
        <item x="1077"/>
        <item x="1579"/>
        <item x="724"/>
        <item x="2219"/>
        <item x="1492"/>
        <item x="764"/>
        <item x="290"/>
        <item x="1832"/>
        <item x="325"/>
        <item x="1687"/>
        <item x="2075"/>
        <item x="1127"/>
        <item x="1563"/>
        <item x="1046"/>
        <item x="1489"/>
        <item x="398"/>
        <item x="1986"/>
        <item x="988"/>
        <item x="2421"/>
        <item x="1841"/>
        <item x="2088"/>
        <item x="1549"/>
        <item x="1301"/>
        <item x="1389"/>
        <item x="2420"/>
        <item x="586"/>
        <item x="297"/>
        <item x="2563"/>
        <item x="466"/>
        <item x="1913"/>
        <item x="1804"/>
        <item x="1047"/>
        <item x="1381"/>
        <item x="2355"/>
        <item x="1198"/>
        <item x="890"/>
        <item x="1768"/>
        <item x="807"/>
        <item x="2495"/>
        <item x="1054"/>
        <item x="2507"/>
        <item x="940"/>
        <item x="34"/>
        <item x="902"/>
        <item x="2312"/>
        <item x="899"/>
        <item x="1691"/>
        <item x="1447"/>
        <item x="869"/>
        <item x="1618"/>
        <item x="1816"/>
        <item x="1448"/>
        <item x="1659"/>
        <item x="261"/>
        <item x="2290"/>
        <item x="378"/>
        <item x="229"/>
        <item x="522"/>
        <item x="1080"/>
        <item x="1497"/>
        <item x="500"/>
        <item x="1522"/>
        <item x="266"/>
        <item x="1244"/>
        <item x="131"/>
        <item x="576"/>
        <item x="106"/>
        <item x="621"/>
        <item x="1520"/>
        <item x="1186"/>
        <item x="1727"/>
        <item x="2217"/>
        <item x="642"/>
        <item x="1982"/>
        <item x="1323"/>
        <item x="1775"/>
        <item x="1422"/>
        <item x="674"/>
        <item x="422"/>
        <item x="1571"/>
        <item x="1091"/>
        <item x="1121"/>
        <item x="148"/>
        <item x="312"/>
        <item x="974"/>
        <item x="1387"/>
        <item x="1163"/>
        <item x="221"/>
        <item x="2145"/>
        <item x="439"/>
        <item x="2439"/>
        <item x="2333"/>
        <item x="2115"/>
        <item x="730"/>
        <item x="89"/>
        <item x="376"/>
        <item x="158"/>
        <item x="1978"/>
        <item x="1664"/>
        <item x="456"/>
        <item x="1600"/>
        <item x="1998"/>
        <item x="746"/>
        <item x="372"/>
        <item x="1999"/>
        <item x="242"/>
        <item x="2400"/>
        <item x="2091"/>
        <item x="476"/>
        <item x="2119"/>
        <item x="931"/>
        <item x="1278"/>
        <item x="13"/>
        <item x="1954"/>
        <item x="1827"/>
        <item x="1799"/>
        <item x="217"/>
        <item x="1917"/>
        <item x="1037"/>
        <item x="2034"/>
        <item x="1601"/>
        <item x="144"/>
        <item x="252"/>
        <item x="1555"/>
        <item x="457"/>
        <item x="759"/>
        <item x="1707"/>
        <item x="2020"/>
        <item x="2142"/>
        <item x="1458"/>
        <item x="2021"/>
        <item x="2299"/>
        <item x="23"/>
        <item x="1005"/>
        <item x="2357"/>
        <item x="786"/>
        <item x="1712"/>
        <item x="1149"/>
        <item x="452"/>
        <item x="2244"/>
        <item x="1266"/>
        <item x="1187"/>
        <item x="2367"/>
        <item x="1856"/>
        <item x="1580"/>
        <item x="1979"/>
        <item x="1358"/>
        <item x="2502"/>
        <item x="1507"/>
        <item x="1397"/>
        <item x="840"/>
        <item x="165"/>
        <item x="173"/>
        <item x="656"/>
        <item x="1596"/>
        <item x="1113"/>
        <item x="1889"/>
        <item x="1490"/>
        <item x="1141"/>
        <item x="2489"/>
        <item x="2446"/>
        <item x="2319"/>
        <item x="1185"/>
        <item x="1197"/>
        <item x="185"/>
        <item x="2293"/>
        <item x="1011"/>
        <item x="965"/>
        <item x="1416"/>
        <item x="1732"/>
        <item x="2129"/>
        <item x="2184"/>
        <item x="1883"/>
        <item x="1802"/>
        <item x="1388"/>
        <item x="249"/>
        <item x="1427"/>
        <item x="1035"/>
        <item x="313"/>
        <item x="2402"/>
        <item x="2122"/>
        <item x="1407"/>
        <item x="740"/>
        <item x="1012"/>
        <item x="551"/>
        <item x="1312"/>
        <item x="1760"/>
        <item x="1865"/>
        <item x="360"/>
        <item x="1485"/>
        <item x="1068"/>
        <item x="2229"/>
        <item x="4"/>
        <item x="938"/>
        <item x="2342"/>
        <item x="2067"/>
        <item x="2579"/>
        <item x="1557"/>
        <item x="1408"/>
        <item x="255"/>
        <item x="482"/>
        <item x="94"/>
        <item x="2102"/>
        <item x="788"/>
        <item x="752"/>
        <item x="2096"/>
        <item x="1263"/>
        <item x="390"/>
        <item x="566"/>
        <item x="1911"/>
        <item x="2221"/>
        <item x="1602"/>
        <item x="1898"/>
        <item x="828"/>
        <item x="2361"/>
        <item x="1839"/>
        <item x="1713"/>
        <item x="1437"/>
        <item x="2511"/>
        <item x="564"/>
        <item x="1953"/>
        <item x="368"/>
        <item x="2517"/>
        <item x="2419"/>
        <item x="354"/>
        <item x="415"/>
        <item x="1404"/>
        <item x="1519"/>
        <item x="2230"/>
        <item x="413"/>
        <item x="2177"/>
        <item x="732"/>
        <item x="2535"/>
        <item x="829"/>
        <item x="2042"/>
        <item x="77"/>
        <item x="2433"/>
        <item x="1541"/>
        <item x="202"/>
        <item x="816"/>
        <item x="898"/>
        <item x="1399"/>
        <item x="2404"/>
        <item x="1057"/>
        <item x="349"/>
        <item x="2374"/>
        <item x="818"/>
        <item x="2017"/>
        <item x="212"/>
        <item x="196"/>
        <item x="592"/>
        <item x="894"/>
        <item x="2300"/>
        <item x="1456"/>
        <item x="2591"/>
        <item t="default"/>
      </items>
    </pivotField>
    <pivotField showAll="0">
      <items count="242">
        <item x="89"/>
        <item x="113"/>
        <item x="230"/>
        <item x="127"/>
        <item x="161"/>
        <item x="46"/>
        <item x="56"/>
        <item x="192"/>
        <item x="23"/>
        <item x="120"/>
        <item x="16"/>
        <item x="59"/>
        <item x="206"/>
        <item x="33"/>
        <item x="160"/>
        <item x="181"/>
        <item x="97"/>
        <item x="112"/>
        <item x="184"/>
        <item x="20"/>
        <item x="14"/>
        <item x="96"/>
        <item x="179"/>
        <item x="159"/>
        <item x="174"/>
        <item x="7"/>
        <item x="17"/>
        <item x="54"/>
        <item x="219"/>
        <item x="138"/>
        <item x="202"/>
        <item x="65"/>
        <item x="199"/>
        <item x="95"/>
        <item x="203"/>
        <item x="176"/>
        <item x="183"/>
        <item x="186"/>
        <item x="101"/>
        <item x="235"/>
        <item x="64"/>
        <item x="84"/>
        <item x="111"/>
        <item x="131"/>
        <item x="130"/>
        <item x="50"/>
        <item x="152"/>
        <item x="58"/>
        <item x="143"/>
        <item x="145"/>
        <item x="136"/>
        <item x="168"/>
        <item x="74"/>
        <item x="36"/>
        <item x="229"/>
        <item x="80"/>
        <item x="166"/>
        <item x="197"/>
        <item x="211"/>
        <item x="73"/>
        <item x="224"/>
        <item x="11"/>
        <item x="31"/>
        <item x="2"/>
        <item x="187"/>
        <item x="34"/>
        <item x="175"/>
        <item x="233"/>
        <item x="110"/>
        <item x="191"/>
        <item x="60"/>
        <item x="123"/>
        <item x="126"/>
        <item x="227"/>
        <item x="210"/>
        <item x="212"/>
        <item x="61"/>
        <item x="163"/>
        <item x="151"/>
        <item x="29"/>
        <item x="188"/>
        <item x="180"/>
        <item x="185"/>
        <item x="48"/>
        <item x="158"/>
        <item x="85"/>
        <item x="77"/>
        <item x="133"/>
        <item x="232"/>
        <item x="25"/>
        <item x="99"/>
        <item x="204"/>
        <item x="114"/>
        <item x="134"/>
        <item x="215"/>
        <item x="193"/>
        <item x="92"/>
        <item x="117"/>
        <item x="177"/>
        <item x="222"/>
        <item x="108"/>
        <item x="71"/>
        <item x="169"/>
        <item x="5"/>
        <item x="231"/>
        <item x="102"/>
        <item x="76"/>
        <item x="165"/>
        <item x="132"/>
        <item x="170"/>
        <item x="156"/>
        <item x="116"/>
        <item x="52"/>
        <item x="201"/>
        <item x="150"/>
        <item x="41"/>
        <item x="213"/>
        <item x="137"/>
        <item x="104"/>
        <item x="45"/>
        <item x="122"/>
        <item x="217"/>
        <item x="154"/>
        <item x="234"/>
        <item x="144"/>
        <item x="87"/>
        <item x="190"/>
        <item x="10"/>
        <item x="9"/>
        <item x="214"/>
        <item x="121"/>
        <item x="155"/>
        <item x="24"/>
        <item x="189"/>
        <item x="218"/>
        <item x="221"/>
        <item x="53"/>
        <item x="141"/>
        <item x="119"/>
        <item x="79"/>
        <item x="125"/>
        <item x="39"/>
        <item x="162"/>
        <item x="82"/>
        <item x="67"/>
        <item x="236"/>
        <item x="146"/>
        <item x="226"/>
        <item x="38"/>
        <item x="223"/>
        <item x="91"/>
        <item x="68"/>
        <item x="115"/>
        <item x="57"/>
        <item x="147"/>
        <item x="88"/>
        <item x="194"/>
        <item x="19"/>
        <item x="167"/>
        <item x="149"/>
        <item x="239"/>
        <item x="3"/>
        <item x="83"/>
        <item x="195"/>
        <item x="135"/>
        <item x="81"/>
        <item x="94"/>
        <item x="22"/>
        <item x="0"/>
        <item x="21"/>
        <item x="171"/>
        <item x="32"/>
        <item x="178"/>
        <item x="15"/>
        <item x="47"/>
        <item x="18"/>
        <item x="8"/>
        <item x="208"/>
        <item x="27"/>
        <item x="173"/>
        <item x="40"/>
        <item x="237"/>
        <item x="124"/>
        <item x="109"/>
        <item x="129"/>
        <item x="207"/>
        <item x="139"/>
        <item x="26"/>
        <item x="63"/>
        <item x="28"/>
        <item x="148"/>
        <item x="12"/>
        <item x="198"/>
        <item x="118"/>
        <item x="66"/>
        <item x="90"/>
        <item x="35"/>
        <item x="106"/>
        <item x="78"/>
        <item x="4"/>
        <item x="220"/>
        <item x="128"/>
        <item x="6"/>
        <item x="86"/>
        <item x="100"/>
        <item x="42"/>
        <item x="228"/>
        <item x="216"/>
        <item x="98"/>
        <item x="93"/>
        <item x="103"/>
        <item x="55"/>
        <item x="51"/>
        <item x="75"/>
        <item x="30"/>
        <item x="1"/>
        <item x="200"/>
        <item x="13"/>
        <item x="62"/>
        <item x="225"/>
        <item x="196"/>
        <item x="107"/>
        <item x="182"/>
        <item x="37"/>
        <item x="209"/>
        <item x="70"/>
        <item x="49"/>
        <item x="69"/>
        <item x="153"/>
        <item x="72"/>
        <item x="164"/>
        <item x="157"/>
        <item x="172"/>
        <item x="205"/>
        <item x="140"/>
        <item x="44"/>
        <item x="238"/>
        <item x="43"/>
        <item x="142"/>
        <item x="105"/>
        <item x="240"/>
        <item t="default"/>
      </items>
    </pivotField>
    <pivotField showAll="0">
      <items count="33">
        <item x="20"/>
        <item x="23"/>
        <item x="28"/>
        <item x="6"/>
        <item x="2"/>
        <item x="27"/>
        <item x="11"/>
        <item x="17"/>
        <item x="1"/>
        <item x="19"/>
        <item x="0"/>
        <item x="16"/>
        <item x="5"/>
        <item x="12"/>
        <item x="8"/>
        <item x="29"/>
        <item x="24"/>
        <item x="13"/>
        <item x="3"/>
        <item x="26"/>
        <item x="4"/>
        <item x="14"/>
        <item x="22"/>
        <item x="15"/>
        <item x="21"/>
        <item x="9"/>
        <item x="25"/>
        <item x="18"/>
        <item x="10"/>
        <item x="7"/>
        <item x="30"/>
        <item x="31"/>
        <item t="default"/>
      </items>
    </pivotField>
    <pivotField dataField="1" showAll="0">
      <items count="343">
        <item x="319"/>
        <item x="328"/>
        <item x="187"/>
        <item x="180"/>
        <item x="84"/>
        <item x="114"/>
        <item x="137"/>
        <item x="100"/>
        <item x="55"/>
        <item x="35"/>
        <item x="46"/>
        <item x="53"/>
        <item x="8"/>
        <item x="134"/>
        <item x="48"/>
        <item x="160"/>
        <item x="70"/>
        <item x="33"/>
        <item x="72"/>
        <item x="57"/>
        <item x="121"/>
        <item x="56"/>
        <item x="37"/>
        <item x="126"/>
        <item x="144"/>
        <item x="26"/>
        <item x="27"/>
        <item x="2"/>
        <item x="111"/>
        <item x="210"/>
        <item x="7"/>
        <item x="145"/>
        <item x="78"/>
        <item x="15"/>
        <item x="99"/>
        <item x="171"/>
        <item x="178"/>
        <item x="5"/>
        <item x="201"/>
        <item x="148"/>
        <item x="194"/>
        <item x="150"/>
        <item x="112"/>
        <item x="164"/>
        <item x="170"/>
        <item x="92"/>
        <item x="42"/>
        <item x="31"/>
        <item x="166"/>
        <item x="294"/>
        <item x="151"/>
        <item x="51"/>
        <item x="66"/>
        <item x="65"/>
        <item x="18"/>
        <item x="128"/>
        <item x="157"/>
        <item x="14"/>
        <item x="163"/>
        <item x="40"/>
        <item x="98"/>
        <item x="253"/>
        <item x="74"/>
        <item x="231"/>
        <item x="47"/>
        <item x="94"/>
        <item x="218"/>
        <item x="43"/>
        <item x="159"/>
        <item x="263"/>
        <item x="6"/>
        <item x="96"/>
        <item x="133"/>
        <item x="257"/>
        <item x="64"/>
        <item x="197"/>
        <item x="41"/>
        <item x="54"/>
        <item x="52"/>
        <item x="147"/>
        <item x="233"/>
        <item x="118"/>
        <item x="97"/>
        <item x="136"/>
        <item x="143"/>
        <item x="85"/>
        <item x="203"/>
        <item x="58"/>
        <item x="330"/>
        <item x="248"/>
        <item x="261"/>
        <item x="105"/>
        <item x="81"/>
        <item x="21"/>
        <item x="184"/>
        <item x="168"/>
        <item x="104"/>
        <item x="1"/>
        <item x="152"/>
        <item x="173"/>
        <item x="252"/>
        <item x="10"/>
        <item x="68"/>
        <item x="209"/>
        <item x="110"/>
        <item x="124"/>
        <item x="79"/>
        <item x="29"/>
        <item x="265"/>
        <item x="132"/>
        <item x="119"/>
        <item x="25"/>
        <item x="161"/>
        <item x="273"/>
        <item x="125"/>
        <item x="17"/>
        <item x="237"/>
        <item x="255"/>
        <item x="277"/>
        <item x="93"/>
        <item x="230"/>
        <item x="235"/>
        <item x="117"/>
        <item x="220"/>
        <item x="80"/>
        <item x="139"/>
        <item x="167"/>
        <item x="202"/>
        <item x="288"/>
        <item x="191"/>
        <item x="243"/>
        <item x="24"/>
        <item x="227"/>
        <item x="251"/>
        <item x="276"/>
        <item x="280"/>
        <item x="20"/>
        <item x="336"/>
        <item x="155"/>
        <item x="0"/>
        <item x="154"/>
        <item x="262"/>
        <item x="103"/>
        <item x="176"/>
        <item x="242"/>
        <item x="185"/>
        <item x="305"/>
        <item x="71"/>
        <item x="331"/>
        <item x="181"/>
        <item x="332"/>
        <item x="335"/>
        <item x="76"/>
        <item x="22"/>
        <item x="130"/>
        <item x="285"/>
        <item x="316"/>
        <item x="142"/>
        <item x="192"/>
        <item x="12"/>
        <item x="169"/>
        <item x="120"/>
        <item x="175"/>
        <item x="281"/>
        <item x="304"/>
        <item x="292"/>
        <item x="338"/>
        <item x="50"/>
        <item x="179"/>
        <item x="267"/>
        <item x="28"/>
        <item x="200"/>
        <item x="250"/>
        <item x="225"/>
        <item x="214"/>
        <item x="224"/>
        <item x="174"/>
        <item x="232"/>
        <item x="123"/>
        <item x="83"/>
        <item x="321"/>
        <item x="217"/>
        <item x="223"/>
        <item x="109"/>
        <item x="284"/>
        <item x="286"/>
        <item x="23"/>
        <item x="108"/>
        <item x="333"/>
        <item x="141"/>
        <item x="149"/>
        <item x="275"/>
        <item x="301"/>
        <item x="312"/>
        <item x="77"/>
        <item x="156"/>
        <item x="38"/>
        <item x="188"/>
        <item x="266"/>
        <item x="162"/>
        <item x="283"/>
        <item x="270"/>
        <item x="300"/>
        <item x="115"/>
        <item x="172"/>
        <item x="291"/>
        <item x="73"/>
        <item x="45"/>
        <item x="89"/>
        <item x="153"/>
        <item x="249"/>
        <item x="215"/>
        <item x="140"/>
        <item x="177"/>
        <item x="11"/>
        <item x="308"/>
        <item x="107"/>
        <item x="269"/>
        <item x="258"/>
        <item x="60"/>
        <item x="236"/>
        <item x="193"/>
        <item x="264"/>
        <item x="95"/>
        <item x="296"/>
        <item x="183"/>
        <item x="241"/>
        <item x="337"/>
        <item x="62"/>
        <item x="213"/>
        <item x="146"/>
        <item x="240"/>
        <item x="327"/>
        <item x="222"/>
        <item x="226"/>
        <item x="340"/>
        <item x="287"/>
        <item x="247"/>
        <item x="39"/>
        <item x="302"/>
        <item x="268"/>
        <item x="259"/>
        <item x="299"/>
        <item x="326"/>
        <item x="9"/>
        <item x="339"/>
        <item x="182"/>
        <item x="307"/>
        <item x="317"/>
        <item x="75"/>
        <item x="165"/>
        <item x="315"/>
        <item x="329"/>
        <item x="334"/>
        <item x="158"/>
        <item x="212"/>
        <item x="204"/>
        <item x="309"/>
        <item x="30"/>
        <item x="271"/>
        <item x="322"/>
        <item x="239"/>
        <item x="90"/>
        <item x="324"/>
        <item x="303"/>
        <item x="122"/>
        <item x="16"/>
        <item x="131"/>
        <item x="199"/>
        <item x="34"/>
        <item x="190"/>
        <item x="289"/>
        <item x="44"/>
        <item x="198"/>
        <item x="254"/>
        <item x="229"/>
        <item x="127"/>
        <item x="323"/>
        <item x="59"/>
        <item x="290"/>
        <item x="221"/>
        <item x="86"/>
        <item x="297"/>
        <item x="318"/>
        <item x="186"/>
        <item x="306"/>
        <item x="195"/>
        <item x="135"/>
        <item x="295"/>
        <item x="19"/>
        <item x="113"/>
        <item x="298"/>
        <item x="279"/>
        <item x="138"/>
        <item x="61"/>
        <item x="256"/>
        <item x="238"/>
        <item x="325"/>
        <item x="4"/>
        <item x="196"/>
        <item x="102"/>
        <item x="272"/>
        <item x="129"/>
        <item x="293"/>
        <item x="205"/>
        <item x="320"/>
        <item x="63"/>
        <item x="228"/>
        <item x="91"/>
        <item x="207"/>
        <item x="246"/>
        <item x="101"/>
        <item x="313"/>
        <item x="87"/>
        <item x="67"/>
        <item x="206"/>
        <item x="189"/>
        <item x="219"/>
        <item x="311"/>
        <item x="82"/>
        <item x="310"/>
        <item x="116"/>
        <item x="106"/>
        <item x="32"/>
        <item x="282"/>
        <item x="244"/>
        <item x="13"/>
        <item x="274"/>
        <item x="69"/>
        <item x="314"/>
        <item x="260"/>
        <item x="49"/>
        <item x="234"/>
        <item x="88"/>
        <item x="216"/>
        <item x="208"/>
        <item x="211"/>
        <item x="278"/>
        <item x="245"/>
        <item x="36"/>
        <item x="3"/>
        <item x="341"/>
        <item t="default"/>
      </items>
    </pivotField>
    <pivotField name="Datewise Layoff" showAll="0">
      <items count="827">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25"/>
        <item t="default"/>
      </items>
    </pivotField>
    <pivotField dataField="1" showAll="0">
      <items count="735">
        <item x="600"/>
        <item x="723"/>
        <item x="684"/>
        <item x="5"/>
        <item x="681"/>
        <item x="670"/>
        <item x="686"/>
        <item x="78"/>
        <item x="125"/>
        <item x="11"/>
        <item x="669"/>
        <item x="666"/>
        <item x="144"/>
        <item x="28"/>
        <item x="732"/>
        <item x="47"/>
        <item x="261"/>
        <item x="115"/>
        <item x="725"/>
        <item x="185"/>
        <item x="678"/>
        <item x="121"/>
        <item x="183"/>
        <item x="69"/>
        <item x="668"/>
        <item x="142"/>
        <item x="674"/>
        <item x="190"/>
        <item x="128"/>
        <item x="680"/>
        <item x="90"/>
        <item x="354"/>
        <item x="143"/>
        <item x="249"/>
        <item x="132"/>
        <item x="178"/>
        <item x="219"/>
        <item x="693"/>
        <item x="675"/>
        <item x="412"/>
        <item x="70"/>
        <item x="225"/>
        <item x="697"/>
        <item x="7"/>
        <item x="168"/>
        <item x="151"/>
        <item x="550"/>
        <item x="690"/>
        <item x="43"/>
        <item x="136"/>
        <item x="10"/>
        <item x="91"/>
        <item x="433"/>
        <item x="55"/>
        <item x="518"/>
        <item x="129"/>
        <item x="21"/>
        <item x="25"/>
        <item x="702"/>
        <item x="252"/>
        <item x="673"/>
        <item x="149"/>
        <item x="92"/>
        <item x="687"/>
        <item x="347"/>
        <item x="94"/>
        <item x="431"/>
        <item x="315"/>
        <item x="381"/>
        <item x="635"/>
        <item x="27"/>
        <item x="86"/>
        <item x="302"/>
        <item x="80"/>
        <item x="373"/>
        <item x="287"/>
        <item x="67"/>
        <item x="13"/>
        <item x="196"/>
        <item x="698"/>
        <item x="492"/>
        <item x="448"/>
        <item x="73"/>
        <item x="689"/>
        <item x="62"/>
        <item x="267"/>
        <item x="495"/>
        <item x="33"/>
        <item x="164"/>
        <item x="677"/>
        <item x="8"/>
        <item x="590"/>
        <item x="395"/>
        <item x="293"/>
        <item x="106"/>
        <item x="32"/>
        <item x="560"/>
        <item x="148"/>
        <item x="61"/>
        <item x="223"/>
        <item x="679"/>
        <item x="334"/>
        <item x="579"/>
        <item x="34"/>
        <item x="323"/>
        <item x="388"/>
        <item x="187"/>
        <item x="337"/>
        <item x="273"/>
        <item x="390"/>
        <item x="6"/>
        <item x="363"/>
        <item x="329"/>
        <item x="66"/>
        <item x="242"/>
        <item x="202"/>
        <item x="450"/>
        <item x="647"/>
        <item x="313"/>
        <item x="539"/>
        <item x="676"/>
        <item x="452"/>
        <item x="227"/>
        <item x="438"/>
        <item x="370"/>
        <item x="175"/>
        <item x="699"/>
        <item x="464"/>
        <item x="667"/>
        <item x="477"/>
        <item x="327"/>
        <item x="77"/>
        <item x="98"/>
        <item x="274"/>
        <item x="158"/>
        <item x="74"/>
        <item x="79"/>
        <item x="230"/>
        <item x="335"/>
        <item x="282"/>
        <item x="436"/>
        <item x="520"/>
        <item x="217"/>
        <item x="4"/>
        <item x="9"/>
        <item x="2"/>
        <item x="233"/>
        <item x="328"/>
        <item x="270"/>
        <item x="682"/>
        <item x="208"/>
        <item x="31"/>
        <item x="317"/>
        <item x="479"/>
        <item x="295"/>
        <item x="259"/>
        <item x="48"/>
        <item x="191"/>
        <item x="485"/>
        <item x="139"/>
        <item x="393"/>
        <item x="352"/>
        <item x="555"/>
        <item x="126"/>
        <item x="721"/>
        <item x="205"/>
        <item x="446"/>
        <item x="193"/>
        <item x="391"/>
        <item x="605"/>
        <item x="459"/>
        <item x="511"/>
        <item x="50"/>
        <item x="435"/>
        <item x="95"/>
        <item x="351"/>
        <item x="320"/>
        <item x="157"/>
        <item x="265"/>
        <item x="154"/>
        <item x="182"/>
        <item x="281"/>
        <item x="181"/>
        <item x="379"/>
        <item x="333"/>
        <item x="672"/>
        <item x="49"/>
        <item x="57"/>
        <item x="380"/>
        <item x="415"/>
        <item x="575"/>
        <item x="439"/>
        <item x="206"/>
        <item x="365"/>
        <item x="549"/>
        <item x="251"/>
        <item x="195"/>
        <item x="387"/>
        <item x="300"/>
        <item x="375"/>
        <item x="229"/>
        <item x="417"/>
        <item x="58"/>
        <item x="105"/>
        <item x="87"/>
        <item x="104"/>
        <item x="296"/>
        <item x="71"/>
        <item x="730"/>
        <item x="56"/>
        <item x="123"/>
        <item x="360"/>
        <item x="184"/>
        <item x="398"/>
        <item x="238"/>
        <item x="661"/>
        <item x="685"/>
        <item x="167"/>
        <item x="133"/>
        <item x="559"/>
        <item x="442"/>
        <item x="573"/>
        <item x="331"/>
        <item x="192"/>
        <item x="654"/>
        <item x="332"/>
        <item x="199"/>
        <item x="695"/>
        <item x="324"/>
        <item x="209"/>
        <item x="271"/>
        <item x="622"/>
        <item x="632"/>
        <item x="564"/>
        <item x="461"/>
        <item x="432"/>
        <item x="705"/>
        <item x="316"/>
        <item x="620"/>
        <item x="470"/>
        <item x="369"/>
        <item x="603"/>
        <item x="26"/>
        <item x="662"/>
        <item x="660"/>
        <item x="510"/>
        <item x="156"/>
        <item x="325"/>
        <item x="145"/>
        <item x="420"/>
        <item x="330"/>
        <item x="618"/>
        <item x="23"/>
        <item x="253"/>
        <item x="262"/>
        <item x="496"/>
        <item x="516"/>
        <item x="402"/>
        <item x="250"/>
        <item x="127"/>
        <item x="81"/>
        <item x="561"/>
        <item x="410"/>
        <item x="147"/>
        <item x="429"/>
        <item x="611"/>
        <item x="319"/>
        <item x="508"/>
        <item x="228"/>
        <item x="629"/>
        <item x="422"/>
        <item x="258"/>
        <item x="72"/>
        <item x="645"/>
        <item x="460"/>
        <item x="694"/>
        <item x="707"/>
        <item x="403"/>
        <item x="419"/>
        <item x="361"/>
        <item x="367"/>
        <item x="444"/>
        <item x="652"/>
        <item x="528"/>
        <item x="339"/>
        <item x="220"/>
        <item x="163"/>
        <item x="580"/>
        <item x="568"/>
        <item x="630"/>
        <item x="524"/>
        <item x="44"/>
        <item x="20"/>
        <item x="513"/>
        <item x="116"/>
        <item x="172"/>
        <item x="150"/>
        <item x="595"/>
        <item x="499"/>
        <item x="487"/>
        <item x="194"/>
        <item x="463"/>
        <item x="368"/>
        <item x="480"/>
        <item x="400"/>
        <item x="653"/>
        <item x="619"/>
        <item x="82"/>
        <item x="659"/>
        <item x="377"/>
        <item x="421"/>
        <item x="537"/>
        <item x="519"/>
        <item x="311"/>
        <item x="336"/>
        <item x="427"/>
        <item x="53"/>
        <item x="346"/>
        <item x="309"/>
        <item x="89"/>
        <item x="122"/>
        <item x="321"/>
        <item x="621"/>
        <item x="394"/>
        <item x="243"/>
        <item x="696"/>
        <item x="691"/>
        <item x="224"/>
        <item x="451"/>
        <item x="120"/>
        <item x="107"/>
        <item x="458"/>
        <item x="110"/>
        <item x="257"/>
        <item x="473"/>
        <item x="648"/>
        <item x="189"/>
        <item x="572"/>
        <item x="358"/>
        <item x="569"/>
        <item x="408"/>
        <item x="484"/>
        <item x="547"/>
        <item x="535"/>
        <item x="633"/>
        <item x="418"/>
        <item x="255"/>
        <item x="169"/>
        <item x="536"/>
        <item x="639"/>
        <item x="64"/>
        <item x="440"/>
        <item x="624"/>
        <item x="454"/>
        <item x="397"/>
        <item x="521"/>
        <item x="376"/>
        <item x="512"/>
        <item x="256"/>
        <item x="724"/>
        <item x="409"/>
        <item x="234"/>
        <item x="683"/>
        <item x="357"/>
        <item x="563"/>
        <item x="85"/>
        <item x="210"/>
        <item x="371"/>
        <item x="719"/>
        <item x="731"/>
        <item x="610"/>
        <item x="141"/>
        <item x="109"/>
        <item x="411"/>
        <item x="278"/>
        <item x="269"/>
        <item x="607"/>
        <item x="215"/>
        <item x="571"/>
        <item x="345"/>
        <item x="462"/>
        <item x="601"/>
        <item x="576"/>
        <item x="517"/>
        <item x="599"/>
        <item x="589"/>
        <item x="362"/>
        <item x="541"/>
        <item x="222"/>
        <item x="713"/>
        <item x="355"/>
        <item x="310"/>
        <item x="17"/>
        <item x="277"/>
        <item x="284"/>
        <item x="246"/>
        <item x="414"/>
        <item x="506"/>
        <item x="88"/>
        <item x="59"/>
        <item x="481"/>
        <item x="728"/>
        <item x="542"/>
        <item x="692"/>
        <item x="592"/>
        <item x="488"/>
        <item x="372"/>
        <item x="534"/>
        <item x="441"/>
        <item x="501"/>
        <item x="244"/>
        <item x="509"/>
        <item x="527"/>
        <item x="343"/>
        <item x="529"/>
        <item x="364"/>
        <item x="413"/>
        <item x="425"/>
        <item x="180"/>
        <item x="268"/>
        <item x="294"/>
        <item x="38"/>
        <item x="646"/>
        <item x="465"/>
        <item x="349"/>
        <item x="586"/>
        <item x="307"/>
        <item x="588"/>
        <item x="486"/>
        <item x="385"/>
        <item x="718"/>
        <item x="288"/>
        <item x="152"/>
        <item x="585"/>
        <item x="276"/>
        <item x="514"/>
        <item x="254"/>
        <item x="211"/>
        <item x="298"/>
        <item x="562"/>
        <item x="644"/>
        <item x="474"/>
        <item x="102"/>
        <item x="356"/>
        <item x="322"/>
        <item x="301"/>
        <item x="489"/>
        <item x="312"/>
        <item x="401"/>
        <item x="204"/>
        <item x="272"/>
        <item x="613"/>
        <item x="597"/>
        <item x="507"/>
        <item x="235"/>
        <item x="626"/>
        <item x="567"/>
        <item x="93"/>
        <item x="426"/>
        <item x="475"/>
        <item x="578"/>
        <item x="407"/>
        <item x="207"/>
        <item x="468"/>
        <item x="306"/>
        <item x="131"/>
        <item x="494"/>
        <item x="476"/>
        <item x="505"/>
        <item x="299"/>
        <item x="186"/>
        <item x="587"/>
        <item x="656"/>
        <item x="430"/>
        <item x="103"/>
        <item x="504"/>
        <item x="631"/>
        <item x="348"/>
        <item x="558"/>
        <item x="117"/>
        <item x="36"/>
        <item x="525"/>
        <item x="111"/>
        <item x="159"/>
        <item x="130"/>
        <item x="201"/>
        <item x="596"/>
        <item x="134"/>
        <item x="374"/>
        <item x="623"/>
        <item x="179"/>
        <item x="627"/>
        <item x="138"/>
        <item x="283"/>
        <item x="726"/>
        <item x="423"/>
        <item x="574"/>
        <item x="643"/>
        <item x="75"/>
        <item x="533"/>
        <item x="538"/>
        <item x="515"/>
        <item x="604"/>
        <item x="198"/>
        <item x="478"/>
        <item x="543"/>
        <item x="137"/>
        <item x="500"/>
        <item x="350"/>
        <item x="602"/>
        <item x="101"/>
        <item x="636"/>
        <item x="526"/>
        <item x="353"/>
        <item x="483"/>
        <item x="290"/>
        <item x="445"/>
        <item x="467"/>
        <item x="701"/>
        <item x="503"/>
        <item x="664"/>
        <item x="608"/>
        <item x="594"/>
        <item x="606"/>
        <item x="248"/>
        <item x="41"/>
        <item x="545"/>
        <item x="651"/>
        <item x="577"/>
        <item x="383"/>
        <item x="389"/>
        <item x="437"/>
        <item x="239"/>
        <item x="146"/>
        <item x="551"/>
        <item x="424"/>
        <item x="727"/>
        <item x="593"/>
        <item x="176"/>
        <item x="260"/>
        <item x="216"/>
        <item x="289"/>
        <item x="566"/>
        <item x="471"/>
        <item x="214"/>
        <item x="170"/>
        <item x="266"/>
        <item x="18"/>
        <item x="405"/>
        <item x="609"/>
        <item x="245"/>
        <item x="155"/>
        <item x="237"/>
        <item x="688"/>
        <item x="3"/>
        <item x="628"/>
        <item x="161"/>
        <item x="544"/>
        <item x="160"/>
        <item x="285"/>
        <item x="366"/>
        <item x="714"/>
        <item x="482"/>
        <item x="340"/>
        <item x="338"/>
        <item x="553"/>
        <item x="108"/>
        <item x="68"/>
        <item x="469"/>
        <item x="552"/>
        <item x="456"/>
        <item x="177"/>
        <item x="241"/>
        <item x="642"/>
        <item x="0"/>
        <item x="359"/>
        <item x="231"/>
        <item x="114"/>
        <item x="532"/>
        <item x="240"/>
        <item x="384"/>
        <item x="280"/>
        <item x="612"/>
        <item x="498"/>
        <item x="378"/>
        <item x="497"/>
        <item x="493"/>
        <item x="171"/>
        <item x="540"/>
        <item x="286"/>
        <item x="291"/>
        <item x="598"/>
        <item x="704"/>
        <item x="162"/>
        <item x="565"/>
        <item x="264"/>
        <item x="96"/>
        <item x="641"/>
        <item x="15"/>
        <item x="344"/>
        <item x="304"/>
        <item x="84"/>
        <item x="658"/>
        <item x="657"/>
        <item x="663"/>
        <item x="716"/>
        <item x="263"/>
        <item x="416"/>
        <item x="341"/>
        <item x="712"/>
        <item x="466"/>
        <item x="37"/>
        <item x="710"/>
        <item x="650"/>
        <item x="472"/>
        <item x="591"/>
        <item x="502"/>
        <item x="54"/>
        <item x="582"/>
        <item x="406"/>
        <item x="581"/>
        <item x="174"/>
        <item x="625"/>
        <item x="308"/>
        <item x="65"/>
        <item x="30"/>
        <item x="709"/>
        <item x="457"/>
        <item x="119"/>
        <item x="717"/>
        <item x="447"/>
        <item x="443"/>
        <item x="531"/>
        <item x="275"/>
        <item x="303"/>
        <item x="548"/>
        <item x="640"/>
        <item x="637"/>
        <item x="153"/>
        <item x="584"/>
        <item x="404"/>
        <item x="554"/>
        <item x="382"/>
        <item x="19"/>
        <item x="399"/>
        <item x="722"/>
        <item x="318"/>
        <item x="617"/>
        <item x="583"/>
        <item x="292"/>
        <item x="655"/>
        <item x="342"/>
        <item x="649"/>
        <item x="314"/>
        <item x="39"/>
        <item x="530"/>
        <item x="135"/>
        <item x="279"/>
        <item x="720"/>
        <item x="118"/>
        <item x="523"/>
        <item x="100"/>
        <item x="434"/>
        <item x="729"/>
        <item x="428"/>
        <item x="188"/>
        <item x="546"/>
        <item x="35"/>
        <item x="99"/>
        <item x="63"/>
        <item x="22"/>
        <item x="52"/>
        <item x="113"/>
        <item x="112"/>
        <item x="14"/>
        <item x="45"/>
        <item x="40"/>
        <item x="1"/>
        <item x="236"/>
        <item x="232"/>
        <item x="715"/>
        <item x="453"/>
        <item x="165"/>
        <item x="226"/>
        <item x="326"/>
        <item x="200"/>
        <item x="634"/>
        <item x="124"/>
        <item x="197"/>
        <item x="703"/>
        <item x="665"/>
        <item x="51"/>
        <item x="24"/>
        <item x="83"/>
        <item x="166"/>
        <item x="173"/>
        <item x="706"/>
        <item x="570"/>
        <item x="60"/>
        <item x="490"/>
        <item x="700"/>
        <item x="140"/>
        <item x="46"/>
        <item x="557"/>
        <item x="708"/>
        <item x="711"/>
        <item x="76"/>
        <item x="305"/>
        <item x="638"/>
        <item x="449"/>
        <item x="455"/>
        <item x="297"/>
        <item x="213"/>
        <item x="556"/>
        <item x="16"/>
        <item x="616"/>
        <item x="386"/>
        <item x="247"/>
        <item x="218"/>
        <item x="29"/>
        <item x="491"/>
        <item x="203"/>
        <item x="221"/>
        <item x="396"/>
        <item x="671"/>
        <item x="42"/>
        <item x="522"/>
        <item x="615"/>
        <item x="392"/>
        <item x="97"/>
        <item x="212"/>
        <item x="614"/>
        <item x="12"/>
        <item x="733"/>
        <item t="default"/>
      </items>
    </pivotField>
    <pivotField showAll="0"/>
    <pivotField showAll="0">
      <items count="65">
        <item x="45"/>
        <item x="20"/>
        <item x="25"/>
        <item x="56"/>
        <item x="10"/>
        <item x="31"/>
        <item x="60"/>
        <item x="7"/>
        <item x="24"/>
        <item x="13"/>
        <item x="17"/>
        <item x="44"/>
        <item x="9"/>
        <item x="14"/>
        <item x="47"/>
        <item x="27"/>
        <item x="23"/>
        <item x="11"/>
        <item x="5"/>
        <item x="32"/>
        <item x="48"/>
        <item x="33"/>
        <item x="50"/>
        <item x="6"/>
        <item x="26"/>
        <item x="12"/>
        <item x="1"/>
        <item x="42"/>
        <item x="4"/>
        <item x="34"/>
        <item x="19"/>
        <item x="36"/>
        <item x="49"/>
        <item x="37"/>
        <item x="62"/>
        <item x="18"/>
        <item x="35"/>
        <item x="15"/>
        <item x="0"/>
        <item x="28"/>
        <item x="55"/>
        <item x="40"/>
        <item x="21"/>
        <item x="43"/>
        <item x="29"/>
        <item x="58"/>
        <item x="39"/>
        <item x="53"/>
        <item x="46"/>
        <item x="16"/>
        <item x="61"/>
        <item x="38"/>
        <item x="8"/>
        <item x="22"/>
        <item x="30"/>
        <item x="52"/>
        <item x="57"/>
        <item x="41"/>
        <item x="54"/>
        <item x="3"/>
        <item x="2"/>
        <item x="59"/>
        <item x="51"/>
        <item x="63"/>
        <item t="default"/>
      </items>
    </pivotField>
    <pivotField dataField="1" showAll="0"/>
    <pivotField showAll="0"/>
    <pivotField multipleItemSelectionAllowed="1" showAll="0">
      <items count="15">
        <item h="1" sd="0" x="0"/>
        <item h="1" sd="0" x="1"/>
        <item h="1" sd="0" x="2"/>
        <item h="1" sd="0" x="3"/>
        <item h="1" sd="0" x="4"/>
        <item h="1" sd="0" x="5"/>
        <item h="1" sd="0" x="6"/>
        <item h="1" sd="0" x="7"/>
        <item h="1" sd="0" x="8"/>
        <item h="1" sd="0" x="9"/>
        <item h="1" sd="0" x="10"/>
        <item h="1" sd="0" x="11"/>
        <item h="1" sd="0" x="12"/>
        <item sd="0" x="13"/>
        <item t="default"/>
      </items>
    </pivotField>
    <pivotField showAll="0">
      <items count="7">
        <item sd="0" x="0"/>
        <item sd="0" x="1"/>
        <item sd="0" x="2"/>
        <item sd="0" x="3"/>
        <item sd="0" x="4"/>
        <item sd="0" x="5"/>
        <item t="default"/>
      </items>
    </pivotField>
    <pivotField axis="axisPage" showAll="0">
      <items count="8">
        <item sd="0" x="0"/>
        <item sd="0" x="1"/>
        <item sd="0" x="2"/>
        <item sd="0" x="3"/>
        <item sd="0" x="4"/>
        <item sd="0" x="5"/>
        <item sd="0" x="6"/>
        <item t="default"/>
      </items>
    </pivotField>
  </pivotFields>
  <rowFields count="1">
    <field x="0"/>
  </rowFields>
  <rowItems count="25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rowItems>
  <colFields count="1">
    <field x="-2"/>
  </colFields>
  <colItems count="3">
    <i>
      <x/>
    </i>
    <i i="1">
      <x v="1"/>
    </i>
    <i i="2">
      <x v="2"/>
    </i>
  </colItems>
  <pageFields count="1">
    <pageField fld="12" hier="-1"/>
  </pageFields>
  <dataFields count="3">
    <dataField name="Sum of Laid_Off_Count" fld="3" baseField="0" baseItem="0"/>
    <dataField name="Sum of Funds_Raised" fld="5" baseField="0" baseItem="0"/>
    <dataField name="Average of Percentage" fld="8" subtotal="average" baseField="0" baseItem="0"/>
  </dataFields>
  <formats count="8">
    <format dxfId="8">
      <pivotArea type="all" dataOnly="0" outline="0" fieldPosition="0"/>
    </format>
    <format dxfId="9">
      <pivotArea outline="0" collapsedLevelsAreSubtotals="1" fieldPosition="0"/>
    </format>
    <format dxfId="10">
      <pivotArea field="7" type="button" dataOnly="0" labelOnly="1" outline="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7" type="button" dataOnly="0" labelOnly="1" outline="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E417-BF25-6145-ADA4-EBF0D17866C5}">
  <dimension ref="A1:W2595"/>
  <sheetViews>
    <sheetView topLeftCell="G1" zoomScale="88" workbookViewId="0">
      <selection activeCell="W28" sqref="W28"/>
    </sheetView>
  </sheetViews>
  <sheetFormatPr baseColWidth="10" defaultColWidth="14.6640625" defaultRowHeight="16" x14ac:dyDescent="0.2"/>
  <cols>
    <col min="2" max="2" width="20.1640625" bestFit="1" customWidth="1"/>
    <col min="4" max="4" width="13" bestFit="1" customWidth="1"/>
    <col min="5" max="5" width="20.1640625" bestFit="1" customWidth="1"/>
    <col min="7" max="7" width="27" bestFit="1" customWidth="1"/>
    <col min="8" max="8" width="20.1640625" bestFit="1" customWidth="1"/>
    <col min="10" max="10" width="18.1640625" bestFit="1" customWidth="1"/>
    <col min="11" max="11" width="20.1640625" bestFit="1" customWidth="1"/>
    <col min="13" max="13" width="18.1640625" bestFit="1" customWidth="1"/>
    <col min="14" max="14" width="18.83203125" bestFit="1" customWidth="1"/>
    <col min="16" max="16" width="17.5" customWidth="1"/>
    <col min="17" max="17" width="20.83203125" bestFit="1" customWidth="1"/>
    <col min="18" max="18" width="19.83203125" bestFit="1" customWidth="1"/>
    <col min="19" max="19" width="19.5" bestFit="1" customWidth="1"/>
    <col min="20" max="20" width="22.5" style="10" bestFit="1" customWidth="1"/>
    <col min="21" max="21" width="18.1640625" bestFit="1" customWidth="1"/>
    <col min="22" max="22" width="18.83203125" bestFit="1" customWidth="1"/>
    <col min="23" max="23" width="12.1640625" bestFit="1" customWidth="1"/>
    <col min="25" max="25" width="35.1640625" bestFit="1" customWidth="1"/>
  </cols>
  <sheetData>
    <row r="1" spans="1:23" x14ac:dyDescent="0.2">
      <c r="A1" s="8" t="s">
        <v>7</v>
      </c>
      <c r="B1" t="s">
        <v>2958</v>
      </c>
      <c r="G1" s="8" t="s">
        <v>2961</v>
      </c>
      <c r="H1" t="s">
        <v>2958</v>
      </c>
      <c r="P1" s="12" t="s">
        <v>2974</v>
      </c>
      <c r="Q1" s="1" t="s">
        <v>2958</v>
      </c>
      <c r="V1" s="12" t="s">
        <v>2974</v>
      </c>
      <c r="W1" s="1" t="s">
        <v>2958</v>
      </c>
    </row>
    <row r="2" spans="1:23" x14ac:dyDescent="0.2">
      <c r="A2" s="23" t="s">
        <v>2959</v>
      </c>
      <c r="B2" s="23"/>
      <c r="D2" s="23" t="s">
        <v>2960</v>
      </c>
      <c r="E2" s="23"/>
      <c r="G2" s="23" t="s">
        <v>2962</v>
      </c>
      <c r="H2" s="23"/>
      <c r="J2" s="23" t="s">
        <v>2962</v>
      </c>
      <c r="K2" s="23"/>
      <c r="M2" s="24" t="s">
        <v>2962</v>
      </c>
      <c r="N2" s="24"/>
      <c r="P2" s="11" t="s">
        <v>2962</v>
      </c>
      <c r="Q2" s="11"/>
      <c r="V2" s="11" t="s">
        <v>2962</v>
      </c>
      <c r="W2" s="11"/>
    </row>
    <row r="3" spans="1:23" x14ac:dyDescent="0.2">
      <c r="A3" s="8" t="s">
        <v>2956</v>
      </c>
      <c r="B3" t="s">
        <v>2969</v>
      </c>
      <c r="D3" s="8" t="s">
        <v>2956</v>
      </c>
      <c r="E3" t="s">
        <v>2969</v>
      </c>
      <c r="G3" s="8" t="s">
        <v>2956</v>
      </c>
      <c r="H3" t="s">
        <v>2969</v>
      </c>
      <c r="J3" s="8" t="s">
        <v>2956</v>
      </c>
      <c r="K3" t="s">
        <v>2969</v>
      </c>
      <c r="M3" s="12" t="s">
        <v>2956</v>
      </c>
      <c r="N3" s="1" t="s">
        <v>2968</v>
      </c>
      <c r="P3" s="12" t="s">
        <v>2956</v>
      </c>
      <c r="Q3" s="1" t="s">
        <v>2969</v>
      </c>
      <c r="R3" s="1" t="s">
        <v>2968</v>
      </c>
      <c r="S3" s="1" t="s">
        <v>2993</v>
      </c>
      <c r="T3" s="22" t="s">
        <v>2995</v>
      </c>
      <c r="U3" s="43" t="s">
        <v>2994</v>
      </c>
      <c r="V3" s="12" t="s">
        <v>2956</v>
      </c>
      <c r="W3" s="1" t="s">
        <v>2969</v>
      </c>
    </row>
    <row r="4" spans="1:23" x14ac:dyDescent="0.2">
      <c r="A4" s="9" t="s">
        <v>528</v>
      </c>
      <c r="B4">
        <v>0</v>
      </c>
      <c r="D4" s="9" t="s">
        <v>135</v>
      </c>
      <c r="E4">
        <v>1188</v>
      </c>
      <c r="G4" s="9">
        <v>99</v>
      </c>
      <c r="H4">
        <v>75</v>
      </c>
      <c r="J4" s="9" t="s">
        <v>1585</v>
      </c>
      <c r="K4">
        <v>323</v>
      </c>
      <c r="M4" s="1">
        <v>99</v>
      </c>
      <c r="N4" s="1">
        <v>244</v>
      </c>
      <c r="P4" s="1">
        <v>99</v>
      </c>
      <c r="Q4" s="42">
        <v>75</v>
      </c>
      <c r="R4" s="42">
        <v>244</v>
      </c>
      <c r="S4" s="42">
        <v>0.02</v>
      </c>
      <c r="T4" s="10">
        <f>IFERROR(ROUND((Q4/R4),2),"NA")</f>
        <v>0.31</v>
      </c>
      <c r="U4">
        <f>Q4*S4</f>
        <v>1.5</v>
      </c>
      <c r="V4" s="1" t="s">
        <v>2976</v>
      </c>
      <c r="W4" s="1">
        <v>131139</v>
      </c>
    </row>
    <row r="5" spans="1:23" x14ac:dyDescent="0.2">
      <c r="A5" s="9" t="s">
        <v>747</v>
      </c>
      <c r="B5">
        <v>150</v>
      </c>
      <c r="D5" s="9" t="s">
        <v>154</v>
      </c>
      <c r="E5">
        <v>262</v>
      </c>
      <c r="G5" s="9">
        <v>888</v>
      </c>
      <c r="H5">
        <v>0</v>
      </c>
      <c r="J5" s="9" t="s">
        <v>274</v>
      </c>
      <c r="K5">
        <v>3623</v>
      </c>
      <c r="M5" s="1">
        <v>888</v>
      </c>
      <c r="N5" s="1">
        <v>0</v>
      </c>
      <c r="P5" s="1">
        <v>888</v>
      </c>
      <c r="Q5" s="42">
        <v>0</v>
      </c>
      <c r="R5" s="42">
        <v>0</v>
      </c>
      <c r="S5" s="42">
        <v>0</v>
      </c>
      <c r="T5" s="10" t="str">
        <f>IFERROR(ROUND((Q5/R5),2),"NA")</f>
        <v>NA</v>
      </c>
      <c r="U5">
        <f t="shared" ref="U5:U68" si="0">Q5*S5</f>
        <v>0</v>
      </c>
      <c r="V5" s="1" t="s">
        <v>2977</v>
      </c>
      <c r="W5" s="1">
        <v>60094</v>
      </c>
    </row>
    <row r="6" spans="1:23" x14ac:dyDescent="0.2">
      <c r="A6" s="9" t="s">
        <v>2635</v>
      </c>
      <c r="B6">
        <v>500</v>
      </c>
      <c r="D6" s="9" t="s">
        <v>363</v>
      </c>
      <c r="E6">
        <v>3863</v>
      </c>
      <c r="G6" s="9" t="s">
        <v>2317</v>
      </c>
      <c r="H6">
        <v>90</v>
      </c>
      <c r="J6" s="9" t="s">
        <v>393</v>
      </c>
      <c r="K6">
        <v>740</v>
      </c>
      <c r="M6" s="1" t="s">
        <v>2317</v>
      </c>
      <c r="N6" s="1">
        <v>124</v>
      </c>
      <c r="P6" s="1" t="s">
        <v>2317</v>
      </c>
      <c r="Q6" s="42">
        <v>90</v>
      </c>
      <c r="R6" s="42">
        <v>124</v>
      </c>
      <c r="S6" s="42">
        <v>0.23</v>
      </c>
      <c r="T6" s="10">
        <f>IFERROR(ROUND((Q6/R6),2),"NA")</f>
        <v>0.73</v>
      </c>
      <c r="U6">
        <f t="shared" si="0"/>
        <v>20.7</v>
      </c>
      <c r="V6" s="1" t="s">
        <v>2978</v>
      </c>
      <c r="W6" s="1">
        <v>60755</v>
      </c>
    </row>
    <row r="7" spans="1:23" x14ac:dyDescent="0.2">
      <c r="A7" s="9" t="s">
        <v>983</v>
      </c>
      <c r="B7">
        <v>0</v>
      </c>
      <c r="D7" s="9" t="s">
        <v>35</v>
      </c>
      <c r="E7">
        <v>67675</v>
      </c>
      <c r="G7" s="9" t="s">
        <v>412</v>
      </c>
      <c r="H7">
        <v>0</v>
      </c>
      <c r="J7" s="9" t="s">
        <v>2407</v>
      </c>
      <c r="K7">
        <v>0</v>
      </c>
      <c r="M7" s="1" t="s">
        <v>412</v>
      </c>
      <c r="N7" s="1">
        <v>3</v>
      </c>
      <c r="P7" s="1" t="s">
        <v>412</v>
      </c>
      <c r="Q7" s="42">
        <v>0</v>
      </c>
      <c r="R7" s="42">
        <v>3</v>
      </c>
      <c r="S7" s="42">
        <v>0.7</v>
      </c>
      <c r="T7" s="10">
        <f>IFERROR(ROUND((Q7/R7),2),"NA")</f>
        <v>0</v>
      </c>
      <c r="U7">
        <f t="shared" si="0"/>
        <v>0</v>
      </c>
      <c r="V7" s="1" t="s">
        <v>2979</v>
      </c>
      <c r="W7" s="1">
        <v>73601</v>
      </c>
    </row>
    <row r="8" spans="1:23" x14ac:dyDescent="0.2">
      <c r="A8" s="9" t="s">
        <v>1377</v>
      </c>
      <c r="B8">
        <v>371</v>
      </c>
      <c r="D8" s="9" t="s">
        <v>22</v>
      </c>
      <c r="E8">
        <v>13618</v>
      </c>
      <c r="G8" s="9" t="s">
        <v>1693</v>
      </c>
      <c r="H8">
        <v>0</v>
      </c>
      <c r="J8" s="9" t="s">
        <v>152</v>
      </c>
      <c r="K8">
        <v>50</v>
      </c>
      <c r="M8" s="1" t="s">
        <v>1693</v>
      </c>
      <c r="N8" s="1">
        <v>0</v>
      </c>
      <c r="P8" s="1" t="s">
        <v>1693</v>
      </c>
      <c r="Q8" s="42">
        <v>0</v>
      </c>
      <c r="R8" s="42">
        <v>0</v>
      </c>
      <c r="S8" s="42">
        <v>0</v>
      </c>
      <c r="T8" s="10" t="str">
        <f>IFERROR(ROUND((Q8/R8),2),"NA")</f>
        <v>NA</v>
      </c>
      <c r="U8">
        <f t="shared" si="0"/>
        <v>0</v>
      </c>
      <c r="V8" s="1" t="s">
        <v>2980</v>
      </c>
      <c r="W8" s="1">
        <v>63871</v>
      </c>
    </row>
    <row r="9" spans="1:23" x14ac:dyDescent="0.2">
      <c r="A9" s="9" t="s">
        <v>245</v>
      </c>
      <c r="B9">
        <v>18065</v>
      </c>
      <c r="D9" s="9" t="s">
        <v>243</v>
      </c>
      <c r="E9">
        <v>8855</v>
      </c>
      <c r="G9" s="9" t="s">
        <v>618</v>
      </c>
      <c r="H9">
        <v>70</v>
      </c>
      <c r="J9" s="9" t="s">
        <v>662</v>
      </c>
      <c r="K9">
        <v>11323</v>
      </c>
      <c r="M9" s="1" t="s">
        <v>618</v>
      </c>
      <c r="N9" s="1">
        <v>0</v>
      </c>
      <c r="P9" s="1" t="s">
        <v>618</v>
      </c>
      <c r="Q9" s="42">
        <v>70</v>
      </c>
      <c r="R9" s="42">
        <v>0</v>
      </c>
      <c r="S9" s="42">
        <v>0</v>
      </c>
      <c r="T9" s="10" t="str">
        <f>IFERROR(ROUND((Q9/R9),2),"NA")</f>
        <v>NA</v>
      </c>
      <c r="U9">
        <f t="shared" si="0"/>
        <v>0</v>
      </c>
      <c r="V9" s="1" t="s">
        <v>2981</v>
      </c>
      <c r="W9" s="1">
        <v>40821</v>
      </c>
    </row>
    <row r="10" spans="1:23" x14ac:dyDescent="0.2">
      <c r="A10" s="9" t="s">
        <v>294</v>
      </c>
      <c r="B10">
        <v>340</v>
      </c>
      <c r="D10" s="9" t="s">
        <v>61</v>
      </c>
      <c r="E10">
        <v>18510</v>
      </c>
      <c r="G10" s="9" t="s">
        <v>2196</v>
      </c>
      <c r="H10">
        <v>0</v>
      </c>
      <c r="J10" s="9" t="s">
        <v>2599</v>
      </c>
      <c r="K10">
        <v>120</v>
      </c>
      <c r="M10" s="1" t="s">
        <v>2196</v>
      </c>
      <c r="N10" s="1">
        <v>272</v>
      </c>
      <c r="P10" s="1" t="s">
        <v>2196</v>
      </c>
      <c r="Q10" s="42">
        <v>0</v>
      </c>
      <c r="R10" s="42">
        <v>272</v>
      </c>
      <c r="S10" s="42">
        <v>0.06</v>
      </c>
      <c r="T10" s="10">
        <f>IFERROR(ROUND((Q10/R10),2),"NA")</f>
        <v>0</v>
      </c>
      <c r="U10">
        <f t="shared" si="0"/>
        <v>0</v>
      </c>
      <c r="V10" s="1" t="s">
        <v>2982</v>
      </c>
      <c r="W10" s="1">
        <v>34080</v>
      </c>
    </row>
    <row r="11" spans="1:23" x14ac:dyDescent="0.2">
      <c r="A11" s="9" t="s">
        <v>1907</v>
      </c>
      <c r="B11">
        <v>0</v>
      </c>
      <c r="D11" s="9" t="s">
        <v>109</v>
      </c>
      <c r="E11">
        <v>3067</v>
      </c>
      <c r="G11" s="9" t="s">
        <v>1844</v>
      </c>
      <c r="H11">
        <v>9</v>
      </c>
      <c r="J11" s="9" t="s">
        <v>106</v>
      </c>
      <c r="K11">
        <v>10321</v>
      </c>
      <c r="M11" s="1" t="s">
        <v>1844</v>
      </c>
      <c r="N11" s="1">
        <v>35</v>
      </c>
      <c r="P11" s="1" t="s">
        <v>1844</v>
      </c>
      <c r="Q11" s="42">
        <v>9</v>
      </c>
      <c r="R11" s="42">
        <v>35</v>
      </c>
      <c r="S11" s="42">
        <v>0.09</v>
      </c>
      <c r="T11" s="10">
        <f>IFERROR(ROUND((Q11/R11),2),"NA")</f>
        <v>0.26</v>
      </c>
      <c r="U11">
        <f t="shared" si="0"/>
        <v>0.80999999999999994</v>
      </c>
      <c r="V11" s="1" t="s">
        <v>2983</v>
      </c>
      <c r="W11" s="1">
        <v>27069</v>
      </c>
    </row>
    <row r="12" spans="1:23" x14ac:dyDescent="0.2">
      <c r="A12" s="9" t="s">
        <v>115</v>
      </c>
      <c r="B12">
        <v>2315</v>
      </c>
      <c r="D12" s="9" t="s">
        <v>16</v>
      </c>
      <c r="E12">
        <v>43103</v>
      </c>
      <c r="G12" s="9" t="s">
        <v>1485</v>
      </c>
      <c r="H12">
        <v>19</v>
      </c>
      <c r="J12" s="9" t="s">
        <v>344</v>
      </c>
      <c r="K12">
        <v>1060</v>
      </c>
      <c r="M12" s="1" t="s">
        <v>1485</v>
      </c>
      <c r="N12" s="1">
        <v>21</v>
      </c>
      <c r="P12" s="1" t="s">
        <v>1485</v>
      </c>
      <c r="Q12" s="42">
        <v>19</v>
      </c>
      <c r="R12" s="42">
        <v>21</v>
      </c>
      <c r="S12" s="42">
        <v>0.17</v>
      </c>
      <c r="T12" s="10">
        <f>IFERROR(ROUND((Q12/R12),2),"NA")</f>
        <v>0.9</v>
      </c>
      <c r="U12">
        <f t="shared" si="0"/>
        <v>3.2300000000000004</v>
      </c>
      <c r="V12" s="1" t="s">
        <v>2984</v>
      </c>
      <c r="W12" s="1">
        <v>11358</v>
      </c>
    </row>
    <row r="13" spans="1:23" x14ac:dyDescent="0.2">
      <c r="A13" s="9" t="s">
        <v>858</v>
      </c>
      <c r="B13">
        <v>300</v>
      </c>
      <c r="D13" s="9" t="s">
        <v>117</v>
      </c>
      <c r="E13">
        <v>9671</v>
      </c>
      <c r="G13" s="9" t="s">
        <v>1634</v>
      </c>
      <c r="H13">
        <v>12</v>
      </c>
      <c r="J13" s="9" t="s">
        <v>175</v>
      </c>
      <c r="K13">
        <v>525</v>
      </c>
      <c r="M13" s="1" t="s">
        <v>1634</v>
      </c>
      <c r="N13" s="1">
        <v>240</v>
      </c>
      <c r="P13" s="1" t="s">
        <v>1634</v>
      </c>
      <c r="Q13" s="42">
        <v>12</v>
      </c>
      <c r="R13" s="42">
        <v>240</v>
      </c>
      <c r="S13" s="42">
        <v>0</v>
      </c>
      <c r="T13" s="10">
        <f>IFERROR(ROUND((Q13/R13),2),"NA")</f>
        <v>0.05</v>
      </c>
      <c r="U13">
        <f t="shared" si="0"/>
        <v>0</v>
      </c>
      <c r="V13" s="1" t="s">
        <v>2985</v>
      </c>
      <c r="W13" s="1">
        <v>29219</v>
      </c>
    </row>
    <row r="14" spans="1:23" x14ac:dyDescent="0.2">
      <c r="A14" s="9" t="s">
        <v>86</v>
      </c>
      <c r="B14">
        <v>33545</v>
      </c>
      <c r="D14" s="9" t="s">
        <v>11</v>
      </c>
      <c r="E14">
        <v>45625</v>
      </c>
      <c r="G14" s="9" t="s">
        <v>2150</v>
      </c>
      <c r="H14">
        <v>100</v>
      </c>
      <c r="J14" s="9" t="s">
        <v>224</v>
      </c>
      <c r="K14">
        <v>7190</v>
      </c>
      <c r="M14" s="1" t="s">
        <v>2150</v>
      </c>
      <c r="N14" s="1">
        <v>242</v>
      </c>
      <c r="P14" s="1" t="s">
        <v>2150</v>
      </c>
      <c r="Q14" s="42">
        <v>100</v>
      </c>
      <c r="R14" s="42">
        <v>242</v>
      </c>
      <c r="S14" s="42">
        <v>0.08</v>
      </c>
      <c r="T14" s="10">
        <f>IFERROR(ROUND((Q14/R14),2),"NA")</f>
        <v>0.41</v>
      </c>
      <c r="U14">
        <f t="shared" si="0"/>
        <v>8</v>
      </c>
      <c r="V14" s="1" t="s">
        <v>2986</v>
      </c>
      <c r="W14" s="1">
        <v>64274</v>
      </c>
    </row>
    <row r="15" spans="1:23" x14ac:dyDescent="0.2">
      <c r="A15" s="9" t="s">
        <v>318</v>
      </c>
      <c r="B15">
        <v>170</v>
      </c>
      <c r="D15" s="9" t="s">
        <v>103</v>
      </c>
      <c r="E15">
        <v>37750</v>
      </c>
      <c r="G15" s="9" t="s">
        <v>763</v>
      </c>
      <c r="H15">
        <v>0</v>
      </c>
      <c r="J15" s="9" t="s">
        <v>1574</v>
      </c>
      <c r="K15">
        <v>130</v>
      </c>
      <c r="M15" s="1" t="s">
        <v>763</v>
      </c>
      <c r="N15" s="1">
        <v>0</v>
      </c>
      <c r="P15" s="1" t="s">
        <v>763</v>
      </c>
      <c r="Q15" s="42">
        <v>0</v>
      </c>
      <c r="R15" s="42">
        <v>0</v>
      </c>
      <c r="S15" s="42">
        <v>0</v>
      </c>
      <c r="T15" s="10" t="str">
        <f>IFERROR(ROUND((Q15/R15),2),"NA")</f>
        <v>NA</v>
      </c>
      <c r="U15">
        <f t="shared" si="0"/>
        <v>0</v>
      </c>
      <c r="V15" s="1" t="s">
        <v>2987</v>
      </c>
      <c r="W15" s="1">
        <v>19905</v>
      </c>
    </row>
    <row r="16" spans="1:23" x14ac:dyDescent="0.2">
      <c r="A16" s="9" t="s">
        <v>2064</v>
      </c>
      <c r="B16">
        <v>55</v>
      </c>
      <c r="D16" s="9" t="s">
        <v>32</v>
      </c>
      <c r="E16">
        <v>36907</v>
      </c>
      <c r="G16" s="9" t="s">
        <v>1205</v>
      </c>
      <c r="H16">
        <v>600</v>
      </c>
      <c r="J16" s="9" t="s">
        <v>143</v>
      </c>
      <c r="K16">
        <v>316</v>
      </c>
      <c r="M16" s="1" t="s">
        <v>1205</v>
      </c>
      <c r="N16" s="1">
        <v>0</v>
      </c>
      <c r="P16" s="1" t="s">
        <v>1205</v>
      </c>
      <c r="Q16" s="42">
        <v>600</v>
      </c>
      <c r="R16" s="42">
        <v>0</v>
      </c>
      <c r="S16" s="42">
        <v>0.4</v>
      </c>
      <c r="T16" s="10" t="str">
        <f>IFERROR(ROUND((Q16/R16),2),"NA")</f>
        <v>NA</v>
      </c>
      <c r="U16">
        <f t="shared" si="0"/>
        <v>240</v>
      </c>
    </row>
    <row r="17" spans="1:21" x14ac:dyDescent="0.2">
      <c r="A17" s="9" t="s">
        <v>165</v>
      </c>
      <c r="B17">
        <v>435</v>
      </c>
      <c r="D17" s="9" t="s">
        <v>68</v>
      </c>
      <c r="E17">
        <v>8197</v>
      </c>
      <c r="G17" s="9" t="s">
        <v>2830</v>
      </c>
      <c r="H17">
        <v>70</v>
      </c>
      <c r="J17" s="9" t="s">
        <v>181</v>
      </c>
      <c r="K17">
        <v>319</v>
      </c>
      <c r="M17" s="1" t="s">
        <v>2830</v>
      </c>
      <c r="N17" s="1">
        <v>253</v>
      </c>
      <c r="P17" s="1" t="s">
        <v>2830</v>
      </c>
      <c r="Q17" s="42">
        <v>70</v>
      </c>
      <c r="R17" s="42">
        <v>253</v>
      </c>
      <c r="S17" s="42">
        <v>0.17</v>
      </c>
      <c r="T17" s="10">
        <f>IFERROR(ROUND((Q17/R17),2),"NA")</f>
        <v>0.28000000000000003</v>
      </c>
      <c r="U17">
        <f t="shared" si="0"/>
        <v>11.9</v>
      </c>
    </row>
    <row r="18" spans="1:21" x14ac:dyDescent="0.2">
      <c r="A18" s="9" t="s">
        <v>1322</v>
      </c>
      <c r="B18">
        <v>200</v>
      </c>
      <c r="D18" s="9" t="s">
        <v>48</v>
      </c>
      <c r="E18">
        <v>14974</v>
      </c>
      <c r="G18" s="9" t="s">
        <v>822</v>
      </c>
      <c r="H18">
        <v>146</v>
      </c>
      <c r="J18" s="9" t="s">
        <v>1817</v>
      </c>
      <c r="K18">
        <v>0</v>
      </c>
      <c r="M18" s="1" t="s">
        <v>822</v>
      </c>
      <c r="N18" s="1">
        <v>2200</v>
      </c>
      <c r="P18" s="1" t="s">
        <v>822</v>
      </c>
      <c r="Q18" s="42">
        <v>146</v>
      </c>
      <c r="R18" s="42">
        <v>2200</v>
      </c>
      <c r="S18" s="42">
        <v>0.1</v>
      </c>
      <c r="T18" s="10">
        <f>IFERROR(ROUND((Q18/R18),2),"NA")</f>
        <v>7.0000000000000007E-2</v>
      </c>
      <c r="U18">
        <f t="shared" si="0"/>
        <v>14.600000000000001</v>
      </c>
    </row>
    <row r="19" spans="1:21" x14ac:dyDescent="0.2">
      <c r="A19" s="9" t="s">
        <v>1675</v>
      </c>
      <c r="B19">
        <v>0</v>
      </c>
      <c r="D19" s="9" t="s">
        <v>632</v>
      </c>
      <c r="E19">
        <v>966</v>
      </c>
      <c r="G19" s="9" t="s">
        <v>2080</v>
      </c>
      <c r="H19">
        <v>190</v>
      </c>
      <c r="J19" s="9" t="s">
        <v>417</v>
      </c>
      <c r="K19">
        <v>582</v>
      </c>
      <c r="M19" s="1" t="s">
        <v>2080</v>
      </c>
      <c r="N19" s="1">
        <v>500</v>
      </c>
      <c r="P19" s="1" t="s">
        <v>2080</v>
      </c>
      <c r="Q19" s="42">
        <v>190</v>
      </c>
      <c r="R19" s="42">
        <v>500</v>
      </c>
      <c r="S19" s="42">
        <v>0.13500000000000001</v>
      </c>
      <c r="T19" s="10">
        <f>IFERROR(ROUND((Q19/R19),2),"NA")</f>
        <v>0.38</v>
      </c>
      <c r="U19">
        <f t="shared" si="0"/>
        <v>25.650000000000002</v>
      </c>
    </row>
    <row r="20" spans="1:21" x14ac:dyDescent="0.2">
      <c r="A20" s="9" t="s">
        <v>595</v>
      </c>
      <c r="B20">
        <v>775</v>
      </c>
      <c r="D20" s="9" t="s">
        <v>170</v>
      </c>
      <c r="E20">
        <v>5356</v>
      </c>
      <c r="G20" s="9" t="s">
        <v>400</v>
      </c>
      <c r="H20">
        <v>0</v>
      </c>
      <c r="J20" s="9" t="s">
        <v>321</v>
      </c>
      <c r="K20">
        <v>320</v>
      </c>
      <c r="M20" s="1" t="s">
        <v>400</v>
      </c>
      <c r="N20" s="1">
        <v>1278</v>
      </c>
      <c r="P20" s="1" t="s">
        <v>400</v>
      </c>
      <c r="Q20" s="42">
        <v>0</v>
      </c>
      <c r="R20" s="42">
        <v>1278</v>
      </c>
      <c r="S20" s="42">
        <v>0.2</v>
      </c>
      <c r="T20" s="10">
        <f>IFERROR(ROUND((Q20/R20),2),"NA")</f>
        <v>0</v>
      </c>
      <c r="U20">
        <f>Q20*S20</f>
        <v>0</v>
      </c>
    </row>
    <row r="21" spans="1:21" x14ac:dyDescent="0.2">
      <c r="A21" s="9" t="s">
        <v>742</v>
      </c>
      <c r="B21">
        <v>576</v>
      </c>
      <c r="D21" s="9" t="s">
        <v>71</v>
      </c>
      <c r="E21">
        <v>5642</v>
      </c>
      <c r="G21" s="9" t="s">
        <v>2091</v>
      </c>
      <c r="H21">
        <v>95</v>
      </c>
      <c r="J21" s="9" t="s">
        <v>163</v>
      </c>
      <c r="K21">
        <v>1825</v>
      </c>
      <c r="M21" s="1" t="s">
        <v>2091</v>
      </c>
      <c r="N21" s="1">
        <v>44</v>
      </c>
      <c r="P21" s="1" t="s">
        <v>2091</v>
      </c>
      <c r="Q21" s="42">
        <v>95</v>
      </c>
      <c r="R21" s="42">
        <v>44</v>
      </c>
      <c r="S21" s="42">
        <v>0.3</v>
      </c>
      <c r="T21" s="10">
        <f>IFERROR(ROUND((Q21/R21),2),"NA")</f>
        <v>2.16</v>
      </c>
      <c r="U21">
        <f t="shared" si="0"/>
        <v>28.5</v>
      </c>
    </row>
    <row r="22" spans="1:21" x14ac:dyDescent="0.2">
      <c r="A22" s="9" t="s">
        <v>1762</v>
      </c>
      <c r="B22">
        <v>50</v>
      </c>
      <c r="D22" s="9" t="s">
        <v>26</v>
      </c>
      <c r="E22">
        <v>12413</v>
      </c>
      <c r="G22" s="9" t="s">
        <v>2394</v>
      </c>
      <c r="H22">
        <v>0</v>
      </c>
      <c r="J22" s="9" t="s">
        <v>76</v>
      </c>
      <c r="K22">
        <v>26353</v>
      </c>
      <c r="M22" s="1" t="s">
        <v>2394</v>
      </c>
      <c r="N22" s="1">
        <v>12</v>
      </c>
      <c r="P22" s="1" t="s">
        <v>2394</v>
      </c>
      <c r="Q22" s="42">
        <v>0</v>
      </c>
      <c r="R22" s="42">
        <v>12</v>
      </c>
      <c r="S22" s="42">
        <v>0.25</v>
      </c>
      <c r="T22" s="10">
        <f>IFERROR(ROUND((Q22/R22),2),"NA")</f>
        <v>0</v>
      </c>
      <c r="U22">
        <f t="shared" si="0"/>
        <v>0</v>
      </c>
    </row>
    <row r="23" spans="1:21" x14ac:dyDescent="0.2">
      <c r="A23" s="9" t="s">
        <v>100</v>
      </c>
      <c r="B23">
        <v>30207</v>
      </c>
      <c r="D23" s="9" t="s">
        <v>235</v>
      </c>
      <c r="E23">
        <v>9255</v>
      </c>
      <c r="G23" s="9" t="s">
        <v>1985</v>
      </c>
      <c r="H23">
        <v>150</v>
      </c>
      <c r="J23" s="9" t="s">
        <v>748</v>
      </c>
      <c r="K23">
        <v>150</v>
      </c>
      <c r="M23" s="1" t="s">
        <v>1985</v>
      </c>
      <c r="N23" s="1">
        <v>426</v>
      </c>
      <c r="P23" s="1" t="s">
        <v>1985</v>
      </c>
      <c r="Q23" s="42">
        <v>150</v>
      </c>
      <c r="R23" s="42">
        <v>426</v>
      </c>
      <c r="S23" s="42">
        <v>0.1</v>
      </c>
      <c r="T23" s="10">
        <f>IFERROR(ROUND((Q23/R23),2),"NA")</f>
        <v>0.35</v>
      </c>
      <c r="U23">
        <f t="shared" si="0"/>
        <v>15</v>
      </c>
    </row>
    <row r="24" spans="1:21" x14ac:dyDescent="0.2">
      <c r="A24" s="9" t="s">
        <v>74</v>
      </c>
      <c r="B24">
        <v>13786</v>
      </c>
      <c r="D24" s="9" t="s">
        <v>29</v>
      </c>
      <c r="E24">
        <v>59261</v>
      </c>
      <c r="G24" s="9" t="s">
        <v>430</v>
      </c>
      <c r="H24">
        <v>98</v>
      </c>
      <c r="J24" s="9" t="s">
        <v>1908</v>
      </c>
      <c r="K24">
        <v>0</v>
      </c>
      <c r="M24" s="1" t="s">
        <v>430</v>
      </c>
      <c r="N24" s="1">
        <v>262</v>
      </c>
      <c r="P24" s="1" t="s">
        <v>430</v>
      </c>
      <c r="Q24" s="42">
        <v>98</v>
      </c>
      <c r="R24" s="42">
        <v>262</v>
      </c>
      <c r="S24" s="42">
        <v>0.13</v>
      </c>
      <c r="T24" s="10">
        <f>IFERROR(ROUND((Q24/R24),2),"NA")</f>
        <v>0.37</v>
      </c>
      <c r="U24">
        <f t="shared" si="0"/>
        <v>12.74</v>
      </c>
    </row>
    <row r="25" spans="1:21" x14ac:dyDescent="0.2">
      <c r="A25" s="9" t="s">
        <v>574</v>
      </c>
      <c r="B25">
        <v>110</v>
      </c>
      <c r="D25" s="9" t="s">
        <v>78</v>
      </c>
      <c r="E25">
        <v>2097</v>
      </c>
      <c r="G25" s="9" t="s">
        <v>1558</v>
      </c>
      <c r="H25">
        <v>0</v>
      </c>
      <c r="J25" s="9" t="s">
        <v>768</v>
      </c>
      <c r="K25">
        <v>730</v>
      </c>
      <c r="M25" s="1" t="s">
        <v>1558</v>
      </c>
      <c r="N25" s="1">
        <v>275</v>
      </c>
      <c r="P25" s="1" t="s">
        <v>1558</v>
      </c>
      <c r="Q25" s="42">
        <v>0</v>
      </c>
      <c r="R25" s="42">
        <v>275</v>
      </c>
      <c r="S25" s="42">
        <v>0.1</v>
      </c>
      <c r="T25" s="10">
        <f>IFERROR(ROUND((Q25/R25),2),"NA")</f>
        <v>0</v>
      </c>
      <c r="U25">
        <f t="shared" si="0"/>
        <v>0</v>
      </c>
    </row>
    <row r="26" spans="1:21" x14ac:dyDescent="0.2">
      <c r="A26" s="9" t="s">
        <v>1603</v>
      </c>
      <c r="B26">
        <v>0</v>
      </c>
      <c r="D26" s="9" t="s">
        <v>148</v>
      </c>
      <c r="E26">
        <v>19108</v>
      </c>
      <c r="G26" s="9" t="s">
        <v>1549</v>
      </c>
      <c r="H26">
        <v>355</v>
      </c>
      <c r="J26" s="9" t="s">
        <v>2043</v>
      </c>
      <c r="K26">
        <v>0</v>
      </c>
      <c r="M26" s="1" t="s">
        <v>1549</v>
      </c>
      <c r="N26" s="1">
        <v>506</v>
      </c>
      <c r="P26" s="1" t="s">
        <v>1549</v>
      </c>
      <c r="Q26" s="42">
        <v>355</v>
      </c>
      <c r="R26" s="42">
        <v>506</v>
      </c>
      <c r="S26" s="42">
        <v>0.08</v>
      </c>
      <c r="T26" s="10">
        <f>IFERROR(ROUND((Q26/R26),2),"NA")</f>
        <v>0.7</v>
      </c>
      <c r="U26">
        <f t="shared" si="0"/>
        <v>28.400000000000002</v>
      </c>
    </row>
    <row r="27" spans="1:21" x14ac:dyDescent="0.2">
      <c r="A27" s="9" t="s">
        <v>1311</v>
      </c>
      <c r="B27">
        <v>201</v>
      </c>
      <c r="D27" s="9" t="s">
        <v>84</v>
      </c>
      <c r="E27">
        <v>5101</v>
      </c>
      <c r="G27" s="9" t="s">
        <v>144</v>
      </c>
      <c r="H27">
        <v>0</v>
      </c>
      <c r="J27" s="9" t="s">
        <v>98</v>
      </c>
      <c r="K27">
        <v>51234</v>
      </c>
      <c r="M27" s="1" t="s">
        <v>144</v>
      </c>
      <c r="N27" s="1">
        <v>546</v>
      </c>
      <c r="P27" s="1" t="s">
        <v>144</v>
      </c>
      <c r="Q27" s="42">
        <v>0</v>
      </c>
      <c r="R27" s="42">
        <v>546</v>
      </c>
      <c r="S27" s="42">
        <v>0.1</v>
      </c>
      <c r="T27" s="10">
        <f>IFERROR(ROUND((Q27/R27),2),"NA")</f>
        <v>0</v>
      </c>
      <c r="U27">
        <f t="shared" si="0"/>
        <v>0</v>
      </c>
    </row>
    <row r="28" spans="1:21" x14ac:dyDescent="0.2">
      <c r="A28" s="9" t="s">
        <v>1573</v>
      </c>
      <c r="B28">
        <v>130</v>
      </c>
      <c r="D28" s="9" t="s">
        <v>142</v>
      </c>
      <c r="E28">
        <v>70157</v>
      </c>
      <c r="G28" s="9" t="s">
        <v>2287</v>
      </c>
      <c r="H28">
        <v>12</v>
      </c>
      <c r="J28" s="9" t="s">
        <v>399</v>
      </c>
      <c r="K28">
        <v>4761</v>
      </c>
      <c r="M28" s="1" t="s">
        <v>2287</v>
      </c>
      <c r="N28" s="1">
        <v>106</v>
      </c>
      <c r="P28" s="1" t="s">
        <v>2287</v>
      </c>
      <c r="Q28" s="42">
        <v>12</v>
      </c>
      <c r="R28" s="42">
        <v>106</v>
      </c>
      <c r="S28" s="42">
        <v>0.05</v>
      </c>
      <c r="T28" s="10">
        <f>IFERROR(ROUND((Q28/R28),2),"NA")</f>
        <v>0.11</v>
      </c>
      <c r="U28">
        <f t="shared" si="0"/>
        <v>0.60000000000000009</v>
      </c>
    </row>
    <row r="29" spans="1:21" x14ac:dyDescent="0.2">
      <c r="A29" s="9" t="s">
        <v>40</v>
      </c>
      <c r="B29">
        <v>7275</v>
      </c>
      <c r="D29" s="9" t="s">
        <v>50</v>
      </c>
      <c r="E29">
        <v>14948</v>
      </c>
      <c r="G29" s="9" t="s">
        <v>743</v>
      </c>
      <c r="H29">
        <v>70</v>
      </c>
      <c r="J29" s="9" t="s">
        <v>168</v>
      </c>
      <c r="K29">
        <v>737</v>
      </c>
      <c r="M29" s="1" t="s">
        <v>743</v>
      </c>
      <c r="N29" s="1">
        <v>475</v>
      </c>
      <c r="P29" s="1" t="s">
        <v>743</v>
      </c>
      <c r="Q29" s="42">
        <v>70</v>
      </c>
      <c r="R29" s="42">
        <v>475</v>
      </c>
      <c r="S29" s="42">
        <v>0.15</v>
      </c>
      <c r="T29" s="10">
        <f>IFERROR(ROUND((Q29/R29),2),"NA")</f>
        <v>0.15</v>
      </c>
      <c r="U29">
        <f t="shared" si="0"/>
        <v>10.5</v>
      </c>
    </row>
    <row r="30" spans="1:21" x14ac:dyDescent="0.2">
      <c r="A30" s="9" t="s">
        <v>89</v>
      </c>
      <c r="B30">
        <v>16591</v>
      </c>
      <c r="D30" s="9" t="s">
        <v>195</v>
      </c>
      <c r="E30">
        <v>9842</v>
      </c>
      <c r="G30" s="9" t="s">
        <v>1202</v>
      </c>
      <c r="H30">
        <v>40</v>
      </c>
      <c r="J30" s="9" t="s">
        <v>18</v>
      </c>
      <c r="K30">
        <v>6266</v>
      </c>
      <c r="M30" s="1" t="s">
        <v>1202</v>
      </c>
      <c r="N30" s="1">
        <v>0</v>
      </c>
      <c r="P30" s="1" t="s">
        <v>1202</v>
      </c>
      <c r="Q30" s="42">
        <v>40</v>
      </c>
      <c r="R30" s="42">
        <v>0</v>
      </c>
      <c r="S30" s="42">
        <v>0.05</v>
      </c>
      <c r="T30" s="10" t="str">
        <f>IFERROR(ROUND((Q30/R30),2),"NA")</f>
        <v>NA</v>
      </c>
      <c r="U30">
        <f t="shared" si="0"/>
        <v>2</v>
      </c>
    </row>
    <row r="31" spans="1:21" x14ac:dyDescent="0.2">
      <c r="A31" s="9" t="s">
        <v>284</v>
      </c>
      <c r="B31">
        <v>481</v>
      </c>
      <c r="D31" s="9" t="s">
        <v>113</v>
      </c>
      <c r="E31">
        <v>6191</v>
      </c>
      <c r="G31" s="9" t="s">
        <v>2037</v>
      </c>
      <c r="H31">
        <v>70</v>
      </c>
      <c r="J31" s="9" t="s">
        <v>1390</v>
      </c>
      <c r="K31">
        <v>0</v>
      </c>
      <c r="M31" s="1" t="s">
        <v>2037</v>
      </c>
      <c r="N31" s="1">
        <v>126</v>
      </c>
      <c r="P31" s="1" t="s">
        <v>2037</v>
      </c>
      <c r="Q31" s="42">
        <v>70</v>
      </c>
      <c r="R31" s="42">
        <v>126</v>
      </c>
      <c r="S31" s="42">
        <v>0.15</v>
      </c>
      <c r="T31" s="10">
        <f>IFERROR(ROUND((Q31/R31),2),"NA")</f>
        <v>0.56000000000000005</v>
      </c>
      <c r="U31">
        <f t="shared" si="0"/>
        <v>10.5</v>
      </c>
    </row>
    <row r="32" spans="1:21" x14ac:dyDescent="0.2">
      <c r="A32" s="9" t="s">
        <v>2391</v>
      </c>
      <c r="B32">
        <v>60</v>
      </c>
      <c r="D32" s="9" t="s">
        <v>52</v>
      </c>
      <c r="E32">
        <v>59417</v>
      </c>
      <c r="G32" s="9" t="s">
        <v>1307</v>
      </c>
      <c r="H32">
        <v>0</v>
      </c>
      <c r="J32" s="9" t="s">
        <v>72</v>
      </c>
      <c r="K32">
        <v>4165</v>
      </c>
      <c r="M32" s="1" t="s">
        <v>1307</v>
      </c>
      <c r="N32" s="1">
        <v>458</v>
      </c>
      <c r="P32" s="1" t="s">
        <v>1307</v>
      </c>
      <c r="Q32" s="42">
        <v>0</v>
      </c>
      <c r="R32" s="42">
        <v>458</v>
      </c>
      <c r="S32" s="42">
        <v>0</v>
      </c>
      <c r="T32" s="10">
        <f>IFERROR(ROUND((Q32/R32),2),"NA")</f>
        <v>0</v>
      </c>
      <c r="U32">
        <f t="shared" si="0"/>
        <v>0</v>
      </c>
    </row>
    <row r="33" spans="1:21" x14ac:dyDescent="0.2">
      <c r="A33" s="9" t="s">
        <v>1106</v>
      </c>
      <c r="B33">
        <v>244</v>
      </c>
      <c r="D33" s="9" t="s">
        <v>44</v>
      </c>
      <c r="E33">
        <v>23132</v>
      </c>
      <c r="G33" s="9" t="s">
        <v>2851</v>
      </c>
      <c r="H33">
        <v>45</v>
      </c>
      <c r="J33" s="9" t="s">
        <v>780</v>
      </c>
      <c r="K33">
        <v>988</v>
      </c>
      <c r="M33" s="1" t="s">
        <v>2851</v>
      </c>
      <c r="N33" s="1">
        <v>143</v>
      </c>
      <c r="P33" s="1" t="s">
        <v>2851</v>
      </c>
      <c r="Q33" s="42">
        <v>45</v>
      </c>
      <c r="R33" s="42">
        <v>143</v>
      </c>
      <c r="S33" s="42">
        <v>0.09</v>
      </c>
      <c r="T33" s="10">
        <f>IFERROR(ROUND((Q33/R33),2),"NA")</f>
        <v>0.31</v>
      </c>
      <c r="U33">
        <f t="shared" si="0"/>
        <v>4.05</v>
      </c>
    </row>
    <row r="34" spans="1:21" x14ac:dyDescent="0.2">
      <c r="A34" s="9" t="s">
        <v>2021</v>
      </c>
      <c r="B34">
        <v>38</v>
      </c>
      <c r="D34" s="9" t="s">
        <v>12</v>
      </c>
      <c r="E34">
        <v>35</v>
      </c>
      <c r="G34" s="9" t="s">
        <v>2618</v>
      </c>
      <c r="H34">
        <v>50</v>
      </c>
      <c r="J34" s="9" t="s">
        <v>259</v>
      </c>
      <c r="K34">
        <v>60</v>
      </c>
      <c r="M34" s="1" t="s">
        <v>2618</v>
      </c>
      <c r="N34" s="1">
        <v>207</v>
      </c>
      <c r="P34" s="1" t="s">
        <v>2618</v>
      </c>
      <c r="Q34" s="42">
        <v>50</v>
      </c>
      <c r="R34" s="42">
        <v>207</v>
      </c>
      <c r="S34" s="42">
        <v>0</v>
      </c>
      <c r="T34" s="10">
        <f>IFERROR(ROUND((Q34/R34),2),"NA")</f>
        <v>0.24</v>
      </c>
      <c r="U34">
        <f t="shared" si="0"/>
        <v>0</v>
      </c>
    </row>
    <row r="35" spans="1:21" x14ac:dyDescent="0.2">
      <c r="A35" s="9" t="s">
        <v>356</v>
      </c>
      <c r="B35">
        <v>216</v>
      </c>
      <c r="D35" s="9" t="s">
        <v>2957</v>
      </c>
      <c r="G35" s="9" t="s">
        <v>658</v>
      </c>
      <c r="H35">
        <v>0</v>
      </c>
      <c r="J35" s="9" t="s">
        <v>873</v>
      </c>
      <c r="K35">
        <v>45</v>
      </c>
      <c r="M35" s="1" t="s">
        <v>658</v>
      </c>
      <c r="N35" s="1">
        <v>658</v>
      </c>
      <c r="P35" s="1" t="s">
        <v>658</v>
      </c>
      <c r="Q35" s="42">
        <v>0</v>
      </c>
      <c r="R35" s="42">
        <v>658</v>
      </c>
      <c r="S35" s="42">
        <v>0</v>
      </c>
      <c r="T35" s="10">
        <f>IFERROR(ROUND((Q35/R35),2),"NA")</f>
        <v>0</v>
      </c>
      <c r="U35">
        <f t="shared" si="0"/>
        <v>0</v>
      </c>
    </row>
    <row r="36" spans="1:21" x14ac:dyDescent="0.2">
      <c r="A36" s="9" t="s">
        <v>1974</v>
      </c>
      <c r="B36">
        <v>0</v>
      </c>
      <c r="G36" s="9" t="s">
        <v>2515</v>
      </c>
      <c r="H36">
        <v>54</v>
      </c>
      <c r="J36" s="9" t="s">
        <v>2015</v>
      </c>
      <c r="K36">
        <v>100</v>
      </c>
      <c r="M36" s="1" t="s">
        <v>2515</v>
      </c>
      <c r="N36" s="1">
        <v>352</v>
      </c>
      <c r="P36" s="1" t="s">
        <v>2515</v>
      </c>
      <c r="Q36" s="42">
        <v>54</v>
      </c>
      <c r="R36" s="42">
        <v>352</v>
      </c>
      <c r="S36" s="42">
        <v>0</v>
      </c>
      <c r="T36" s="10">
        <f>IFERROR(ROUND((Q36/R36),2),"NA")</f>
        <v>0.15</v>
      </c>
      <c r="U36">
        <f t="shared" si="0"/>
        <v>0</v>
      </c>
    </row>
    <row r="37" spans="1:21" x14ac:dyDescent="0.2">
      <c r="A37" s="9" t="s">
        <v>570</v>
      </c>
      <c r="B37">
        <v>80</v>
      </c>
      <c r="G37" s="9" t="s">
        <v>2009</v>
      </c>
      <c r="H37">
        <v>0</v>
      </c>
      <c r="J37" s="9" t="s">
        <v>956</v>
      </c>
      <c r="K37">
        <v>270</v>
      </c>
      <c r="M37" s="1" t="s">
        <v>2009</v>
      </c>
      <c r="N37" s="1">
        <v>360</v>
      </c>
      <c r="P37" s="1" t="s">
        <v>2009</v>
      </c>
      <c r="Q37" s="42">
        <v>0</v>
      </c>
      <c r="R37" s="42">
        <v>360</v>
      </c>
      <c r="S37" s="42">
        <v>0.15</v>
      </c>
      <c r="T37" s="10">
        <f>IFERROR(ROUND((Q37/R37),2),"NA")</f>
        <v>0</v>
      </c>
      <c r="U37">
        <f t="shared" si="0"/>
        <v>0</v>
      </c>
    </row>
    <row r="38" spans="1:21" x14ac:dyDescent="0.2">
      <c r="A38" s="9" t="s">
        <v>2042</v>
      </c>
      <c r="B38">
        <v>0</v>
      </c>
      <c r="G38" s="9" t="s">
        <v>842</v>
      </c>
      <c r="H38">
        <v>0</v>
      </c>
      <c r="J38" s="9" t="s">
        <v>2847</v>
      </c>
      <c r="K38">
        <v>200</v>
      </c>
      <c r="M38" s="1" t="s">
        <v>842</v>
      </c>
      <c r="N38" s="1">
        <v>12</v>
      </c>
      <c r="P38" s="1" t="s">
        <v>842</v>
      </c>
      <c r="Q38" s="42">
        <v>0</v>
      </c>
      <c r="R38" s="42">
        <v>12</v>
      </c>
      <c r="S38" s="42">
        <v>0.6</v>
      </c>
      <c r="T38" s="10">
        <f>IFERROR(ROUND((Q38/R38),2),"NA")</f>
        <v>0</v>
      </c>
      <c r="U38">
        <f t="shared" si="0"/>
        <v>0</v>
      </c>
    </row>
    <row r="39" spans="1:21" x14ac:dyDescent="0.2">
      <c r="A39" s="9" t="s">
        <v>1584</v>
      </c>
      <c r="B39">
        <v>323</v>
      </c>
      <c r="G39" s="9" t="s">
        <v>1194</v>
      </c>
      <c r="H39">
        <v>0</v>
      </c>
      <c r="J39" s="9" t="s">
        <v>246</v>
      </c>
      <c r="K39">
        <v>18445</v>
      </c>
      <c r="M39" s="1" t="s">
        <v>1194</v>
      </c>
      <c r="N39" s="1">
        <v>0</v>
      </c>
      <c r="P39" s="1" t="s">
        <v>1194</v>
      </c>
      <c r="Q39" s="42">
        <v>0</v>
      </c>
      <c r="R39" s="42">
        <v>0</v>
      </c>
      <c r="S39" s="42">
        <v>0</v>
      </c>
      <c r="T39" s="10" t="str">
        <f>IFERROR(ROUND((Q39/R39),2),"NA")</f>
        <v>NA</v>
      </c>
      <c r="U39">
        <f t="shared" si="0"/>
        <v>0</v>
      </c>
    </row>
    <row r="40" spans="1:21" x14ac:dyDescent="0.2">
      <c r="A40" s="9" t="s">
        <v>1759</v>
      </c>
      <c r="B40">
        <v>47</v>
      </c>
      <c r="G40" s="9" t="s">
        <v>1448</v>
      </c>
      <c r="H40">
        <v>78</v>
      </c>
      <c r="J40" s="9" t="s">
        <v>859</v>
      </c>
      <c r="K40">
        <v>1100</v>
      </c>
      <c r="M40" s="1" t="s">
        <v>1448</v>
      </c>
      <c r="N40" s="1">
        <v>380</v>
      </c>
      <c r="P40" s="1" t="s">
        <v>1448</v>
      </c>
      <c r="Q40" s="42">
        <v>78</v>
      </c>
      <c r="R40" s="42">
        <v>380</v>
      </c>
      <c r="S40" s="42">
        <v>0.16</v>
      </c>
      <c r="T40" s="10">
        <f>IFERROR(ROUND((Q40/R40),2),"NA")</f>
        <v>0.21</v>
      </c>
      <c r="U40">
        <f t="shared" si="0"/>
        <v>12.48</v>
      </c>
    </row>
    <row r="41" spans="1:21" x14ac:dyDescent="0.2">
      <c r="A41" s="9" t="s">
        <v>1816</v>
      </c>
      <c r="B41">
        <v>0</v>
      </c>
      <c r="G41" s="9" t="s">
        <v>1976</v>
      </c>
      <c r="H41">
        <v>50</v>
      </c>
      <c r="J41" s="9" t="s">
        <v>204</v>
      </c>
      <c r="K41">
        <v>2045</v>
      </c>
      <c r="M41" s="1" t="s">
        <v>1976</v>
      </c>
      <c r="N41" s="1">
        <v>189</v>
      </c>
      <c r="P41" s="1" t="s">
        <v>1976</v>
      </c>
      <c r="Q41" s="42">
        <v>50</v>
      </c>
      <c r="R41" s="42">
        <v>189</v>
      </c>
      <c r="S41" s="42">
        <v>0</v>
      </c>
      <c r="T41" s="10">
        <f>IFERROR(ROUND((Q41/R41),2),"NA")</f>
        <v>0.26</v>
      </c>
      <c r="U41">
        <f t="shared" si="0"/>
        <v>0</v>
      </c>
    </row>
    <row r="42" spans="1:21" x14ac:dyDescent="0.2">
      <c r="A42" s="9" t="s">
        <v>634</v>
      </c>
      <c r="B42">
        <v>308</v>
      </c>
      <c r="G42" s="9" t="s">
        <v>2711</v>
      </c>
      <c r="H42">
        <v>36</v>
      </c>
      <c r="J42" s="9" t="s">
        <v>13</v>
      </c>
      <c r="K42">
        <v>605</v>
      </c>
      <c r="M42" s="1" t="s">
        <v>2711</v>
      </c>
      <c r="N42" s="1">
        <v>60</v>
      </c>
      <c r="P42" s="1" t="s">
        <v>2711</v>
      </c>
      <c r="Q42" s="42">
        <v>36</v>
      </c>
      <c r="R42" s="42">
        <v>60</v>
      </c>
      <c r="S42" s="42">
        <v>0.23</v>
      </c>
      <c r="T42" s="10">
        <f>IFERROR(ROUND((Q42/R42),2),"NA")</f>
        <v>0.6</v>
      </c>
      <c r="U42">
        <f t="shared" si="0"/>
        <v>8.2800000000000011</v>
      </c>
    </row>
    <row r="43" spans="1:21" x14ac:dyDescent="0.2">
      <c r="A43" s="9" t="s">
        <v>2697</v>
      </c>
      <c r="B43">
        <v>0</v>
      </c>
      <c r="G43" s="9" t="s">
        <v>2479</v>
      </c>
      <c r="H43">
        <v>100</v>
      </c>
      <c r="J43" s="9" t="s">
        <v>421</v>
      </c>
      <c r="K43">
        <v>0</v>
      </c>
      <c r="M43" s="1" t="s">
        <v>2479</v>
      </c>
      <c r="N43" s="1">
        <v>406</v>
      </c>
      <c r="P43" s="1" t="s">
        <v>2479</v>
      </c>
      <c r="Q43" s="42">
        <v>100</v>
      </c>
      <c r="R43" s="42">
        <v>406</v>
      </c>
      <c r="S43" s="42">
        <v>0.12</v>
      </c>
      <c r="T43" s="10">
        <f>IFERROR(ROUND((Q43/R43),2),"NA")</f>
        <v>0.25</v>
      </c>
      <c r="U43">
        <f t="shared" si="0"/>
        <v>12</v>
      </c>
    </row>
    <row r="44" spans="1:21" x14ac:dyDescent="0.2">
      <c r="A44" s="9" t="s">
        <v>344</v>
      </c>
      <c r="B44">
        <v>1060</v>
      </c>
      <c r="G44" s="9" t="s">
        <v>2876</v>
      </c>
      <c r="H44">
        <v>0</v>
      </c>
      <c r="J44" s="9" t="s">
        <v>2355</v>
      </c>
      <c r="K44">
        <v>0</v>
      </c>
      <c r="M44" s="1" t="s">
        <v>2876</v>
      </c>
      <c r="N44" s="1">
        <v>67</v>
      </c>
      <c r="P44" s="1" t="s">
        <v>2876</v>
      </c>
      <c r="Q44" s="42">
        <v>0</v>
      </c>
      <c r="R44" s="42">
        <v>67</v>
      </c>
      <c r="S44" s="42">
        <v>0</v>
      </c>
      <c r="T44" s="10">
        <f>IFERROR(ROUND((Q44/R44),2),"NA")</f>
        <v>0</v>
      </c>
      <c r="U44">
        <f t="shared" si="0"/>
        <v>0</v>
      </c>
    </row>
    <row r="45" spans="1:21" x14ac:dyDescent="0.2">
      <c r="A45" s="9" t="s">
        <v>484</v>
      </c>
      <c r="B45">
        <v>500</v>
      </c>
      <c r="G45" s="9" t="s">
        <v>652</v>
      </c>
      <c r="H45">
        <v>300</v>
      </c>
      <c r="J45" s="9" t="s">
        <v>1172</v>
      </c>
      <c r="K45">
        <v>0</v>
      </c>
      <c r="M45" s="1" t="s">
        <v>652</v>
      </c>
      <c r="N45" s="1">
        <v>61</v>
      </c>
      <c r="P45" s="1" t="s">
        <v>652</v>
      </c>
      <c r="Q45" s="42">
        <v>300</v>
      </c>
      <c r="R45" s="42">
        <v>61</v>
      </c>
      <c r="S45" s="42">
        <v>0</v>
      </c>
      <c r="T45" s="10">
        <f>IFERROR(ROUND((Q45/R45),2),"NA")</f>
        <v>4.92</v>
      </c>
      <c r="U45">
        <f t="shared" si="0"/>
        <v>0</v>
      </c>
    </row>
    <row r="46" spans="1:21" x14ac:dyDescent="0.2">
      <c r="A46" s="9" t="s">
        <v>733</v>
      </c>
      <c r="B46">
        <v>394</v>
      </c>
      <c r="G46" s="9" t="s">
        <v>1557</v>
      </c>
      <c r="H46">
        <v>20</v>
      </c>
      <c r="J46" s="9" t="s">
        <v>278</v>
      </c>
      <c r="K46">
        <v>453</v>
      </c>
      <c r="M46" s="1" t="s">
        <v>1557</v>
      </c>
      <c r="N46" s="1">
        <v>491</v>
      </c>
      <c r="P46" s="1" t="s">
        <v>1557</v>
      </c>
      <c r="Q46" s="42">
        <v>20</v>
      </c>
      <c r="R46" s="42">
        <v>491</v>
      </c>
      <c r="S46" s="42">
        <v>0.03</v>
      </c>
      <c r="T46" s="10">
        <f>IFERROR(ROUND((Q46/R46),2),"NA")</f>
        <v>0.04</v>
      </c>
      <c r="U46">
        <f t="shared" si="0"/>
        <v>0.6</v>
      </c>
    </row>
    <row r="47" spans="1:21" x14ac:dyDescent="0.2">
      <c r="A47" s="9" t="s">
        <v>1061</v>
      </c>
      <c r="B47">
        <v>120</v>
      </c>
      <c r="G47" s="9" t="s">
        <v>2361</v>
      </c>
      <c r="H47">
        <v>0</v>
      </c>
      <c r="J47" s="9" t="s">
        <v>1489</v>
      </c>
      <c r="K47">
        <v>115</v>
      </c>
      <c r="M47" s="1" t="s">
        <v>2361</v>
      </c>
      <c r="N47" s="1">
        <v>376</v>
      </c>
      <c r="P47" s="1" t="s">
        <v>2361</v>
      </c>
      <c r="Q47" s="42">
        <v>0</v>
      </c>
      <c r="R47" s="42">
        <v>376</v>
      </c>
      <c r="S47" s="42">
        <v>0</v>
      </c>
      <c r="T47" s="10">
        <f>IFERROR(ROUND((Q47/R47),2),"NA")</f>
        <v>0</v>
      </c>
      <c r="U47">
        <f t="shared" si="0"/>
        <v>0</v>
      </c>
    </row>
    <row r="48" spans="1:21" x14ac:dyDescent="0.2">
      <c r="A48" s="9" t="s">
        <v>1037</v>
      </c>
      <c r="B48">
        <v>90</v>
      </c>
      <c r="G48" s="9" t="s">
        <v>1742</v>
      </c>
      <c r="H48">
        <v>100</v>
      </c>
      <c r="J48" s="9" t="s">
        <v>571</v>
      </c>
      <c r="K48">
        <v>252</v>
      </c>
      <c r="M48" s="1" t="s">
        <v>1742</v>
      </c>
      <c r="N48" s="1">
        <v>2</v>
      </c>
      <c r="P48" s="1" t="s">
        <v>1742</v>
      </c>
      <c r="Q48" s="42">
        <v>100</v>
      </c>
      <c r="R48" s="42">
        <v>2</v>
      </c>
      <c r="S48" s="42">
        <v>0</v>
      </c>
      <c r="T48" s="10">
        <f>IFERROR(ROUND((Q48/R48),2),"NA")</f>
        <v>50</v>
      </c>
      <c r="U48">
        <f t="shared" si="0"/>
        <v>0</v>
      </c>
    </row>
    <row r="49" spans="1:21" x14ac:dyDescent="0.2">
      <c r="A49" s="9" t="s">
        <v>266</v>
      </c>
      <c r="B49">
        <v>1120</v>
      </c>
      <c r="G49" s="9" t="s">
        <v>2866</v>
      </c>
      <c r="H49">
        <v>210</v>
      </c>
      <c r="J49" s="9" t="s">
        <v>2440</v>
      </c>
      <c r="K49">
        <v>400</v>
      </c>
      <c r="M49" s="1" t="s">
        <v>2866</v>
      </c>
      <c r="N49" s="1">
        <v>89</v>
      </c>
      <c r="P49" s="1" t="s">
        <v>2866</v>
      </c>
      <c r="Q49" s="42">
        <v>210</v>
      </c>
      <c r="R49" s="42">
        <v>89</v>
      </c>
      <c r="S49" s="42">
        <v>0.3</v>
      </c>
      <c r="T49" s="10">
        <f>IFERROR(ROUND((Q49/R49),2),"NA")</f>
        <v>2.36</v>
      </c>
      <c r="U49">
        <f t="shared" si="0"/>
        <v>63</v>
      </c>
    </row>
    <row r="50" spans="1:21" x14ac:dyDescent="0.2">
      <c r="A50" s="9" t="s">
        <v>1250</v>
      </c>
      <c r="B50">
        <v>40</v>
      </c>
      <c r="G50" s="9" t="s">
        <v>1949</v>
      </c>
      <c r="H50">
        <v>32</v>
      </c>
      <c r="J50" s="9" t="s">
        <v>1163</v>
      </c>
      <c r="K50">
        <v>340</v>
      </c>
      <c r="M50" s="1" t="s">
        <v>1949</v>
      </c>
      <c r="N50" s="1">
        <v>0</v>
      </c>
      <c r="P50" s="1" t="s">
        <v>1949</v>
      </c>
      <c r="Q50" s="42">
        <v>32</v>
      </c>
      <c r="R50" s="42">
        <v>0</v>
      </c>
      <c r="S50" s="42">
        <v>0.21</v>
      </c>
      <c r="T50" s="10" t="str">
        <f>IFERROR(ROUND((Q50/R50),2),"NA")</f>
        <v>NA</v>
      </c>
      <c r="U50">
        <f t="shared" si="0"/>
        <v>6.72</v>
      </c>
    </row>
    <row r="51" spans="1:21" x14ac:dyDescent="0.2">
      <c r="A51" s="9" t="s">
        <v>314</v>
      </c>
      <c r="B51">
        <v>8295</v>
      </c>
      <c r="G51" s="9" t="s">
        <v>2256</v>
      </c>
      <c r="H51">
        <v>40</v>
      </c>
      <c r="J51" s="9" t="s">
        <v>2237</v>
      </c>
      <c r="K51">
        <v>300</v>
      </c>
      <c r="M51" s="1" t="s">
        <v>2256</v>
      </c>
      <c r="N51" s="1">
        <v>20</v>
      </c>
      <c r="P51" s="1" t="s">
        <v>2256</v>
      </c>
      <c r="Q51" s="42">
        <v>40</v>
      </c>
      <c r="R51" s="42">
        <v>20</v>
      </c>
      <c r="S51" s="42">
        <v>0</v>
      </c>
      <c r="T51" s="10">
        <f>IFERROR(ROUND((Q51/R51),2),"NA")</f>
        <v>2</v>
      </c>
      <c r="U51">
        <f t="shared" si="0"/>
        <v>0</v>
      </c>
    </row>
    <row r="52" spans="1:21" x14ac:dyDescent="0.2">
      <c r="A52" s="9" t="s">
        <v>1183</v>
      </c>
      <c r="B52">
        <v>206</v>
      </c>
      <c r="G52" s="9" t="s">
        <v>1234</v>
      </c>
      <c r="H52">
        <v>46</v>
      </c>
      <c r="J52" s="9" t="s">
        <v>1676</v>
      </c>
      <c r="K52">
        <v>75</v>
      </c>
      <c r="M52" s="1" t="s">
        <v>1234</v>
      </c>
      <c r="N52" s="1">
        <v>314</v>
      </c>
      <c r="P52" s="1" t="s">
        <v>1234</v>
      </c>
      <c r="Q52" s="42">
        <v>46</v>
      </c>
      <c r="R52" s="42">
        <v>314</v>
      </c>
      <c r="S52" s="42">
        <v>0.33</v>
      </c>
      <c r="T52" s="10">
        <f>IFERROR(ROUND((Q52/R52),2),"NA")</f>
        <v>0.15</v>
      </c>
      <c r="U52">
        <f t="shared" si="0"/>
        <v>15.180000000000001</v>
      </c>
    </row>
    <row r="53" spans="1:21" x14ac:dyDescent="0.2">
      <c r="A53" s="9" t="s">
        <v>1210</v>
      </c>
      <c r="B53">
        <v>1000</v>
      </c>
      <c r="G53" s="9" t="s">
        <v>271</v>
      </c>
      <c r="H53">
        <v>560</v>
      </c>
      <c r="J53" s="9" t="s">
        <v>217</v>
      </c>
      <c r="K53">
        <v>7419</v>
      </c>
      <c r="M53" s="1" t="s">
        <v>271</v>
      </c>
      <c r="N53" s="1">
        <v>4500</v>
      </c>
      <c r="P53" s="1" t="s">
        <v>271</v>
      </c>
      <c r="Q53" s="42">
        <v>560</v>
      </c>
      <c r="R53" s="42">
        <v>4500</v>
      </c>
      <c r="S53" s="42">
        <v>0.1</v>
      </c>
      <c r="T53" s="10">
        <f>IFERROR(ROUND((Q53/R53),2),"NA")</f>
        <v>0.12</v>
      </c>
      <c r="U53">
        <f t="shared" si="0"/>
        <v>56</v>
      </c>
    </row>
    <row r="54" spans="1:21" x14ac:dyDescent="0.2">
      <c r="A54" s="9" t="s">
        <v>1089</v>
      </c>
      <c r="B54">
        <v>172</v>
      </c>
      <c r="G54" s="9" t="s">
        <v>2390</v>
      </c>
      <c r="H54">
        <v>60</v>
      </c>
      <c r="J54" s="9" t="s">
        <v>2698</v>
      </c>
      <c r="K54">
        <v>0</v>
      </c>
      <c r="M54" s="1" t="s">
        <v>2390</v>
      </c>
      <c r="N54" s="1">
        <v>0</v>
      </c>
      <c r="P54" s="1" t="s">
        <v>2390</v>
      </c>
      <c r="Q54" s="42">
        <v>60</v>
      </c>
      <c r="R54" s="42">
        <v>0</v>
      </c>
      <c r="S54" s="42">
        <v>0.2</v>
      </c>
      <c r="T54" s="10" t="str">
        <f>IFERROR(ROUND((Q54/R54),2),"NA")</f>
        <v>NA</v>
      </c>
      <c r="U54">
        <f t="shared" si="0"/>
        <v>12</v>
      </c>
    </row>
    <row r="55" spans="1:21" x14ac:dyDescent="0.2">
      <c r="A55" s="9" t="s">
        <v>1488</v>
      </c>
      <c r="B55">
        <v>0</v>
      </c>
      <c r="G55" s="9" t="s">
        <v>888</v>
      </c>
      <c r="H55">
        <v>67</v>
      </c>
      <c r="J55" s="9" t="s">
        <v>998</v>
      </c>
      <c r="K55">
        <v>395</v>
      </c>
      <c r="M55" s="1" t="s">
        <v>888</v>
      </c>
      <c r="N55" s="1">
        <v>111</v>
      </c>
      <c r="P55" s="1" t="s">
        <v>888</v>
      </c>
      <c r="Q55" s="42">
        <v>67</v>
      </c>
      <c r="R55" s="42">
        <v>111</v>
      </c>
      <c r="S55" s="42">
        <v>0.24</v>
      </c>
      <c r="T55" s="10">
        <f>IFERROR(ROUND((Q55/R55),2),"NA")</f>
        <v>0.6</v>
      </c>
      <c r="U55">
        <f t="shared" si="0"/>
        <v>16.079999999999998</v>
      </c>
    </row>
    <row r="56" spans="1:21" x14ac:dyDescent="0.2">
      <c r="A56" s="9" t="s">
        <v>414</v>
      </c>
      <c r="B56">
        <v>2840</v>
      </c>
      <c r="G56" s="9" t="s">
        <v>186</v>
      </c>
      <c r="H56">
        <v>0</v>
      </c>
      <c r="J56" s="9" t="s">
        <v>120</v>
      </c>
      <c r="K56">
        <v>553</v>
      </c>
      <c r="M56" s="1" t="s">
        <v>186</v>
      </c>
      <c r="N56" s="1">
        <v>179</v>
      </c>
      <c r="P56" s="1" t="s">
        <v>186</v>
      </c>
      <c r="Q56" s="42">
        <v>0</v>
      </c>
      <c r="R56" s="42">
        <v>179</v>
      </c>
      <c r="S56" s="42">
        <v>0</v>
      </c>
      <c r="T56" s="10">
        <f>IFERROR(ROUND((Q56/R56),2),"NA")</f>
        <v>0</v>
      </c>
      <c r="U56">
        <f t="shared" si="0"/>
        <v>0</v>
      </c>
    </row>
    <row r="57" spans="1:21" x14ac:dyDescent="0.2">
      <c r="A57" s="9" t="s">
        <v>180</v>
      </c>
      <c r="B57">
        <v>469</v>
      </c>
      <c r="G57" s="9" t="s">
        <v>2629</v>
      </c>
      <c r="H57">
        <v>1500</v>
      </c>
      <c r="J57" s="9" t="s">
        <v>291</v>
      </c>
      <c r="K57">
        <v>13619</v>
      </c>
      <c r="M57" s="1" t="s">
        <v>2629</v>
      </c>
      <c r="N57" s="1">
        <v>0</v>
      </c>
      <c r="P57" s="1" t="s">
        <v>2629</v>
      </c>
      <c r="Q57" s="42">
        <v>1500</v>
      </c>
      <c r="R57" s="42">
        <v>0</v>
      </c>
      <c r="S57" s="42">
        <v>0.25</v>
      </c>
      <c r="T57" s="10" t="str">
        <f>IFERROR(ROUND((Q57/R57),2),"NA")</f>
        <v>NA</v>
      </c>
      <c r="U57">
        <f t="shared" si="0"/>
        <v>375</v>
      </c>
    </row>
    <row r="58" spans="1:21" x14ac:dyDescent="0.2">
      <c r="A58" s="9" t="s">
        <v>2620</v>
      </c>
      <c r="B58">
        <v>21</v>
      </c>
      <c r="G58" s="9" t="s">
        <v>2466</v>
      </c>
      <c r="H58">
        <v>44</v>
      </c>
      <c r="J58" s="9" t="s">
        <v>606</v>
      </c>
      <c r="K58">
        <v>362</v>
      </c>
      <c r="M58" s="1" t="s">
        <v>2466</v>
      </c>
      <c r="N58" s="1">
        <v>9</v>
      </c>
      <c r="P58" s="1" t="s">
        <v>2466</v>
      </c>
      <c r="Q58" s="42">
        <v>44</v>
      </c>
      <c r="R58" s="42">
        <v>9</v>
      </c>
      <c r="S58" s="42">
        <v>1</v>
      </c>
      <c r="T58" s="10">
        <f>IFERROR(ROUND((Q58/R58),2),"NA")</f>
        <v>4.8899999999999997</v>
      </c>
      <c r="U58">
        <f t="shared" si="0"/>
        <v>44</v>
      </c>
    </row>
    <row r="59" spans="1:21" x14ac:dyDescent="0.2">
      <c r="A59" s="9" t="s">
        <v>459</v>
      </c>
      <c r="B59">
        <v>154</v>
      </c>
      <c r="G59" s="9" t="s">
        <v>2536</v>
      </c>
      <c r="H59">
        <v>0</v>
      </c>
      <c r="J59" s="9" t="s">
        <v>2065</v>
      </c>
      <c r="K59">
        <v>55</v>
      </c>
      <c r="M59" s="1" t="s">
        <v>2536</v>
      </c>
      <c r="N59" s="1">
        <v>18</v>
      </c>
      <c r="P59" s="1" t="s">
        <v>2536</v>
      </c>
      <c r="Q59" s="42">
        <v>0</v>
      </c>
      <c r="R59" s="42">
        <v>18</v>
      </c>
      <c r="S59" s="42">
        <v>0.16</v>
      </c>
      <c r="T59" s="10">
        <f>IFERROR(ROUND((Q59/R59),2),"NA")</f>
        <v>0</v>
      </c>
      <c r="U59">
        <f t="shared" si="0"/>
        <v>0</v>
      </c>
    </row>
    <row r="60" spans="1:21" x14ac:dyDescent="0.2">
      <c r="A60" s="9" t="s">
        <v>1472</v>
      </c>
      <c r="B60">
        <v>462</v>
      </c>
      <c r="G60" s="9" t="s">
        <v>1306</v>
      </c>
      <c r="H60">
        <v>1930</v>
      </c>
      <c r="J60" s="9" t="s">
        <v>2430</v>
      </c>
      <c r="K60">
        <v>0</v>
      </c>
      <c r="M60" s="1" t="s">
        <v>1306</v>
      </c>
      <c r="N60" s="1">
        <v>11800</v>
      </c>
      <c r="P60" s="1" t="s">
        <v>1306</v>
      </c>
      <c r="Q60" s="42">
        <v>1930</v>
      </c>
      <c r="R60" s="42">
        <v>11800</v>
      </c>
      <c r="S60" s="42">
        <v>0.25</v>
      </c>
      <c r="T60" s="10">
        <f>IFERROR(ROUND((Q60/R60),2),"NA")</f>
        <v>0.16</v>
      </c>
      <c r="U60">
        <f t="shared" si="0"/>
        <v>482.5</v>
      </c>
    </row>
    <row r="61" spans="1:21" x14ac:dyDescent="0.2">
      <c r="A61" s="9" t="s">
        <v>1951</v>
      </c>
      <c r="B61">
        <v>0</v>
      </c>
      <c r="G61" s="9" t="s">
        <v>1214</v>
      </c>
      <c r="H61">
        <v>0</v>
      </c>
      <c r="J61" s="9" t="s">
        <v>1244</v>
      </c>
      <c r="K61">
        <v>50</v>
      </c>
      <c r="M61" s="1" t="s">
        <v>1214</v>
      </c>
      <c r="N61" s="1">
        <v>181</v>
      </c>
      <c r="P61" s="1" t="s">
        <v>1214</v>
      </c>
      <c r="Q61" s="42">
        <v>0</v>
      </c>
      <c r="R61" s="42">
        <v>181</v>
      </c>
      <c r="S61" s="42">
        <v>0</v>
      </c>
      <c r="T61" s="10">
        <f>IFERROR(ROUND((Q61/R61),2),"NA")</f>
        <v>0</v>
      </c>
      <c r="U61">
        <f t="shared" si="0"/>
        <v>0</v>
      </c>
    </row>
    <row r="62" spans="1:21" x14ac:dyDescent="0.2">
      <c r="A62" s="9" t="s">
        <v>2236</v>
      </c>
      <c r="B62">
        <v>300</v>
      </c>
      <c r="G62" s="9" t="s">
        <v>2246</v>
      </c>
      <c r="H62">
        <v>0</v>
      </c>
      <c r="J62" s="9" t="s">
        <v>2307</v>
      </c>
      <c r="K62">
        <v>995</v>
      </c>
      <c r="M62" s="1" t="s">
        <v>2246</v>
      </c>
      <c r="N62" s="1">
        <v>218</v>
      </c>
      <c r="P62" s="1" t="s">
        <v>2246</v>
      </c>
      <c r="Q62" s="42">
        <v>0</v>
      </c>
      <c r="R62" s="42">
        <v>218</v>
      </c>
      <c r="S62" s="42">
        <v>0.65500000000000003</v>
      </c>
      <c r="T62" s="10">
        <f>IFERROR(ROUND((Q62/R62),2),"NA")</f>
        <v>0</v>
      </c>
      <c r="U62">
        <f t="shared" si="0"/>
        <v>0</v>
      </c>
    </row>
    <row r="63" spans="1:21" x14ac:dyDescent="0.2">
      <c r="A63" s="9" t="s">
        <v>406</v>
      </c>
      <c r="B63">
        <v>1709</v>
      </c>
      <c r="G63" s="9" t="s">
        <v>2692</v>
      </c>
      <c r="H63">
        <v>0</v>
      </c>
      <c r="J63" s="9" t="s">
        <v>55</v>
      </c>
      <c r="K63">
        <v>19769</v>
      </c>
      <c r="M63" s="1" t="s">
        <v>2692</v>
      </c>
      <c r="N63" s="1">
        <v>75</v>
      </c>
      <c r="P63" s="1" t="s">
        <v>2692</v>
      </c>
      <c r="Q63" s="42">
        <v>0</v>
      </c>
      <c r="R63" s="42">
        <v>75</v>
      </c>
      <c r="S63" s="42">
        <v>0</v>
      </c>
      <c r="T63" s="10">
        <f>IFERROR(ROUND((Q63/R63),2),"NA")</f>
        <v>0</v>
      </c>
      <c r="U63">
        <f t="shared" si="0"/>
        <v>0</v>
      </c>
    </row>
    <row r="64" spans="1:21" x14ac:dyDescent="0.2">
      <c r="A64" s="9" t="s">
        <v>2447</v>
      </c>
      <c r="B64">
        <v>62</v>
      </c>
      <c r="G64" s="9" t="s">
        <v>220</v>
      </c>
      <c r="H64">
        <v>75</v>
      </c>
      <c r="J64" s="9" t="s">
        <v>23</v>
      </c>
      <c r="K64">
        <v>414013</v>
      </c>
      <c r="M64" s="1" t="s">
        <v>220</v>
      </c>
      <c r="N64" s="1">
        <v>100</v>
      </c>
      <c r="P64" s="1" t="s">
        <v>220</v>
      </c>
      <c r="Q64" s="42">
        <v>75</v>
      </c>
      <c r="R64" s="42">
        <v>100</v>
      </c>
      <c r="S64" s="42">
        <v>0.25</v>
      </c>
      <c r="T64" s="10">
        <f>IFERROR(ROUND((Q64/R64),2),"NA")</f>
        <v>0.75</v>
      </c>
      <c r="U64">
        <f t="shared" si="0"/>
        <v>18.75</v>
      </c>
    </row>
    <row r="65" spans="1:21" x14ac:dyDescent="0.2">
      <c r="A65" s="9" t="s">
        <v>60</v>
      </c>
      <c r="B65">
        <v>1806</v>
      </c>
      <c r="G65" s="9" t="s">
        <v>717</v>
      </c>
      <c r="H65">
        <v>491</v>
      </c>
      <c r="J65" s="9" t="s">
        <v>2559</v>
      </c>
      <c r="K65">
        <v>0</v>
      </c>
      <c r="M65" s="1" t="s">
        <v>717</v>
      </c>
      <c r="N65" s="1">
        <v>2800</v>
      </c>
      <c r="P65" s="1" t="s">
        <v>717</v>
      </c>
      <c r="Q65" s="42">
        <v>491</v>
      </c>
      <c r="R65" s="42">
        <v>2800</v>
      </c>
      <c r="S65" s="42">
        <v>0.23500000000000001</v>
      </c>
      <c r="T65" s="10">
        <f>IFERROR(ROUND((Q65/R65),2),"NA")</f>
        <v>0.18</v>
      </c>
      <c r="U65">
        <f t="shared" si="0"/>
        <v>115.38500000000001</v>
      </c>
    </row>
    <row r="66" spans="1:21" x14ac:dyDescent="0.2">
      <c r="A66" s="9" t="s">
        <v>158</v>
      </c>
      <c r="B66">
        <v>1368</v>
      </c>
      <c r="G66" s="9" t="s">
        <v>2350</v>
      </c>
      <c r="H66">
        <v>15</v>
      </c>
      <c r="J66" s="9" t="s">
        <v>2048</v>
      </c>
      <c r="K66">
        <v>0</v>
      </c>
      <c r="M66" s="1" t="s">
        <v>2350</v>
      </c>
      <c r="N66" s="1">
        <v>7</v>
      </c>
      <c r="P66" s="1" t="s">
        <v>2350</v>
      </c>
      <c r="Q66" s="42">
        <v>15</v>
      </c>
      <c r="R66" s="42">
        <v>7</v>
      </c>
      <c r="S66" s="42">
        <v>0</v>
      </c>
      <c r="T66" s="10">
        <f>IFERROR(ROUND((Q66/R66),2),"NA")</f>
        <v>2.14</v>
      </c>
      <c r="U66">
        <f t="shared" si="0"/>
        <v>0</v>
      </c>
    </row>
    <row r="67" spans="1:21" x14ac:dyDescent="0.2">
      <c r="A67" s="9" t="s">
        <v>21</v>
      </c>
      <c r="B67">
        <v>106</v>
      </c>
      <c r="G67" s="9" t="s">
        <v>1141</v>
      </c>
      <c r="H67">
        <v>45</v>
      </c>
      <c r="J67" s="9" t="s">
        <v>2957</v>
      </c>
      <c r="M67" s="1" t="s">
        <v>1141</v>
      </c>
      <c r="N67" s="1">
        <v>52</v>
      </c>
      <c r="P67" s="1" t="s">
        <v>1141</v>
      </c>
      <c r="Q67" s="42">
        <v>45</v>
      </c>
      <c r="R67" s="42">
        <v>52</v>
      </c>
      <c r="S67" s="42">
        <v>0.2</v>
      </c>
      <c r="T67" s="10">
        <f>IFERROR(ROUND((Q67/R67),2),"NA")</f>
        <v>0.87</v>
      </c>
      <c r="U67">
        <f t="shared" si="0"/>
        <v>9</v>
      </c>
    </row>
    <row r="68" spans="1:21" x14ac:dyDescent="0.2">
      <c r="A68" s="9" t="s">
        <v>1827</v>
      </c>
      <c r="B68">
        <v>1088</v>
      </c>
      <c r="G68" s="9" t="s">
        <v>2434</v>
      </c>
      <c r="H68">
        <v>30</v>
      </c>
      <c r="M68" s="1" t="s">
        <v>2434</v>
      </c>
      <c r="N68" s="1">
        <v>33</v>
      </c>
      <c r="P68" s="1" t="s">
        <v>2434</v>
      </c>
      <c r="Q68" s="42">
        <v>30</v>
      </c>
      <c r="R68" s="42">
        <v>33</v>
      </c>
      <c r="S68" s="42">
        <v>0.2</v>
      </c>
      <c r="T68" s="10">
        <f>IFERROR(ROUND((Q68/R68),2),"NA")</f>
        <v>0.91</v>
      </c>
      <c r="U68">
        <f t="shared" si="0"/>
        <v>6</v>
      </c>
    </row>
    <row r="69" spans="1:21" x14ac:dyDescent="0.2">
      <c r="A69" s="9" t="s">
        <v>167</v>
      </c>
      <c r="B69">
        <v>816</v>
      </c>
      <c r="G69" s="9" t="s">
        <v>2663</v>
      </c>
      <c r="H69">
        <v>0</v>
      </c>
      <c r="M69" s="1" t="s">
        <v>2663</v>
      </c>
      <c r="N69" s="1">
        <v>0</v>
      </c>
      <c r="P69" s="1" t="s">
        <v>2663</v>
      </c>
      <c r="Q69" s="42">
        <v>0</v>
      </c>
      <c r="R69" s="42">
        <v>0</v>
      </c>
      <c r="S69" s="42">
        <v>1</v>
      </c>
      <c r="T69" s="10" t="str">
        <f>IFERROR(ROUND((Q69/R69),2),"NA")</f>
        <v>NA</v>
      </c>
      <c r="U69">
        <f t="shared" ref="U69:U132" si="1">Q69*S69</f>
        <v>0</v>
      </c>
    </row>
    <row r="70" spans="1:21" x14ac:dyDescent="0.2">
      <c r="A70" s="9" t="s">
        <v>1579</v>
      </c>
      <c r="B70">
        <v>40</v>
      </c>
      <c r="G70" s="9" t="s">
        <v>1559</v>
      </c>
      <c r="H70">
        <v>0</v>
      </c>
      <c r="M70" s="1" t="s">
        <v>1559</v>
      </c>
      <c r="N70" s="1">
        <v>420</v>
      </c>
      <c r="P70" s="1" t="s">
        <v>1559</v>
      </c>
      <c r="Q70" s="42">
        <v>0</v>
      </c>
      <c r="R70" s="42">
        <v>420</v>
      </c>
      <c r="S70" s="42">
        <v>0.2</v>
      </c>
      <c r="T70" s="10">
        <f>IFERROR(ROUND((Q70/R70),2),"NA")</f>
        <v>0</v>
      </c>
      <c r="U70">
        <f t="shared" si="1"/>
        <v>0</v>
      </c>
    </row>
    <row r="71" spans="1:21" x14ac:dyDescent="0.2">
      <c r="A71" s="9" t="s">
        <v>2681</v>
      </c>
      <c r="B71">
        <v>0</v>
      </c>
      <c r="G71" s="9" t="s">
        <v>1796</v>
      </c>
      <c r="H71">
        <v>67</v>
      </c>
      <c r="M71" s="1" t="s">
        <v>1796</v>
      </c>
      <c r="N71" s="1">
        <v>245</v>
      </c>
      <c r="P71" s="1" t="s">
        <v>1796</v>
      </c>
      <c r="Q71" s="42">
        <v>67</v>
      </c>
      <c r="R71" s="42">
        <v>245</v>
      </c>
      <c r="S71" s="42">
        <v>0.08</v>
      </c>
      <c r="T71" s="10">
        <f>IFERROR(ROUND((Q71/R71),2),"NA")</f>
        <v>0.27</v>
      </c>
      <c r="U71">
        <f t="shared" si="1"/>
        <v>5.36</v>
      </c>
    </row>
    <row r="72" spans="1:21" x14ac:dyDescent="0.2">
      <c r="A72" s="9" t="s">
        <v>705</v>
      </c>
      <c r="B72">
        <v>357</v>
      </c>
      <c r="G72" s="9" t="s">
        <v>1100</v>
      </c>
      <c r="H72">
        <v>290</v>
      </c>
      <c r="M72" s="1" t="s">
        <v>1100</v>
      </c>
      <c r="N72" s="1">
        <v>35</v>
      </c>
      <c r="P72" s="1" t="s">
        <v>1100</v>
      </c>
      <c r="Q72" s="42">
        <v>290</v>
      </c>
      <c r="R72" s="42">
        <v>35</v>
      </c>
      <c r="S72" s="42">
        <v>0.03</v>
      </c>
      <c r="T72" s="10">
        <f>IFERROR(ROUND((Q72/R72),2),"NA")</f>
        <v>8.2899999999999991</v>
      </c>
      <c r="U72">
        <f t="shared" si="1"/>
        <v>8.6999999999999993</v>
      </c>
    </row>
    <row r="73" spans="1:21" x14ac:dyDescent="0.2">
      <c r="A73" s="9" t="s">
        <v>1892</v>
      </c>
      <c r="B73">
        <v>0</v>
      </c>
      <c r="G73" s="9" t="s">
        <v>2422</v>
      </c>
      <c r="H73">
        <v>0</v>
      </c>
      <c r="M73" s="1" t="s">
        <v>2422</v>
      </c>
      <c r="N73" s="1">
        <v>46</v>
      </c>
      <c r="P73" s="1" t="s">
        <v>2422</v>
      </c>
      <c r="Q73" s="42">
        <v>0</v>
      </c>
      <c r="R73" s="42">
        <v>46</v>
      </c>
      <c r="S73" s="42">
        <v>0</v>
      </c>
      <c r="T73" s="10">
        <f>IFERROR(ROUND((Q73/R73),2),"NA")</f>
        <v>0</v>
      </c>
      <c r="U73">
        <f t="shared" si="1"/>
        <v>0</v>
      </c>
    </row>
    <row r="74" spans="1:21" x14ac:dyDescent="0.2">
      <c r="A74" s="9" t="s">
        <v>320</v>
      </c>
      <c r="B74">
        <v>0</v>
      </c>
      <c r="G74" s="9" t="s">
        <v>126</v>
      </c>
      <c r="H74">
        <v>0</v>
      </c>
      <c r="M74" s="1" t="s">
        <v>126</v>
      </c>
      <c r="N74" s="1">
        <v>271</v>
      </c>
      <c r="P74" s="1" t="s">
        <v>126</v>
      </c>
      <c r="Q74" s="42">
        <v>0</v>
      </c>
      <c r="R74" s="42">
        <v>271</v>
      </c>
      <c r="S74" s="42">
        <v>0.46</v>
      </c>
      <c r="T74" s="10">
        <f>IFERROR(ROUND((Q74/R74),2),"NA")</f>
        <v>0</v>
      </c>
      <c r="U74">
        <f t="shared" si="1"/>
        <v>0</v>
      </c>
    </row>
    <row r="75" spans="1:21" x14ac:dyDescent="0.2">
      <c r="A75" s="9" t="s">
        <v>917</v>
      </c>
      <c r="B75">
        <v>100</v>
      </c>
      <c r="G75" s="9" t="s">
        <v>720</v>
      </c>
      <c r="H75">
        <v>46</v>
      </c>
      <c r="M75" s="1" t="s">
        <v>720</v>
      </c>
      <c r="N75" s="1">
        <v>602</v>
      </c>
      <c r="P75" s="1" t="s">
        <v>720</v>
      </c>
      <c r="Q75" s="42">
        <v>46</v>
      </c>
      <c r="R75" s="42">
        <v>602</v>
      </c>
      <c r="S75" s="42">
        <v>0.35</v>
      </c>
      <c r="T75" s="10">
        <f>IFERROR(ROUND((Q75/R75),2),"NA")</f>
        <v>0.08</v>
      </c>
      <c r="U75">
        <f t="shared" si="1"/>
        <v>16.099999999999998</v>
      </c>
    </row>
    <row r="76" spans="1:21" x14ac:dyDescent="0.2">
      <c r="A76" s="9" t="s">
        <v>969</v>
      </c>
      <c r="B76">
        <v>50</v>
      </c>
      <c r="G76" s="9" t="s">
        <v>865</v>
      </c>
      <c r="H76">
        <v>60</v>
      </c>
      <c r="M76" s="1" t="s">
        <v>865</v>
      </c>
      <c r="N76" s="1">
        <v>9</v>
      </c>
      <c r="P76" s="1" t="s">
        <v>865</v>
      </c>
      <c r="Q76" s="42">
        <v>60</v>
      </c>
      <c r="R76" s="42">
        <v>9</v>
      </c>
      <c r="S76" s="42">
        <v>0</v>
      </c>
      <c r="T76" s="10">
        <f>IFERROR(ROUND((Q76/R76),2),"NA")</f>
        <v>6.67</v>
      </c>
      <c r="U76">
        <f t="shared" si="1"/>
        <v>0</v>
      </c>
    </row>
    <row r="77" spans="1:21" x14ac:dyDescent="0.2">
      <c r="A77" s="9" t="s">
        <v>2583</v>
      </c>
      <c r="B77">
        <v>0</v>
      </c>
      <c r="G77" s="9" t="s">
        <v>709</v>
      </c>
      <c r="H77">
        <v>0</v>
      </c>
      <c r="M77" s="1" t="s">
        <v>709</v>
      </c>
      <c r="N77" s="1">
        <v>4</v>
      </c>
      <c r="P77" s="1" t="s">
        <v>709</v>
      </c>
      <c r="Q77" s="42">
        <v>0</v>
      </c>
      <c r="R77" s="42">
        <v>4</v>
      </c>
      <c r="S77" s="42">
        <v>1</v>
      </c>
      <c r="T77" s="10">
        <f>IFERROR(ROUND((Q77/R77),2),"NA")</f>
        <v>0</v>
      </c>
      <c r="U77">
        <f t="shared" si="1"/>
        <v>0</v>
      </c>
    </row>
    <row r="78" spans="1:21" x14ac:dyDescent="0.2">
      <c r="A78" s="9" t="s">
        <v>2215</v>
      </c>
      <c r="B78">
        <v>57</v>
      </c>
      <c r="G78" s="9" t="s">
        <v>2751</v>
      </c>
      <c r="H78">
        <v>100</v>
      </c>
      <c r="M78" s="1" t="s">
        <v>2751</v>
      </c>
      <c r="N78" s="1">
        <v>160</v>
      </c>
      <c r="P78" s="1" t="s">
        <v>2751</v>
      </c>
      <c r="Q78" s="42">
        <v>100</v>
      </c>
      <c r="R78" s="42">
        <v>160</v>
      </c>
      <c r="S78" s="42">
        <v>0</v>
      </c>
      <c r="T78" s="10">
        <f>IFERROR(ROUND((Q78/R78),2),"NA")</f>
        <v>0.63</v>
      </c>
      <c r="U78">
        <f t="shared" si="1"/>
        <v>0</v>
      </c>
    </row>
    <row r="79" spans="1:21" x14ac:dyDescent="0.2">
      <c r="A79" s="9" t="s">
        <v>2241</v>
      </c>
      <c r="B79">
        <v>70</v>
      </c>
      <c r="G79" s="9" t="s">
        <v>2115</v>
      </c>
      <c r="H79">
        <v>80</v>
      </c>
      <c r="M79" s="1" t="s">
        <v>2115</v>
      </c>
      <c r="N79" s="1">
        <v>293</v>
      </c>
      <c r="P79" s="1" t="s">
        <v>2115</v>
      </c>
      <c r="Q79" s="42">
        <v>80</v>
      </c>
      <c r="R79" s="42">
        <v>293</v>
      </c>
      <c r="S79" s="42">
        <v>0.14000000000000001</v>
      </c>
      <c r="T79" s="10">
        <f>IFERROR(ROUND((Q79/R79),2),"NA")</f>
        <v>0.27</v>
      </c>
      <c r="U79">
        <f t="shared" si="1"/>
        <v>11.200000000000001</v>
      </c>
    </row>
    <row r="80" spans="1:21" x14ac:dyDescent="0.2">
      <c r="A80" s="9" t="s">
        <v>327</v>
      </c>
      <c r="B80">
        <v>80</v>
      </c>
      <c r="G80" s="9" t="s">
        <v>2367</v>
      </c>
      <c r="H80">
        <v>20</v>
      </c>
      <c r="M80" s="1" t="s">
        <v>2367</v>
      </c>
      <c r="N80" s="1">
        <v>175</v>
      </c>
      <c r="P80" s="1" t="s">
        <v>2367</v>
      </c>
      <c r="Q80" s="42">
        <v>20</v>
      </c>
      <c r="R80" s="42">
        <v>175</v>
      </c>
      <c r="S80" s="42">
        <v>0.08</v>
      </c>
      <c r="T80" s="10">
        <f>IFERROR(ROUND((Q80/R80),2),"NA")</f>
        <v>0.11</v>
      </c>
      <c r="U80">
        <f t="shared" si="1"/>
        <v>1.6</v>
      </c>
    </row>
    <row r="81" spans="1:21" x14ac:dyDescent="0.2">
      <c r="A81" s="9" t="s">
        <v>1458</v>
      </c>
      <c r="B81">
        <v>200</v>
      </c>
      <c r="G81" s="9" t="s">
        <v>2822</v>
      </c>
      <c r="H81">
        <v>0</v>
      </c>
      <c r="M81" s="1" t="s">
        <v>2822</v>
      </c>
      <c r="N81" s="1">
        <v>16</v>
      </c>
      <c r="P81" s="1" t="s">
        <v>2822</v>
      </c>
      <c r="Q81" s="42">
        <v>0</v>
      </c>
      <c r="R81" s="42">
        <v>16</v>
      </c>
      <c r="S81" s="42">
        <v>0</v>
      </c>
      <c r="T81" s="10">
        <f>IFERROR(ROUND((Q81/R81),2),"NA")</f>
        <v>0</v>
      </c>
      <c r="U81">
        <f t="shared" si="1"/>
        <v>0</v>
      </c>
    </row>
    <row r="82" spans="1:21" x14ac:dyDescent="0.2">
      <c r="A82" s="9" t="s">
        <v>1247</v>
      </c>
      <c r="B82">
        <v>300</v>
      </c>
      <c r="G82" s="9" t="s">
        <v>19</v>
      </c>
      <c r="H82">
        <v>30</v>
      </c>
      <c r="M82" s="1" t="s">
        <v>19</v>
      </c>
      <c r="N82" s="1">
        <v>119</v>
      </c>
      <c r="P82" s="1" t="s">
        <v>19</v>
      </c>
      <c r="Q82" s="42">
        <v>30</v>
      </c>
      <c r="R82" s="42">
        <v>119</v>
      </c>
      <c r="S82" s="42">
        <v>0.3</v>
      </c>
      <c r="T82" s="10">
        <f>IFERROR(ROUND((Q82/R82),2),"NA")</f>
        <v>0.25</v>
      </c>
      <c r="U82">
        <f t="shared" si="1"/>
        <v>9</v>
      </c>
    </row>
    <row r="83" spans="1:21" x14ac:dyDescent="0.2">
      <c r="A83" s="9" t="s">
        <v>151</v>
      </c>
      <c r="B83">
        <v>50</v>
      </c>
      <c r="G83" s="9" t="s">
        <v>551</v>
      </c>
      <c r="H83">
        <v>500</v>
      </c>
      <c r="M83" s="1" t="s">
        <v>551</v>
      </c>
      <c r="N83" s="1">
        <v>48</v>
      </c>
      <c r="P83" s="1" t="s">
        <v>551</v>
      </c>
      <c r="Q83" s="42">
        <v>500</v>
      </c>
      <c r="R83" s="42">
        <v>48</v>
      </c>
      <c r="S83" s="42">
        <v>0</v>
      </c>
      <c r="T83" s="10">
        <f>IFERROR(ROUND((Q83/R83),2),"NA")</f>
        <v>10.42</v>
      </c>
      <c r="U83">
        <f t="shared" si="1"/>
        <v>0</v>
      </c>
    </row>
    <row r="84" spans="1:21" x14ac:dyDescent="0.2">
      <c r="A84" s="9" t="s">
        <v>1841</v>
      </c>
      <c r="B84">
        <v>72</v>
      </c>
      <c r="G84" s="9" t="s">
        <v>411</v>
      </c>
      <c r="H84">
        <v>0</v>
      </c>
      <c r="M84" s="1" t="s">
        <v>411</v>
      </c>
      <c r="N84" s="1">
        <v>0</v>
      </c>
      <c r="P84" s="1" t="s">
        <v>411</v>
      </c>
      <c r="Q84" s="42">
        <v>0</v>
      </c>
      <c r="R84" s="42">
        <v>0</v>
      </c>
      <c r="S84" s="42">
        <v>1</v>
      </c>
      <c r="T84" s="10" t="str">
        <f>IFERROR(ROUND((Q84/R84),2),"NA")</f>
        <v>NA</v>
      </c>
      <c r="U84">
        <f t="shared" si="1"/>
        <v>0</v>
      </c>
    </row>
    <row r="85" spans="1:21" x14ac:dyDescent="0.2">
      <c r="A85" s="9" t="s">
        <v>1649</v>
      </c>
      <c r="B85">
        <v>226</v>
      </c>
      <c r="G85" s="9" t="s">
        <v>1064</v>
      </c>
      <c r="H85">
        <v>0</v>
      </c>
      <c r="M85" s="1" t="s">
        <v>1064</v>
      </c>
      <c r="N85" s="1">
        <v>0</v>
      </c>
      <c r="P85" s="1" t="s">
        <v>1064</v>
      </c>
      <c r="Q85" s="42">
        <v>0</v>
      </c>
      <c r="R85" s="42">
        <v>0</v>
      </c>
      <c r="S85" s="42">
        <v>7.0000000000000007E-2</v>
      </c>
      <c r="T85" s="10" t="str">
        <f>IFERROR(ROUND((Q85/R85),2),"NA")</f>
        <v>NA</v>
      </c>
      <c r="U85">
        <f t="shared" si="1"/>
        <v>0</v>
      </c>
    </row>
    <row r="86" spans="1:21" x14ac:dyDescent="0.2">
      <c r="A86" s="9" t="s">
        <v>1790</v>
      </c>
      <c r="B86">
        <v>90</v>
      </c>
      <c r="G86" s="9" t="s">
        <v>1715</v>
      </c>
      <c r="H86">
        <v>176</v>
      </c>
      <c r="M86" s="1" t="s">
        <v>1715</v>
      </c>
      <c r="N86" s="1">
        <v>348</v>
      </c>
      <c r="P86" s="1" t="s">
        <v>1715</v>
      </c>
      <c r="Q86" s="42">
        <v>176</v>
      </c>
      <c r="R86" s="42">
        <v>348</v>
      </c>
      <c r="S86" s="42">
        <v>0.16</v>
      </c>
      <c r="T86" s="10">
        <f>IFERROR(ROUND((Q86/R86),2),"NA")</f>
        <v>0.51</v>
      </c>
      <c r="U86">
        <f t="shared" si="1"/>
        <v>28.16</v>
      </c>
    </row>
    <row r="87" spans="1:21" x14ac:dyDescent="0.2">
      <c r="A87" s="9" t="s">
        <v>255</v>
      </c>
      <c r="B87">
        <v>7766</v>
      </c>
      <c r="G87" s="9" t="s">
        <v>2438</v>
      </c>
      <c r="H87">
        <v>400</v>
      </c>
      <c r="M87" s="1" t="s">
        <v>2438</v>
      </c>
      <c r="N87" s="1">
        <v>60</v>
      </c>
      <c r="P87" s="1" t="s">
        <v>2438</v>
      </c>
      <c r="Q87" s="42">
        <v>400</v>
      </c>
      <c r="R87" s="42">
        <v>60</v>
      </c>
      <c r="S87" s="42">
        <v>0.4</v>
      </c>
      <c r="T87" s="10">
        <f>IFERROR(ROUND((Q87/R87),2),"NA")</f>
        <v>6.67</v>
      </c>
      <c r="U87">
        <f t="shared" si="1"/>
        <v>160</v>
      </c>
    </row>
    <row r="88" spans="1:21" x14ac:dyDescent="0.2">
      <c r="A88" s="9" t="s">
        <v>1301</v>
      </c>
      <c r="B88">
        <v>13</v>
      </c>
      <c r="G88" s="9" t="s">
        <v>2184</v>
      </c>
      <c r="H88">
        <v>23</v>
      </c>
      <c r="M88" s="1" t="s">
        <v>2184</v>
      </c>
      <c r="N88" s="1">
        <v>202</v>
      </c>
      <c r="P88" s="1" t="s">
        <v>2184</v>
      </c>
      <c r="Q88" s="42">
        <v>23</v>
      </c>
      <c r="R88" s="42">
        <v>202</v>
      </c>
      <c r="S88" s="42">
        <v>0</v>
      </c>
      <c r="T88" s="10">
        <f>IFERROR(ROUND((Q88/R88),2),"NA")</f>
        <v>0.11</v>
      </c>
      <c r="U88">
        <f t="shared" si="1"/>
        <v>0</v>
      </c>
    </row>
    <row r="89" spans="1:21" x14ac:dyDescent="0.2">
      <c r="A89" s="9" t="s">
        <v>487</v>
      </c>
      <c r="B89">
        <v>130</v>
      </c>
      <c r="G89" s="9" t="s">
        <v>2823</v>
      </c>
      <c r="H89">
        <v>0</v>
      </c>
      <c r="M89" s="1" t="s">
        <v>2823</v>
      </c>
      <c r="N89" s="1">
        <v>64</v>
      </c>
      <c r="P89" s="1" t="s">
        <v>2823</v>
      </c>
      <c r="Q89" s="42">
        <v>0</v>
      </c>
      <c r="R89" s="42">
        <v>64</v>
      </c>
      <c r="S89" s="42">
        <v>0</v>
      </c>
      <c r="T89" s="10">
        <f>IFERROR(ROUND((Q89/R89),2),"NA")</f>
        <v>0</v>
      </c>
      <c r="U89">
        <f t="shared" si="1"/>
        <v>0</v>
      </c>
    </row>
    <row r="90" spans="1:21" x14ac:dyDescent="0.2">
      <c r="A90" s="9" t="s">
        <v>425</v>
      </c>
      <c r="B90">
        <v>597</v>
      </c>
      <c r="G90" s="9" t="s">
        <v>2123</v>
      </c>
      <c r="H90">
        <v>0</v>
      </c>
      <c r="M90" s="1" t="s">
        <v>2123</v>
      </c>
      <c r="N90" s="1">
        <v>45</v>
      </c>
      <c r="P90" s="1" t="s">
        <v>2123</v>
      </c>
      <c r="Q90" s="42">
        <v>0</v>
      </c>
      <c r="R90" s="42">
        <v>45</v>
      </c>
      <c r="S90" s="42">
        <v>0</v>
      </c>
      <c r="T90" s="10">
        <f>IFERROR(ROUND((Q90/R90),2),"NA")</f>
        <v>0</v>
      </c>
      <c r="U90">
        <f t="shared" si="1"/>
        <v>0</v>
      </c>
    </row>
    <row r="91" spans="1:21" x14ac:dyDescent="0.2">
      <c r="A91" s="9" t="s">
        <v>1065</v>
      </c>
      <c r="B91">
        <v>0</v>
      </c>
      <c r="G91" s="9" t="s">
        <v>1136</v>
      </c>
      <c r="H91">
        <v>320</v>
      </c>
      <c r="M91" s="1" t="s">
        <v>1136</v>
      </c>
      <c r="N91" s="1">
        <v>613</v>
      </c>
      <c r="P91" s="1" t="s">
        <v>1136</v>
      </c>
      <c r="Q91" s="42">
        <v>320</v>
      </c>
      <c r="R91" s="42">
        <v>613</v>
      </c>
      <c r="S91" s="42">
        <v>0.11</v>
      </c>
      <c r="T91" s="10">
        <f>IFERROR(ROUND((Q91/R91),2),"NA")</f>
        <v>0.52</v>
      </c>
      <c r="U91">
        <f t="shared" si="1"/>
        <v>35.200000000000003</v>
      </c>
    </row>
    <row r="92" spans="1:21" x14ac:dyDescent="0.2">
      <c r="A92" s="9" t="s">
        <v>2650</v>
      </c>
      <c r="B92">
        <v>0</v>
      </c>
      <c r="G92" s="9" t="s">
        <v>2233</v>
      </c>
      <c r="H92">
        <v>47</v>
      </c>
      <c r="M92" s="1" t="s">
        <v>2233</v>
      </c>
      <c r="N92" s="1">
        <v>916</v>
      </c>
      <c r="P92" s="1" t="s">
        <v>2233</v>
      </c>
      <c r="Q92" s="42">
        <v>47</v>
      </c>
      <c r="R92" s="42">
        <v>916</v>
      </c>
      <c r="S92" s="42">
        <v>0.06</v>
      </c>
      <c r="T92" s="10">
        <f>IFERROR(ROUND((Q92/R92),2),"NA")</f>
        <v>0.05</v>
      </c>
      <c r="U92">
        <f t="shared" si="1"/>
        <v>2.82</v>
      </c>
    </row>
    <row r="93" spans="1:21" x14ac:dyDescent="0.2">
      <c r="A93" s="9" t="s">
        <v>123</v>
      </c>
      <c r="B93">
        <v>0</v>
      </c>
      <c r="G93" s="9" t="s">
        <v>191</v>
      </c>
      <c r="H93">
        <v>27840</v>
      </c>
      <c r="M93" s="1" t="s">
        <v>191</v>
      </c>
      <c r="N93" s="1">
        <v>1296</v>
      </c>
      <c r="P93" s="1" t="s">
        <v>191</v>
      </c>
      <c r="Q93" s="42">
        <v>27840</v>
      </c>
      <c r="R93" s="42">
        <v>1296</v>
      </c>
      <c r="S93" s="42">
        <v>2.5000000000000001E-2</v>
      </c>
      <c r="T93" s="10">
        <f>IFERROR(ROUND((Q93/R93),2),"NA")</f>
        <v>21.48</v>
      </c>
      <c r="U93">
        <f t="shared" si="1"/>
        <v>696</v>
      </c>
    </row>
    <row r="94" spans="1:21" x14ac:dyDescent="0.2">
      <c r="A94" s="9" t="s">
        <v>619</v>
      </c>
      <c r="B94">
        <v>320</v>
      </c>
      <c r="G94" s="9" t="s">
        <v>2057</v>
      </c>
      <c r="H94">
        <v>0</v>
      </c>
      <c r="M94" s="1" t="s">
        <v>2057</v>
      </c>
      <c r="N94" s="1">
        <v>328</v>
      </c>
      <c r="P94" s="1" t="s">
        <v>2057</v>
      </c>
      <c r="Q94" s="42">
        <v>0</v>
      </c>
      <c r="R94" s="42">
        <v>328</v>
      </c>
      <c r="S94" s="42">
        <v>0.1</v>
      </c>
      <c r="T94" s="10">
        <f>IFERROR(ROUND((Q94/R94),2),"NA")</f>
        <v>0</v>
      </c>
      <c r="U94">
        <f t="shared" si="1"/>
        <v>0</v>
      </c>
    </row>
    <row r="95" spans="1:21" x14ac:dyDescent="0.2">
      <c r="A95" s="9" t="s">
        <v>2047</v>
      </c>
      <c r="B95">
        <v>0</v>
      </c>
      <c r="G95" s="9" t="s">
        <v>1310</v>
      </c>
      <c r="H95">
        <v>50</v>
      </c>
      <c r="M95" s="1" t="s">
        <v>1310</v>
      </c>
      <c r="N95" s="1">
        <v>0</v>
      </c>
      <c r="P95" s="1" t="s">
        <v>1310</v>
      </c>
      <c r="Q95" s="42">
        <v>50</v>
      </c>
      <c r="R95" s="42">
        <v>0</v>
      </c>
      <c r="S95" s="42">
        <v>0</v>
      </c>
      <c r="T95" s="10" t="str">
        <f>IFERROR(ROUND((Q95/R95),2),"NA")</f>
        <v>NA</v>
      </c>
      <c r="U95">
        <f t="shared" si="1"/>
        <v>0</v>
      </c>
    </row>
    <row r="96" spans="1:21" x14ac:dyDescent="0.2">
      <c r="A96" s="9" t="s">
        <v>768</v>
      </c>
      <c r="B96">
        <v>730</v>
      </c>
      <c r="G96" s="9" t="s">
        <v>930</v>
      </c>
      <c r="H96">
        <v>2700</v>
      </c>
      <c r="M96" s="1" t="s">
        <v>930</v>
      </c>
      <c r="N96" s="1">
        <v>0</v>
      </c>
      <c r="P96" s="1" t="s">
        <v>930</v>
      </c>
      <c r="Q96" s="42">
        <v>2700</v>
      </c>
      <c r="R96" s="42">
        <v>0</v>
      </c>
      <c r="S96" s="42">
        <v>4.4999999999999998E-2</v>
      </c>
      <c r="T96" s="10" t="str">
        <f>IFERROR(ROUND((Q96/R96),2),"NA")</f>
        <v>NA</v>
      </c>
      <c r="U96">
        <f t="shared" si="1"/>
        <v>121.5</v>
      </c>
    </row>
    <row r="97" spans="1:21" x14ac:dyDescent="0.2">
      <c r="A97" s="9" t="s">
        <v>1072</v>
      </c>
      <c r="B97">
        <v>0</v>
      </c>
      <c r="G97" s="9" t="s">
        <v>1575</v>
      </c>
      <c r="H97">
        <v>50</v>
      </c>
      <c r="M97" s="1" t="s">
        <v>1575</v>
      </c>
      <c r="N97" s="1">
        <v>92</v>
      </c>
      <c r="P97" s="1" t="s">
        <v>1575</v>
      </c>
      <c r="Q97" s="42">
        <v>50</v>
      </c>
      <c r="R97" s="42">
        <v>92</v>
      </c>
      <c r="S97" s="42">
        <v>0.65</v>
      </c>
      <c r="T97" s="10">
        <f>IFERROR(ROUND((Q97/R97),2),"NA")</f>
        <v>0.54</v>
      </c>
      <c r="U97">
        <f t="shared" si="1"/>
        <v>32.5</v>
      </c>
    </row>
    <row r="98" spans="1:21" x14ac:dyDescent="0.2">
      <c r="A98" s="9" t="s">
        <v>2299</v>
      </c>
      <c r="B98">
        <v>0</v>
      </c>
      <c r="G98" s="9" t="s">
        <v>1900</v>
      </c>
      <c r="H98">
        <v>0</v>
      </c>
      <c r="M98" s="1" t="s">
        <v>1900</v>
      </c>
      <c r="N98" s="1">
        <v>72</v>
      </c>
      <c r="P98" s="1" t="s">
        <v>1900</v>
      </c>
      <c r="Q98" s="42">
        <v>0</v>
      </c>
      <c r="R98" s="42">
        <v>72</v>
      </c>
      <c r="S98" s="42">
        <v>0</v>
      </c>
      <c r="T98" s="10">
        <f>IFERROR(ROUND((Q98/R98),2),"NA")</f>
        <v>0</v>
      </c>
      <c r="U98">
        <f t="shared" si="1"/>
        <v>0</v>
      </c>
    </row>
    <row r="99" spans="1:21" x14ac:dyDescent="0.2">
      <c r="A99" s="9" t="s">
        <v>1915</v>
      </c>
      <c r="B99">
        <v>0</v>
      </c>
      <c r="G99" s="9" t="s">
        <v>1326</v>
      </c>
      <c r="H99">
        <v>130</v>
      </c>
      <c r="M99" s="1" t="s">
        <v>1326</v>
      </c>
      <c r="N99" s="1">
        <v>566</v>
      </c>
      <c r="P99" s="1" t="s">
        <v>1326</v>
      </c>
      <c r="Q99" s="42">
        <v>130</v>
      </c>
      <c r="R99" s="42">
        <v>566</v>
      </c>
      <c r="S99" s="42">
        <v>0.215</v>
      </c>
      <c r="T99" s="10">
        <f>IFERROR(ROUND((Q99/R99),2),"NA")</f>
        <v>0.23</v>
      </c>
      <c r="U99">
        <f t="shared" si="1"/>
        <v>27.95</v>
      </c>
    </row>
    <row r="100" spans="1:21" x14ac:dyDescent="0.2">
      <c r="A100" s="9" t="s">
        <v>552</v>
      </c>
      <c r="B100">
        <v>500</v>
      </c>
      <c r="G100" s="9" t="s">
        <v>373</v>
      </c>
      <c r="H100">
        <v>33</v>
      </c>
      <c r="M100" s="1" t="s">
        <v>373</v>
      </c>
      <c r="N100" s="1">
        <v>374</v>
      </c>
      <c r="P100" s="1" t="s">
        <v>373</v>
      </c>
      <c r="Q100" s="42">
        <v>33</v>
      </c>
      <c r="R100" s="42">
        <v>374</v>
      </c>
      <c r="S100" s="42">
        <v>0.03</v>
      </c>
      <c r="T100" s="10">
        <f>IFERROR(ROUND((Q100/R100),2),"NA")</f>
        <v>0.09</v>
      </c>
      <c r="U100">
        <f t="shared" si="1"/>
        <v>0.99</v>
      </c>
    </row>
    <row r="101" spans="1:21" x14ac:dyDescent="0.2">
      <c r="A101" s="9" t="s">
        <v>795</v>
      </c>
      <c r="B101">
        <v>5</v>
      </c>
      <c r="G101" s="9" t="s">
        <v>2891</v>
      </c>
      <c r="H101">
        <v>17</v>
      </c>
      <c r="M101" s="1" t="s">
        <v>2891</v>
      </c>
      <c r="N101" s="1">
        <v>25</v>
      </c>
      <c r="P101" s="1" t="s">
        <v>2891</v>
      </c>
      <c r="Q101" s="42">
        <v>17</v>
      </c>
      <c r="R101" s="42">
        <v>25</v>
      </c>
      <c r="S101" s="42">
        <v>1</v>
      </c>
      <c r="T101" s="10">
        <f>IFERROR(ROUND((Q101/R101),2),"NA")</f>
        <v>0.68</v>
      </c>
      <c r="U101">
        <f t="shared" si="1"/>
        <v>17</v>
      </c>
    </row>
    <row r="102" spans="1:21" x14ac:dyDescent="0.2">
      <c r="A102" s="9" t="s">
        <v>1590</v>
      </c>
      <c r="B102">
        <v>75</v>
      </c>
      <c r="G102" s="9" t="s">
        <v>1204</v>
      </c>
      <c r="H102">
        <v>99</v>
      </c>
      <c r="M102" s="1" t="s">
        <v>1204</v>
      </c>
      <c r="N102" s="1">
        <v>311</v>
      </c>
      <c r="P102" s="1" t="s">
        <v>1204</v>
      </c>
      <c r="Q102" s="42">
        <v>99</v>
      </c>
      <c r="R102" s="42">
        <v>311</v>
      </c>
      <c r="S102" s="42">
        <v>0.13</v>
      </c>
      <c r="T102" s="10">
        <f>IFERROR(ROUND((Q102/R102),2),"NA")</f>
        <v>0.32</v>
      </c>
      <c r="U102">
        <f t="shared" si="1"/>
        <v>12.870000000000001</v>
      </c>
    </row>
    <row r="103" spans="1:21" x14ac:dyDescent="0.2">
      <c r="A103" s="9" t="s">
        <v>2429</v>
      </c>
      <c r="B103">
        <v>0</v>
      </c>
      <c r="G103" s="9" t="s">
        <v>2817</v>
      </c>
      <c r="H103">
        <v>17</v>
      </c>
      <c r="M103" s="1" t="s">
        <v>2817</v>
      </c>
      <c r="N103" s="1">
        <v>14</v>
      </c>
      <c r="P103" s="1" t="s">
        <v>2817</v>
      </c>
      <c r="Q103" s="42">
        <v>17</v>
      </c>
      <c r="R103" s="42">
        <v>14</v>
      </c>
      <c r="S103" s="42">
        <v>0</v>
      </c>
      <c r="T103" s="10">
        <f>IFERROR(ROUND((Q103/R103),2),"NA")</f>
        <v>1.21</v>
      </c>
      <c r="U103">
        <f t="shared" si="1"/>
        <v>0</v>
      </c>
    </row>
    <row r="104" spans="1:21" x14ac:dyDescent="0.2">
      <c r="A104" s="9" t="s">
        <v>667</v>
      </c>
      <c r="B104">
        <v>75</v>
      </c>
      <c r="G104" s="9" t="s">
        <v>506</v>
      </c>
      <c r="H104">
        <v>111</v>
      </c>
      <c r="M104" s="1" t="s">
        <v>506</v>
      </c>
      <c r="N104" s="1">
        <v>0</v>
      </c>
      <c r="P104" s="1" t="s">
        <v>506</v>
      </c>
      <c r="Q104" s="42">
        <v>111</v>
      </c>
      <c r="R104" s="42">
        <v>0</v>
      </c>
      <c r="S104" s="42">
        <v>0</v>
      </c>
      <c r="T104" s="10" t="str">
        <f>IFERROR(ROUND((Q104/R104),2),"NA")</f>
        <v>NA</v>
      </c>
      <c r="U104">
        <f t="shared" si="1"/>
        <v>0</v>
      </c>
    </row>
    <row r="105" spans="1:21" x14ac:dyDescent="0.2">
      <c r="A105" s="9" t="s">
        <v>398</v>
      </c>
      <c r="B105">
        <v>4761</v>
      </c>
      <c r="G105" s="9" t="s">
        <v>978</v>
      </c>
      <c r="H105">
        <v>300</v>
      </c>
      <c r="M105" s="1" t="s">
        <v>978</v>
      </c>
      <c r="N105" s="1">
        <v>300</v>
      </c>
      <c r="P105" s="1" t="s">
        <v>978</v>
      </c>
      <c r="Q105" s="42">
        <v>300</v>
      </c>
      <c r="R105" s="42">
        <v>300</v>
      </c>
      <c r="S105" s="42">
        <v>0</v>
      </c>
      <c r="T105" s="10">
        <f>IFERROR(ROUND((Q105/R105),2),"NA")</f>
        <v>1</v>
      </c>
      <c r="U105">
        <f t="shared" si="1"/>
        <v>0</v>
      </c>
    </row>
    <row r="106" spans="1:21" x14ac:dyDescent="0.2">
      <c r="A106" s="9" t="s">
        <v>1495</v>
      </c>
      <c r="B106">
        <v>0</v>
      </c>
      <c r="G106" s="9" t="s">
        <v>550</v>
      </c>
      <c r="H106">
        <v>0</v>
      </c>
      <c r="M106" s="1" t="s">
        <v>550</v>
      </c>
      <c r="N106" s="1">
        <v>6</v>
      </c>
      <c r="P106" s="1" t="s">
        <v>550</v>
      </c>
      <c r="Q106" s="42">
        <v>0</v>
      </c>
      <c r="R106" s="42">
        <v>6</v>
      </c>
      <c r="S106" s="42">
        <v>1</v>
      </c>
      <c r="T106" s="10">
        <f>IFERROR(ROUND((Q106/R106),2),"NA")</f>
        <v>0</v>
      </c>
      <c r="U106">
        <f t="shared" si="1"/>
        <v>0</v>
      </c>
    </row>
    <row r="107" spans="1:21" x14ac:dyDescent="0.2">
      <c r="A107" s="9" t="s">
        <v>31</v>
      </c>
      <c r="B107">
        <v>292</v>
      </c>
      <c r="G107" s="9" t="s">
        <v>228</v>
      </c>
      <c r="H107">
        <v>81</v>
      </c>
      <c r="M107" s="1" t="s">
        <v>228</v>
      </c>
      <c r="N107" s="1">
        <v>33</v>
      </c>
      <c r="P107" s="1" t="s">
        <v>228</v>
      </c>
      <c r="Q107" s="42">
        <v>81</v>
      </c>
      <c r="R107" s="42">
        <v>33</v>
      </c>
      <c r="S107" s="42">
        <v>0.06</v>
      </c>
      <c r="T107" s="10">
        <f>IFERROR(ROUND((Q107/R107),2),"NA")</f>
        <v>2.4500000000000002</v>
      </c>
      <c r="U107">
        <f t="shared" si="1"/>
        <v>4.8599999999999994</v>
      </c>
    </row>
    <row r="108" spans="1:21" x14ac:dyDescent="0.2">
      <c r="A108" s="9" t="s">
        <v>2645</v>
      </c>
      <c r="B108">
        <v>191</v>
      </c>
      <c r="G108" s="9" t="s">
        <v>1277</v>
      </c>
      <c r="H108">
        <v>75</v>
      </c>
      <c r="M108" s="1" t="s">
        <v>1277</v>
      </c>
      <c r="N108" s="1">
        <v>487</v>
      </c>
      <c r="P108" s="1" t="s">
        <v>1277</v>
      </c>
      <c r="Q108" s="42">
        <v>75</v>
      </c>
      <c r="R108" s="42">
        <v>487</v>
      </c>
      <c r="S108" s="42">
        <v>0.2</v>
      </c>
      <c r="T108" s="10">
        <f>IFERROR(ROUND((Q108/R108),2),"NA")</f>
        <v>0.15</v>
      </c>
      <c r="U108">
        <f t="shared" si="1"/>
        <v>15</v>
      </c>
    </row>
    <row r="109" spans="1:21" x14ac:dyDescent="0.2">
      <c r="A109" s="9" t="s">
        <v>645</v>
      </c>
      <c r="B109">
        <v>3100</v>
      </c>
      <c r="G109" s="9" t="s">
        <v>2670</v>
      </c>
      <c r="H109">
        <v>135</v>
      </c>
      <c r="M109" s="1" t="s">
        <v>2670</v>
      </c>
      <c r="N109" s="1">
        <v>181</v>
      </c>
      <c r="P109" s="1" t="s">
        <v>2670</v>
      </c>
      <c r="Q109" s="42">
        <v>135</v>
      </c>
      <c r="R109" s="42">
        <v>181</v>
      </c>
      <c r="S109" s="42">
        <v>0.1</v>
      </c>
      <c r="T109" s="10">
        <f>IFERROR(ROUND((Q109/R109),2),"NA")</f>
        <v>0.75</v>
      </c>
      <c r="U109">
        <f t="shared" si="1"/>
        <v>13.5</v>
      </c>
    </row>
    <row r="110" spans="1:21" x14ac:dyDescent="0.2">
      <c r="A110" s="9" t="s">
        <v>420</v>
      </c>
      <c r="B110">
        <v>0</v>
      </c>
      <c r="G110" s="9" t="s">
        <v>690</v>
      </c>
      <c r="H110">
        <v>9</v>
      </c>
      <c r="M110" s="1" t="s">
        <v>690</v>
      </c>
      <c r="N110" s="1">
        <v>5</v>
      </c>
      <c r="P110" s="1" t="s">
        <v>690</v>
      </c>
      <c r="Q110" s="42">
        <v>9</v>
      </c>
      <c r="R110" s="42">
        <v>5</v>
      </c>
      <c r="S110" s="42">
        <v>0</v>
      </c>
      <c r="T110" s="10">
        <f>IFERROR(ROUND((Q110/R110),2),"NA")</f>
        <v>1.8</v>
      </c>
      <c r="U110">
        <f t="shared" si="1"/>
        <v>0</v>
      </c>
    </row>
    <row r="111" spans="1:21" x14ac:dyDescent="0.2">
      <c r="A111" s="9" t="s">
        <v>1469</v>
      </c>
      <c r="B111">
        <v>145</v>
      </c>
      <c r="G111" s="9" t="s">
        <v>2873</v>
      </c>
      <c r="H111">
        <v>20</v>
      </c>
      <c r="M111" s="1" t="s">
        <v>2873</v>
      </c>
      <c r="N111" s="1">
        <v>26</v>
      </c>
      <c r="P111" s="1" t="s">
        <v>2873</v>
      </c>
      <c r="Q111" s="42">
        <v>20</v>
      </c>
      <c r="R111" s="42">
        <v>26</v>
      </c>
      <c r="S111" s="42">
        <v>0</v>
      </c>
      <c r="T111" s="10">
        <f>IFERROR(ROUND((Q111/R111),2),"NA")</f>
        <v>0.77</v>
      </c>
      <c r="U111">
        <f t="shared" si="1"/>
        <v>0</v>
      </c>
    </row>
    <row r="112" spans="1:21" x14ac:dyDescent="0.2">
      <c r="A112" s="9" t="s">
        <v>1063</v>
      </c>
      <c r="B112">
        <v>60</v>
      </c>
      <c r="G112" s="9" t="s">
        <v>1299</v>
      </c>
      <c r="H112">
        <v>0</v>
      </c>
      <c r="M112" s="1" t="s">
        <v>1299</v>
      </c>
      <c r="N112" s="1">
        <v>365</v>
      </c>
      <c r="P112" s="1" t="s">
        <v>1299</v>
      </c>
      <c r="Q112" s="42">
        <v>0</v>
      </c>
      <c r="R112" s="42">
        <v>365</v>
      </c>
      <c r="S112" s="42">
        <v>0</v>
      </c>
      <c r="T112" s="10">
        <f>IFERROR(ROUND((Q112/R112),2),"NA")</f>
        <v>0</v>
      </c>
      <c r="U112">
        <f t="shared" si="1"/>
        <v>0</v>
      </c>
    </row>
    <row r="113" spans="1:21" x14ac:dyDescent="0.2">
      <c r="A113" s="9" t="s">
        <v>1509</v>
      </c>
      <c r="B113">
        <v>21</v>
      </c>
      <c r="G113" s="9" t="s">
        <v>2260</v>
      </c>
      <c r="H113">
        <v>50</v>
      </c>
      <c r="M113" s="1" t="s">
        <v>2260</v>
      </c>
      <c r="N113" s="1">
        <v>128</v>
      </c>
      <c r="P113" s="1" t="s">
        <v>2260</v>
      </c>
      <c r="Q113" s="42">
        <v>50</v>
      </c>
      <c r="R113" s="42">
        <v>128</v>
      </c>
      <c r="S113" s="42">
        <v>0.23500000000000001</v>
      </c>
      <c r="T113" s="10">
        <f>IFERROR(ROUND((Q113/R113),2),"NA")</f>
        <v>0.39</v>
      </c>
      <c r="U113">
        <f t="shared" si="1"/>
        <v>11.75</v>
      </c>
    </row>
    <row r="114" spans="1:21" x14ac:dyDescent="0.2">
      <c r="A114" s="9" t="s">
        <v>1279</v>
      </c>
      <c r="B114">
        <v>50</v>
      </c>
      <c r="G114" s="9" t="s">
        <v>1220</v>
      </c>
      <c r="H114">
        <v>0</v>
      </c>
      <c r="M114" s="1" t="s">
        <v>1220</v>
      </c>
      <c r="N114" s="1">
        <v>0</v>
      </c>
      <c r="P114" s="1" t="s">
        <v>1220</v>
      </c>
      <c r="Q114" s="42">
        <v>0</v>
      </c>
      <c r="R114" s="42">
        <v>0</v>
      </c>
      <c r="S114" s="42">
        <v>0.17</v>
      </c>
      <c r="T114" s="10" t="str">
        <f>IFERROR(ROUND((Q114/R114),2),"NA")</f>
        <v>NA</v>
      </c>
      <c r="U114">
        <f t="shared" si="1"/>
        <v>0</v>
      </c>
    </row>
    <row r="115" spans="1:21" x14ac:dyDescent="0.2">
      <c r="A115" s="9" t="s">
        <v>790</v>
      </c>
      <c r="B115">
        <v>125</v>
      </c>
      <c r="G115" s="9" t="s">
        <v>1963</v>
      </c>
      <c r="H115">
        <v>23</v>
      </c>
      <c r="M115" s="1" t="s">
        <v>1963</v>
      </c>
      <c r="N115" s="1">
        <v>36</v>
      </c>
      <c r="P115" s="1" t="s">
        <v>1963</v>
      </c>
      <c r="Q115" s="42">
        <v>23</v>
      </c>
      <c r="R115" s="42">
        <v>36</v>
      </c>
      <c r="S115" s="42">
        <v>0.38</v>
      </c>
      <c r="T115" s="10">
        <f>IFERROR(ROUND((Q115/R115),2),"NA")</f>
        <v>0.64</v>
      </c>
      <c r="U115">
        <f t="shared" si="1"/>
        <v>8.74</v>
      </c>
    </row>
    <row r="116" spans="1:21" x14ac:dyDescent="0.2">
      <c r="A116" s="9" t="s">
        <v>277</v>
      </c>
      <c r="B116">
        <v>275</v>
      </c>
      <c r="G116" s="9" t="s">
        <v>1231</v>
      </c>
      <c r="H116">
        <v>0</v>
      </c>
      <c r="M116" s="1" t="s">
        <v>1231</v>
      </c>
      <c r="N116" s="1">
        <v>37</v>
      </c>
      <c r="P116" s="1" t="s">
        <v>1231</v>
      </c>
      <c r="Q116" s="42">
        <v>0</v>
      </c>
      <c r="R116" s="42">
        <v>37</v>
      </c>
      <c r="S116" s="42">
        <v>0.25</v>
      </c>
      <c r="T116" s="10">
        <f>IFERROR(ROUND((Q116/R116),2),"NA")</f>
        <v>0</v>
      </c>
      <c r="U116">
        <f t="shared" si="1"/>
        <v>0</v>
      </c>
    </row>
    <row r="117" spans="1:21" x14ac:dyDescent="0.2">
      <c r="A117" s="9" t="s">
        <v>2014</v>
      </c>
      <c r="B117">
        <v>100</v>
      </c>
      <c r="G117" s="9" t="s">
        <v>2947</v>
      </c>
      <c r="H117">
        <v>0</v>
      </c>
      <c r="M117" s="1" t="s">
        <v>2947</v>
      </c>
      <c r="N117" s="1">
        <v>74</v>
      </c>
      <c r="P117" s="1" t="s">
        <v>2947</v>
      </c>
      <c r="Q117" s="42">
        <v>0</v>
      </c>
      <c r="R117" s="42">
        <v>74</v>
      </c>
      <c r="S117" s="42">
        <v>0</v>
      </c>
      <c r="T117" s="10">
        <f>IFERROR(ROUND((Q117/R117),2),"NA")</f>
        <v>0</v>
      </c>
      <c r="U117">
        <f t="shared" si="1"/>
        <v>0</v>
      </c>
    </row>
    <row r="118" spans="1:21" x14ac:dyDescent="0.2">
      <c r="A118" s="9" t="s">
        <v>1243</v>
      </c>
      <c r="B118">
        <v>50</v>
      </c>
      <c r="G118" s="9" t="s">
        <v>2122</v>
      </c>
      <c r="H118">
        <v>11</v>
      </c>
      <c r="M118" s="1" t="s">
        <v>2122</v>
      </c>
      <c r="N118" s="1">
        <v>15</v>
      </c>
      <c r="P118" s="1" t="s">
        <v>2122</v>
      </c>
      <c r="Q118" s="42">
        <v>11</v>
      </c>
      <c r="R118" s="42">
        <v>15</v>
      </c>
      <c r="S118" s="42">
        <v>0</v>
      </c>
      <c r="T118" s="10">
        <f>IFERROR(ROUND((Q118/R118),2),"NA")</f>
        <v>0.73</v>
      </c>
      <c r="U118">
        <f t="shared" si="1"/>
        <v>0</v>
      </c>
    </row>
    <row r="119" spans="1:21" x14ac:dyDescent="0.2">
      <c r="A119" s="9" t="s">
        <v>203</v>
      </c>
      <c r="B119">
        <v>1545</v>
      </c>
      <c r="G119" s="9" t="s">
        <v>2084</v>
      </c>
      <c r="H119">
        <v>29</v>
      </c>
      <c r="M119" s="1" t="s">
        <v>2084</v>
      </c>
      <c r="N119" s="1">
        <v>169</v>
      </c>
      <c r="P119" s="1" t="s">
        <v>2084</v>
      </c>
      <c r="Q119" s="42">
        <v>29</v>
      </c>
      <c r="R119" s="42">
        <v>169</v>
      </c>
      <c r="S119" s="42">
        <v>0.1</v>
      </c>
      <c r="T119" s="10">
        <f>IFERROR(ROUND((Q119/R119),2),"NA")</f>
        <v>0.17</v>
      </c>
      <c r="U119">
        <f t="shared" si="1"/>
        <v>2.9000000000000004</v>
      </c>
    </row>
    <row r="120" spans="1:21" x14ac:dyDescent="0.2">
      <c r="A120" s="9" t="s">
        <v>2247</v>
      </c>
      <c r="B120">
        <v>0</v>
      </c>
      <c r="G120" s="9" t="s">
        <v>2250</v>
      </c>
      <c r="H120">
        <v>0</v>
      </c>
      <c r="M120" s="1" t="s">
        <v>2250</v>
      </c>
      <c r="N120" s="1">
        <v>640</v>
      </c>
      <c r="P120" s="1" t="s">
        <v>2250</v>
      </c>
      <c r="Q120" s="42">
        <v>0</v>
      </c>
      <c r="R120" s="42">
        <v>640</v>
      </c>
      <c r="S120" s="42">
        <v>0</v>
      </c>
      <c r="T120" s="10">
        <f>IFERROR(ROUND((Q120/R120),2),"NA")</f>
        <v>0</v>
      </c>
      <c r="U120">
        <f t="shared" si="1"/>
        <v>0</v>
      </c>
    </row>
    <row r="121" spans="1:21" x14ac:dyDescent="0.2">
      <c r="A121" s="9" t="s">
        <v>1092</v>
      </c>
      <c r="B121">
        <v>484</v>
      </c>
      <c r="G121" s="9" t="s">
        <v>1699</v>
      </c>
      <c r="H121">
        <v>0</v>
      </c>
      <c r="M121" s="1" t="s">
        <v>1699</v>
      </c>
      <c r="N121" s="1">
        <v>183</v>
      </c>
      <c r="P121" s="1" t="s">
        <v>1699</v>
      </c>
      <c r="Q121" s="42">
        <v>0</v>
      </c>
      <c r="R121" s="42">
        <v>183</v>
      </c>
      <c r="S121" s="42">
        <v>0.15</v>
      </c>
      <c r="T121" s="10">
        <f>IFERROR(ROUND((Q121/R121),2),"NA")</f>
        <v>0</v>
      </c>
      <c r="U121">
        <f t="shared" si="1"/>
        <v>0</v>
      </c>
    </row>
    <row r="122" spans="1:21" x14ac:dyDescent="0.2">
      <c r="A122" s="9" t="s">
        <v>651</v>
      </c>
      <c r="B122">
        <v>0</v>
      </c>
      <c r="G122" s="9" t="s">
        <v>1863</v>
      </c>
      <c r="H122">
        <v>0</v>
      </c>
      <c r="M122" s="1" t="s">
        <v>1863</v>
      </c>
      <c r="N122" s="1">
        <v>11</v>
      </c>
      <c r="P122" s="1" t="s">
        <v>1863</v>
      </c>
      <c r="Q122" s="42">
        <v>0</v>
      </c>
      <c r="R122" s="42">
        <v>11</v>
      </c>
      <c r="S122" s="42">
        <v>0.25</v>
      </c>
      <c r="T122" s="10">
        <f>IFERROR(ROUND((Q122/R122),2),"NA")</f>
        <v>0</v>
      </c>
      <c r="U122">
        <f t="shared" si="1"/>
        <v>0</v>
      </c>
    </row>
    <row r="123" spans="1:21" x14ac:dyDescent="0.2">
      <c r="A123" s="9" t="s">
        <v>229</v>
      </c>
      <c r="B123">
        <v>301</v>
      </c>
      <c r="G123" s="9" t="s">
        <v>2700</v>
      </c>
      <c r="H123">
        <v>80</v>
      </c>
      <c r="M123" s="1" t="s">
        <v>2700</v>
      </c>
      <c r="N123" s="1">
        <v>156</v>
      </c>
      <c r="P123" s="1" t="s">
        <v>2700</v>
      </c>
      <c r="Q123" s="42">
        <v>80</v>
      </c>
      <c r="R123" s="42">
        <v>156</v>
      </c>
      <c r="S123" s="42">
        <v>0.18</v>
      </c>
      <c r="T123" s="10">
        <f>IFERROR(ROUND((Q123/R123),2),"NA")</f>
        <v>0.51</v>
      </c>
      <c r="U123">
        <f t="shared" si="1"/>
        <v>14.399999999999999</v>
      </c>
    </row>
    <row r="124" spans="1:21" x14ac:dyDescent="0.2">
      <c r="A124" s="9" t="s">
        <v>878</v>
      </c>
      <c r="B124">
        <v>0</v>
      </c>
      <c r="G124" s="9" t="s">
        <v>1291</v>
      </c>
      <c r="H124">
        <v>0</v>
      </c>
      <c r="M124" s="1" t="s">
        <v>1291</v>
      </c>
      <c r="N124" s="1">
        <v>52</v>
      </c>
      <c r="P124" s="1" t="s">
        <v>1291</v>
      </c>
      <c r="Q124" s="42">
        <v>0</v>
      </c>
      <c r="R124" s="42">
        <v>52</v>
      </c>
      <c r="S124" s="42">
        <v>0.15</v>
      </c>
      <c r="T124" s="10">
        <f>IFERROR(ROUND((Q124/R124),2),"NA")</f>
        <v>0</v>
      </c>
      <c r="U124">
        <f t="shared" si="1"/>
        <v>0</v>
      </c>
    </row>
    <row r="125" spans="1:21" x14ac:dyDescent="0.2">
      <c r="A125" s="9" t="s">
        <v>2354</v>
      </c>
      <c r="B125">
        <v>0</v>
      </c>
      <c r="G125" s="9" t="s">
        <v>796</v>
      </c>
      <c r="H125">
        <v>211</v>
      </c>
      <c r="M125" s="1" t="s">
        <v>796</v>
      </c>
      <c r="N125" s="1">
        <v>60</v>
      </c>
      <c r="P125" s="1" t="s">
        <v>796</v>
      </c>
      <c r="Q125" s="42">
        <v>211</v>
      </c>
      <c r="R125" s="42">
        <v>60</v>
      </c>
      <c r="S125" s="42">
        <v>0.09</v>
      </c>
      <c r="T125" s="10">
        <f>IFERROR(ROUND((Q125/R125),2),"NA")</f>
        <v>3.52</v>
      </c>
      <c r="U125">
        <f t="shared" si="1"/>
        <v>18.989999999999998</v>
      </c>
    </row>
    <row r="126" spans="1:21" x14ac:dyDescent="0.2">
      <c r="A126" s="9" t="s">
        <v>1268</v>
      </c>
      <c r="B126">
        <v>70</v>
      </c>
      <c r="G126" s="9" t="s">
        <v>1446</v>
      </c>
      <c r="H126">
        <v>164</v>
      </c>
      <c r="M126" s="1" t="s">
        <v>1446</v>
      </c>
      <c r="N126" s="1">
        <v>0</v>
      </c>
      <c r="P126" s="1" t="s">
        <v>1446</v>
      </c>
      <c r="Q126" s="42">
        <v>164</v>
      </c>
      <c r="R126" s="42">
        <v>0</v>
      </c>
      <c r="S126" s="42">
        <v>0.15</v>
      </c>
      <c r="T126" s="10" t="str">
        <f>IFERROR(ROUND((Q126/R126),2),"NA")</f>
        <v>NA</v>
      </c>
      <c r="U126">
        <f t="shared" si="1"/>
        <v>24.599999999999998</v>
      </c>
    </row>
    <row r="127" spans="1:21" x14ac:dyDescent="0.2">
      <c r="A127" s="9" t="s">
        <v>2688</v>
      </c>
      <c r="B127">
        <v>115</v>
      </c>
      <c r="G127" s="9" t="s">
        <v>877</v>
      </c>
      <c r="H127">
        <v>0</v>
      </c>
      <c r="M127" s="1" t="s">
        <v>877</v>
      </c>
      <c r="N127" s="1">
        <v>692</v>
      </c>
      <c r="P127" s="1" t="s">
        <v>877</v>
      </c>
      <c r="Q127" s="42">
        <v>0</v>
      </c>
      <c r="R127" s="42">
        <v>692</v>
      </c>
      <c r="S127" s="42">
        <v>1</v>
      </c>
      <c r="T127" s="10">
        <f>IFERROR(ROUND((Q127/R127),2),"NA")</f>
        <v>0</v>
      </c>
      <c r="U127">
        <f t="shared" si="1"/>
        <v>0</v>
      </c>
    </row>
    <row r="128" spans="1:21" x14ac:dyDescent="0.2">
      <c r="A128" s="9" t="s">
        <v>1195</v>
      </c>
      <c r="B128">
        <v>0</v>
      </c>
      <c r="G128" s="9" t="s">
        <v>185</v>
      </c>
      <c r="H128">
        <v>614</v>
      </c>
      <c r="M128" s="1" t="s">
        <v>185</v>
      </c>
      <c r="N128" s="1">
        <v>8600</v>
      </c>
      <c r="P128" s="1" t="s">
        <v>185</v>
      </c>
      <c r="Q128" s="42">
        <v>614</v>
      </c>
      <c r="R128" s="42">
        <v>8600</v>
      </c>
      <c r="S128" s="42">
        <v>0</v>
      </c>
      <c r="T128" s="10">
        <f>IFERROR(ROUND((Q128/R128),2),"NA")</f>
        <v>7.0000000000000007E-2</v>
      </c>
      <c r="U128">
        <f t="shared" si="1"/>
        <v>0</v>
      </c>
    </row>
    <row r="129" spans="1:21" x14ac:dyDescent="0.2">
      <c r="A129" s="9" t="s">
        <v>512</v>
      </c>
      <c r="B129">
        <v>45</v>
      </c>
      <c r="G129" s="9" t="s">
        <v>2312</v>
      </c>
      <c r="H129">
        <v>300</v>
      </c>
      <c r="M129" s="1" t="s">
        <v>2312</v>
      </c>
      <c r="N129" s="1">
        <v>1600</v>
      </c>
      <c r="P129" s="1" t="s">
        <v>2312</v>
      </c>
      <c r="Q129" s="42">
        <v>300</v>
      </c>
      <c r="R129" s="42">
        <v>1600</v>
      </c>
      <c r="S129" s="42">
        <v>0.12</v>
      </c>
      <c r="T129" s="10">
        <f>IFERROR(ROUND((Q129/R129),2),"NA")</f>
        <v>0.19</v>
      </c>
      <c r="U129">
        <f t="shared" si="1"/>
        <v>36</v>
      </c>
    </row>
    <row r="130" spans="1:21" x14ac:dyDescent="0.2">
      <c r="A130" s="9" t="s">
        <v>1874</v>
      </c>
      <c r="B130">
        <v>300</v>
      </c>
      <c r="G130" s="9" t="s">
        <v>1795</v>
      </c>
      <c r="H130">
        <v>90</v>
      </c>
      <c r="M130" s="1" t="s">
        <v>1795</v>
      </c>
      <c r="N130" s="1">
        <v>483</v>
      </c>
      <c r="P130" s="1" t="s">
        <v>1795</v>
      </c>
      <c r="Q130" s="42">
        <v>90</v>
      </c>
      <c r="R130" s="42">
        <v>483</v>
      </c>
      <c r="S130" s="42">
        <v>0.06</v>
      </c>
      <c r="T130" s="10">
        <f>IFERROR(ROUND((Q130/R130),2),"NA")</f>
        <v>0.19</v>
      </c>
      <c r="U130">
        <f t="shared" si="1"/>
        <v>5.3999999999999995</v>
      </c>
    </row>
    <row r="131" spans="1:21" x14ac:dyDescent="0.2">
      <c r="A131" s="9" t="s">
        <v>54</v>
      </c>
      <c r="B131">
        <v>19451</v>
      </c>
      <c r="G131" s="9" t="s">
        <v>701</v>
      </c>
      <c r="H131">
        <v>35</v>
      </c>
      <c r="M131" s="1" t="s">
        <v>701</v>
      </c>
      <c r="N131" s="1">
        <v>51</v>
      </c>
      <c r="P131" s="1" t="s">
        <v>701</v>
      </c>
      <c r="Q131" s="42">
        <v>35</v>
      </c>
      <c r="R131" s="42">
        <v>51</v>
      </c>
      <c r="S131" s="42">
        <v>0.25</v>
      </c>
      <c r="T131" s="10">
        <f>IFERROR(ROUND((Q131/R131),2),"NA")</f>
        <v>0.69</v>
      </c>
      <c r="U131">
        <f t="shared" si="1"/>
        <v>8.75</v>
      </c>
    </row>
    <row r="132" spans="1:21" x14ac:dyDescent="0.2">
      <c r="A132" s="9" t="s">
        <v>47</v>
      </c>
      <c r="B132">
        <v>10193</v>
      </c>
      <c r="G132" s="9" t="s">
        <v>276</v>
      </c>
      <c r="H132">
        <v>250</v>
      </c>
      <c r="M132" s="1" t="s">
        <v>276</v>
      </c>
      <c r="N132" s="1">
        <v>8</v>
      </c>
      <c r="P132" s="1" t="s">
        <v>276</v>
      </c>
      <c r="Q132" s="42">
        <v>250</v>
      </c>
      <c r="R132" s="42">
        <v>8</v>
      </c>
      <c r="S132" s="42">
        <v>0</v>
      </c>
      <c r="T132" s="10">
        <f>IFERROR(ROUND((Q132/R132),2),"NA")</f>
        <v>31.25</v>
      </c>
      <c r="U132">
        <f t="shared" si="1"/>
        <v>0</v>
      </c>
    </row>
    <row r="133" spans="1:21" x14ac:dyDescent="0.2">
      <c r="A133" s="9" t="s">
        <v>2279</v>
      </c>
      <c r="B133">
        <v>52</v>
      </c>
      <c r="G133" s="9" t="s">
        <v>2338</v>
      </c>
      <c r="H133">
        <v>80</v>
      </c>
      <c r="M133" s="1" t="s">
        <v>2338</v>
      </c>
      <c r="N133" s="1">
        <v>12</v>
      </c>
      <c r="P133" s="1" t="s">
        <v>2338</v>
      </c>
      <c r="Q133" s="42">
        <v>80</v>
      </c>
      <c r="R133" s="42">
        <v>12</v>
      </c>
      <c r="S133" s="42">
        <v>0.3</v>
      </c>
      <c r="T133" s="10">
        <f>IFERROR(ROUND((Q133/R133),2),"NA")</f>
        <v>6.67</v>
      </c>
      <c r="U133">
        <f t="shared" ref="U133:U196" si="2">Q133*S133</f>
        <v>24</v>
      </c>
    </row>
    <row r="134" spans="1:21" x14ac:dyDescent="0.2">
      <c r="A134" s="9" t="s">
        <v>873</v>
      </c>
      <c r="B134">
        <v>45</v>
      </c>
      <c r="G134" s="9" t="s">
        <v>1751</v>
      </c>
      <c r="H134">
        <v>89</v>
      </c>
      <c r="M134" s="1" t="s">
        <v>1751</v>
      </c>
      <c r="N134" s="1">
        <v>365</v>
      </c>
      <c r="P134" s="1" t="s">
        <v>1751</v>
      </c>
      <c r="Q134" s="42">
        <v>89</v>
      </c>
      <c r="R134" s="42">
        <v>365</v>
      </c>
      <c r="S134" s="42">
        <v>9.5000000000000001E-2</v>
      </c>
      <c r="T134" s="10">
        <f>IFERROR(ROUND((Q134/R134),2),"NA")</f>
        <v>0.24</v>
      </c>
      <c r="U134">
        <f t="shared" si="2"/>
        <v>8.4550000000000001</v>
      </c>
    </row>
    <row r="135" spans="1:21" x14ac:dyDescent="0.2">
      <c r="A135" s="9" t="s">
        <v>1276</v>
      </c>
      <c r="B135">
        <v>144</v>
      </c>
      <c r="G135" s="9" t="s">
        <v>2219</v>
      </c>
      <c r="H135">
        <v>13</v>
      </c>
      <c r="M135" s="1" t="s">
        <v>2219</v>
      </c>
      <c r="N135" s="1">
        <v>1</v>
      </c>
      <c r="P135" s="1" t="s">
        <v>2219</v>
      </c>
      <c r="Q135" s="42">
        <v>13</v>
      </c>
      <c r="R135" s="42">
        <v>1</v>
      </c>
      <c r="S135" s="42">
        <v>0</v>
      </c>
      <c r="T135" s="10">
        <f>IFERROR(ROUND((Q135/R135),2),"NA")</f>
        <v>13</v>
      </c>
      <c r="U135">
        <f t="shared" si="2"/>
        <v>0</v>
      </c>
    </row>
    <row r="136" spans="1:21" x14ac:dyDescent="0.2">
      <c r="A136" s="9" t="s">
        <v>119</v>
      </c>
      <c r="B136">
        <v>118</v>
      </c>
      <c r="G136" s="9" t="s">
        <v>1347</v>
      </c>
      <c r="H136">
        <v>0</v>
      </c>
      <c r="M136" s="1" t="s">
        <v>1347</v>
      </c>
      <c r="N136" s="1">
        <v>310</v>
      </c>
      <c r="P136" s="1" t="s">
        <v>1347</v>
      </c>
      <c r="Q136" s="42">
        <v>0</v>
      </c>
      <c r="R136" s="42">
        <v>310</v>
      </c>
      <c r="S136" s="42">
        <v>1</v>
      </c>
      <c r="T136" s="10">
        <f>IFERROR(ROUND((Q136/R136),2),"NA")</f>
        <v>0</v>
      </c>
      <c r="U136">
        <f t="shared" si="2"/>
        <v>0</v>
      </c>
    </row>
    <row r="137" spans="1:21" x14ac:dyDescent="0.2">
      <c r="A137" s="9" t="s">
        <v>1866</v>
      </c>
      <c r="B137">
        <v>0</v>
      </c>
      <c r="G137" s="9" t="s">
        <v>849</v>
      </c>
      <c r="H137">
        <v>40</v>
      </c>
      <c r="M137" s="1" t="s">
        <v>849</v>
      </c>
      <c r="N137" s="1">
        <v>57</v>
      </c>
      <c r="P137" s="1" t="s">
        <v>849</v>
      </c>
      <c r="Q137" s="42">
        <v>40</v>
      </c>
      <c r="R137" s="42">
        <v>57</v>
      </c>
      <c r="S137" s="42">
        <v>0.3</v>
      </c>
      <c r="T137" s="10">
        <f>IFERROR(ROUND((Q137/R137),2),"NA")</f>
        <v>0.7</v>
      </c>
      <c r="U137">
        <f t="shared" si="2"/>
        <v>12</v>
      </c>
    </row>
    <row r="138" spans="1:21" x14ac:dyDescent="0.2">
      <c r="A138" s="9" t="s">
        <v>2374</v>
      </c>
      <c r="B138">
        <v>70</v>
      </c>
      <c r="G138" s="9" t="s">
        <v>2201</v>
      </c>
      <c r="H138">
        <v>0</v>
      </c>
      <c r="M138" s="1" t="s">
        <v>2201</v>
      </c>
      <c r="N138" s="1">
        <v>0</v>
      </c>
      <c r="P138" s="1" t="s">
        <v>2201</v>
      </c>
      <c r="Q138" s="42">
        <v>0</v>
      </c>
      <c r="R138" s="42">
        <v>0</v>
      </c>
      <c r="S138" s="42">
        <v>0</v>
      </c>
      <c r="T138" s="10" t="str">
        <f>IFERROR(ROUND((Q138/R138),2),"NA")</f>
        <v>NA</v>
      </c>
      <c r="U138">
        <f t="shared" si="2"/>
        <v>0</v>
      </c>
    </row>
    <row r="139" spans="1:21" x14ac:dyDescent="0.2">
      <c r="A139" s="9" t="s">
        <v>2406</v>
      </c>
      <c r="B139">
        <v>0</v>
      </c>
      <c r="G139" s="9" t="s">
        <v>1939</v>
      </c>
      <c r="H139">
        <v>682</v>
      </c>
      <c r="M139" s="1" t="s">
        <v>1939</v>
      </c>
      <c r="N139" s="1">
        <v>14400</v>
      </c>
      <c r="P139" s="1" t="s">
        <v>1939</v>
      </c>
      <c r="Q139" s="42">
        <v>682</v>
      </c>
      <c r="R139" s="42">
        <v>14400</v>
      </c>
      <c r="S139" s="42">
        <v>0.05</v>
      </c>
      <c r="T139" s="10">
        <f>IFERROR(ROUND((Q139/R139),2),"NA")</f>
        <v>0.05</v>
      </c>
      <c r="U139">
        <f t="shared" si="2"/>
        <v>34.1</v>
      </c>
    </row>
    <row r="140" spans="1:21" x14ac:dyDescent="0.2">
      <c r="A140" s="9" t="s">
        <v>282</v>
      </c>
      <c r="B140">
        <v>125</v>
      </c>
      <c r="G140" s="9" t="s">
        <v>2094</v>
      </c>
      <c r="H140">
        <v>20</v>
      </c>
      <c r="M140" s="1" t="s">
        <v>2094</v>
      </c>
      <c r="N140" s="1">
        <v>78</v>
      </c>
      <c r="P140" s="1" t="s">
        <v>2094</v>
      </c>
      <c r="Q140" s="42">
        <v>20</v>
      </c>
      <c r="R140" s="42">
        <v>78</v>
      </c>
      <c r="S140" s="42">
        <v>7.0000000000000007E-2</v>
      </c>
      <c r="T140" s="10">
        <f>IFERROR(ROUND((Q140/R140),2),"NA")</f>
        <v>0.26</v>
      </c>
      <c r="U140">
        <f t="shared" si="2"/>
        <v>1.4000000000000001</v>
      </c>
    </row>
    <row r="141" spans="1:21" x14ac:dyDescent="0.2">
      <c r="A141" s="9" t="s">
        <v>1171</v>
      </c>
      <c r="B141">
        <v>0</v>
      </c>
      <c r="G141" s="9" t="s">
        <v>879</v>
      </c>
      <c r="H141">
        <v>0</v>
      </c>
      <c r="M141" s="1" t="s">
        <v>879</v>
      </c>
      <c r="N141" s="1">
        <v>37</v>
      </c>
      <c r="P141" s="1" t="s">
        <v>879</v>
      </c>
      <c r="Q141" s="42">
        <v>0</v>
      </c>
      <c r="R141" s="42">
        <v>37</v>
      </c>
      <c r="S141" s="42">
        <v>0</v>
      </c>
      <c r="T141" s="10">
        <f>IFERROR(ROUND((Q141/R141),2),"NA")</f>
        <v>0</v>
      </c>
      <c r="U141">
        <f t="shared" si="2"/>
        <v>0</v>
      </c>
    </row>
    <row r="142" spans="1:21" x14ac:dyDescent="0.2">
      <c r="A142" s="9" t="s">
        <v>831</v>
      </c>
      <c r="B142">
        <v>859</v>
      </c>
      <c r="G142" s="9" t="s">
        <v>101</v>
      </c>
      <c r="H142">
        <v>96</v>
      </c>
      <c r="M142" s="1" t="s">
        <v>101</v>
      </c>
      <c r="N142" s="1">
        <v>0</v>
      </c>
      <c r="P142" s="1" t="s">
        <v>101</v>
      </c>
      <c r="Q142" s="42">
        <v>96</v>
      </c>
      <c r="R142" s="42">
        <v>0</v>
      </c>
      <c r="S142" s="42">
        <v>1</v>
      </c>
      <c r="T142" s="10" t="str">
        <f>IFERROR(ROUND((Q142/R142),2),"NA")</f>
        <v>NA</v>
      </c>
      <c r="U142">
        <f t="shared" si="2"/>
        <v>96</v>
      </c>
    </row>
    <row r="143" spans="1:21" x14ac:dyDescent="0.2">
      <c r="A143" s="9" t="s">
        <v>437</v>
      </c>
      <c r="B143">
        <v>0</v>
      </c>
      <c r="G143" s="9" t="s">
        <v>492</v>
      </c>
      <c r="H143">
        <v>70</v>
      </c>
      <c r="M143" s="1" t="s">
        <v>492</v>
      </c>
      <c r="N143" s="1">
        <v>0</v>
      </c>
      <c r="P143" s="1" t="s">
        <v>492</v>
      </c>
      <c r="Q143" s="42">
        <v>70</v>
      </c>
      <c r="R143" s="42">
        <v>0</v>
      </c>
      <c r="S143" s="42">
        <v>0</v>
      </c>
      <c r="T143" s="10" t="str">
        <f>IFERROR(ROUND((Q143/R143),2),"NA")</f>
        <v>NA</v>
      </c>
      <c r="U143">
        <f t="shared" si="2"/>
        <v>0</v>
      </c>
    </row>
    <row r="144" spans="1:21" x14ac:dyDescent="0.2">
      <c r="A144" s="9" t="s">
        <v>955</v>
      </c>
      <c r="B144">
        <v>360</v>
      </c>
      <c r="G144" s="9" t="s">
        <v>1727</v>
      </c>
      <c r="H144">
        <v>25</v>
      </c>
      <c r="M144" s="1" t="s">
        <v>1727</v>
      </c>
      <c r="N144" s="1">
        <v>537</v>
      </c>
      <c r="P144" s="1" t="s">
        <v>1727</v>
      </c>
      <c r="Q144" s="42">
        <v>25</v>
      </c>
      <c r="R144" s="42">
        <v>537</v>
      </c>
      <c r="S144" s="42">
        <v>0.04</v>
      </c>
      <c r="T144" s="10">
        <f>IFERROR(ROUND((Q144/R144),2),"NA")</f>
        <v>0.05</v>
      </c>
      <c r="U144">
        <f t="shared" si="2"/>
        <v>1</v>
      </c>
    </row>
    <row r="145" spans="1:21" x14ac:dyDescent="0.2">
      <c r="A145" s="9" t="s">
        <v>194</v>
      </c>
      <c r="B145">
        <v>3940</v>
      </c>
      <c r="G145" s="9" t="s">
        <v>676</v>
      </c>
      <c r="H145">
        <v>800</v>
      </c>
      <c r="M145" s="1" t="s">
        <v>676</v>
      </c>
      <c r="N145" s="1">
        <v>2516</v>
      </c>
      <c r="P145" s="1" t="s">
        <v>676</v>
      </c>
      <c r="Q145" s="42">
        <v>800</v>
      </c>
      <c r="R145" s="42">
        <v>2516</v>
      </c>
      <c r="S145" s="42">
        <v>0.35000000000000003</v>
      </c>
      <c r="T145" s="10">
        <f>IFERROR(ROUND((Q145/R145),2),"NA")</f>
        <v>0.32</v>
      </c>
      <c r="U145">
        <f t="shared" si="2"/>
        <v>280</v>
      </c>
    </row>
    <row r="146" spans="1:21" x14ac:dyDescent="0.2">
      <c r="A146" s="9" t="s">
        <v>1389</v>
      </c>
      <c r="B146">
        <v>0</v>
      </c>
      <c r="G146" s="9" t="s">
        <v>2814</v>
      </c>
      <c r="H146">
        <v>75</v>
      </c>
      <c r="M146" s="1" t="s">
        <v>2814</v>
      </c>
      <c r="N146" s="1">
        <v>35</v>
      </c>
      <c r="P146" s="1" t="s">
        <v>2814</v>
      </c>
      <c r="Q146" s="42">
        <v>75</v>
      </c>
      <c r="R146" s="42">
        <v>35</v>
      </c>
      <c r="S146" s="42">
        <v>7.0000000000000007E-2</v>
      </c>
      <c r="T146" s="10">
        <f>IFERROR(ROUND((Q146/R146),2),"NA")</f>
        <v>2.14</v>
      </c>
      <c r="U146">
        <f t="shared" si="2"/>
        <v>5.2500000000000009</v>
      </c>
    </row>
    <row r="147" spans="1:21" x14ac:dyDescent="0.2">
      <c r="A147" s="9" t="s">
        <v>478</v>
      </c>
      <c r="B147">
        <v>294</v>
      </c>
      <c r="G147" s="9" t="s">
        <v>2148</v>
      </c>
      <c r="H147">
        <v>216</v>
      </c>
      <c r="M147" s="1" t="s">
        <v>2148</v>
      </c>
      <c r="N147" s="1">
        <v>0</v>
      </c>
      <c r="P147" s="1" t="s">
        <v>2148</v>
      </c>
      <c r="Q147" s="42">
        <v>216</v>
      </c>
      <c r="R147" s="42">
        <v>0</v>
      </c>
      <c r="S147" s="42">
        <v>0.17</v>
      </c>
      <c r="T147" s="10" t="str">
        <f>IFERROR(ROUND((Q147/R147),2),"NA")</f>
        <v>NA</v>
      </c>
      <c r="U147">
        <f t="shared" si="2"/>
        <v>36.720000000000006</v>
      </c>
    </row>
    <row r="148" spans="1:21" x14ac:dyDescent="0.2">
      <c r="A148" s="9" t="s">
        <v>378</v>
      </c>
      <c r="B148">
        <v>473</v>
      </c>
      <c r="G148" s="9" t="s">
        <v>1437</v>
      </c>
      <c r="H148">
        <v>38</v>
      </c>
      <c r="M148" s="1" t="s">
        <v>1437</v>
      </c>
      <c r="N148" s="1">
        <v>1500</v>
      </c>
      <c r="P148" s="1" t="s">
        <v>1437</v>
      </c>
      <c r="Q148" s="42">
        <v>38</v>
      </c>
      <c r="R148" s="42">
        <v>1500</v>
      </c>
      <c r="S148" s="42">
        <v>0</v>
      </c>
      <c r="T148" s="10">
        <f>IFERROR(ROUND((Q148/R148),2),"NA")</f>
        <v>0.03</v>
      </c>
      <c r="U148">
        <f t="shared" si="2"/>
        <v>0</v>
      </c>
    </row>
    <row r="149" spans="1:21" x14ac:dyDescent="0.2">
      <c r="A149" s="9" t="s">
        <v>2709</v>
      </c>
      <c r="B149">
        <v>30</v>
      </c>
      <c r="G149" s="9" t="s">
        <v>418</v>
      </c>
      <c r="H149">
        <v>0</v>
      </c>
      <c r="M149" s="1" t="s">
        <v>418</v>
      </c>
      <c r="N149" s="1">
        <v>0</v>
      </c>
      <c r="P149" s="1" t="s">
        <v>418</v>
      </c>
      <c r="Q149" s="42">
        <v>0</v>
      </c>
      <c r="R149" s="42">
        <v>0</v>
      </c>
      <c r="S149" s="42">
        <v>1</v>
      </c>
      <c r="T149" s="10" t="str">
        <f>IFERROR(ROUND((Q149/R149),2),"NA")</f>
        <v>NA</v>
      </c>
      <c r="U149">
        <f t="shared" si="2"/>
        <v>0</v>
      </c>
    </row>
    <row r="150" spans="1:21" x14ac:dyDescent="0.2">
      <c r="A150" s="9" t="s">
        <v>1225</v>
      </c>
      <c r="B150">
        <v>0</v>
      </c>
      <c r="G150" s="9" t="s">
        <v>2085</v>
      </c>
      <c r="H150">
        <v>26</v>
      </c>
      <c r="M150" s="1" t="s">
        <v>2085</v>
      </c>
      <c r="N150" s="1">
        <v>0</v>
      </c>
      <c r="P150" s="1" t="s">
        <v>2085</v>
      </c>
      <c r="Q150" s="42">
        <v>26</v>
      </c>
      <c r="R150" s="42">
        <v>0</v>
      </c>
      <c r="S150" s="42">
        <v>0.36</v>
      </c>
      <c r="T150" s="10" t="str">
        <f>IFERROR(ROUND((Q150/R150),2),"NA")</f>
        <v>NA</v>
      </c>
      <c r="U150">
        <f t="shared" si="2"/>
        <v>9.36</v>
      </c>
    </row>
    <row r="151" spans="1:21" x14ac:dyDescent="0.2">
      <c r="A151" s="9" t="s">
        <v>2558</v>
      </c>
      <c r="B151">
        <v>0</v>
      </c>
      <c r="G151" s="9" t="s">
        <v>948</v>
      </c>
      <c r="H151">
        <v>35</v>
      </c>
      <c r="M151" s="1" t="s">
        <v>948</v>
      </c>
      <c r="N151" s="1">
        <v>100</v>
      </c>
      <c r="P151" s="1" t="s">
        <v>948</v>
      </c>
      <c r="Q151" s="42">
        <v>35</v>
      </c>
      <c r="R151" s="42">
        <v>100</v>
      </c>
      <c r="S151" s="42">
        <v>0.15</v>
      </c>
      <c r="T151" s="10">
        <f>IFERROR(ROUND((Q151/R151),2),"NA")</f>
        <v>0.35</v>
      </c>
      <c r="U151">
        <f t="shared" si="2"/>
        <v>5.25</v>
      </c>
    </row>
    <row r="152" spans="1:21" x14ac:dyDescent="0.2">
      <c r="A152" s="9" t="s">
        <v>188</v>
      </c>
      <c r="B152">
        <v>1993</v>
      </c>
      <c r="G152" s="9" t="s">
        <v>1854</v>
      </c>
      <c r="H152">
        <v>180</v>
      </c>
      <c r="M152" s="1" t="s">
        <v>1854</v>
      </c>
      <c r="N152" s="1">
        <v>453</v>
      </c>
      <c r="P152" s="1" t="s">
        <v>1854</v>
      </c>
      <c r="Q152" s="42">
        <v>180</v>
      </c>
      <c r="R152" s="42">
        <v>453</v>
      </c>
      <c r="S152" s="42">
        <v>0.09</v>
      </c>
      <c r="T152" s="10">
        <f>IFERROR(ROUND((Q152/R152),2),"NA")</f>
        <v>0.4</v>
      </c>
      <c r="U152">
        <f t="shared" si="2"/>
        <v>16.2</v>
      </c>
    </row>
    <row r="153" spans="1:21" x14ac:dyDescent="0.2">
      <c r="A153" s="9" t="s">
        <v>2439</v>
      </c>
      <c r="B153">
        <v>400</v>
      </c>
      <c r="G153" s="9" t="s">
        <v>2801</v>
      </c>
      <c r="H153">
        <v>0</v>
      </c>
      <c r="M153" s="1" t="s">
        <v>2801</v>
      </c>
      <c r="N153" s="1">
        <v>15</v>
      </c>
      <c r="P153" s="1" t="s">
        <v>2801</v>
      </c>
      <c r="Q153" s="42">
        <v>0</v>
      </c>
      <c r="R153" s="42">
        <v>15</v>
      </c>
      <c r="S153" s="42">
        <v>0</v>
      </c>
      <c r="T153" s="10">
        <f>IFERROR(ROUND((Q153/R153),2),"NA")</f>
        <v>0</v>
      </c>
      <c r="U153">
        <f t="shared" si="2"/>
        <v>0</v>
      </c>
    </row>
    <row r="154" spans="1:21" x14ac:dyDescent="0.2">
      <c r="A154" s="9" t="s">
        <v>538</v>
      </c>
      <c r="B154">
        <v>7125</v>
      </c>
      <c r="G154" s="9" t="s">
        <v>1238</v>
      </c>
      <c r="H154">
        <v>170</v>
      </c>
      <c r="M154" s="1" t="s">
        <v>1238</v>
      </c>
      <c r="N154" s="1">
        <v>250</v>
      </c>
      <c r="P154" s="1" t="s">
        <v>1238</v>
      </c>
      <c r="Q154" s="42">
        <v>170</v>
      </c>
      <c r="R154" s="42">
        <v>250</v>
      </c>
      <c r="S154" s="42">
        <v>0</v>
      </c>
      <c r="T154" s="10">
        <f>IFERROR(ROUND((Q154/R154),2),"NA")</f>
        <v>0.68</v>
      </c>
      <c r="U154">
        <f t="shared" si="2"/>
        <v>0</v>
      </c>
    </row>
    <row r="155" spans="1:21" x14ac:dyDescent="0.2">
      <c r="A155" s="9" t="s">
        <v>381</v>
      </c>
      <c r="B155">
        <v>745</v>
      </c>
      <c r="G155" s="9" t="s">
        <v>2228</v>
      </c>
      <c r="H155">
        <v>23</v>
      </c>
      <c r="M155" s="1" t="s">
        <v>2228</v>
      </c>
      <c r="N155" s="1">
        <v>27</v>
      </c>
      <c r="P155" s="1" t="s">
        <v>2228</v>
      </c>
      <c r="Q155" s="42">
        <v>23</v>
      </c>
      <c r="R155" s="42">
        <v>27</v>
      </c>
      <c r="S155" s="42">
        <v>0</v>
      </c>
      <c r="T155" s="10">
        <f>IFERROR(ROUND((Q155/R155),2),"NA")</f>
        <v>0.85</v>
      </c>
      <c r="U155">
        <f t="shared" si="2"/>
        <v>0</v>
      </c>
    </row>
    <row r="156" spans="1:21" x14ac:dyDescent="0.2">
      <c r="A156" s="9" t="s">
        <v>779</v>
      </c>
      <c r="B156">
        <v>988</v>
      </c>
      <c r="G156" s="9" t="s">
        <v>121</v>
      </c>
      <c r="H156">
        <v>112</v>
      </c>
      <c r="M156" s="1" t="s">
        <v>121</v>
      </c>
      <c r="N156" s="1">
        <v>0</v>
      </c>
      <c r="P156" s="1" t="s">
        <v>121</v>
      </c>
      <c r="Q156" s="42">
        <v>112</v>
      </c>
      <c r="R156" s="42">
        <v>0</v>
      </c>
      <c r="S156" s="42">
        <v>1</v>
      </c>
      <c r="T156" s="10" t="str">
        <f>IFERROR(ROUND((Q156/R156),2),"NA")</f>
        <v>NA</v>
      </c>
      <c r="U156">
        <f t="shared" si="2"/>
        <v>112</v>
      </c>
    </row>
    <row r="157" spans="1:21" x14ac:dyDescent="0.2">
      <c r="A157" s="9" t="s">
        <v>297</v>
      </c>
      <c r="B157">
        <v>19</v>
      </c>
      <c r="G157" s="9" t="s">
        <v>1812</v>
      </c>
      <c r="H157">
        <v>0</v>
      </c>
      <c r="M157" s="1" t="s">
        <v>1812</v>
      </c>
      <c r="N157" s="1">
        <v>2</v>
      </c>
      <c r="P157" s="1" t="s">
        <v>1812</v>
      </c>
      <c r="Q157" s="42">
        <v>0</v>
      </c>
      <c r="R157" s="42">
        <v>2</v>
      </c>
      <c r="S157" s="42">
        <v>1</v>
      </c>
      <c r="T157" s="10">
        <f>IFERROR(ROUND((Q157/R157),2),"NA")</f>
        <v>0</v>
      </c>
      <c r="U157">
        <f t="shared" si="2"/>
        <v>0</v>
      </c>
    </row>
    <row r="158" spans="1:21" x14ac:dyDescent="0.2">
      <c r="A158" s="9" t="s">
        <v>1230</v>
      </c>
      <c r="B158">
        <v>83</v>
      </c>
      <c r="G158" s="9" t="s">
        <v>828</v>
      </c>
      <c r="H158">
        <v>40</v>
      </c>
      <c r="M158" s="1" t="s">
        <v>828</v>
      </c>
      <c r="N158" s="1">
        <v>700</v>
      </c>
      <c r="P158" s="1" t="s">
        <v>828</v>
      </c>
      <c r="Q158" s="42">
        <v>40</v>
      </c>
      <c r="R158" s="42">
        <v>700</v>
      </c>
      <c r="S158" s="42">
        <v>0.22</v>
      </c>
      <c r="T158" s="10">
        <f>IFERROR(ROUND((Q158/R158),2),"NA")</f>
        <v>0.06</v>
      </c>
      <c r="U158">
        <f t="shared" si="2"/>
        <v>8.8000000000000007</v>
      </c>
    </row>
    <row r="159" spans="1:21" x14ac:dyDescent="0.2">
      <c r="A159" s="9" t="s">
        <v>515</v>
      </c>
      <c r="B159">
        <v>344</v>
      </c>
      <c r="G159" s="9" t="s">
        <v>329</v>
      </c>
      <c r="H159">
        <v>0</v>
      </c>
      <c r="M159" s="1" t="s">
        <v>329</v>
      </c>
      <c r="N159" s="1">
        <v>13</v>
      </c>
      <c r="P159" s="1" t="s">
        <v>329</v>
      </c>
      <c r="Q159" s="42">
        <v>0</v>
      </c>
      <c r="R159" s="42">
        <v>13</v>
      </c>
      <c r="S159" s="42">
        <v>1</v>
      </c>
      <c r="T159" s="10">
        <f>IFERROR(ROUND((Q159/R159),2),"NA")</f>
        <v>0</v>
      </c>
      <c r="U159">
        <f t="shared" si="2"/>
        <v>0</v>
      </c>
    </row>
    <row r="160" spans="1:21" x14ac:dyDescent="0.2">
      <c r="A160" s="9" t="s">
        <v>1919</v>
      </c>
      <c r="B160">
        <v>59</v>
      </c>
      <c r="G160" s="9" t="s">
        <v>1182</v>
      </c>
      <c r="H160">
        <v>176</v>
      </c>
      <c r="M160" s="1" t="s">
        <v>1182</v>
      </c>
      <c r="N160" s="1">
        <v>564</v>
      </c>
      <c r="P160" s="1" t="s">
        <v>1182</v>
      </c>
      <c r="Q160" s="42">
        <v>176</v>
      </c>
      <c r="R160" s="42">
        <v>564</v>
      </c>
      <c r="S160" s="42">
        <v>0.30000000000000004</v>
      </c>
      <c r="T160" s="10">
        <f>IFERROR(ROUND((Q160/R160),2),"NA")</f>
        <v>0.31</v>
      </c>
      <c r="U160">
        <f t="shared" si="2"/>
        <v>52.800000000000011</v>
      </c>
    </row>
    <row r="161" spans="1:21" x14ac:dyDescent="0.2">
      <c r="A161" s="9" t="s">
        <v>97</v>
      </c>
      <c r="B161">
        <v>2610</v>
      </c>
      <c r="G161" s="9" t="s">
        <v>725</v>
      </c>
      <c r="H161">
        <v>27</v>
      </c>
      <c r="M161" s="1" t="s">
        <v>725</v>
      </c>
      <c r="N161" s="1">
        <v>296</v>
      </c>
      <c r="P161" s="1" t="s">
        <v>725</v>
      </c>
      <c r="Q161" s="42">
        <v>27</v>
      </c>
      <c r="R161" s="42">
        <v>296</v>
      </c>
      <c r="S161" s="42">
        <v>0.09</v>
      </c>
      <c r="T161" s="10">
        <f>IFERROR(ROUND((Q161/R161),2),"NA")</f>
        <v>0.09</v>
      </c>
      <c r="U161">
        <f t="shared" si="2"/>
        <v>2.4299999999999997</v>
      </c>
    </row>
    <row r="162" spans="1:21" x14ac:dyDescent="0.2">
      <c r="A162" s="9" t="s">
        <v>1475</v>
      </c>
      <c r="B162">
        <v>0</v>
      </c>
      <c r="G162" s="9" t="s">
        <v>939</v>
      </c>
      <c r="H162">
        <v>30</v>
      </c>
      <c r="M162" s="1" t="s">
        <v>939</v>
      </c>
      <c r="N162" s="1">
        <v>47</v>
      </c>
      <c r="P162" s="1" t="s">
        <v>939</v>
      </c>
      <c r="Q162" s="42">
        <v>30</v>
      </c>
      <c r="R162" s="42">
        <v>47</v>
      </c>
      <c r="S162" s="42">
        <v>0</v>
      </c>
      <c r="T162" s="10">
        <f>IFERROR(ROUND((Q162/R162),2),"NA")</f>
        <v>0.64</v>
      </c>
      <c r="U162">
        <f t="shared" si="2"/>
        <v>0</v>
      </c>
    </row>
    <row r="163" spans="1:21" x14ac:dyDescent="0.2">
      <c r="A163" s="9" t="s">
        <v>1240</v>
      </c>
      <c r="B163">
        <v>0</v>
      </c>
      <c r="G163" s="9" t="s">
        <v>2841</v>
      </c>
      <c r="H163">
        <v>0</v>
      </c>
      <c r="M163" s="1" t="s">
        <v>2841</v>
      </c>
      <c r="N163" s="1">
        <v>0</v>
      </c>
      <c r="P163" s="1" t="s">
        <v>2841</v>
      </c>
      <c r="Q163" s="42">
        <v>0</v>
      </c>
      <c r="R163" s="42">
        <v>0</v>
      </c>
      <c r="S163" s="42">
        <v>0.5</v>
      </c>
      <c r="T163" s="10" t="str">
        <f>IFERROR(ROUND((Q163/R163),2),"NA")</f>
        <v>NA</v>
      </c>
      <c r="U163">
        <f t="shared" si="2"/>
        <v>0</v>
      </c>
    </row>
    <row r="164" spans="1:21" x14ac:dyDescent="0.2">
      <c r="A164" s="9" t="s">
        <v>2862</v>
      </c>
      <c r="B164">
        <v>0</v>
      </c>
      <c r="G164" s="9" t="s">
        <v>774</v>
      </c>
      <c r="H164">
        <v>150</v>
      </c>
      <c r="M164" s="1" t="s">
        <v>774</v>
      </c>
      <c r="N164" s="1">
        <v>220</v>
      </c>
      <c r="P164" s="1" t="s">
        <v>774</v>
      </c>
      <c r="Q164" s="42">
        <v>150</v>
      </c>
      <c r="R164" s="42">
        <v>220</v>
      </c>
      <c r="S164" s="42">
        <v>0.3</v>
      </c>
      <c r="T164" s="10">
        <f>IFERROR(ROUND((Q164/R164),2),"NA")</f>
        <v>0.68</v>
      </c>
      <c r="U164">
        <f t="shared" si="2"/>
        <v>45</v>
      </c>
    </row>
    <row r="165" spans="1:21" x14ac:dyDescent="0.2">
      <c r="A165" s="9" t="s">
        <v>25</v>
      </c>
      <c r="B165">
        <v>35829</v>
      </c>
      <c r="G165" s="9" t="s">
        <v>2590</v>
      </c>
      <c r="H165">
        <v>15</v>
      </c>
      <c r="M165" s="1" t="s">
        <v>2590</v>
      </c>
      <c r="N165" s="1">
        <v>32</v>
      </c>
      <c r="P165" s="1" t="s">
        <v>2590</v>
      </c>
      <c r="Q165" s="42">
        <v>15</v>
      </c>
      <c r="R165" s="42">
        <v>32</v>
      </c>
      <c r="S165" s="42">
        <v>0</v>
      </c>
      <c r="T165" s="10">
        <f>IFERROR(ROUND((Q165/R165),2),"NA")</f>
        <v>0.47</v>
      </c>
      <c r="U165">
        <f t="shared" si="2"/>
        <v>0</v>
      </c>
    </row>
    <row r="166" spans="1:21" x14ac:dyDescent="0.2">
      <c r="A166" s="9" t="s">
        <v>481</v>
      </c>
      <c r="B166">
        <v>1670</v>
      </c>
      <c r="G166" s="9" t="s">
        <v>1295</v>
      </c>
      <c r="H166">
        <v>500</v>
      </c>
      <c r="M166" s="1" t="s">
        <v>1295</v>
      </c>
      <c r="N166" s="1">
        <v>210</v>
      </c>
      <c r="P166" s="1" t="s">
        <v>1295</v>
      </c>
      <c r="Q166" s="42">
        <v>500</v>
      </c>
      <c r="R166" s="42">
        <v>210</v>
      </c>
      <c r="S166" s="42">
        <v>0.05</v>
      </c>
      <c r="T166" s="10">
        <f>IFERROR(ROUND((Q166/R166),2),"NA")</f>
        <v>2.38</v>
      </c>
      <c r="U166">
        <f t="shared" si="2"/>
        <v>25</v>
      </c>
    </row>
    <row r="167" spans="1:21" x14ac:dyDescent="0.2">
      <c r="A167" s="9" t="s">
        <v>1936</v>
      </c>
      <c r="B167">
        <v>575</v>
      </c>
      <c r="G167" s="9" t="s">
        <v>85</v>
      </c>
      <c r="H167">
        <v>100</v>
      </c>
      <c r="M167" s="1" t="s">
        <v>85</v>
      </c>
      <c r="N167" s="1">
        <v>428</v>
      </c>
      <c r="P167" s="1" t="s">
        <v>85</v>
      </c>
      <c r="Q167" s="42">
        <v>100</v>
      </c>
      <c r="R167" s="42">
        <v>428</v>
      </c>
      <c r="S167" s="42">
        <v>0</v>
      </c>
      <c r="T167" s="10">
        <f>IFERROR(ROUND((Q167/R167),2),"NA")</f>
        <v>0.23</v>
      </c>
      <c r="U167">
        <f t="shared" si="2"/>
        <v>0</v>
      </c>
    </row>
    <row r="168" spans="1:21" x14ac:dyDescent="0.2">
      <c r="A168" s="9" t="s">
        <v>1084</v>
      </c>
      <c r="B168">
        <v>0</v>
      </c>
      <c r="G168" s="9" t="s">
        <v>1970</v>
      </c>
      <c r="H168">
        <v>32</v>
      </c>
      <c r="M168" s="1" t="s">
        <v>1970</v>
      </c>
      <c r="N168" s="1">
        <v>177</v>
      </c>
      <c r="P168" s="1" t="s">
        <v>1970</v>
      </c>
      <c r="Q168" s="42">
        <v>32</v>
      </c>
      <c r="R168" s="42">
        <v>177</v>
      </c>
      <c r="S168" s="42">
        <v>0.3</v>
      </c>
      <c r="T168" s="10">
        <f>IFERROR(ROUND((Q168/R168),2),"NA")</f>
        <v>0.18</v>
      </c>
      <c r="U168">
        <f t="shared" si="2"/>
        <v>9.6</v>
      </c>
    </row>
    <row r="169" spans="1:21" x14ac:dyDescent="0.2">
      <c r="A169" s="9" t="s">
        <v>474</v>
      </c>
      <c r="B169">
        <v>3000</v>
      </c>
      <c r="G169" s="9" t="s">
        <v>2003</v>
      </c>
      <c r="H169">
        <v>0</v>
      </c>
      <c r="M169" s="1" t="s">
        <v>2003</v>
      </c>
      <c r="N169" s="1">
        <v>645</v>
      </c>
      <c r="P169" s="1" t="s">
        <v>2003</v>
      </c>
      <c r="Q169" s="42">
        <v>0</v>
      </c>
      <c r="R169" s="42">
        <v>645</v>
      </c>
      <c r="S169" s="42">
        <v>0</v>
      </c>
      <c r="T169" s="10">
        <f>IFERROR(ROUND((Q169/R169),2),"NA")</f>
        <v>0</v>
      </c>
      <c r="U169">
        <f t="shared" si="2"/>
        <v>0</v>
      </c>
    </row>
    <row r="170" spans="1:21" x14ac:dyDescent="0.2">
      <c r="A170" s="9" t="s">
        <v>562</v>
      </c>
      <c r="B170">
        <v>0</v>
      </c>
      <c r="G170" s="9" t="s">
        <v>2768</v>
      </c>
      <c r="H170">
        <v>6</v>
      </c>
      <c r="M170" s="1" t="s">
        <v>2768</v>
      </c>
      <c r="N170" s="1">
        <v>1</v>
      </c>
      <c r="P170" s="1" t="s">
        <v>2768</v>
      </c>
      <c r="Q170" s="42">
        <v>6</v>
      </c>
      <c r="R170" s="42">
        <v>1</v>
      </c>
      <c r="S170" s="42">
        <v>1</v>
      </c>
      <c r="T170" s="10">
        <f>IFERROR(ROUND((Q170/R170),2),"NA")</f>
        <v>6</v>
      </c>
      <c r="U170">
        <f t="shared" si="2"/>
        <v>6</v>
      </c>
    </row>
    <row r="171" spans="1:21" x14ac:dyDescent="0.2">
      <c r="A171" s="9" t="s">
        <v>111</v>
      </c>
      <c r="B171">
        <v>164</v>
      </c>
      <c r="G171" s="9" t="s">
        <v>1662</v>
      </c>
      <c r="H171">
        <v>0</v>
      </c>
      <c r="M171" s="1" t="s">
        <v>1662</v>
      </c>
      <c r="N171" s="1">
        <v>863</v>
      </c>
      <c r="P171" s="1" t="s">
        <v>1662</v>
      </c>
      <c r="Q171" s="42">
        <v>0</v>
      </c>
      <c r="R171" s="42">
        <v>863</v>
      </c>
      <c r="S171" s="42">
        <v>0.15</v>
      </c>
      <c r="T171" s="10">
        <f>IFERROR(ROUND((Q171/R171),2),"NA")</f>
        <v>0</v>
      </c>
      <c r="U171">
        <f t="shared" si="2"/>
        <v>0</v>
      </c>
    </row>
    <row r="172" spans="1:21" x14ac:dyDescent="0.2">
      <c r="A172" s="9" t="s">
        <v>10</v>
      </c>
      <c r="B172">
        <v>425</v>
      </c>
      <c r="G172" s="9" t="s">
        <v>1461</v>
      </c>
      <c r="H172">
        <v>19</v>
      </c>
      <c r="M172" s="1" t="s">
        <v>1461</v>
      </c>
      <c r="N172" s="1">
        <v>80</v>
      </c>
      <c r="P172" s="1" t="s">
        <v>1461</v>
      </c>
      <c r="Q172" s="42">
        <v>19</v>
      </c>
      <c r="R172" s="42">
        <v>80</v>
      </c>
      <c r="S172" s="42">
        <v>0.09</v>
      </c>
      <c r="T172" s="10">
        <f>IFERROR(ROUND((Q172/R172),2),"NA")</f>
        <v>0.24</v>
      </c>
      <c r="U172">
        <f t="shared" si="2"/>
        <v>1.71</v>
      </c>
    </row>
    <row r="173" spans="1:21" x14ac:dyDescent="0.2">
      <c r="A173" s="9" t="s">
        <v>105</v>
      </c>
      <c r="B173">
        <v>3450</v>
      </c>
      <c r="G173" s="9" t="s">
        <v>280</v>
      </c>
      <c r="H173">
        <v>0</v>
      </c>
      <c r="M173" s="1" t="s">
        <v>280</v>
      </c>
      <c r="N173" s="1">
        <v>0</v>
      </c>
      <c r="P173" s="1" t="s">
        <v>280</v>
      </c>
      <c r="Q173" s="42">
        <v>0</v>
      </c>
      <c r="R173" s="42">
        <v>0</v>
      </c>
      <c r="S173" s="42">
        <v>0</v>
      </c>
      <c r="T173" s="10" t="str">
        <f>IFERROR(ROUND((Q173/R173),2),"NA")</f>
        <v>NA</v>
      </c>
      <c r="U173">
        <f t="shared" si="2"/>
        <v>0</v>
      </c>
    </row>
    <row r="174" spans="1:21" x14ac:dyDescent="0.2">
      <c r="A174" s="9" t="s">
        <v>1547</v>
      </c>
      <c r="B174">
        <v>450</v>
      </c>
      <c r="G174" s="9" t="s">
        <v>429</v>
      </c>
      <c r="H174">
        <v>100</v>
      </c>
      <c r="M174" s="1" t="s">
        <v>429</v>
      </c>
      <c r="N174" s="1">
        <v>14</v>
      </c>
      <c r="P174" s="1" t="s">
        <v>429</v>
      </c>
      <c r="Q174" s="42">
        <v>100</v>
      </c>
      <c r="R174" s="42">
        <v>14</v>
      </c>
      <c r="S174" s="42">
        <v>0.05</v>
      </c>
      <c r="T174" s="10">
        <f>IFERROR(ROUND((Q174/R174),2),"NA")</f>
        <v>7.14</v>
      </c>
      <c r="U174">
        <f t="shared" si="2"/>
        <v>5</v>
      </c>
    </row>
    <row r="175" spans="1:21" x14ac:dyDescent="0.2">
      <c r="A175" s="9" t="s">
        <v>162</v>
      </c>
      <c r="B175">
        <v>1761</v>
      </c>
      <c r="G175" s="9" t="s">
        <v>901</v>
      </c>
      <c r="H175">
        <v>160</v>
      </c>
      <c r="M175" s="1" t="s">
        <v>901</v>
      </c>
      <c r="N175" s="1">
        <v>182</v>
      </c>
      <c r="P175" s="1" t="s">
        <v>901</v>
      </c>
      <c r="Q175" s="42">
        <v>160</v>
      </c>
      <c r="R175" s="42">
        <v>182</v>
      </c>
      <c r="S175" s="42">
        <v>0.06</v>
      </c>
      <c r="T175" s="10">
        <f>IFERROR(ROUND((Q175/R175),2),"NA")</f>
        <v>0.88</v>
      </c>
      <c r="U175">
        <f t="shared" si="2"/>
        <v>9.6</v>
      </c>
    </row>
    <row r="176" spans="1:21" x14ac:dyDescent="0.2">
      <c r="A176" s="9" t="s">
        <v>1598</v>
      </c>
      <c r="B176">
        <v>0</v>
      </c>
      <c r="G176" s="9" t="s">
        <v>838</v>
      </c>
      <c r="H176">
        <v>90</v>
      </c>
      <c r="M176" s="1" t="s">
        <v>838</v>
      </c>
      <c r="N176" s="1">
        <v>548</v>
      </c>
      <c r="P176" s="1" t="s">
        <v>838</v>
      </c>
      <c r="Q176" s="42">
        <v>90</v>
      </c>
      <c r="R176" s="42">
        <v>548</v>
      </c>
      <c r="S176" s="42">
        <v>0.11499999999999999</v>
      </c>
      <c r="T176" s="10">
        <f>IFERROR(ROUND((Q176/R176),2),"NA")</f>
        <v>0.16</v>
      </c>
      <c r="U176">
        <f t="shared" si="2"/>
        <v>10.35</v>
      </c>
    </row>
    <row r="177" spans="1:21" x14ac:dyDescent="0.2">
      <c r="A177" s="9" t="s">
        <v>80</v>
      </c>
      <c r="B177">
        <v>3506</v>
      </c>
      <c r="G177" s="9" t="s">
        <v>2321</v>
      </c>
      <c r="H177">
        <v>70</v>
      </c>
      <c r="M177" s="1" t="s">
        <v>2321</v>
      </c>
      <c r="N177" s="1">
        <v>500</v>
      </c>
      <c r="P177" s="1" t="s">
        <v>2321</v>
      </c>
      <c r="Q177" s="42">
        <v>70</v>
      </c>
      <c r="R177" s="42">
        <v>500</v>
      </c>
      <c r="S177" s="42">
        <v>0.09</v>
      </c>
      <c r="T177" s="10">
        <f>IFERROR(ROUND((Q177/R177),2),"NA")</f>
        <v>0.14000000000000001</v>
      </c>
      <c r="U177">
        <f t="shared" si="2"/>
        <v>6.3</v>
      </c>
    </row>
    <row r="178" spans="1:21" x14ac:dyDescent="0.2">
      <c r="A178" s="9" t="s">
        <v>250</v>
      </c>
      <c r="B178">
        <v>5681</v>
      </c>
      <c r="G178" s="9" t="s">
        <v>2511</v>
      </c>
      <c r="H178">
        <v>0</v>
      </c>
      <c r="M178" s="1" t="s">
        <v>2511</v>
      </c>
      <c r="N178" s="1">
        <v>1168</v>
      </c>
      <c r="P178" s="1" t="s">
        <v>2511</v>
      </c>
      <c r="Q178" s="42">
        <v>0</v>
      </c>
      <c r="R178" s="42">
        <v>1168</v>
      </c>
      <c r="S178" s="42">
        <v>1</v>
      </c>
      <c r="T178" s="10">
        <f>IFERROR(ROUND((Q178/R178),2),"NA")</f>
        <v>0</v>
      </c>
      <c r="U178">
        <f t="shared" si="2"/>
        <v>0</v>
      </c>
    </row>
    <row r="179" spans="1:21" x14ac:dyDescent="0.2">
      <c r="A179" s="9" t="s">
        <v>92</v>
      </c>
      <c r="B179">
        <v>1297</v>
      </c>
      <c r="G179" s="9" t="s">
        <v>382</v>
      </c>
      <c r="H179">
        <v>0</v>
      </c>
      <c r="M179" s="1" t="s">
        <v>382</v>
      </c>
      <c r="N179" s="1">
        <v>3700</v>
      </c>
      <c r="P179" s="1" t="s">
        <v>382</v>
      </c>
      <c r="Q179" s="42">
        <v>0</v>
      </c>
      <c r="R179" s="42">
        <v>3700</v>
      </c>
      <c r="S179" s="42">
        <v>0.03</v>
      </c>
      <c r="T179" s="10">
        <f>IFERROR(ROUND((Q179/R179),2),"NA")</f>
        <v>0</v>
      </c>
      <c r="U179">
        <f t="shared" si="2"/>
        <v>0</v>
      </c>
    </row>
    <row r="180" spans="1:21" x14ac:dyDescent="0.2">
      <c r="A180" s="9" t="s">
        <v>43</v>
      </c>
      <c r="B180">
        <v>2832</v>
      </c>
      <c r="G180" s="9" t="s">
        <v>357</v>
      </c>
      <c r="H180">
        <v>111</v>
      </c>
      <c r="M180" s="1" t="s">
        <v>357</v>
      </c>
      <c r="N180" s="1">
        <v>523</v>
      </c>
      <c r="P180" s="1" t="s">
        <v>357</v>
      </c>
      <c r="Q180" s="42">
        <v>111</v>
      </c>
      <c r="R180" s="42">
        <v>523</v>
      </c>
      <c r="S180" s="42">
        <v>0.2</v>
      </c>
      <c r="T180" s="10">
        <f>IFERROR(ROUND((Q180/R180),2),"NA")</f>
        <v>0.21</v>
      </c>
      <c r="U180">
        <f t="shared" si="2"/>
        <v>22.200000000000003</v>
      </c>
    </row>
    <row r="181" spans="1:21" x14ac:dyDescent="0.2">
      <c r="A181" s="9" t="s">
        <v>2114</v>
      </c>
      <c r="B181">
        <v>50</v>
      </c>
      <c r="G181" s="9" t="s">
        <v>1710</v>
      </c>
      <c r="H181">
        <v>0</v>
      </c>
      <c r="M181" s="1" t="s">
        <v>1710</v>
      </c>
      <c r="N181" s="1">
        <v>97</v>
      </c>
      <c r="P181" s="1" t="s">
        <v>1710</v>
      </c>
      <c r="Q181" s="42">
        <v>0</v>
      </c>
      <c r="R181" s="42">
        <v>97</v>
      </c>
      <c r="S181" s="42">
        <v>0</v>
      </c>
      <c r="T181" s="10">
        <f>IFERROR(ROUND((Q181/R181),2),"NA")</f>
        <v>0</v>
      </c>
      <c r="U181">
        <f t="shared" si="2"/>
        <v>0</v>
      </c>
    </row>
    <row r="182" spans="1:21" x14ac:dyDescent="0.2">
      <c r="A182" s="9" t="s">
        <v>141</v>
      </c>
      <c r="B182">
        <v>100</v>
      </c>
      <c r="G182" s="9" t="s">
        <v>1432</v>
      </c>
      <c r="H182">
        <v>250</v>
      </c>
      <c r="M182" s="1" t="s">
        <v>1432</v>
      </c>
      <c r="N182" s="1">
        <v>0</v>
      </c>
      <c r="P182" s="1" t="s">
        <v>1432</v>
      </c>
      <c r="Q182" s="42">
        <v>250</v>
      </c>
      <c r="R182" s="42">
        <v>0</v>
      </c>
      <c r="S182" s="42">
        <v>0.02</v>
      </c>
      <c r="T182" s="10" t="str">
        <f>IFERROR(ROUND((Q182/R182),2),"NA")</f>
        <v>NA</v>
      </c>
      <c r="U182">
        <f t="shared" si="2"/>
        <v>5</v>
      </c>
    </row>
    <row r="183" spans="1:21" x14ac:dyDescent="0.2">
      <c r="A183" s="9" t="s">
        <v>1561</v>
      </c>
      <c r="B183">
        <v>0</v>
      </c>
      <c r="G183" s="9" t="s">
        <v>1114</v>
      </c>
      <c r="H183">
        <v>30</v>
      </c>
      <c r="M183" s="1" t="s">
        <v>1114</v>
      </c>
      <c r="N183" s="1">
        <v>410</v>
      </c>
      <c r="P183" s="1" t="s">
        <v>1114</v>
      </c>
      <c r="Q183" s="42">
        <v>30</v>
      </c>
      <c r="R183" s="42">
        <v>410</v>
      </c>
      <c r="S183" s="42">
        <v>0.33</v>
      </c>
      <c r="T183" s="10">
        <f>IFERROR(ROUND((Q183/R183),2),"NA")</f>
        <v>7.0000000000000007E-2</v>
      </c>
      <c r="U183">
        <f t="shared" si="2"/>
        <v>9.9</v>
      </c>
    </row>
    <row r="184" spans="1:21" x14ac:dyDescent="0.2">
      <c r="A184" s="9" t="s">
        <v>201</v>
      </c>
      <c r="B184">
        <v>30</v>
      </c>
      <c r="G184" s="9" t="s">
        <v>2689</v>
      </c>
      <c r="H184">
        <v>0</v>
      </c>
      <c r="M184" s="1" t="s">
        <v>2689</v>
      </c>
      <c r="N184" s="1">
        <v>24</v>
      </c>
      <c r="P184" s="1" t="s">
        <v>2689</v>
      </c>
      <c r="Q184" s="42">
        <v>0</v>
      </c>
      <c r="R184" s="42">
        <v>24</v>
      </c>
      <c r="S184" s="42">
        <v>1</v>
      </c>
      <c r="T184" s="10">
        <f>IFERROR(ROUND((Q184/R184),2),"NA")</f>
        <v>0</v>
      </c>
      <c r="U184">
        <f t="shared" si="2"/>
        <v>0</v>
      </c>
    </row>
    <row r="185" spans="1:21" x14ac:dyDescent="0.2">
      <c r="A185" s="9" t="s">
        <v>2809</v>
      </c>
      <c r="B185">
        <v>0</v>
      </c>
      <c r="G185" s="9" t="s">
        <v>2705</v>
      </c>
      <c r="H185">
        <v>260</v>
      </c>
      <c r="M185" s="1" t="s">
        <v>2705</v>
      </c>
      <c r="N185" s="1">
        <v>840</v>
      </c>
      <c r="P185" s="1" t="s">
        <v>2705</v>
      </c>
      <c r="Q185" s="42">
        <v>260</v>
      </c>
      <c r="R185" s="42">
        <v>840</v>
      </c>
      <c r="S185" s="42">
        <v>0.1</v>
      </c>
      <c r="T185" s="10">
        <f>IFERROR(ROUND((Q185/R185),2),"NA")</f>
        <v>0.31</v>
      </c>
      <c r="U185">
        <f t="shared" si="2"/>
        <v>26</v>
      </c>
    </row>
    <row r="186" spans="1:21" x14ac:dyDescent="0.2">
      <c r="A186" s="9" t="s">
        <v>952</v>
      </c>
      <c r="B186">
        <v>28</v>
      </c>
      <c r="G186" s="9" t="s">
        <v>2363</v>
      </c>
      <c r="H186">
        <v>0</v>
      </c>
      <c r="M186" s="1" t="s">
        <v>2363</v>
      </c>
      <c r="N186" s="1">
        <v>304</v>
      </c>
      <c r="P186" s="1" t="s">
        <v>2363</v>
      </c>
      <c r="Q186" s="42">
        <v>0</v>
      </c>
      <c r="R186" s="42">
        <v>304</v>
      </c>
      <c r="S186" s="42">
        <v>0.11</v>
      </c>
      <c r="T186" s="10">
        <f>IFERROR(ROUND((Q186/R186),2),"NA")</f>
        <v>0</v>
      </c>
      <c r="U186">
        <f t="shared" si="2"/>
        <v>0</v>
      </c>
    </row>
    <row r="187" spans="1:21" x14ac:dyDescent="0.2">
      <c r="A187" s="9" t="s">
        <v>693</v>
      </c>
      <c r="B187">
        <v>2033</v>
      </c>
      <c r="G187" s="9" t="s">
        <v>593</v>
      </c>
      <c r="H187">
        <v>0</v>
      </c>
      <c r="M187" s="1" t="s">
        <v>593</v>
      </c>
      <c r="N187" s="1">
        <v>640</v>
      </c>
      <c r="P187" s="1" t="s">
        <v>593</v>
      </c>
      <c r="Q187" s="42">
        <v>0</v>
      </c>
      <c r="R187" s="42">
        <v>640</v>
      </c>
      <c r="S187" s="42">
        <v>0.12</v>
      </c>
      <c r="T187" s="10">
        <f>IFERROR(ROUND((Q187/R187),2),"NA")</f>
        <v>0</v>
      </c>
      <c r="U187">
        <f t="shared" si="2"/>
        <v>0</v>
      </c>
    </row>
    <row r="188" spans="1:21" x14ac:dyDescent="0.2">
      <c r="A188" s="9" t="s">
        <v>1033</v>
      </c>
      <c r="B188">
        <v>801</v>
      </c>
      <c r="G188" s="9" t="s">
        <v>1528</v>
      </c>
      <c r="H188">
        <v>0</v>
      </c>
      <c r="M188" s="1" t="s">
        <v>1528</v>
      </c>
      <c r="N188" s="1">
        <v>341</v>
      </c>
      <c r="P188" s="1" t="s">
        <v>1528</v>
      </c>
      <c r="Q188" s="42">
        <v>0</v>
      </c>
      <c r="R188" s="42">
        <v>341</v>
      </c>
      <c r="S188" s="42">
        <v>0</v>
      </c>
      <c r="T188" s="10">
        <f>IFERROR(ROUND((Q188/R188),2),"NA")</f>
        <v>0</v>
      </c>
      <c r="U188">
        <f t="shared" si="2"/>
        <v>0</v>
      </c>
    </row>
    <row r="189" spans="1:21" x14ac:dyDescent="0.2">
      <c r="A189" s="9" t="s">
        <v>2087</v>
      </c>
      <c r="B189">
        <v>0</v>
      </c>
      <c r="G189" s="9" t="s">
        <v>2821</v>
      </c>
      <c r="H189">
        <v>5</v>
      </c>
      <c r="M189" s="1" t="s">
        <v>2821</v>
      </c>
      <c r="N189" s="1">
        <v>0</v>
      </c>
      <c r="P189" s="1" t="s">
        <v>2821</v>
      </c>
      <c r="Q189" s="42">
        <v>5</v>
      </c>
      <c r="R189" s="42">
        <v>0</v>
      </c>
      <c r="S189" s="42">
        <v>0.2</v>
      </c>
      <c r="T189" s="10" t="str">
        <f>IFERROR(ROUND((Q189/R189),2),"NA")</f>
        <v>NA</v>
      </c>
      <c r="U189">
        <f t="shared" si="2"/>
        <v>1</v>
      </c>
    </row>
    <row r="190" spans="1:21" x14ac:dyDescent="0.2">
      <c r="A190" s="9" t="s">
        <v>1162</v>
      </c>
      <c r="B190">
        <v>340</v>
      </c>
      <c r="G190" s="9" t="s">
        <v>987</v>
      </c>
      <c r="H190">
        <v>261</v>
      </c>
      <c r="M190" s="1" t="s">
        <v>987</v>
      </c>
      <c r="N190" s="1">
        <v>2183</v>
      </c>
      <c r="P190" s="1" t="s">
        <v>987</v>
      </c>
      <c r="Q190" s="42">
        <v>261</v>
      </c>
      <c r="R190" s="42">
        <v>2183</v>
      </c>
      <c r="S190" s="42">
        <v>0.22</v>
      </c>
      <c r="T190" s="10">
        <f>IFERROR(ROUND((Q190/R190),2),"NA")</f>
        <v>0.12</v>
      </c>
      <c r="U190">
        <f t="shared" si="2"/>
        <v>57.42</v>
      </c>
    </row>
    <row r="191" spans="1:21" x14ac:dyDescent="0.2">
      <c r="A191" s="9" t="s">
        <v>137</v>
      </c>
      <c r="B191">
        <v>524</v>
      </c>
      <c r="G191" s="9" t="s">
        <v>1890</v>
      </c>
      <c r="H191">
        <v>0</v>
      </c>
      <c r="M191" s="1" t="s">
        <v>1890</v>
      </c>
      <c r="N191" s="1">
        <v>0</v>
      </c>
      <c r="P191" s="1" t="s">
        <v>1890</v>
      </c>
      <c r="Q191" s="42">
        <v>0</v>
      </c>
      <c r="R191" s="42">
        <v>0</v>
      </c>
      <c r="S191" s="42">
        <v>0.25</v>
      </c>
      <c r="T191" s="10" t="str">
        <f>IFERROR(ROUND((Q191/R191),2),"NA")</f>
        <v>NA</v>
      </c>
      <c r="U191">
        <f t="shared" si="2"/>
        <v>0</v>
      </c>
    </row>
    <row r="192" spans="1:21" x14ac:dyDescent="0.2">
      <c r="A192" s="9" t="s">
        <v>338</v>
      </c>
      <c r="B192">
        <v>0</v>
      </c>
      <c r="G192" s="9" t="s">
        <v>1578</v>
      </c>
      <c r="H192">
        <v>0</v>
      </c>
      <c r="M192" s="1" t="s">
        <v>1578</v>
      </c>
      <c r="N192" s="1">
        <v>700</v>
      </c>
      <c r="P192" s="1" t="s">
        <v>1578</v>
      </c>
      <c r="Q192" s="42">
        <v>0</v>
      </c>
      <c r="R192" s="42">
        <v>700</v>
      </c>
      <c r="S192" s="42">
        <v>0</v>
      </c>
      <c r="T192" s="10">
        <f>IFERROR(ROUND((Q192/R192),2),"NA")</f>
        <v>0</v>
      </c>
      <c r="U192">
        <f t="shared" si="2"/>
        <v>0</v>
      </c>
    </row>
    <row r="193" spans="1:21" x14ac:dyDescent="0.2">
      <c r="A193" s="9" t="s">
        <v>147</v>
      </c>
      <c r="B193">
        <v>2508</v>
      </c>
      <c r="G193" s="9" t="s">
        <v>1278</v>
      </c>
      <c r="H193">
        <v>50</v>
      </c>
      <c r="M193" s="1" t="s">
        <v>1278</v>
      </c>
      <c r="N193" s="1">
        <v>106</v>
      </c>
      <c r="P193" s="1" t="s">
        <v>1278</v>
      </c>
      <c r="Q193" s="42">
        <v>50</v>
      </c>
      <c r="R193" s="42">
        <v>106</v>
      </c>
      <c r="S193" s="42">
        <v>0.14000000000000001</v>
      </c>
      <c r="T193" s="10">
        <f>IFERROR(ROUND((Q193/R193),2),"NA")</f>
        <v>0.47</v>
      </c>
      <c r="U193">
        <f t="shared" si="2"/>
        <v>7.0000000000000009</v>
      </c>
    </row>
    <row r="194" spans="1:21" x14ac:dyDescent="0.2">
      <c r="A194" s="9" t="s">
        <v>1236</v>
      </c>
      <c r="B194">
        <v>461</v>
      </c>
      <c r="G194" s="9" t="s">
        <v>2456</v>
      </c>
      <c r="H194">
        <v>500</v>
      </c>
      <c r="M194" s="1" t="s">
        <v>2456</v>
      </c>
      <c r="N194" s="1">
        <v>45</v>
      </c>
      <c r="P194" s="1" t="s">
        <v>2456</v>
      </c>
      <c r="Q194" s="42">
        <v>500</v>
      </c>
      <c r="R194" s="42">
        <v>45</v>
      </c>
      <c r="S194" s="42">
        <v>0.67</v>
      </c>
      <c r="T194" s="10">
        <f>IFERROR(ROUND((Q194/R194),2),"NA")</f>
        <v>11.11</v>
      </c>
      <c r="U194">
        <f t="shared" si="2"/>
        <v>335</v>
      </c>
    </row>
    <row r="195" spans="1:21" x14ac:dyDescent="0.2">
      <c r="A195" s="9" t="s">
        <v>64</v>
      </c>
      <c r="B195">
        <v>6100</v>
      </c>
      <c r="G195" s="9" t="s">
        <v>1203</v>
      </c>
      <c r="H195">
        <v>16</v>
      </c>
      <c r="M195" s="1" t="s">
        <v>1203</v>
      </c>
      <c r="N195" s="1">
        <v>0</v>
      </c>
      <c r="P195" s="1" t="s">
        <v>1203</v>
      </c>
      <c r="Q195" s="42">
        <v>16</v>
      </c>
      <c r="R195" s="42">
        <v>0</v>
      </c>
      <c r="S195" s="42">
        <v>1</v>
      </c>
      <c r="T195" s="10" t="str">
        <f>IFERROR(ROUND((Q195/R195),2),"NA")</f>
        <v>NA</v>
      </c>
      <c r="U195">
        <f t="shared" si="2"/>
        <v>16</v>
      </c>
    </row>
    <row r="196" spans="1:21" x14ac:dyDescent="0.2">
      <c r="A196" s="9" t="s">
        <v>1956</v>
      </c>
      <c r="B196">
        <v>1100</v>
      </c>
      <c r="G196" s="9" t="s">
        <v>832</v>
      </c>
      <c r="H196">
        <v>0</v>
      </c>
      <c r="M196" s="1" t="s">
        <v>832</v>
      </c>
      <c r="N196" s="1">
        <v>176</v>
      </c>
      <c r="P196" s="1" t="s">
        <v>832</v>
      </c>
      <c r="Q196" s="42">
        <v>0</v>
      </c>
      <c r="R196" s="42">
        <v>176</v>
      </c>
      <c r="S196" s="42">
        <v>0</v>
      </c>
      <c r="T196" s="10">
        <f>IFERROR(ROUND((Q196/R196),2),"NA")</f>
        <v>0</v>
      </c>
      <c r="U196">
        <f t="shared" si="2"/>
        <v>0</v>
      </c>
    </row>
    <row r="197" spans="1:21" x14ac:dyDescent="0.2">
      <c r="A197" s="9" t="s">
        <v>802</v>
      </c>
      <c r="B197">
        <v>200</v>
      </c>
      <c r="G197" s="9" t="s">
        <v>298</v>
      </c>
      <c r="H197">
        <v>82</v>
      </c>
      <c r="M197" s="1" t="s">
        <v>298</v>
      </c>
      <c r="N197" s="1">
        <v>543</v>
      </c>
      <c r="P197" s="1" t="s">
        <v>298</v>
      </c>
      <c r="Q197" s="42">
        <v>82</v>
      </c>
      <c r="R197" s="42">
        <v>543</v>
      </c>
      <c r="S197" s="42">
        <v>0.14333333333333334</v>
      </c>
      <c r="T197" s="10">
        <f>IFERROR(ROUND((Q197/R197),2),"NA")</f>
        <v>0.15</v>
      </c>
      <c r="U197">
        <f t="shared" ref="U197:U260" si="3">Q197*S197</f>
        <v>11.753333333333334</v>
      </c>
    </row>
    <row r="198" spans="1:21" x14ac:dyDescent="0.2">
      <c r="A198" s="9" t="s">
        <v>362</v>
      </c>
      <c r="B198">
        <v>211</v>
      </c>
      <c r="G198" s="9" t="s">
        <v>2543</v>
      </c>
      <c r="H198">
        <v>0</v>
      </c>
      <c r="M198" s="1" t="s">
        <v>2543</v>
      </c>
      <c r="N198" s="1">
        <v>30</v>
      </c>
      <c r="P198" s="1" t="s">
        <v>2543</v>
      </c>
      <c r="Q198" s="42">
        <v>0</v>
      </c>
      <c r="R198" s="42">
        <v>30</v>
      </c>
      <c r="S198" s="42">
        <v>1</v>
      </c>
      <c r="T198" s="10">
        <f>IFERROR(ROUND((Q198/R198),2),"NA")</f>
        <v>0</v>
      </c>
      <c r="U198">
        <f t="shared" si="3"/>
        <v>0</v>
      </c>
    </row>
    <row r="199" spans="1:21" x14ac:dyDescent="0.2">
      <c r="A199" s="9" t="s">
        <v>533</v>
      </c>
      <c r="B199">
        <v>221</v>
      </c>
      <c r="G199" s="9" t="s">
        <v>2517</v>
      </c>
      <c r="H199">
        <v>5</v>
      </c>
      <c r="M199" s="1" t="s">
        <v>2517</v>
      </c>
      <c r="N199" s="1">
        <v>3</v>
      </c>
      <c r="P199" s="1" t="s">
        <v>2517</v>
      </c>
      <c r="Q199" s="42">
        <v>5</v>
      </c>
      <c r="R199" s="42">
        <v>3</v>
      </c>
      <c r="S199" s="42">
        <v>0.25</v>
      </c>
      <c r="T199" s="10">
        <f>IFERROR(ROUND((Q199/R199),2),"NA")</f>
        <v>1.67</v>
      </c>
      <c r="U199">
        <f t="shared" si="3"/>
        <v>1.25</v>
      </c>
    </row>
    <row r="200" spans="1:21" x14ac:dyDescent="0.2">
      <c r="A200" s="9" t="s">
        <v>174</v>
      </c>
      <c r="B200">
        <v>525</v>
      </c>
      <c r="G200" s="9" t="s">
        <v>833</v>
      </c>
      <c r="H200">
        <v>0</v>
      </c>
      <c r="M200" s="1" t="s">
        <v>833</v>
      </c>
      <c r="N200" s="1">
        <v>43</v>
      </c>
      <c r="P200" s="1" t="s">
        <v>833</v>
      </c>
      <c r="Q200" s="42">
        <v>0</v>
      </c>
      <c r="R200" s="42">
        <v>43</v>
      </c>
      <c r="S200" s="42">
        <v>0.1</v>
      </c>
      <c r="T200" s="10">
        <f>IFERROR(ROUND((Q200/R200),2),"NA")</f>
        <v>0</v>
      </c>
      <c r="U200">
        <f t="shared" si="3"/>
        <v>0</v>
      </c>
    </row>
    <row r="201" spans="1:21" x14ac:dyDescent="0.2">
      <c r="A201" s="9" t="s">
        <v>661</v>
      </c>
      <c r="B201">
        <v>9813</v>
      </c>
      <c r="G201" s="9" t="s">
        <v>1032</v>
      </c>
      <c r="H201">
        <v>0</v>
      </c>
      <c r="M201" s="1" t="s">
        <v>1032</v>
      </c>
      <c r="N201" s="1">
        <v>19</v>
      </c>
      <c r="P201" s="1" t="s">
        <v>1032</v>
      </c>
      <c r="Q201" s="42">
        <v>0</v>
      </c>
      <c r="R201" s="42">
        <v>19</v>
      </c>
      <c r="S201" s="42">
        <v>0</v>
      </c>
      <c r="T201" s="10">
        <f>IFERROR(ROUND((Q201/R201),2),"NA")</f>
        <v>0</v>
      </c>
      <c r="U201">
        <f t="shared" si="3"/>
        <v>0</v>
      </c>
    </row>
    <row r="202" spans="1:21" x14ac:dyDescent="0.2">
      <c r="A202" s="9" t="s">
        <v>431</v>
      </c>
      <c r="B202">
        <v>107</v>
      </c>
      <c r="G202" s="9" t="s">
        <v>2909</v>
      </c>
      <c r="H202">
        <v>250</v>
      </c>
      <c r="M202" s="1" t="s">
        <v>2909</v>
      </c>
      <c r="N202" s="1">
        <v>88</v>
      </c>
      <c r="P202" s="1" t="s">
        <v>2909</v>
      </c>
      <c r="Q202" s="42">
        <v>250</v>
      </c>
      <c r="R202" s="42">
        <v>88</v>
      </c>
      <c r="S202" s="42">
        <v>0.5</v>
      </c>
      <c r="T202" s="10">
        <f>IFERROR(ROUND((Q202/R202),2),"NA")</f>
        <v>2.84</v>
      </c>
      <c r="U202">
        <f t="shared" si="3"/>
        <v>125</v>
      </c>
    </row>
    <row r="203" spans="1:21" x14ac:dyDescent="0.2">
      <c r="A203" s="9" t="s">
        <v>28</v>
      </c>
      <c r="B203">
        <v>53562</v>
      </c>
      <c r="G203" s="9" t="s">
        <v>2245</v>
      </c>
      <c r="H203">
        <v>100</v>
      </c>
      <c r="M203" s="1" t="s">
        <v>2245</v>
      </c>
      <c r="N203" s="1">
        <v>1100</v>
      </c>
      <c r="P203" s="1" t="s">
        <v>2245</v>
      </c>
      <c r="Q203" s="42">
        <v>100</v>
      </c>
      <c r="R203" s="42">
        <v>1100</v>
      </c>
      <c r="S203" s="42">
        <v>0</v>
      </c>
      <c r="T203" s="10">
        <f>IFERROR(ROUND((Q203/R203),2),"NA")</f>
        <v>0.09</v>
      </c>
      <c r="U203">
        <f t="shared" si="3"/>
        <v>0</v>
      </c>
    </row>
    <row r="204" spans="1:21" x14ac:dyDescent="0.2">
      <c r="A204" s="9" t="s">
        <v>2404</v>
      </c>
      <c r="B204">
        <v>0</v>
      </c>
      <c r="G204" s="9" t="s">
        <v>812</v>
      </c>
      <c r="H204">
        <v>94</v>
      </c>
      <c r="M204" s="1" t="s">
        <v>812</v>
      </c>
      <c r="N204" s="1">
        <v>1200</v>
      </c>
      <c r="P204" s="1" t="s">
        <v>812</v>
      </c>
      <c r="Q204" s="42">
        <v>94</v>
      </c>
      <c r="R204" s="42">
        <v>1200</v>
      </c>
      <c r="S204" s="42">
        <v>0</v>
      </c>
      <c r="T204" s="10">
        <f>IFERROR(ROUND((Q204/R204),2),"NA")</f>
        <v>0.08</v>
      </c>
      <c r="U204">
        <f t="shared" si="3"/>
        <v>0</v>
      </c>
    </row>
    <row r="205" spans="1:21" x14ac:dyDescent="0.2">
      <c r="A205" s="9" t="s">
        <v>997</v>
      </c>
      <c r="B205">
        <v>395</v>
      </c>
      <c r="G205" s="9" t="s">
        <v>1680</v>
      </c>
      <c r="H205">
        <v>93</v>
      </c>
      <c r="M205" s="1" t="s">
        <v>1680</v>
      </c>
      <c r="N205" s="1">
        <v>1000</v>
      </c>
      <c r="P205" s="1" t="s">
        <v>1680</v>
      </c>
      <c r="Q205" s="42">
        <v>93</v>
      </c>
      <c r="R205" s="42">
        <v>1000</v>
      </c>
      <c r="S205" s="42">
        <v>0.13</v>
      </c>
      <c r="T205" s="10">
        <f>IFERROR(ROUND((Q205/R205),2),"NA")</f>
        <v>0.09</v>
      </c>
      <c r="U205">
        <f t="shared" si="3"/>
        <v>12.09</v>
      </c>
    </row>
    <row r="206" spans="1:21" x14ac:dyDescent="0.2">
      <c r="A206" s="9" t="s">
        <v>34</v>
      </c>
      <c r="B206">
        <v>184151</v>
      </c>
      <c r="G206" s="9" t="s">
        <v>114</v>
      </c>
      <c r="H206">
        <v>28</v>
      </c>
      <c r="M206" s="1" t="s">
        <v>114</v>
      </c>
      <c r="N206" s="1">
        <v>1864</v>
      </c>
      <c r="P206" s="1" t="s">
        <v>114</v>
      </c>
      <c r="Q206" s="42">
        <v>28</v>
      </c>
      <c r="R206" s="42">
        <v>1864</v>
      </c>
      <c r="S206" s="42">
        <v>0.15</v>
      </c>
      <c r="T206" s="10">
        <f>IFERROR(ROUND((Q206/R206),2),"NA")</f>
        <v>0.02</v>
      </c>
      <c r="U206">
        <f t="shared" si="3"/>
        <v>4.2</v>
      </c>
    </row>
    <row r="207" spans="1:21" x14ac:dyDescent="0.2">
      <c r="A207" s="9" t="s">
        <v>493</v>
      </c>
      <c r="B207">
        <v>3200</v>
      </c>
      <c r="G207" s="9" t="s">
        <v>1560</v>
      </c>
      <c r="H207">
        <v>0</v>
      </c>
      <c r="M207" s="1" t="s">
        <v>1560</v>
      </c>
      <c r="N207" s="1">
        <v>946</v>
      </c>
      <c r="P207" s="1" t="s">
        <v>1560</v>
      </c>
      <c r="Q207" s="42">
        <v>0</v>
      </c>
      <c r="R207" s="42">
        <v>946</v>
      </c>
      <c r="S207" s="42">
        <v>0.15</v>
      </c>
      <c r="T207" s="10">
        <f>IFERROR(ROUND((Q207/R207),2),"NA")</f>
        <v>0</v>
      </c>
      <c r="U207">
        <f t="shared" si="3"/>
        <v>0</v>
      </c>
    </row>
    <row r="208" spans="1:21" x14ac:dyDescent="0.2">
      <c r="A208" s="9" t="s">
        <v>628</v>
      </c>
      <c r="B208">
        <v>2715</v>
      </c>
      <c r="G208" s="9" t="s">
        <v>1706</v>
      </c>
      <c r="H208">
        <v>65</v>
      </c>
      <c r="M208" s="1" t="s">
        <v>1706</v>
      </c>
      <c r="N208" s="1">
        <v>102</v>
      </c>
      <c r="P208" s="1" t="s">
        <v>1706</v>
      </c>
      <c r="Q208" s="42">
        <v>65</v>
      </c>
      <c r="R208" s="42">
        <v>102</v>
      </c>
      <c r="S208" s="42">
        <v>0</v>
      </c>
      <c r="T208" s="10">
        <f>IFERROR(ROUND((Q208/R208),2),"NA")</f>
        <v>0.64</v>
      </c>
      <c r="U208">
        <f t="shared" si="3"/>
        <v>0</v>
      </c>
    </row>
    <row r="209" spans="1:21" x14ac:dyDescent="0.2">
      <c r="A209" s="9" t="s">
        <v>217</v>
      </c>
      <c r="B209">
        <v>7419</v>
      </c>
      <c r="G209" s="9" t="s">
        <v>2278</v>
      </c>
      <c r="H209">
        <v>52</v>
      </c>
      <c r="M209" s="1" t="s">
        <v>2278</v>
      </c>
      <c r="N209" s="1">
        <v>0</v>
      </c>
      <c r="P209" s="1" t="s">
        <v>2278</v>
      </c>
      <c r="Q209" s="42">
        <v>52</v>
      </c>
      <c r="R209" s="42">
        <v>0</v>
      </c>
      <c r="S209" s="42">
        <v>0</v>
      </c>
      <c r="T209" s="10" t="str">
        <f>IFERROR(ROUND((Q209/R209),2),"NA")</f>
        <v>NA</v>
      </c>
      <c r="U209">
        <f t="shared" si="3"/>
        <v>0</v>
      </c>
    </row>
    <row r="210" spans="1:21" x14ac:dyDescent="0.2">
      <c r="A210" s="9" t="s">
        <v>2598</v>
      </c>
      <c r="B210">
        <v>120</v>
      </c>
      <c r="G210" s="9" t="s">
        <v>648</v>
      </c>
      <c r="H210">
        <v>58</v>
      </c>
      <c r="M210" s="1" t="s">
        <v>648</v>
      </c>
      <c r="N210" s="1">
        <v>0</v>
      </c>
      <c r="P210" s="1" t="s">
        <v>648</v>
      </c>
      <c r="Q210" s="42">
        <v>58</v>
      </c>
      <c r="R210" s="42">
        <v>0</v>
      </c>
      <c r="S210" s="42">
        <v>0.5</v>
      </c>
      <c r="T210" s="10" t="str">
        <f>IFERROR(ROUND((Q210/R210),2),"NA")</f>
        <v>NA</v>
      </c>
      <c r="U210">
        <f t="shared" si="3"/>
        <v>29</v>
      </c>
    </row>
    <row r="211" spans="1:21" x14ac:dyDescent="0.2">
      <c r="A211" s="9" t="s">
        <v>2323</v>
      </c>
      <c r="B211">
        <v>243</v>
      </c>
      <c r="G211" s="9" t="s">
        <v>2313</v>
      </c>
      <c r="H211">
        <v>70</v>
      </c>
      <c r="M211" s="1" t="s">
        <v>2313</v>
      </c>
      <c r="N211" s="1">
        <v>13</v>
      </c>
      <c r="P211" s="1" t="s">
        <v>2313</v>
      </c>
      <c r="Q211" s="42">
        <v>70</v>
      </c>
      <c r="R211" s="42">
        <v>13</v>
      </c>
      <c r="S211" s="42">
        <v>0.3</v>
      </c>
      <c r="T211" s="10">
        <f>IFERROR(ROUND((Q211/R211),2),"NA")</f>
        <v>5.38</v>
      </c>
      <c r="U211">
        <f t="shared" si="3"/>
        <v>21</v>
      </c>
    </row>
    <row r="212" spans="1:21" x14ac:dyDescent="0.2">
      <c r="A212" s="9" t="s">
        <v>605</v>
      </c>
      <c r="B212">
        <v>0</v>
      </c>
      <c r="G212" s="9" t="s">
        <v>1412</v>
      </c>
      <c r="H212">
        <v>0</v>
      </c>
      <c r="M212" s="1" t="s">
        <v>1412</v>
      </c>
      <c r="N212" s="1">
        <v>63</v>
      </c>
      <c r="P212" s="1" t="s">
        <v>1412</v>
      </c>
      <c r="Q212" s="42">
        <v>0</v>
      </c>
      <c r="R212" s="42">
        <v>63</v>
      </c>
      <c r="S212" s="42">
        <v>0.75</v>
      </c>
      <c r="T212" s="10">
        <f>IFERROR(ROUND((Q212/R212),2),"NA")</f>
        <v>0</v>
      </c>
      <c r="U212">
        <f t="shared" si="3"/>
        <v>0</v>
      </c>
    </row>
    <row r="213" spans="1:21" x14ac:dyDescent="0.2">
      <c r="A213" s="9" t="s">
        <v>560</v>
      </c>
      <c r="B213">
        <v>2849</v>
      </c>
      <c r="G213" s="9" t="s">
        <v>830</v>
      </c>
      <c r="H213">
        <v>30</v>
      </c>
      <c r="M213" s="1" t="s">
        <v>830</v>
      </c>
      <c r="N213" s="1">
        <v>5</v>
      </c>
      <c r="P213" s="1" t="s">
        <v>830</v>
      </c>
      <c r="Q213" s="42">
        <v>30</v>
      </c>
      <c r="R213" s="42">
        <v>5</v>
      </c>
      <c r="S213" s="42">
        <v>0</v>
      </c>
      <c r="T213" s="10">
        <f>IFERROR(ROUND((Q213/R213),2),"NA")</f>
        <v>6</v>
      </c>
      <c r="U213">
        <f t="shared" si="3"/>
        <v>0</v>
      </c>
    </row>
    <row r="214" spans="1:21" x14ac:dyDescent="0.2">
      <c r="A214" s="9" t="s">
        <v>647</v>
      </c>
      <c r="B214">
        <v>1044</v>
      </c>
      <c r="G214" s="9" t="s">
        <v>905</v>
      </c>
      <c r="H214">
        <v>126</v>
      </c>
      <c r="M214" s="1" t="s">
        <v>905</v>
      </c>
      <c r="N214" s="1">
        <v>282</v>
      </c>
      <c r="P214" s="1" t="s">
        <v>905</v>
      </c>
      <c r="Q214" s="42">
        <v>126</v>
      </c>
      <c r="R214" s="42">
        <v>282</v>
      </c>
      <c r="S214" s="42">
        <v>0.1</v>
      </c>
      <c r="T214" s="10">
        <f>IFERROR(ROUND((Q214/R214),2),"NA")</f>
        <v>0.45</v>
      </c>
      <c r="U214">
        <f t="shared" si="3"/>
        <v>12.600000000000001</v>
      </c>
    </row>
    <row r="215" spans="1:21" x14ac:dyDescent="0.2">
      <c r="A215" s="9" t="s">
        <v>287</v>
      </c>
      <c r="B215">
        <v>13692</v>
      </c>
      <c r="G215" s="9" t="s">
        <v>1354</v>
      </c>
      <c r="H215">
        <v>40</v>
      </c>
      <c r="M215" s="1" t="s">
        <v>1354</v>
      </c>
      <c r="N215" s="1">
        <v>52</v>
      </c>
      <c r="P215" s="1" t="s">
        <v>1354</v>
      </c>
      <c r="Q215" s="42">
        <v>40</v>
      </c>
      <c r="R215" s="42">
        <v>52</v>
      </c>
      <c r="S215" s="42">
        <v>0.04</v>
      </c>
      <c r="T215" s="10">
        <f>IFERROR(ROUND((Q215/R215),2),"NA")</f>
        <v>0.77</v>
      </c>
      <c r="U215">
        <f t="shared" si="3"/>
        <v>1.6</v>
      </c>
    </row>
    <row r="216" spans="1:21" x14ac:dyDescent="0.2">
      <c r="A216" s="9" t="s">
        <v>273</v>
      </c>
      <c r="B216">
        <v>2570</v>
      </c>
      <c r="G216" s="9" t="s">
        <v>2296</v>
      </c>
      <c r="H216">
        <v>16</v>
      </c>
      <c r="M216" s="1" t="s">
        <v>2296</v>
      </c>
      <c r="N216" s="1">
        <v>13</v>
      </c>
      <c r="P216" s="1" t="s">
        <v>2296</v>
      </c>
      <c r="Q216" s="42">
        <v>16</v>
      </c>
      <c r="R216" s="42">
        <v>13</v>
      </c>
      <c r="S216" s="42">
        <v>0.25</v>
      </c>
      <c r="T216" s="10">
        <f>IFERROR(ROUND((Q216/R216),2),"NA")</f>
        <v>1.23</v>
      </c>
      <c r="U216">
        <f t="shared" si="3"/>
        <v>4</v>
      </c>
    </row>
    <row r="217" spans="1:21" x14ac:dyDescent="0.2">
      <c r="A217" s="9" t="s">
        <v>416</v>
      </c>
      <c r="B217">
        <v>582</v>
      </c>
      <c r="G217" s="9" t="s">
        <v>2906</v>
      </c>
      <c r="H217">
        <v>0</v>
      </c>
      <c r="M217" s="1" t="s">
        <v>2906</v>
      </c>
      <c r="N217" s="1">
        <v>0</v>
      </c>
      <c r="P217" s="1" t="s">
        <v>2906</v>
      </c>
      <c r="Q217" s="42">
        <v>0</v>
      </c>
      <c r="R217" s="42">
        <v>0</v>
      </c>
      <c r="S217" s="42">
        <v>0</v>
      </c>
      <c r="T217" s="10" t="str">
        <f>IFERROR(ROUND((Q217/R217),2),"NA")</f>
        <v>NA</v>
      </c>
      <c r="U217">
        <f t="shared" si="3"/>
        <v>0</v>
      </c>
    </row>
    <row r="218" spans="1:21" x14ac:dyDescent="0.2">
      <c r="A218" s="9" t="s">
        <v>157</v>
      </c>
      <c r="B218">
        <v>30</v>
      </c>
      <c r="G218" s="9" t="s">
        <v>441</v>
      </c>
      <c r="H218">
        <v>105</v>
      </c>
      <c r="M218" s="1" t="s">
        <v>441</v>
      </c>
      <c r="N218" s="1">
        <v>336</v>
      </c>
      <c r="P218" s="1" t="s">
        <v>441</v>
      </c>
      <c r="Q218" s="42">
        <v>105</v>
      </c>
      <c r="R218" s="42">
        <v>336</v>
      </c>
      <c r="S218" s="42">
        <v>0.08</v>
      </c>
      <c r="T218" s="10">
        <f>IFERROR(ROUND((Q218/R218),2),"NA")</f>
        <v>0.31</v>
      </c>
      <c r="U218">
        <f t="shared" si="3"/>
        <v>8.4</v>
      </c>
    </row>
    <row r="219" spans="1:21" x14ac:dyDescent="0.2">
      <c r="A219" s="9" t="s">
        <v>15</v>
      </c>
      <c r="B219">
        <v>6121</v>
      </c>
      <c r="G219" s="9" t="s">
        <v>567</v>
      </c>
      <c r="H219">
        <v>0</v>
      </c>
      <c r="M219" s="1" t="s">
        <v>567</v>
      </c>
      <c r="N219" s="1">
        <v>446</v>
      </c>
      <c r="P219" s="1" t="s">
        <v>567</v>
      </c>
      <c r="Q219" s="42">
        <v>0</v>
      </c>
      <c r="R219" s="42">
        <v>446</v>
      </c>
      <c r="S219" s="42">
        <v>0.185</v>
      </c>
      <c r="T219" s="10">
        <f>IFERROR(ROUND((Q219/R219),2),"NA")</f>
        <v>0</v>
      </c>
      <c r="U219">
        <f t="shared" si="3"/>
        <v>0</v>
      </c>
    </row>
    <row r="220" spans="1:21" x14ac:dyDescent="0.2">
      <c r="A220" s="9" t="s">
        <v>1990</v>
      </c>
      <c r="B220">
        <v>80</v>
      </c>
      <c r="G220" s="9" t="s">
        <v>1906</v>
      </c>
      <c r="H220">
        <v>0</v>
      </c>
      <c r="M220" s="1" t="s">
        <v>1906</v>
      </c>
      <c r="N220" s="1">
        <v>6</v>
      </c>
      <c r="P220" s="1" t="s">
        <v>1906</v>
      </c>
      <c r="Q220" s="42">
        <v>0</v>
      </c>
      <c r="R220" s="42">
        <v>6</v>
      </c>
      <c r="S220" s="42">
        <v>0</v>
      </c>
      <c r="T220" s="10">
        <f>IFERROR(ROUND((Q220/R220),2),"NA")</f>
        <v>0</v>
      </c>
      <c r="U220">
        <f t="shared" si="3"/>
        <v>0</v>
      </c>
    </row>
    <row r="221" spans="1:21" x14ac:dyDescent="0.2">
      <c r="A221" s="9" t="s">
        <v>70</v>
      </c>
      <c r="B221">
        <v>4285</v>
      </c>
      <c r="G221" s="9" t="s">
        <v>2765</v>
      </c>
      <c r="H221">
        <v>30</v>
      </c>
      <c r="M221" s="1" t="s">
        <v>2765</v>
      </c>
      <c r="N221" s="1">
        <v>14</v>
      </c>
      <c r="P221" s="1" t="s">
        <v>2765</v>
      </c>
      <c r="Q221" s="42">
        <v>30</v>
      </c>
      <c r="R221" s="42">
        <v>14</v>
      </c>
      <c r="S221" s="42">
        <v>0</v>
      </c>
      <c r="T221" s="10">
        <f>IFERROR(ROUND((Q221/R221),2),"NA")</f>
        <v>2.14</v>
      </c>
      <c r="U221">
        <f t="shared" si="3"/>
        <v>0</v>
      </c>
    </row>
    <row r="222" spans="1:21" x14ac:dyDescent="0.2">
      <c r="A222" s="9" t="s">
        <v>335</v>
      </c>
      <c r="B222">
        <v>2677</v>
      </c>
      <c r="G222" s="9" t="s">
        <v>638</v>
      </c>
      <c r="H222">
        <v>0</v>
      </c>
      <c r="M222" s="1" t="s">
        <v>638</v>
      </c>
      <c r="N222" s="1">
        <v>0</v>
      </c>
      <c r="P222" s="1" t="s">
        <v>638</v>
      </c>
      <c r="Q222" s="42">
        <v>0</v>
      </c>
      <c r="R222" s="42">
        <v>0</v>
      </c>
      <c r="S222" s="42">
        <v>1</v>
      </c>
      <c r="T222" s="10" t="str">
        <f>IFERROR(ROUND((Q222/R222),2),"NA")</f>
        <v>NA</v>
      </c>
      <c r="U222">
        <f t="shared" si="3"/>
        <v>0</v>
      </c>
    </row>
    <row r="223" spans="1:21" x14ac:dyDescent="0.2">
      <c r="A223" s="9" t="s">
        <v>2459</v>
      </c>
      <c r="B223">
        <v>64</v>
      </c>
      <c r="G223" s="9" t="s">
        <v>2902</v>
      </c>
      <c r="H223">
        <v>47</v>
      </c>
      <c r="M223" s="1" t="s">
        <v>2902</v>
      </c>
      <c r="N223" s="1">
        <v>49</v>
      </c>
      <c r="P223" s="1" t="s">
        <v>2902</v>
      </c>
      <c r="Q223" s="42">
        <v>47</v>
      </c>
      <c r="R223" s="42">
        <v>49</v>
      </c>
      <c r="S223" s="42">
        <v>0.1</v>
      </c>
      <c r="T223" s="10">
        <f>IFERROR(ROUND((Q223/R223),2),"NA")</f>
        <v>0.96</v>
      </c>
      <c r="U223">
        <f t="shared" si="3"/>
        <v>4.7</v>
      </c>
    </row>
    <row r="224" spans="1:21" x14ac:dyDescent="0.2">
      <c r="A224" s="9" t="s">
        <v>1938</v>
      </c>
      <c r="B224">
        <v>0</v>
      </c>
      <c r="G224" s="9" t="s">
        <v>1152</v>
      </c>
      <c r="H224">
        <v>74</v>
      </c>
      <c r="M224" s="1" t="s">
        <v>1152</v>
      </c>
      <c r="N224" s="1">
        <v>411</v>
      </c>
      <c r="P224" s="1" t="s">
        <v>1152</v>
      </c>
      <c r="Q224" s="42">
        <v>74</v>
      </c>
      <c r="R224" s="42">
        <v>411</v>
      </c>
      <c r="S224" s="42">
        <v>0.09</v>
      </c>
      <c r="T224" s="10">
        <f>IFERROR(ROUND((Q224/R224),2),"NA")</f>
        <v>0.18</v>
      </c>
      <c r="U224">
        <f t="shared" si="3"/>
        <v>6.66</v>
      </c>
    </row>
    <row r="225" spans="1:21" x14ac:dyDescent="0.2">
      <c r="A225" s="9" t="s">
        <v>12</v>
      </c>
      <c r="B225">
        <v>0</v>
      </c>
      <c r="G225" s="9" t="s">
        <v>462</v>
      </c>
      <c r="H225">
        <v>70</v>
      </c>
      <c r="M225" s="1" t="s">
        <v>462</v>
      </c>
      <c r="N225" s="1">
        <v>164</v>
      </c>
      <c r="P225" s="1" t="s">
        <v>462</v>
      </c>
      <c r="Q225" s="42">
        <v>70</v>
      </c>
      <c r="R225" s="42">
        <v>164</v>
      </c>
      <c r="S225" s="42">
        <v>0.17</v>
      </c>
      <c r="T225" s="10">
        <f>IFERROR(ROUND((Q225/R225),2),"NA")</f>
        <v>0.43</v>
      </c>
      <c r="U225">
        <f t="shared" si="3"/>
        <v>11.9</v>
      </c>
    </row>
    <row r="226" spans="1:21" x14ac:dyDescent="0.2">
      <c r="A226" s="9" t="s">
        <v>1713</v>
      </c>
      <c r="B226">
        <v>300</v>
      </c>
      <c r="G226" s="9" t="s">
        <v>1550</v>
      </c>
      <c r="H226">
        <v>137</v>
      </c>
      <c r="M226" s="1" t="s">
        <v>1550</v>
      </c>
      <c r="N226" s="1">
        <v>69</v>
      </c>
      <c r="P226" s="1" t="s">
        <v>1550</v>
      </c>
      <c r="Q226" s="42">
        <v>137</v>
      </c>
      <c r="R226" s="42">
        <v>69</v>
      </c>
      <c r="S226" s="42">
        <v>0.14000000000000001</v>
      </c>
      <c r="T226" s="10">
        <f>IFERROR(ROUND((Q226/R226),2),"NA")</f>
        <v>1.99</v>
      </c>
      <c r="U226">
        <f t="shared" si="3"/>
        <v>19.180000000000003</v>
      </c>
    </row>
    <row r="227" spans="1:21" x14ac:dyDescent="0.2">
      <c r="A227" s="9" t="s">
        <v>183</v>
      </c>
      <c r="B227">
        <v>1558</v>
      </c>
      <c r="G227" s="9" t="s">
        <v>1057</v>
      </c>
      <c r="H227">
        <v>180</v>
      </c>
      <c r="M227" s="1" t="s">
        <v>1057</v>
      </c>
      <c r="N227" s="1">
        <v>292</v>
      </c>
      <c r="P227" s="1" t="s">
        <v>1057</v>
      </c>
      <c r="Q227" s="42">
        <v>180</v>
      </c>
      <c r="R227" s="42">
        <v>292</v>
      </c>
      <c r="S227" s="42">
        <v>0</v>
      </c>
      <c r="T227" s="10">
        <f>IFERROR(ROUND((Q227/R227),2),"NA")</f>
        <v>0.62</v>
      </c>
      <c r="U227">
        <f t="shared" si="3"/>
        <v>0</v>
      </c>
    </row>
    <row r="228" spans="1:21" x14ac:dyDescent="0.2">
      <c r="A228" s="9" t="s">
        <v>2180</v>
      </c>
      <c r="B228">
        <v>0</v>
      </c>
      <c r="G228" s="9" t="s">
        <v>1920</v>
      </c>
      <c r="H228">
        <v>0</v>
      </c>
      <c r="M228" s="1" t="s">
        <v>1920</v>
      </c>
      <c r="N228" s="1">
        <v>380</v>
      </c>
      <c r="P228" s="1" t="s">
        <v>1920</v>
      </c>
      <c r="Q228" s="42">
        <v>0</v>
      </c>
      <c r="R228" s="42">
        <v>380</v>
      </c>
      <c r="S228" s="42">
        <v>0.14000000000000001</v>
      </c>
      <c r="T228" s="10">
        <f>IFERROR(ROUND((Q228/R228),2),"NA")</f>
        <v>0</v>
      </c>
      <c r="U228">
        <f t="shared" si="3"/>
        <v>0</v>
      </c>
    </row>
    <row r="229" spans="1:21" x14ac:dyDescent="0.2">
      <c r="A229" s="9" t="s">
        <v>392</v>
      </c>
      <c r="B229">
        <v>670</v>
      </c>
      <c r="G229" s="9" t="s">
        <v>2138</v>
      </c>
      <c r="H229">
        <v>0</v>
      </c>
      <c r="M229" s="1" t="s">
        <v>2138</v>
      </c>
      <c r="N229" s="1">
        <v>272</v>
      </c>
      <c r="P229" s="1" t="s">
        <v>2138</v>
      </c>
      <c r="Q229" s="42">
        <v>0</v>
      </c>
      <c r="R229" s="42">
        <v>272</v>
      </c>
      <c r="S229" s="42">
        <v>0.12</v>
      </c>
      <c r="T229" s="10">
        <f>IFERROR(ROUND((Q229/R229),2),"NA")</f>
        <v>0</v>
      </c>
      <c r="U229">
        <f t="shared" si="3"/>
        <v>0</v>
      </c>
    </row>
    <row r="230" spans="1:21" x14ac:dyDescent="0.2">
      <c r="A230" s="9" t="s">
        <v>258</v>
      </c>
      <c r="B230">
        <v>60</v>
      </c>
      <c r="G230" s="9" t="s">
        <v>2364</v>
      </c>
      <c r="H230">
        <v>100</v>
      </c>
      <c r="M230" s="1" t="s">
        <v>2364</v>
      </c>
      <c r="N230" s="1">
        <v>1000</v>
      </c>
      <c r="P230" s="1" t="s">
        <v>2364</v>
      </c>
      <c r="Q230" s="42">
        <v>100</v>
      </c>
      <c r="R230" s="42">
        <v>1000</v>
      </c>
      <c r="S230" s="42">
        <v>0.1</v>
      </c>
      <c r="T230" s="10">
        <f>IFERROR(ROUND((Q230/R230),2),"NA")</f>
        <v>0.1</v>
      </c>
      <c r="U230">
        <f t="shared" si="3"/>
        <v>10</v>
      </c>
    </row>
    <row r="231" spans="1:21" x14ac:dyDescent="0.2">
      <c r="A231" s="9" t="s">
        <v>386</v>
      </c>
      <c r="B231">
        <v>11000</v>
      </c>
      <c r="G231" s="9" t="s">
        <v>2318</v>
      </c>
      <c r="H231">
        <v>41</v>
      </c>
      <c r="M231" s="1" t="s">
        <v>2318</v>
      </c>
      <c r="N231" s="1">
        <v>137</v>
      </c>
      <c r="P231" s="1" t="s">
        <v>2318</v>
      </c>
      <c r="Q231" s="42">
        <v>41</v>
      </c>
      <c r="R231" s="42">
        <v>137</v>
      </c>
      <c r="S231" s="42">
        <v>0.14000000000000001</v>
      </c>
      <c r="T231" s="10">
        <f>IFERROR(ROUND((Q231/R231),2),"NA")</f>
        <v>0.3</v>
      </c>
      <c r="U231">
        <f t="shared" si="3"/>
        <v>5.74</v>
      </c>
    </row>
    <row r="232" spans="1:21" x14ac:dyDescent="0.2">
      <c r="A232" s="9" t="s">
        <v>1263</v>
      </c>
      <c r="B232">
        <v>0</v>
      </c>
      <c r="G232" s="9" t="s">
        <v>1237</v>
      </c>
      <c r="H232">
        <v>0</v>
      </c>
      <c r="M232" s="1" t="s">
        <v>1237</v>
      </c>
      <c r="N232" s="1">
        <v>143</v>
      </c>
      <c r="P232" s="1" t="s">
        <v>1237</v>
      </c>
      <c r="Q232" s="42">
        <v>0</v>
      </c>
      <c r="R232" s="42">
        <v>143</v>
      </c>
      <c r="S232" s="42">
        <v>0.35</v>
      </c>
      <c r="T232" s="10">
        <f>IFERROR(ROUND((Q232/R232),2),"NA")</f>
        <v>0</v>
      </c>
      <c r="U232">
        <f t="shared" si="3"/>
        <v>0</v>
      </c>
    </row>
    <row r="233" spans="1:21" x14ac:dyDescent="0.2">
      <c r="A233" s="9" t="s">
        <v>401</v>
      </c>
      <c r="B233">
        <v>2555</v>
      </c>
      <c r="G233" s="9" t="s">
        <v>739</v>
      </c>
      <c r="H233">
        <v>3900</v>
      </c>
      <c r="M233" s="1" t="s">
        <v>739</v>
      </c>
      <c r="N233" s="1">
        <v>5430</v>
      </c>
      <c r="P233" s="1" t="s">
        <v>739</v>
      </c>
      <c r="Q233" s="42">
        <v>3900</v>
      </c>
      <c r="R233" s="42">
        <v>5430</v>
      </c>
      <c r="S233" s="42">
        <v>0.21000000000000002</v>
      </c>
      <c r="T233" s="10">
        <f>IFERROR(ROUND((Q233/R233),2),"NA")</f>
        <v>0.72</v>
      </c>
      <c r="U233">
        <f t="shared" si="3"/>
        <v>819.00000000000011</v>
      </c>
    </row>
    <row r="234" spans="1:21" x14ac:dyDescent="0.2">
      <c r="A234" s="9" t="s">
        <v>1464</v>
      </c>
      <c r="B234">
        <v>125</v>
      </c>
      <c r="G234" s="9" t="s">
        <v>2648</v>
      </c>
      <c r="H234">
        <v>0</v>
      </c>
      <c r="M234" s="1" t="s">
        <v>2648</v>
      </c>
      <c r="N234" s="1">
        <v>111</v>
      </c>
      <c r="P234" s="1" t="s">
        <v>2648</v>
      </c>
      <c r="Q234" s="42">
        <v>0</v>
      </c>
      <c r="R234" s="42">
        <v>111</v>
      </c>
      <c r="S234" s="42">
        <v>0</v>
      </c>
      <c r="T234" s="10">
        <f>IFERROR(ROUND((Q234/R234),2),"NA")</f>
        <v>0</v>
      </c>
      <c r="U234">
        <f t="shared" si="3"/>
        <v>0</v>
      </c>
    </row>
    <row r="235" spans="1:21" x14ac:dyDescent="0.2">
      <c r="A235" s="9" t="s">
        <v>1285</v>
      </c>
      <c r="B235">
        <v>800</v>
      </c>
      <c r="G235" s="9" t="s">
        <v>1562</v>
      </c>
      <c r="H235">
        <v>30</v>
      </c>
      <c r="M235" s="1" t="s">
        <v>1562</v>
      </c>
      <c r="N235" s="1">
        <v>408</v>
      </c>
      <c r="P235" s="1" t="s">
        <v>1562</v>
      </c>
      <c r="Q235" s="42">
        <v>30</v>
      </c>
      <c r="R235" s="42">
        <v>408</v>
      </c>
      <c r="S235" s="42">
        <v>0.3</v>
      </c>
      <c r="T235" s="10">
        <f>IFERROR(ROUND((Q235/R235),2),"NA")</f>
        <v>7.0000000000000007E-2</v>
      </c>
      <c r="U235">
        <f t="shared" si="3"/>
        <v>9</v>
      </c>
    </row>
    <row r="236" spans="1:21" x14ac:dyDescent="0.2">
      <c r="A236" s="9" t="s">
        <v>1553</v>
      </c>
      <c r="B236">
        <v>100</v>
      </c>
      <c r="G236" s="9" t="s">
        <v>1369</v>
      </c>
      <c r="H236">
        <v>28</v>
      </c>
      <c r="M236" s="1" t="s">
        <v>1369</v>
      </c>
      <c r="N236" s="1">
        <v>435</v>
      </c>
      <c r="P236" s="1" t="s">
        <v>1369</v>
      </c>
      <c r="Q236" s="42">
        <v>28</v>
      </c>
      <c r="R236" s="42">
        <v>435</v>
      </c>
      <c r="S236" s="42">
        <v>0</v>
      </c>
      <c r="T236" s="10">
        <f>IFERROR(ROUND((Q236/R236),2),"NA")</f>
        <v>0.06</v>
      </c>
      <c r="U236">
        <f t="shared" si="3"/>
        <v>0</v>
      </c>
    </row>
    <row r="237" spans="1:21" x14ac:dyDescent="0.2">
      <c r="A237" s="9" t="s">
        <v>2055</v>
      </c>
      <c r="B237">
        <v>350</v>
      </c>
      <c r="G237" s="9" t="s">
        <v>837</v>
      </c>
      <c r="H237">
        <v>100</v>
      </c>
      <c r="M237" s="1" t="s">
        <v>837</v>
      </c>
      <c r="N237" s="1">
        <v>567</v>
      </c>
      <c r="P237" s="1" t="s">
        <v>837</v>
      </c>
      <c r="Q237" s="42">
        <v>100</v>
      </c>
      <c r="R237" s="42">
        <v>567</v>
      </c>
      <c r="S237" s="42">
        <v>0.16</v>
      </c>
      <c r="T237" s="10">
        <f>IFERROR(ROUND((Q237/R237),2),"NA")</f>
        <v>0.18</v>
      </c>
      <c r="U237">
        <f t="shared" si="3"/>
        <v>16</v>
      </c>
    </row>
    <row r="238" spans="1:21" x14ac:dyDescent="0.2">
      <c r="A238" s="9" t="s">
        <v>1168</v>
      </c>
      <c r="B238">
        <v>120</v>
      </c>
      <c r="G238" s="9" t="s">
        <v>2904</v>
      </c>
      <c r="H238">
        <v>30</v>
      </c>
      <c r="M238" s="1" t="s">
        <v>2904</v>
      </c>
      <c r="N238" s="1">
        <v>60</v>
      </c>
      <c r="P238" s="1" t="s">
        <v>2904</v>
      </c>
      <c r="Q238" s="42">
        <v>30</v>
      </c>
      <c r="R238" s="42">
        <v>60</v>
      </c>
      <c r="S238" s="42">
        <v>0.2</v>
      </c>
      <c r="T238" s="10">
        <f>IFERROR(ROUND((Q238/R238),2),"NA")</f>
        <v>0.5</v>
      </c>
      <c r="U238">
        <f t="shared" si="3"/>
        <v>6</v>
      </c>
    </row>
    <row r="239" spans="1:21" x14ac:dyDescent="0.2">
      <c r="A239" s="9" t="s">
        <v>223</v>
      </c>
      <c r="B239">
        <v>0</v>
      </c>
      <c r="G239" s="9" t="s">
        <v>601</v>
      </c>
      <c r="H239">
        <v>505</v>
      </c>
      <c r="M239" s="1" t="s">
        <v>601</v>
      </c>
      <c r="N239" s="1">
        <v>488</v>
      </c>
      <c r="P239" s="1" t="s">
        <v>601</v>
      </c>
      <c r="Q239" s="42">
        <v>505</v>
      </c>
      <c r="R239" s="42">
        <v>488</v>
      </c>
      <c r="S239" s="42">
        <v>0.125</v>
      </c>
      <c r="T239" s="10">
        <f>IFERROR(ROUND((Q239/R239),2),"NA")</f>
        <v>1.03</v>
      </c>
      <c r="U239">
        <f t="shared" si="3"/>
        <v>63.125</v>
      </c>
    </row>
    <row r="240" spans="1:21" x14ac:dyDescent="0.2">
      <c r="A240" s="9" t="s">
        <v>2846</v>
      </c>
      <c r="B240">
        <v>200</v>
      </c>
      <c r="G240" s="9" t="s">
        <v>2433</v>
      </c>
      <c r="H240">
        <v>65</v>
      </c>
      <c r="M240" s="1" t="s">
        <v>2433</v>
      </c>
      <c r="N240" s="1">
        <v>16</v>
      </c>
      <c r="P240" s="1" t="s">
        <v>2433</v>
      </c>
      <c r="Q240" s="42">
        <v>65</v>
      </c>
      <c r="R240" s="42">
        <v>16</v>
      </c>
      <c r="S240" s="42">
        <v>1</v>
      </c>
      <c r="T240" s="10">
        <f>IFERROR(ROUND((Q240/R240),2),"NA")</f>
        <v>4.0599999999999996</v>
      </c>
      <c r="U240">
        <f t="shared" si="3"/>
        <v>65</v>
      </c>
    </row>
    <row r="241" spans="1:21" x14ac:dyDescent="0.2">
      <c r="A241" s="9" t="s">
        <v>219</v>
      </c>
      <c r="B241">
        <v>100</v>
      </c>
      <c r="G241" s="9" t="s">
        <v>1596</v>
      </c>
      <c r="H241">
        <v>40</v>
      </c>
      <c r="M241" s="1" t="s">
        <v>1596</v>
      </c>
      <c r="N241" s="1">
        <v>21</v>
      </c>
      <c r="P241" s="1" t="s">
        <v>1596</v>
      </c>
      <c r="Q241" s="42">
        <v>40</v>
      </c>
      <c r="R241" s="42">
        <v>21</v>
      </c>
      <c r="S241" s="42">
        <v>0.43</v>
      </c>
      <c r="T241" s="10">
        <f>IFERROR(ROUND((Q241/R241),2),"NA")</f>
        <v>1.9</v>
      </c>
      <c r="U241">
        <f t="shared" si="3"/>
        <v>17.2</v>
      </c>
    </row>
    <row r="242" spans="1:21" x14ac:dyDescent="0.2">
      <c r="A242" s="9" t="s">
        <v>1174</v>
      </c>
      <c r="B242">
        <v>0</v>
      </c>
      <c r="G242" s="9" t="s">
        <v>829</v>
      </c>
      <c r="H242">
        <v>0</v>
      </c>
      <c r="M242" s="1" t="s">
        <v>829</v>
      </c>
      <c r="N242" s="1">
        <v>3</v>
      </c>
      <c r="P242" s="1" t="s">
        <v>829</v>
      </c>
      <c r="Q242" s="42">
        <v>0</v>
      </c>
      <c r="R242" s="42">
        <v>3</v>
      </c>
      <c r="S242" s="42">
        <v>0.19</v>
      </c>
      <c r="T242" s="10">
        <f>IFERROR(ROUND((Q242/R242),2),"NA")</f>
        <v>0</v>
      </c>
      <c r="U242">
        <f t="shared" si="3"/>
        <v>0</v>
      </c>
    </row>
    <row r="243" spans="1:21" x14ac:dyDescent="0.2">
      <c r="A243" s="9" t="s">
        <v>659</v>
      </c>
      <c r="B243">
        <v>62</v>
      </c>
      <c r="G243" s="9" t="s">
        <v>2544</v>
      </c>
      <c r="H243">
        <v>250</v>
      </c>
      <c r="M243" s="1" t="s">
        <v>2544</v>
      </c>
      <c r="N243" s="1">
        <v>95.2</v>
      </c>
      <c r="P243" s="1" t="s">
        <v>2544</v>
      </c>
      <c r="Q243" s="42">
        <v>250</v>
      </c>
      <c r="R243" s="42">
        <v>95.2</v>
      </c>
      <c r="S243" s="42">
        <v>0</v>
      </c>
      <c r="T243" s="10">
        <f>IFERROR(ROUND((Q243/R243),2),"NA")</f>
        <v>2.63</v>
      </c>
      <c r="U243">
        <f t="shared" si="3"/>
        <v>0</v>
      </c>
    </row>
    <row r="244" spans="1:21" x14ac:dyDescent="0.2">
      <c r="A244" s="9" t="s">
        <v>2957</v>
      </c>
      <c r="G244" s="9" t="s">
        <v>2067</v>
      </c>
      <c r="H244">
        <v>0</v>
      </c>
      <c r="M244" s="1" t="s">
        <v>2067</v>
      </c>
      <c r="N244" s="1">
        <v>200</v>
      </c>
      <c r="P244" s="1" t="s">
        <v>2067</v>
      </c>
      <c r="Q244" s="42">
        <v>0</v>
      </c>
      <c r="R244" s="42">
        <v>200</v>
      </c>
      <c r="S244" s="42">
        <v>7.0000000000000007E-2</v>
      </c>
      <c r="T244" s="10">
        <f>IFERROR(ROUND((Q244/R244),2),"NA")</f>
        <v>0</v>
      </c>
      <c r="U244">
        <f t="shared" si="3"/>
        <v>0</v>
      </c>
    </row>
    <row r="245" spans="1:21" x14ac:dyDescent="0.2">
      <c r="G245" s="9" t="s">
        <v>587</v>
      </c>
      <c r="H245">
        <v>180</v>
      </c>
      <c r="M245" s="1" t="s">
        <v>587</v>
      </c>
      <c r="N245" s="1">
        <v>448</v>
      </c>
      <c r="P245" s="1" t="s">
        <v>587</v>
      </c>
      <c r="Q245" s="42">
        <v>180</v>
      </c>
      <c r="R245" s="42">
        <v>448</v>
      </c>
      <c r="S245" s="42">
        <v>0.1</v>
      </c>
      <c r="T245" s="10">
        <f>IFERROR(ROUND((Q245/R245),2),"NA")</f>
        <v>0.4</v>
      </c>
      <c r="U245">
        <f t="shared" si="3"/>
        <v>18</v>
      </c>
    </row>
    <row r="246" spans="1:21" x14ac:dyDescent="0.2">
      <c r="G246" s="9" t="s">
        <v>1150</v>
      </c>
      <c r="H246">
        <v>40</v>
      </c>
      <c r="M246" s="1" t="s">
        <v>1150</v>
      </c>
      <c r="N246" s="1">
        <v>337</v>
      </c>
      <c r="P246" s="1" t="s">
        <v>1150</v>
      </c>
      <c r="Q246" s="42">
        <v>40</v>
      </c>
      <c r="R246" s="42">
        <v>337</v>
      </c>
      <c r="S246" s="42">
        <v>0.13</v>
      </c>
      <c r="T246" s="10">
        <f>IFERROR(ROUND((Q246/R246),2),"NA")</f>
        <v>0.12</v>
      </c>
      <c r="U246">
        <f t="shared" si="3"/>
        <v>5.2</v>
      </c>
    </row>
    <row r="247" spans="1:21" x14ac:dyDescent="0.2">
      <c r="G247" s="9" t="s">
        <v>2186</v>
      </c>
      <c r="H247">
        <v>0</v>
      </c>
      <c r="M247" s="1" t="s">
        <v>2186</v>
      </c>
      <c r="N247" s="1">
        <v>12</v>
      </c>
      <c r="P247" s="1" t="s">
        <v>2186</v>
      </c>
      <c r="Q247" s="42">
        <v>0</v>
      </c>
      <c r="R247" s="42">
        <v>12</v>
      </c>
      <c r="S247" s="42">
        <v>0</v>
      </c>
      <c r="T247" s="10">
        <f>IFERROR(ROUND((Q247/R247),2),"NA")</f>
        <v>0</v>
      </c>
      <c r="U247">
        <f t="shared" si="3"/>
        <v>0</v>
      </c>
    </row>
    <row r="248" spans="1:21" x14ac:dyDescent="0.2">
      <c r="G248" s="9" t="s">
        <v>1673</v>
      </c>
      <c r="H248">
        <v>0</v>
      </c>
      <c r="M248" s="1" t="s">
        <v>1673</v>
      </c>
      <c r="N248" s="1">
        <v>3700</v>
      </c>
      <c r="P248" s="1" t="s">
        <v>1673</v>
      </c>
      <c r="Q248" s="42">
        <v>0</v>
      </c>
      <c r="R248" s="42">
        <v>3700</v>
      </c>
      <c r="S248" s="42">
        <v>0.3</v>
      </c>
      <c r="T248" s="10">
        <f>IFERROR(ROUND((Q248/R248),2),"NA")</f>
        <v>0</v>
      </c>
      <c r="U248">
        <f t="shared" si="3"/>
        <v>0</v>
      </c>
    </row>
    <row r="249" spans="1:21" x14ac:dyDescent="0.2">
      <c r="G249" s="9" t="s">
        <v>524</v>
      </c>
      <c r="H249">
        <v>0</v>
      </c>
      <c r="M249" s="1" t="s">
        <v>524</v>
      </c>
      <c r="N249" s="1">
        <v>280</v>
      </c>
      <c r="P249" s="1" t="s">
        <v>524</v>
      </c>
      <c r="Q249" s="42">
        <v>0</v>
      </c>
      <c r="R249" s="42">
        <v>280</v>
      </c>
      <c r="S249" s="42">
        <v>0.15</v>
      </c>
      <c r="T249" s="10">
        <f>IFERROR(ROUND((Q249/R249),2),"NA")</f>
        <v>0</v>
      </c>
      <c r="U249">
        <f t="shared" si="3"/>
        <v>0</v>
      </c>
    </row>
    <row r="250" spans="1:21" x14ac:dyDescent="0.2">
      <c r="G250" s="9" t="s">
        <v>326</v>
      </c>
      <c r="H250">
        <v>80</v>
      </c>
      <c r="M250" s="1" t="s">
        <v>326</v>
      </c>
      <c r="N250" s="1">
        <v>119</v>
      </c>
      <c r="P250" s="1" t="s">
        <v>326</v>
      </c>
      <c r="Q250" s="42">
        <v>80</v>
      </c>
      <c r="R250" s="42">
        <v>119</v>
      </c>
      <c r="S250" s="42">
        <v>0</v>
      </c>
      <c r="T250" s="10">
        <f>IFERROR(ROUND((Q250/R250),2),"NA")</f>
        <v>0.67</v>
      </c>
      <c r="U250">
        <f t="shared" si="3"/>
        <v>0</v>
      </c>
    </row>
    <row r="251" spans="1:21" x14ac:dyDescent="0.2">
      <c r="G251" s="9" t="s">
        <v>897</v>
      </c>
      <c r="H251">
        <v>1000</v>
      </c>
      <c r="M251" s="1" t="s">
        <v>897</v>
      </c>
      <c r="N251" s="1">
        <v>0</v>
      </c>
      <c r="P251" s="1" t="s">
        <v>897</v>
      </c>
      <c r="Q251" s="42">
        <v>1000</v>
      </c>
      <c r="R251" s="42">
        <v>0</v>
      </c>
      <c r="S251" s="42">
        <v>0</v>
      </c>
      <c r="T251" s="10" t="str">
        <f>IFERROR(ROUND((Q251/R251),2),"NA")</f>
        <v>NA</v>
      </c>
      <c r="U251">
        <f t="shared" si="3"/>
        <v>0</v>
      </c>
    </row>
    <row r="252" spans="1:21" x14ac:dyDescent="0.2">
      <c r="G252" s="9" t="s">
        <v>722</v>
      </c>
      <c r="H252">
        <v>100</v>
      </c>
      <c r="M252" s="1" t="s">
        <v>722</v>
      </c>
      <c r="N252" s="1">
        <v>0</v>
      </c>
      <c r="P252" s="1" t="s">
        <v>722</v>
      </c>
      <c r="Q252" s="42">
        <v>100</v>
      </c>
      <c r="R252" s="42">
        <v>0</v>
      </c>
      <c r="S252" s="42">
        <v>0.33</v>
      </c>
      <c r="T252" s="10" t="str">
        <f>IFERROR(ROUND((Q252/R252),2),"NA")</f>
        <v>NA</v>
      </c>
      <c r="U252">
        <f t="shared" si="3"/>
        <v>33</v>
      </c>
    </row>
    <row r="253" spans="1:21" x14ac:dyDescent="0.2">
      <c r="G253" s="9" t="s">
        <v>756</v>
      </c>
      <c r="H253">
        <v>120</v>
      </c>
      <c r="M253" s="1" t="s">
        <v>756</v>
      </c>
      <c r="N253" s="1">
        <v>464</v>
      </c>
      <c r="P253" s="1" t="s">
        <v>756</v>
      </c>
      <c r="Q253" s="42">
        <v>120</v>
      </c>
      <c r="R253" s="42">
        <v>464</v>
      </c>
      <c r="S253" s="42">
        <v>0</v>
      </c>
      <c r="T253" s="10">
        <f>IFERROR(ROUND((Q253/R253),2),"NA")</f>
        <v>0.26</v>
      </c>
      <c r="U253">
        <f t="shared" si="3"/>
        <v>0</v>
      </c>
    </row>
    <row r="254" spans="1:21" x14ac:dyDescent="0.2">
      <c r="G254" s="9" t="s">
        <v>2000</v>
      </c>
      <c r="H254">
        <v>120</v>
      </c>
      <c r="M254" s="1" t="s">
        <v>2000</v>
      </c>
      <c r="N254" s="1">
        <v>585</v>
      </c>
      <c r="P254" s="1" t="s">
        <v>2000</v>
      </c>
      <c r="Q254" s="42">
        <v>120</v>
      </c>
      <c r="R254" s="42">
        <v>585</v>
      </c>
      <c r="S254" s="42">
        <v>0.04</v>
      </c>
      <c r="T254" s="10">
        <f>IFERROR(ROUND((Q254/R254),2),"NA")</f>
        <v>0.21</v>
      </c>
      <c r="U254">
        <f t="shared" si="3"/>
        <v>4.8</v>
      </c>
    </row>
    <row r="255" spans="1:21" x14ac:dyDescent="0.2">
      <c r="G255" s="9" t="s">
        <v>680</v>
      </c>
      <c r="H255">
        <v>544</v>
      </c>
      <c r="M255" s="1" t="s">
        <v>680</v>
      </c>
      <c r="N255" s="1">
        <v>2322</v>
      </c>
      <c r="P255" s="1" t="s">
        <v>680</v>
      </c>
      <c r="Q255" s="42">
        <v>544</v>
      </c>
      <c r="R255" s="42">
        <v>2322</v>
      </c>
      <c r="S255" s="42">
        <v>0.26500000000000001</v>
      </c>
      <c r="T255" s="10">
        <f>IFERROR(ROUND((Q255/R255),2),"NA")</f>
        <v>0.23</v>
      </c>
      <c r="U255">
        <f t="shared" si="3"/>
        <v>144.16</v>
      </c>
    </row>
    <row r="256" spans="1:21" x14ac:dyDescent="0.2">
      <c r="G256" s="9" t="s">
        <v>1125</v>
      </c>
      <c r="H256">
        <v>50</v>
      </c>
      <c r="M256" s="1" t="s">
        <v>1125</v>
      </c>
      <c r="N256" s="1">
        <v>146</v>
      </c>
      <c r="P256" s="1" t="s">
        <v>1125</v>
      </c>
      <c r="Q256" s="42">
        <v>50</v>
      </c>
      <c r="R256" s="42">
        <v>146</v>
      </c>
      <c r="S256" s="42">
        <v>0.13</v>
      </c>
      <c r="T256" s="10">
        <f>IFERROR(ROUND((Q256/R256),2),"NA")</f>
        <v>0.34</v>
      </c>
      <c r="U256">
        <f t="shared" si="3"/>
        <v>6.5</v>
      </c>
    </row>
    <row r="257" spans="7:21" x14ac:dyDescent="0.2">
      <c r="G257" s="9" t="s">
        <v>2808</v>
      </c>
      <c r="H257">
        <v>0</v>
      </c>
      <c r="M257" s="1" t="s">
        <v>2808</v>
      </c>
      <c r="N257" s="1">
        <v>25</v>
      </c>
      <c r="P257" s="1" t="s">
        <v>2808</v>
      </c>
      <c r="Q257" s="42">
        <v>0</v>
      </c>
      <c r="R257" s="42">
        <v>25</v>
      </c>
      <c r="S257" s="42">
        <v>0</v>
      </c>
      <c r="T257" s="10">
        <f>IFERROR(ROUND((Q257/R257),2),"NA")</f>
        <v>0</v>
      </c>
      <c r="U257">
        <f t="shared" si="3"/>
        <v>0</v>
      </c>
    </row>
    <row r="258" spans="7:21" x14ac:dyDescent="0.2">
      <c r="G258" s="9" t="s">
        <v>1786</v>
      </c>
      <c r="H258">
        <v>0</v>
      </c>
      <c r="M258" s="1" t="s">
        <v>1786</v>
      </c>
      <c r="N258" s="1">
        <v>0</v>
      </c>
      <c r="P258" s="1" t="s">
        <v>1786</v>
      </c>
      <c r="Q258" s="42">
        <v>0</v>
      </c>
      <c r="R258" s="42">
        <v>0</v>
      </c>
      <c r="S258" s="42">
        <v>1</v>
      </c>
      <c r="T258" s="10" t="str">
        <f>IFERROR(ROUND((Q258/R258),2),"NA")</f>
        <v>NA</v>
      </c>
      <c r="U258">
        <f t="shared" si="3"/>
        <v>0</v>
      </c>
    </row>
    <row r="259" spans="7:21" x14ac:dyDescent="0.2">
      <c r="G259" s="9" t="s">
        <v>2739</v>
      </c>
      <c r="H259">
        <v>0</v>
      </c>
      <c r="M259" s="1" t="s">
        <v>2739</v>
      </c>
      <c r="N259" s="1">
        <v>69</v>
      </c>
      <c r="P259" s="1" t="s">
        <v>2739</v>
      </c>
      <c r="Q259" s="42">
        <v>0</v>
      </c>
      <c r="R259" s="42">
        <v>69</v>
      </c>
      <c r="S259" s="42">
        <v>0.12</v>
      </c>
      <c r="T259" s="10">
        <f>IFERROR(ROUND((Q259/R259),2),"NA")</f>
        <v>0</v>
      </c>
      <c r="U259">
        <f t="shared" si="3"/>
        <v>0</v>
      </c>
    </row>
    <row r="260" spans="7:21" x14ac:dyDescent="0.2">
      <c r="G260" s="9" t="s">
        <v>1935</v>
      </c>
      <c r="H260">
        <v>75</v>
      </c>
      <c r="M260" s="1" t="s">
        <v>1935</v>
      </c>
      <c r="N260" s="1">
        <v>0</v>
      </c>
      <c r="P260" s="1" t="s">
        <v>1935</v>
      </c>
      <c r="Q260" s="42">
        <v>75</v>
      </c>
      <c r="R260" s="42">
        <v>0</v>
      </c>
      <c r="S260" s="42">
        <v>0.27500000000000002</v>
      </c>
      <c r="T260" s="10" t="str">
        <f>IFERROR(ROUND((Q260/R260),2),"NA")</f>
        <v>NA</v>
      </c>
      <c r="U260">
        <f t="shared" si="3"/>
        <v>20.625</v>
      </c>
    </row>
    <row r="261" spans="7:21" x14ac:dyDescent="0.2">
      <c r="G261" s="9" t="s">
        <v>2340</v>
      </c>
      <c r="H261">
        <v>9</v>
      </c>
      <c r="M261" s="1" t="s">
        <v>2340</v>
      </c>
      <c r="N261" s="1">
        <v>30</v>
      </c>
      <c r="P261" s="1" t="s">
        <v>2340</v>
      </c>
      <c r="Q261" s="42">
        <v>9</v>
      </c>
      <c r="R261" s="42">
        <v>30</v>
      </c>
      <c r="S261" s="42">
        <v>0.05</v>
      </c>
      <c r="T261" s="10">
        <f>IFERROR(ROUND((Q261/R261),2),"NA")</f>
        <v>0.3</v>
      </c>
      <c r="U261">
        <f t="shared" ref="U261:U324" si="4">Q261*S261</f>
        <v>0.45</v>
      </c>
    </row>
    <row r="262" spans="7:21" x14ac:dyDescent="0.2">
      <c r="G262" s="9" t="s">
        <v>2316</v>
      </c>
      <c r="H262">
        <v>270</v>
      </c>
      <c r="M262" s="1" t="s">
        <v>2316</v>
      </c>
      <c r="N262" s="1">
        <v>546</v>
      </c>
      <c r="P262" s="1" t="s">
        <v>2316</v>
      </c>
      <c r="Q262" s="42">
        <v>270</v>
      </c>
      <c r="R262" s="42">
        <v>546</v>
      </c>
      <c r="S262" s="42">
        <v>0.27</v>
      </c>
      <c r="T262" s="10">
        <f>IFERROR(ROUND((Q262/R262),2),"NA")</f>
        <v>0.49</v>
      </c>
      <c r="U262">
        <f t="shared" si="4"/>
        <v>72.900000000000006</v>
      </c>
    </row>
    <row r="263" spans="7:21" x14ac:dyDescent="0.2">
      <c r="G263" s="9" t="s">
        <v>2041</v>
      </c>
      <c r="H263">
        <v>0</v>
      </c>
      <c r="M263" s="1" t="s">
        <v>2041</v>
      </c>
      <c r="N263" s="1">
        <v>83</v>
      </c>
      <c r="P263" s="1" t="s">
        <v>2041</v>
      </c>
      <c r="Q263" s="42">
        <v>0</v>
      </c>
      <c r="R263" s="42">
        <v>83</v>
      </c>
      <c r="S263" s="42">
        <v>0.14000000000000001</v>
      </c>
      <c r="T263" s="10">
        <f>IFERROR(ROUND((Q263/R263),2),"NA")</f>
        <v>0</v>
      </c>
      <c r="U263">
        <f t="shared" si="4"/>
        <v>0</v>
      </c>
    </row>
    <row r="264" spans="7:21" x14ac:dyDescent="0.2">
      <c r="G264" s="9" t="s">
        <v>1329</v>
      </c>
      <c r="H264">
        <v>40</v>
      </c>
      <c r="M264" s="1" t="s">
        <v>1329</v>
      </c>
      <c r="N264" s="1">
        <v>401</v>
      </c>
      <c r="P264" s="1" t="s">
        <v>1329</v>
      </c>
      <c r="Q264" s="42">
        <v>40</v>
      </c>
      <c r="R264" s="42">
        <v>401</v>
      </c>
      <c r="S264" s="42">
        <v>0</v>
      </c>
      <c r="T264" s="10">
        <f>IFERROR(ROUND((Q264/R264),2),"NA")</f>
        <v>0.1</v>
      </c>
      <c r="U264">
        <f t="shared" si="4"/>
        <v>0</v>
      </c>
    </row>
    <row r="265" spans="7:21" x14ac:dyDescent="0.2">
      <c r="G265" s="9" t="s">
        <v>1783</v>
      </c>
      <c r="H265">
        <v>180</v>
      </c>
      <c r="M265" s="1" t="s">
        <v>1783</v>
      </c>
      <c r="N265" s="1">
        <v>756</v>
      </c>
      <c r="P265" s="1" t="s">
        <v>1783</v>
      </c>
      <c r="Q265" s="42">
        <v>180</v>
      </c>
      <c r="R265" s="42">
        <v>756</v>
      </c>
      <c r="S265" s="42">
        <v>0.11</v>
      </c>
      <c r="T265" s="10">
        <f>IFERROR(ROUND((Q265/R265),2),"NA")</f>
        <v>0.24</v>
      </c>
      <c r="U265">
        <f t="shared" si="4"/>
        <v>19.8</v>
      </c>
    </row>
    <row r="266" spans="7:21" x14ac:dyDescent="0.2">
      <c r="G266" s="9" t="s">
        <v>2490</v>
      </c>
      <c r="H266">
        <v>70</v>
      </c>
      <c r="M266" s="1" t="s">
        <v>2490</v>
      </c>
      <c r="N266" s="1">
        <v>46</v>
      </c>
      <c r="P266" s="1" t="s">
        <v>2490</v>
      </c>
      <c r="Q266" s="42">
        <v>70</v>
      </c>
      <c r="R266" s="42">
        <v>46</v>
      </c>
      <c r="S266" s="42">
        <v>0.27</v>
      </c>
      <c r="T266" s="10">
        <f>IFERROR(ROUND((Q266/R266),2),"NA")</f>
        <v>1.52</v>
      </c>
      <c r="U266">
        <f t="shared" si="4"/>
        <v>18.900000000000002</v>
      </c>
    </row>
    <row r="267" spans="7:21" x14ac:dyDescent="0.2">
      <c r="G267" s="9" t="s">
        <v>1524</v>
      </c>
      <c r="H267">
        <v>92</v>
      </c>
      <c r="M267" s="1" t="s">
        <v>1524</v>
      </c>
      <c r="N267" s="1">
        <v>0</v>
      </c>
      <c r="P267" s="1" t="s">
        <v>1524</v>
      </c>
      <c r="Q267" s="42">
        <v>92</v>
      </c>
      <c r="R267" s="42">
        <v>0</v>
      </c>
      <c r="S267" s="42">
        <v>0</v>
      </c>
      <c r="T267" s="10" t="str">
        <f>IFERROR(ROUND((Q267/R267),2),"NA")</f>
        <v>NA</v>
      </c>
      <c r="U267">
        <f t="shared" si="4"/>
        <v>0</v>
      </c>
    </row>
    <row r="268" spans="7:21" x14ac:dyDescent="0.2">
      <c r="G268" s="9" t="s">
        <v>1435</v>
      </c>
      <c r="H268">
        <v>80</v>
      </c>
      <c r="M268" s="1" t="s">
        <v>1435</v>
      </c>
      <c r="N268" s="1">
        <v>0</v>
      </c>
      <c r="P268" s="1" t="s">
        <v>1435</v>
      </c>
      <c r="Q268" s="42">
        <v>80</v>
      </c>
      <c r="R268" s="42">
        <v>0</v>
      </c>
      <c r="S268" s="42">
        <v>0</v>
      </c>
      <c r="T268" s="10" t="str">
        <f>IFERROR(ROUND((Q268/R268),2),"NA")</f>
        <v>NA</v>
      </c>
      <c r="U268">
        <f t="shared" si="4"/>
        <v>0</v>
      </c>
    </row>
    <row r="269" spans="7:21" x14ac:dyDescent="0.2">
      <c r="G269" s="9" t="s">
        <v>1000</v>
      </c>
      <c r="H269">
        <v>900</v>
      </c>
      <c r="M269" s="1" t="s">
        <v>1000</v>
      </c>
      <c r="N269" s="1">
        <v>84</v>
      </c>
      <c r="P269" s="1" t="s">
        <v>1000</v>
      </c>
      <c r="Q269" s="42">
        <v>900</v>
      </c>
      <c r="R269" s="42">
        <v>84</v>
      </c>
      <c r="S269" s="42">
        <v>1</v>
      </c>
      <c r="T269" s="10">
        <f>IFERROR(ROUND((Q269/R269),2),"NA")</f>
        <v>10.71</v>
      </c>
      <c r="U269">
        <f t="shared" si="4"/>
        <v>900</v>
      </c>
    </row>
    <row r="270" spans="7:21" x14ac:dyDescent="0.2">
      <c r="G270" s="9" t="s">
        <v>674</v>
      </c>
      <c r="H270">
        <v>190</v>
      </c>
      <c r="M270" s="1" t="s">
        <v>674</v>
      </c>
      <c r="N270" s="1">
        <v>385</v>
      </c>
      <c r="P270" s="1" t="s">
        <v>674</v>
      </c>
      <c r="Q270" s="42">
        <v>190</v>
      </c>
      <c r="R270" s="42">
        <v>385</v>
      </c>
      <c r="S270" s="42">
        <v>0</v>
      </c>
      <c r="T270" s="10">
        <f>IFERROR(ROUND((Q270/R270),2),"NA")</f>
        <v>0.49</v>
      </c>
      <c r="U270">
        <f t="shared" si="4"/>
        <v>0</v>
      </c>
    </row>
    <row r="271" spans="7:21" x14ac:dyDescent="0.2">
      <c r="G271" s="9" t="s">
        <v>2454</v>
      </c>
      <c r="H271">
        <v>0</v>
      </c>
      <c r="M271" s="1" t="s">
        <v>2454</v>
      </c>
      <c r="N271" s="1">
        <v>45</v>
      </c>
      <c r="P271" s="1" t="s">
        <v>2454</v>
      </c>
      <c r="Q271" s="42">
        <v>0</v>
      </c>
      <c r="R271" s="42">
        <v>45</v>
      </c>
      <c r="S271" s="42">
        <v>0.3</v>
      </c>
      <c r="T271" s="10">
        <f>IFERROR(ROUND((Q271/R271),2),"NA")</f>
        <v>0</v>
      </c>
      <c r="U271">
        <f t="shared" si="4"/>
        <v>0</v>
      </c>
    </row>
    <row r="272" spans="7:21" x14ac:dyDescent="0.2">
      <c r="G272" s="9" t="s">
        <v>1764</v>
      </c>
      <c r="H272">
        <v>220</v>
      </c>
      <c r="M272" s="1" t="s">
        <v>1764</v>
      </c>
      <c r="N272" s="1">
        <v>388</v>
      </c>
      <c r="P272" s="1" t="s">
        <v>1764</v>
      </c>
      <c r="Q272" s="42">
        <v>220</v>
      </c>
      <c r="R272" s="42">
        <v>388</v>
      </c>
      <c r="S272" s="42">
        <v>0.33499999999999996</v>
      </c>
      <c r="T272" s="10">
        <f>IFERROR(ROUND((Q272/R272),2),"NA")</f>
        <v>0.56999999999999995</v>
      </c>
      <c r="U272">
        <f t="shared" si="4"/>
        <v>73.699999999999989</v>
      </c>
    </row>
    <row r="273" spans="7:21" x14ac:dyDescent="0.2">
      <c r="G273" s="9" t="s">
        <v>1599</v>
      </c>
      <c r="H273">
        <v>900</v>
      </c>
      <c r="M273" s="1" t="s">
        <v>1599</v>
      </c>
      <c r="N273" s="1">
        <v>0</v>
      </c>
      <c r="P273" s="1" t="s">
        <v>1599</v>
      </c>
      <c r="Q273" s="42">
        <v>900</v>
      </c>
      <c r="R273" s="42">
        <v>0</v>
      </c>
      <c r="S273" s="42">
        <v>0</v>
      </c>
      <c r="T273" s="10" t="str">
        <f>IFERROR(ROUND((Q273/R273),2),"NA")</f>
        <v>NA</v>
      </c>
      <c r="U273">
        <f t="shared" si="4"/>
        <v>0</v>
      </c>
    </row>
    <row r="274" spans="7:21" x14ac:dyDescent="0.2">
      <c r="G274" s="9" t="s">
        <v>1375</v>
      </c>
      <c r="H274">
        <v>500</v>
      </c>
      <c r="M274" s="1" t="s">
        <v>1375</v>
      </c>
      <c r="N274" s="1">
        <v>0</v>
      </c>
      <c r="P274" s="1" t="s">
        <v>1375</v>
      </c>
      <c r="Q274" s="42">
        <v>500</v>
      </c>
      <c r="R274" s="42">
        <v>0</v>
      </c>
      <c r="S274" s="42">
        <v>0.14000000000000001</v>
      </c>
      <c r="T274" s="10" t="str">
        <f>IFERROR(ROUND((Q274/R274),2),"NA")</f>
        <v>NA</v>
      </c>
      <c r="U274">
        <f t="shared" si="4"/>
        <v>70</v>
      </c>
    </row>
    <row r="275" spans="7:21" x14ac:dyDescent="0.2">
      <c r="G275" s="9" t="s">
        <v>2735</v>
      </c>
      <c r="H275">
        <v>200</v>
      </c>
      <c r="M275" s="1" t="s">
        <v>2735</v>
      </c>
      <c r="N275" s="1">
        <v>293</v>
      </c>
      <c r="P275" s="1" t="s">
        <v>2735</v>
      </c>
      <c r="Q275" s="42">
        <v>200</v>
      </c>
      <c r="R275" s="42">
        <v>293</v>
      </c>
      <c r="S275" s="42">
        <v>0</v>
      </c>
      <c r="T275" s="10">
        <f>IFERROR(ROUND((Q275/R275),2),"NA")</f>
        <v>0.68</v>
      </c>
      <c r="U275">
        <f t="shared" si="4"/>
        <v>0</v>
      </c>
    </row>
    <row r="276" spans="7:21" x14ac:dyDescent="0.2">
      <c r="G276" s="9" t="s">
        <v>776</v>
      </c>
      <c r="H276">
        <v>190</v>
      </c>
      <c r="M276" s="1" t="s">
        <v>776</v>
      </c>
      <c r="N276" s="1">
        <v>440</v>
      </c>
      <c r="P276" s="1" t="s">
        <v>776</v>
      </c>
      <c r="Q276" s="42">
        <v>190</v>
      </c>
      <c r="R276" s="42">
        <v>440</v>
      </c>
      <c r="S276" s="42">
        <v>0.05</v>
      </c>
      <c r="T276" s="10">
        <f>IFERROR(ROUND((Q276/R276),2),"NA")</f>
        <v>0.43</v>
      </c>
      <c r="U276">
        <f t="shared" si="4"/>
        <v>9.5</v>
      </c>
    </row>
    <row r="277" spans="7:21" x14ac:dyDescent="0.2">
      <c r="G277" s="9" t="s">
        <v>2539</v>
      </c>
      <c r="H277">
        <v>20</v>
      </c>
      <c r="M277" s="1" t="s">
        <v>2539</v>
      </c>
      <c r="N277" s="1">
        <v>40.5</v>
      </c>
      <c r="P277" s="1" t="s">
        <v>2539</v>
      </c>
      <c r="Q277" s="42">
        <v>20</v>
      </c>
      <c r="R277" s="42">
        <v>40.5</v>
      </c>
      <c r="S277" s="42">
        <v>0</v>
      </c>
      <c r="T277" s="10">
        <f>IFERROR(ROUND((Q277/R277),2),"NA")</f>
        <v>0.49</v>
      </c>
      <c r="U277">
        <f t="shared" si="4"/>
        <v>0</v>
      </c>
    </row>
    <row r="278" spans="7:21" x14ac:dyDescent="0.2">
      <c r="G278" s="9" t="s">
        <v>810</v>
      </c>
      <c r="H278">
        <v>1010</v>
      </c>
      <c r="M278" s="1" t="s">
        <v>810</v>
      </c>
      <c r="N278" s="1">
        <v>3325</v>
      </c>
      <c r="P278" s="1" t="s">
        <v>810</v>
      </c>
      <c r="Q278" s="42">
        <v>1010</v>
      </c>
      <c r="R278" s="42">
        <v>3325</v>
      </c>
      <c r="S278" s="42">
        <v>0.15</v>
      </c>
      <c r="T278" s="10">
        <f>IFERROR(ROUND((Q278/R278),2),"NA")</f>
        <v>0.3</v>
      </c>
      <c r="U278">
        <f t="shared" si="4"/>
        <v>151.5</v>
      </c>
    </row>
    <row r="279" spans="7:21" x14ac:dyDescent="0.2">
      <c r="G279" s="9" t="s">
        <v>308</v>
      </c>
      <c r="H279">
        <v>21</v>
      </c>
      <c r="M279" s="1" t="s">
        <v>308</v>
      </c>
      <c r="N279" s="1">
        <v>20</v>
      </c>
      <c r="P279" s="1" t="s">
        <v>308</v>
      </c>
      <c r="Q279" s="42">
        <v>21</v>
      </c>
      <c r="R279" s="42">
        <v>20</v>
      </c>
      <c r="S279" s="42">
        <v>0.18</v>
      </c>
      <c r="T279" s="10">
        <f>IFERROR(ROUND((Q279/R279),2),"NA")</f>
        <v>1.05</v>
      </c>
      <c r="U279">
        <f t="shared" si="4"/>
        <v>3.78</v>
      </c>
    </row>
    <row r="280" spans="7:21" x14ac:dyDescent="0.2">
      <c r="G280" s="9" t="s">
        <v>354</v>
      </c>
      <c r="H280">
        <v>1000</v>
      </c>
      <c r="M280" s="1" t="s">
        <v>354</v>
      </c>
      <c r="N280" s="1">
        <v>300</v>
      </c>
      <c r="P280" s="1" t="s">
        <v>354</v>
      </c>
      <c r="Q280" s="42">
        <v>1000</v>
      </c>
      <c r="R280" s="42">
        <v>300</v>
      </c>
      <c r="S280" s="42">
        <v>0.1</v>
      </c>
      <c r="T280" s="10">
        <f>IFERROR(ROUND((Q280/R280),2),"NA")</f>
        <v>3.33</v>
      </c>
      <c r="U280">
        <f t="shared" si="4"/>
        <v>100</v>
      </c>
    </row>
    <row r="281" spans="7:21" x14ac:dyDescent="0.2">
      <c r="G281" s="9" t="s">
        <v>1609</v>
      </c>
      <c r="H281">
        <v>260</v>
      </c>
      <c r="M281" s="1" t="s">
        <v>1609</v>
      </c>
      <c r="N281" s="1">
        <v>980</v>
      </c>
      <c r="P281" s="1" t="s">
        <v>1609</v>
      </c>
      <c r="Q281" s="42">
        <v>260</v>
      </c>
      <c r="R281" s="42">
        <v>980</v>
      </c>
      <c r="S281" s="42">
        <v>0.26500000000000001</v>
      </c>
      <c r="T281" s="10">
        <f>IFERROR(ROUND((Q281/R281),2),"NA")</f>
        <v>0.27</v>
      </c>
      <c r="U281">
        <f t="shared" si="4"/>
        <v>68.900000000000006</v>
      </c>
    </row>
    <row r="282" spans="7:21" x14ac:dyDescent="0.2">
      <c r="G282" s="9" t="s">
        <v>1798</v>
      </c>
      <c r="H282">
        <v>250</v>
      </c>
      <c r="M282" s="1" t="s">
        <v>1798</v>
      </c>
      <c r="N282" s="1">
        <v>2000</v>
      </c>
      <c r="P282" s="1" t="s">
        <v>1798</v>
      </c>
      <c r="Q282" s="42">
        <v>250</v>
      </c>
      <c r="R282" s="42">
        <v>2000</v>
      </c>
      <c r="S282" s="42">
        <v>0.6</v>
      </c>
      <c r="T282" s="10">
        <f>IFERROR(ROUND((Q282/R282),2),"NA")</f>
        <v>0.13</v>
      </c>
      <c r="U282">
        <f t="shared" si="4"/>
        <v>150</v>
      </c>
    </row>
    <row r="283" spans="7:21" x14ac:dyDescent="0.2">
      <c r="G283" s="9" t="s">
        <v>1765</v>
      </c>
      <c r="H283">
        <v>88</v>
      </c>
      <c r="M283" s="1" t="s">
        <v>1765</v>
      </c>
      <c r="N283" s="1">
        <v>0</v>
      </c>
      <c r="P283" s="1" t="s">
        <v>1765</v>
      </c>
      <c r="Q283" s="42">
        <v>88</v>
      </c>
      <c r="R283" s="42">
        <v>0</v>
      </c>
      <c r="S283" s="42">
        <v>0.5</v>
      </c>
      <c r="T283" s="10" t="str">
        <f>IFERROR(ROUND((Q283/R283),2),"NA")</f>
        <v>NA</v>
      </c>
      <c r="U283">
        <f t="shared" si="4"/>
        <v>44</v>
      </c>
    </row>
    <row r="284" spans="7:21" x14ac:dyDescent="0.2">
      <c r="G284" s="9" t="s">
        <v>891</v>
      </c>
      <c r="H284">
        <v>0</v>
      </c>
      <c r="M284" s="1" t="s">
        <v>891</v>
      </c>
      <c r="N284" s="1">
        <v>774</v>
      </c>
      <c r="P284" s="1" t="s">
        <v>891</v>
      </c>
      <c r="Q284" s="42">
        <v>0</v>
      </c>
      <c r="R284" s="42">
        <v>774</v>
      </c>
      <c r="S284" s="42">
        <v>0.15000000000000002</v>
      </c>
      <c r="T284" s="10">
        <f>IFERROR(ROUND((Q284/R284),2),"NA")</f>
        <v>0</v>
      </c>
      <c r="U284">
        <f t="shared" si="4"/>
        <v>0</v>
      </c>
    </row>
    <row r="285" spans="7:21" x14ac:dyDescent="0.2">
      <c r="G285" s="9" t="s">
        <v>1233</v>
      </c>
      <c r="H285">
        <v>119</v>
      </c>
      <c r="M285" s="1" t="s">
        <v>1233</v>
      </c>
      <c r="N285" s="1">
        <v>62</v>
      </c>
      <c r="P285" s="1" t="s">
        <v>1233</v>
      </c>
      <c r="Q285" s="42">
        <v>119</v>
      </c>
      <c r="R285" s="42">
        <v>62</v>
      </c>
      <c r="S285" s="42">
        <v>0</v>
      </c>
      <c r="T285" s="10">
        <f>IFERROR(ROUND((Q285/R285),2),"NA")</f>
        <v>1.92</v>
      </c>
      <c r="U285">
        <f t="shared" si="4"/>
        <v>0</v>
      </c>
    </row>
    <row r="286" spans="7:21" x14ac:dyDescent="0.2">
      <c r="G286" s="9" t="s">
        <v>663</v>
      </c>
      <c r="H286">
        <v>40</v>
      </c>
      <c r="M286" s="1" t="s">
        <v>663</v>
      </c>
      <c r="N286" s="1">
        <v>334</v>
      </c>
      <c r="P286" s="1" t="s">
        <v>663</v>
      </c>
      <c r="Q286" s="42">
        <v>40</v>
      </c>
      <c r="R286" s="42">
        <v>334</v>
      </c>
      <c r="S286" s="42">
        <v>0</v>
      </c>
      <c r="T286" s="10">
        <f>IFERROR(ROUND((Q286/R286),2),"NA")</f>
        <v>0.12</v>
      </c>
      <c r="U286">
        <f t="shared" si="4"/>
        <v>0</v>
      </c>
    </row>
    <row r="287" spans="7:21" x14ac:dyDescent="0.2">
      <c r="G287" s="9" t="s">
        <v>227</v>
      </c>
      <c r="H287">
        <v>0</v>
      </c>
      <c r="M287" s="1" t="s">
        <v>227</v>
      </c>
      <c r="N287" s="1">
        <v>16</v>
      </c>
      <c r="P287" s="1" t="s">
        <v>227</v>
      </c>
      <c r="Q287" s="42">
        <v>0</v>
      </c>
      <c r="R287" s="42">
        <v>16</v>
      </c>
      <c r="S287" s="42">
        <v>1</v>
      </c>
      <c r="T287" s="10">
        <f>IFERROR(ROUND((Q287/R287),2),"NA")</f>
        <v>0</v>
      </c>
      <c r="U287">
        <f t="shared" si="4"/>
        <v>0</v>
      </c>
    </row>
    <row r="288" spans="7:21" x14ac:dyDescent="0.2">
      <c r="G288" s="9" t="s">
        <v>2897</v>
      </c>
      <c r="H288">
        <v>130</v>
      </c>
      <c r="M288" s="1" t="s">
        <v>2897</v>
      </c>
      <c r="N288" s="1">
        <v>77</v>
      </c>
      <c r="P288" s="1" t="s">
        <v>2897</v>
      </c>
      <c r="Q288" s="42">
        <v>130</v>
      </c>
      <c r="R288" s="42">
        <v>77</v>
      </c>
      <c r="S288" s="42">
        <v>0.25</v>
      </c>
      <c r="T288" s="10">
        <f>IFERROR(ROUND((Q288/R288),2),"NA")</f>
        <v>1.69</v>
      </c>
      <c r="U288">
        <f t="shared" si="4"/>
        <v>32.5</v>
      </c>
    </row>
    <row r="289" spans="7:21" x14ac:dyDescent="0.2">
      <c r="G289" s="9" t="s">
        <v>1184</v>
      </c>
      <c r="H289">
        <v>0</v>
      </c>
      <c r="M289" s="1" t="s">
        <v>1184</v>
      </c>
      <c r="N289" s="1">
        <v>0</v>
      </c>
      <c r="P289" s="1" t="s">
        <v>1184</v>
      </c>
      <c r="Q289" s="42">
        <v>0</v>
      </c>
      <c r="R289" s="42">
        <v>0</v>
      </c>
      <c r="S289" s="42">
        <v>1</v>
      </c>
      <c r="T289" s="10" t="str">
        <f>IFERROR(ROUND((Q289/R289),2),"NA")</f>
        <v>NA</v>
      </c>
      <c r="U289">
        <f t="shared" si="4"/>
        <v>0</v>
      </c>
    </row>
    <row r="290" spans="7:21" x14ac:dyDescent="0.2">
      <c r="G290" s="9" t="s">
        <v>2213</v>
      </c>
      <c r="H290">
        <v>60</v>
      </c>
      <c r="M290" s="1" t="s">
        <v>2213</v>
      </c>
      <c r="N290" s="1">
        <v>48</v>
      </c>
      <c r="P290" s="1" t="s">
        <v>2213</v>
      </c>
      <c r="Q290" s="42">
        <v>60</v>
      </c>
      <c r="R290" s="42">
        <v>48</v>
      </c>
      <c r="S290" s="42">
        <v>0</v>
      </c>
      <c r="T290" s="10">
        <f>IFERROR(ROUND((Q290/R290),2),"NA")</f>
        <v>1.25</v>
      </c>
      <c r="U290">
        <f t="shared" si="4"/>
        <v>0</v>
      </c>
    </row>
    <row r="291" spans="7:21" x14ac:dyDescent="0.2">
      <c r="G291" s="9" t="s">
        <v>2885</v>
      </c>
      <c r="H291">
        <v>30</v>
      </c>
      <c r="M291" s="1" t="s">
        <v>2885</v>
      </c>
      <c r="N291" s="1">
        <v>0</v>
      </c>
      <c r="P291" s="1" t="s">
        <v>2885</v>
      </c>
      <c r="Q291" s="42">
        <v>30</v>
      </c>
      <c r="R291" s="42">
        <v>0</v>
      </c>
      <c r="S291" s="42">
        <v>0.1</v>
      </c>
      <c r="T291" s="10" t="str">
        <f>IFERROR(ROUND((Q291/R291),2),"NA")</f>
        <v>NA</v>
      </c>
      <c r="U291">
        <f t="shared" si="4"/>
        <v>3</v>
      </c>
    </row>
    <row r="292" spans="7:21" x14ac:dyDescent="0.2">
      <c r="G292" s="9" t="s">
        <v>2617</v>
      </c>
      <c r="H292">
        <v>137</v>
      </c>
      <c r="M292" s="1" t="s">
        <v>2617</v>
      </c>
      <c r="N292" s="1">
        <v>108</v>
      </c>
      <c r="P292" s="1" t="s">
        <v>2617</v>
      </c>
      <c r="Q292" s="42">
        <v>137</v>
      </c>
      <c r="R292" s="42">
        <v>108</v>
      </c>
      <c r="S292" s="42">
        <v>1</v>
      </c>
      <c r="T292" s="10">
        <f>IFERROR(ROUND((Q292/R292),2),"NA")</f>
        <v>1.27</v>
      </c>
      <c r="U292">
        <f t="shared" si="4"/>
        <v>137</v>
      </c>
    </row>
    <row r="293" spans="7:21" x14ac:dyDescent="0.2">
      <c r="G293" s="9" t="s">
        <v>1470</v>
      </c>
      <c r="H293">
        <v>0</v>
      </c>
      <c r="M293" s="1" t="s">
        <v>1470</v>
      </c>
      <c r="N293" s="1">
        <v>0</v>
      </c>
      <c r="P293" s="1" t="s">
        <v>1470</v>
      </c>
      <c r="Q293" s="42">
        <v>0</v>
      </c>
      <c r="R293" s="42">
        <v>0</v>
      </c>
      <c r="S293" s="42">
        <v>0.25</v>
      </c>
      <c r="T293" s="10" t="str">
        <f>IFERROR(ROUND((Q293/R293),2),"NA")</f>
        <v>NA</v>
      </c>
      <c r="U293">
        <f t="shared" si="4"/>
        <v>0</v>
      </c>
    </row>
    <row r="294" spans="7:21" x14ac:dyDescent="0.2">
      <c r="G294" s="9" t="s">
        <v>1712</v>
      </c>
      <c r="H294">
        <v>300</v>
      </c>
      <c r="M294" s="1" t="s">
        <v>1712</v>
      </c>
      <c r="N294" s="1">
        <v>0</v>
      </c>
      <c r="P294" s="1" t="s">
        <v>1712</v>
      </c>
      <c r="Q294" s="42">
        <v>300</v>
      </c>
      <c r="R294" s="42">
        <v>0</v>
      </c>
      <c r="S294" s="42">
        <v>0.1</v>
      </c>
      <c r="T294" s="10" t="str">
        <f>IFERROR(ROUND((Q294/R294),2),"NA")</f>
        <v>NA</v>
      </c>
      <c r="U294">
        <f t="shared" si="4"/>
        <v>30</v>
      </c>
    </row>
    <row r="295" spans="7:21" x14ac:dyDescent="0.2">
      <c r="G295" s="9" t="s">
        <v>499</v>
      </c>
      <c r="H295">
        <v>307</v>
      </c>
      <c r="M295" s="1" t="s">
        <v>499</v>
      </c>
      <c r="N295" s="1">
        <v>3900</v>
      </c>
      <c r="P295" s="1" t="s">
        <v>499</v>
      </c>
      <c r="Q295" s="42">
        <v>307</v>
      </c>
      <c r="R295" s="42">
        <v>3900</v>
      </c>
      <c r="S295" s="42">
        <v>0.22</v>
      </c>
      <c r="T295" s="10">
        <f>IFERROR(ROUND((Q295/R295),2),"NA")</f>
        <v>0.08</v>
      </c>
      <c r="U295">
        <f t="shared" si="4"/>
        <v>67.540000000000006</v>
      </c>
    </row>
    <row r="296" spans="7:21" x14ac:dyDescent="0.2">
      <c r="G296" s="9" t="s">
        <v>184</v>
      </c>
      <c r="H296">
        <v>70</v>
      </c>
      <c r="M296" s="1" t="s">
        <v>184</v>
      </c>
      <c r="N296" s="1">
        <v>48</v>
      </c>
      <c r="P296" s="1" t="s">
        <v>184</v>
      </c>
      <c r="Q296" s="42">
        <v>70</v>
      </c>
      <c r="R296" s="42">
        <v>48</v>
      </c>
      <c r="S296" s="42">
        <v>0.30000000000000004</v>
      </c>
      <c r="T296" s="10">
        <f>IFERROR(ROUND((Q296/R296),2),"NA")</f>
        <v>1.46</v>
      </c>
      <c r="U296">
        <f t="shared" si="4"/>
        <v>21.000000000000004</v>
      </c>
    </row>
    <row r="297" spans="7:21" x14ac:dyDescent="0.2">
      <c r="G297" s="9" t="s">
        <v>2385</v>
      </c>
      <c r="H297">
        <v>0</v>
      </c>
      <c r="M297" s="1" t="s">
        <v>2385</v>
      </c>
      <c r="N297" s="1">
        <v>42</v>
      </c>
      <c r="P297" s="1" t="s">
        <v>2385</v>
      </c>
      <c r="Q297" s="42">
        <v>0</v>
      </c>
      <c r="R297" s="42">
        <v>42</v>
      </c>
      <c r="S297" s="42">
        <v>0</v>
      </c>
      <c r="T297" s="10">
        <f>IFERROR(ROUND((Q297/R297),2),"NA")</f>
        <v>0</v>
      </c>
      <c r="U297">
        <f t="shared" si="4"/>
        <v>0</v>
      </c>
    </row>
    <row r="298" spans="7:21" x14ac:dyDescent="0.2">
      <c r="G298" s="9" t="s">
        <v>2339</v>
      </c>
      <c r="H298">
        <v>59</v>
      </c>
      <c r="M298" s="1" t="s">
        <v>2339</v>
      </c>
      <c r="N298" s="1">
        <v>54</v>
      </c>
      <c r="P298" s="1" t="s">
        <v>2339</v>
      </c>
      <c r="Q298" s="42">
        <v>59</v>
      </c>
      <c r="R298" s="42">
        <v>54</v>
      </c>
      <c r="S298" s="42">
        <v>0.44500000000000006</v>
      </c>
      <c r="T298" s="10">
        <f>IFERROR(ROUND((Q298/R298),2),"NA")</f>
        <v>1.0900000000000001</v>
      </c>
      <c r="U298">
        <f t="shared" si="4"/>
        <v>26.255000000000003</v>
      </c>
    </row>
    <row r="299" spans="7:21" x14ac:dyDescent="0.2">
      <c r="G299" s="9" t="s">
        <v>730</v>
      </c>
      <c r="H299">
        <v>140</v>
      </c>
      <c r="M299" s="1" t="s">
        <v>730</v>
      </c>
      <c r="N299" s="1">
        <v>0</v>
      </c>
      <c r="P299" s="1" t="s">
        <v>730</v>
      </c>
      <c r="Q299" s="42">
        <v>140</v>
      </c>
      <c r="R299" s="42">
        <v>0</v>
      </c>
      <c r="S299" s="42">
        <v>0.1</v>
      </c>
      <c r="T299" s="10" t="str">
        <f>IFERROR(ROUND((Q299/R299),2),"NA")</f>
        <v>NA</v>
      </c>
      <c r="U299">
        <f t="shared" si="4"/>
        <v>14</v>
      </c>
    </row>
    <row r="300" spans="7:21" x14ac:dyDescent="0.2">
      <c r="G300" s="9" t="s">
        <v>1270</v>
      </c>
      <c r="H300">
        <v>0</v>
      </c>
      <c r="M300" s="1" t="s">
        <v>1270</v>
      </c>
      <c r="N300" s="1">
        <v>62</v>
      </c>
      <c r="P300" s="1" t="s">
        <v>1270</v>
      </c>
      <c r="Q300" s="42">
        <v>0</v>
      </c>
      <c r="R300" s="42">
        <v>62</v>
      </c>
      <c r="S300" s="42">
        <v>0</v>
      </c>
      <c r="T300" s="10">
        <f>IFERROR(ROUND((Q300/R300),2),"NA")</f>
        <v>0</v>
      </c>
      <c r="U300">
        <f t="shared" si="4"/>
        <v>0</v>
      </c>
    </row>
    <row r="301" spans="7:21" x14ac:dyDescent="0.2">
      <c r="G301" s="9" t="s">
        <v>2416</v>
      </c>
      <c r="H301">
        <v>12</v>
      </c>
      <c r="M301" s="1" t="s">
        <v>2416</v>
      </c>
      <c r="N301" s="1">
        <v>26</v>
      </c>
      <c r="P301" s="1" t="s">
        <v>2416</v>
      </c>
      <c r="Q301" s="42">
        <v>12</v>
      </c>
      <c r="R301" s="42">
        <v>26</v>
      </c>
      <c r="S301" s="42">
        <v>0.25</v>
      </c>
      <c r="T301" s="10">
        <f>IFERROR(ROUND((Q301/R301),2),"NA")</f>
        <v>0.46</v>
      </c>
      <c r="U301">
        <f t="shared" si="4"/>
        <v>3</v>
      </c>
    </row>
    <row r="302" spans="7:21" x14ac:dyDescent="0.2">
      <c r="G302" s="9" t="s">
        <v>1940</v>
      </c>
      <c r="H302">
        <v>4601</v>
      </c>
      <c r="M302" s="1" t="s">
        <v>1940</v>
      </c>
      <c r="N302" s="1">
        <v>0</v>
      </c>
      <c r="P302" s="1" t="s">
        <v>1940</v>
      </c>
      <c r="Q302" s="42">
        <v>4601</v>
      </c>
      <c r="R302" s="42">
        <v>0</v>
      </c>
      <c r="S302" s="42">
        <v>0.25</v>
      </c>
      <c r="T302" s="10" t="str">
        <f>IFERROR(ROUND((Q302/R302),2),"NA")</f>
        <v>NA</v>
      </c>
      <c r="U302">
        <f t="shared" si="4"/>
        <v>1150.25</v>
      </c>
    </row>
    <row r="303" spans="7:21" x14ac:dyDescent="0.2">
      <c r="G303" s="9" t="s">
        <v>2614</v>
      </c>
      <c r="H303">
        <v>270</v>
      </c>
      <c r="M303" s="1" t="s">
        <v>2614</v>
      </c>
      <c r="N303" s="1">
        <v>224</v>
      </c>
      <c r="P303" s="1" t="s">
        <v>2614</v>
      </c>
      <c r="Q303" s="42">
        <v>270</v>
      </c>
      <c r="R303" s="42">
        <v>224</v>
      </c>
      <c r="S303" s="42">
        <v>0.18</v>
      </c>
      <c r="T303" s="10">
        <f>IFERROR(ROUND((Q303/R303),2),"NA")</f>
        <v>1.21</v>
      </c>
      <c r="U303">
        <f t="shared" si="4"/>
        <v>48.6</v>
      </c>
    </row>
    <row r="304" spans="7:21" x14ac:dyDescent="0.2">
      <c r="G304" s="9" t="s">
        <v>2844</v>
      </c>
      <c r="H304">
        <v>200</v>
      </c>
      <c r="M304" s="1" t="s">
        <v>2844</v>
      </c>
      <c r="N304" s="1">
        <v>48</v>
      </c>
      <c r="P304" s="1" t="s">
        <v>2844</v>
      </c>
      <c r="Q304" s="42">
        <v>200</v>
      </c>
      <c r="R304" s="42">
        <v>48</v>
      </c>
      <c r="S304" s="42">
        <v>0</v>
      </c>
      <c r="T304" s="10">
        <f>IFERROR(ROUND((Q304/R304),2),"NA")</f>
        <v>4.17</v>
      </c>
      <c r="U304">
        <f t="shared" si="4"/>
        <v>0</v>
      </c>
    </row>
    <row r="305" spans="7:21" x14ac:dyDescent="0.2">
      <c r="G305" s="9" t="s">
        <v>1517</v>
      </c>
      <c r="H305">
        <v>30</v>
      </c>
      <c r="M305" s="1" t="s">
        <v>1517</v>
      </c>
      <c r="N305" s="1">
        <v>46</v>
      </c>
      <c r="P305" s="1" t="s">
        <v>1517</v>
      </c>
      <c r="Q305" s="42">
        <v>30</v>
      </c>
      <c r="R305" s="42">
        <v>46</v>
      </c>
      <c r="S305" s="42">
        <v>0</v>
      </c>
      <c r="T305" s="10">
        <f>IFERROR(ROUND((Q305/R305),2),"NA")</f>
        <v>0.65</v>
      </c>
      <c r="U305">
        <f t="shared" si="4"/>
        <v>0</v>
      </c>
    </row>
    <row r="306" spans="7:21" x14ac:dyDescent="0.2">
      <c r="G306" s="9" t="s">
        <v>1207</v>
      </c>
      <c r="H306">
        <v>15</v>
      </c>
      <c r="M306" s="1" t="s">
        <v>1207</v>
      </c>
      <c r="N306" s="1">
        <v>37</v>
      </c>
      <c r="P306" s="1" t="s">
        <v>1207</v>
      </c>
      <c r="Q306" s="42">
        <v>15</v>
      </c>
      <c r="R306" s="42">
        <v>37</v>
      </c>
      <c r="S306" s="42">
        <v>0.2</v>
      </c>
      <c r="T306" s="10">
        <f>IFERROR(ROUND((Q306/R306),2),"NA")</f>
        <v>0.41</v>
      </c>
      <c r="U306">
        <f t="shared" si="4"/>
        <v>3</v>
      </c>
    </row>
    <row r="307" spans="7:21" x14ac:dyDescent="0.2">
      <c r="G307" s="9" t="s">
        <v>2202</v>
      </c>
      <c r="H307">
        <v>0</v>
      </c>
      <c r="M307" s="1" t="s">
        <v>2202</v>
      </c>
      <c r="N307" s="1">
        <v>137</v>
      </c>
      <c r="P307" s="1" t="s">
        <v>2202</v>
      </c>
      <c r="Q307" s="42">
        <v>0</v>
      </c>
      <c r="R307" s="42">
        <v>137</v>
      </c>
      <c r="S307" s="42">
        <v>0.05</v>
      </c>
      <c r="T307" s="10">
        <f>IFERROR(ROUND((Q307/R307),2),"NA")</f>
        <v>0</v>
      </c>
      <c r="U307">
        <f t="shared" si="4"/>
        <v>0</v>
      </c>
    </row>
    <row r="308" spans="7:21" x14ac:dyDescent="0.2">
      <c r="G308" s="9" t="s">
        <v>2373</v>
      </c>
      <c r="H308">
        <v>70</v>
      </c>
      <c r="M308" s="1" t="s">
        <v>2373</v>
      </c>
      <c r="N308" s="1">
        <v>56</v>
      </c>
      <c r="P308" s="1" t="s">
        <v>2373</v>
      </c>
      <c r="Q308" s="42">
        <v>70</v>
      </c>
      <c r="R308" s="42">
        <v>56</v>
      </c>
      <c r="S308" s="42">
        <v>0.05</v>
      </c>
      <c r="T308" s="10">
        <f>IFERROR(ROUND((Q308/R308),2),"NA")</f>
        <v>1.25</v>
      </c>
      <c r="U308">
        <f t="shared" si="4"/>
        <v>3.5</v>
      </c>
    </row>
    <row r="309" spans="7:21" x14ac:dyDescent="0.2">
      <c r="G309" s="9" t="s">
        <v>2806</v>
      </c>
      <c r="H309">
        <v>15</v>
      </c>
      <c r="M309" s="1" t="s">
        <v>2806</v>
      </c>
      <c r="N309" s="1">
        <v>72</v>
      </c>
      <c r="P309" s="1" t="s">
        <v>2806</v>
      </c>
      <c r="Q309" s="42">
        <v>15</v>
      </c>
      <c r="R309" s="42">
        <v>72</v>
      </c>
      <c r="S309" s="42">
        <v>0.2</v>
      </c>
      <c r="T309" s="10">
        <f>IFERROR(ROUND((Q309/R309),2),"NA")</f>
        <v>0.21</v>
      </c>
      <c r="U309">
        <f t="shared" si="4"/>
        <v>3</v>
      </c>
    </row>
    <row r="310" spans="7:21" x14ac:dyDescent="0.2">
      <c r="G310" s="9" t="s">
        <v>2525</v>
      </c>
      <c r="H310">
        <v>61</v>
      </c>
      <c r="M310" s="1" t="s">
        <v>2525</v>
      </c>
      <c r="N310" s="1">
        <v>203.2</v>
      </c>
      <c r="P310" s="1" t="s">
        <v>2525</v>
      </c>
      <c r="Q310" s="42">
        <v>61</v>
      </c>
      <c r="R310" s="42">
        <v>203.2</v>
      </c>
      <c r="S310" s="42">
        <v>0.5</v>
      </c>
      <c r="T310" s="10">
        <f>IFERROR(ROUND((Q310/R310),2),"NA")</f>
        <v>0.3</v>
      </c>
      <c r="U310">
        <f t="shared" si="4"/>
        <v>30.5</v>
      </c>
    </row>
    <row r="311" spans="7:21" x14ac:dyDescent="0.2">
      <c r="G311" s="9" t="s">
        <v>1645</v>
      </c>
      <c r="H311">
        <v>490</v>
      </c>
      <c r="M311" s="1" t="s">
        <v>1645</v>
      </c>
      <c r="N311" s="1">
        <v>856.4</v>
      </c>
      <c r="P311" s="1" t="s">
        <v>1645</v>
      </c>
      <c r="Q311" s="42">
        <v>490</v>
      </c>
      <c r="R311" s="42">
        <v>856.4</v>
      </c>
      <c r="S311" s="42">
        <v>0.22333333333333336</v>
      </c>
      <c r="T311" s="10">
        <f>IFERROR(ROUND((Q311/R311),2),"NA")</f>
        <v>0.56999999999999995</v>
      </c>
      <c r="U311">
        <f t="shared" si="4"/>
        <v>109.43333333333335</v>
      </c>
    </row>
    <row r="312" spans="7:21" x14ac:dyDescent="0.2">
      <c r="G312" s="9" t="s">
        <v>2803</v>
      </c>
      <c r="H312">
        <v>77</v>
      </c>
      <c r="M312" s="1" t="s">
        <v>2803</v>
      </c>
      <c r="N312" s="1">
        <v>75</v>
      </c>
      <c r="P312" s="1" t="s">
        <v>2803</v>
      </c>
      <c r="Q312" s="42">
        <v>77</v>
      </c>
      <c r="R312" s="42">
        <v>75</v>
      </c>
      <c r="S312" s="42">
        <v>0.2</v>
      </c>
      <c r="T312" s="10">
        <f>IFERROR(ROUND((Q312/R312),2),"NA")</f>
        <v>1.03</v>
      </c>
      <c r="U312">
        <f t="shared" si="4"/>
        <v>15.4</v>
      </c>
    </row>
    <row r="313" spans="7:21" x14ac:dyDescent="0.2">
      <c r="G313" s="9" t="s">
        <v>583</v>
      </c>
      <c r="H313">
        <v>0</v>
      </c>
      <c r="M313" s="1" t="s">
        <v>583</v>
      </c>
      <c r="N313" s="1">
        <v>626</v>
      </c>
      <c r="P313" s="1" t="s">
        <v>583</v>
      </c>
      <c r="Q313" s="42">
        <v>0</v>
      </c>
      <c r="R313" s="42">
        <v>626</v>
      </c>
      <c r="S313" s="42">
        <v>0</v>
      </c>
      <c r="T313" s="10">
        <f>IFERROR(ROUND((Q313/R313),2),"NA")</f>
        <v>0</v>
      </c>
      <c r="U313">
        <f t="shared" si="4"/>
        <v>0</v>
      </c>
    </row>
    <row r="314" spans="7:21" x14ac:dyDescent="0.2">
      <c r="G314" s="9" t="s">
        <v>1272</v>
      </c>
      <c r="H314">
        <v>32</v>
      </c>
      <c r="M314" s="1" t="s">
        <v>1272</v>
      </c>
      <c r="N314" s="1">
        <v>365</v>
      </c>
      <c r="P314" s="1" t="s">
        <v>1272</v>
      </c>
      <c r="Q314" s="42">
        <v>32</v>
      </c>
      <c r="R314" s="42">
        <v>365</v>
      </c>
      <c r="S314" s="42">
        <v>0.25</v>
      </c>
      <c r="T314" s="10">
        <f>IFERROR(ROUND((Q314/R314),2),"NA")</f>
        <v>0.09</v>
      </c>
      <c r="U314">
        <f t="shared" si="4"/>
        <v>8</v>
      </c>
    </row>
    <row r="315" spans="7:21" x14ac:dyDescent="0.2">
      <c r="G315" s="9" t="s">
        <v>664</v>
      </c>
      <c r="H315">
        <v>0</v>
      </c>
      <c r="M315" s="1" t="s">
        <v>664</v>
      </c>
      <c r="N315" s="1">
        <v>0</v>
      </c>
      <c r="P315" s="1" t="s">
        <v>664</v>
      </c>
      <c r="Q315" s="42">
        <v>0</v>
      </c>
      <c r="R315" s="42">
        <v>0</v>
      </c>
      <c r="S315" s="42">
        <v>1</v>
      </c>
      <c r="T315" s="10" t="str">
        <f>IFERROR(ROUND((Q315/R315),2),"NA")</f>
        <v>NA</v>
      </c>
      <c r="U315">
        <f t="shared" si="4"/>
        <v>0</v>
      </c>
    </row>
    <row r="316" spans="7:21" x14ac:dyDescent="0.2">
      <c r="G316" s="9" t="s">
        <v>2187</v>
      </c>
      <c r="H316">
        <v>0</v>
      </c>
      <c r="M316" s="1" t="s">
        <v>2187</v>
      </c>
      <c r="N316" s="1">
        <v>12</v>
      </c>
      <c r="P316" s="1" t="s">
        <v>2187</v>
      </c>
      <c r="Q316" s="42">
        <v>0</v>
      </c>
      <c r="R316" s="42">
        <v>12</v>
      </c>
      <c r="S316" s="42">
        <v>0</v>
      </c>
      <c r="T316" s="10">
        <f>IFERROR(ROUND((Q316/R316),2),"NA")</f>
        <v>0</v>
      </c>
      <c r="U316">
        <f t="shared" si="4"/>
        <v>0</v>
      </c>
    </row>
    <row r="317" spans="7:21" x14ac:dyDescent="0.2">
      <c r="G317" s="9" t="s">
        <v>1066</v>
      </c>
      <c r="H317">
        <v>25</v>
      </c>
      <c r="M317" s="1" t="s">
        <v>1066</v>
      </c>
      <c r="N317" s="1">
        <v>296</v>
      </c>
      <c r="P317" s="1" t="s">
        <v>1066</v>
      </c>
      <c r="Q317" s="42">
        <v>25</v>
      </c>
      <c r="R317" s="42">
        <v>296</v>
      </c>
      <c r="S317" s="42">
        <v>0.3</v>
      </c>
      <c r="T317" s="10">
        <f>IFERROR(ROUND((Q317/R317),2),"NA")</f>
        <v>0.08</v>
      </c>
      <c r="U317">
        <f t="shared" si="4"/>
        <v>7.5</v>
      </c>
    </row>
    <row r="318" spans="7:21" x14ac:dyDescent="0.2">
      <c r="G318" s="9" t="s">
        <v>446</v>
      </c>
      <c r="H318">
        <v>274</v>
      </c>
      <c r="M318" s="1" t="s">
        <v>446</v>
      </c>
      <c r="N318" s="1">
        <v>460</v>
      </c>
      <c r="P318" s="1" t="s">
        <v>446</v>
      </c>
      <c r="Q318" s="42">
        <v>274</v>
      </c>
      <c r="R318" s="42">
        <v>460</v>
      </c>
      <c r="S318" s="42">
        <v>0.27</v>
      </c>
      <c r="T318" s="10">
        <f>IFERROR(ROUND((Q318/R318),2),"NA")</f>
        <v>0.6</v>
      </c>
      <c r="U318">
        <f t="shared" si="4"/>
        <v>73.98</v>
      </c>
    </row>
    <row r="319" spans="7:21" x14ac:dyDescent="0.2">
      <c r="G319" s="9" t="s">
        <v>2794</v>
      </c>
      <c r="H319">
        <v>100</v>
      </c>
      <c r="M319" s="1" t="s">
        <v>2794</v>
      </c>
      <c r="N319" s="1">
        <v>367</v>
      </c>
      <c r="P319" s="1" t="s">
        <v>2794</v>
      </c>
      <c r="Q319" s="42">
        <v>100</v>
      </c>
      <c r="R319" s="42">
        <v>367</v>
      </c>
      <c r="S319" s="42">
        <v>0.2</v>
      </c>
      <c r="T319" s="10">
        <f>IFERROR(ROUND((Q319/R319),2),"NA")</f>
        <v>0.27</v>
      </c>
      <c r="U319">
        <f t="shared" si="4"/>
        <v>20</v>
      </c>
    </row>
    <row r="320" spans="7:21" x14ac:dyDescent="0.2">
      <c r="G320" s="9" t="s">
        <v>670</v>
      </c>
      <c r="H320">
        <v>0</v>
      </c>
      <c r="M320" s="1" t="s">
        <v>670</v>
      </c>
      <c r="N320" s="1">
        <v>42</v>
      </c>
      <c r="P320" s="1" t="s">
        <v>670</v>
      </c>
      <c r="Q320" s="42">
        <v>0</v>
      </c>
      <c r="R320" s="42">
        <v>42</v>
      </c>
      <c r="S320" s="42">
        <v>0.09</v>
      </c>
      <c r="T320" s="10">
        <f>IFERROR(ROUND((Q320/R320),2),"NA")</f>
        <v>0</v>
      </c>
      <c r="U320">
        <f t="shared" si="4"/>
        <v>0</v>
      </c>
    </row>
    <row r="321" spans="7:21" x14ac:dyDescent="0.2">
      <c r="G321" s="9" t="s">
        <v>2074</v>
      </c>
      <c r="H321">
        <v>40</v>
      </c>
      <c r="M321" s="1" t="s">
        <v>2074</v>
      </c>
      <c r="N321" s="1">
        <v>42</v>
      </c>
      <c r="P321" s="1" t="s">
        <v>2074</v>
      </c>
      <c r="Q321" s="42">
        <v>40</v>
      </c>
      <c r="R321" s="42">
        <v>42</v>
      </c>
      <c r="S321" s="42">
        <v>0.33</v>
      </c>
      <c r="T321" s="10">
        <f>IFERROR(ROUND((Q321/R321),2),"NA")</f>
        <v>0.95</v>
      </c>
      <c r="U321">
        <f t="shared" si="4"/>
        <v>13.200000000000001</v>
      </c>
    </row>
    <row r="322" spans="7:21" x14ac:dyDescent="0.2">
      <c r="G322" s="9" t="s">
        <v>2358</v>
      </c>
      <c r="H322">
        <v>50</v>
      </c>
      <c r="M322" s="1" t="s">
        <v>2358</v>
      </c>
      <c r="N322" s="1">
        <v>6</v>
      </c>
      <c r="P322" s="1" t="s">
        <v>2358</v>
      </c>
      <c r="Q322" s="42">
        <v>50</v>
      </c>
      <c r="R322" s="42">
        <v>6</v>
      </c>
      <c r="S322" s="42">
        <v>0.33</v>
      </c>
      <c r="T322" s="10">
        <f>IFERROR(ROUND((Q322/R322),2),"NA")</f>
        <v>8.33</v>
      </c>
      <c r="U322">
        <f t="shared" si="4"/>
        <v>16.5</v>
      </c>
    </row>
    <row r="323" spans="7:21" x14ac:dyDescent="0.2">
      <c r="G323" s="9" t="s">
        <v>2514</v>
      </c>
      <c r="H323">
        <v>120</v>
      </c>
      <c r="M323" s="1" t="s">
        <v>2514</v>
      </c>
      <c r="N323" s="1">
        <v>131</v>
      </c>
      <c r="P323" s="1" t="s">
        <v>2514</v>
      </c>
      <c r="Q323" s="42">
        <v>120</v>
      </c>
      <c r="R323" s="42">
        <v>131</v>
      </c>
      <c r="S323" s="42">
        <v>0.8</v>
      </c>
      <c r="T323" s="10">
        <f>IFERROR(ROUND((Q323/R323),2),"NA")</f>
        <v>0.92</v>
      </c>
      <c r="U323">
        <f t="shared" si="4"/>
        <v>96</v>
      </c>
    </row>
    <row r="324" spans="7:21" x14ac:dyDescent="0.2">
      <c r="G324" s="9" t="s">
        <v>389</v>
      </c>
      <c r="H324">
        <v>480</v>
      </c>
      <c r="M324" s="1" t="s">
        <v>389</v>
      </c>
      <c r="N324" s="1">
        <v>3732</v>
      </c>
      <c r="P324" s="1" t="s">
        <v>389</v>
      </c>
      <c r="Q324" s="42">
        <v>480</v>
      </c>
      <c r="R324" s="42">
        <v>3732</v>
      </c>
      <c r="S324" s="42">
        <v>0.15333333333333332</v>
      </c>
      <c r="T324" s="10">
        <f>IFERROR(ROUND((Q324/R324),2),"NA")</f>
        <v>0.13</v>
      </c>
      <c r="U324">
        <f t="shared" si="4"/>
        <v>73.599999999999994</v>
      </c>
    </row>
    <row r="325" spans="7:21" x14ac:dyDescent="0.2">
      <c r="G325" s="9" t="s">
        <v>2519</v>
      </c>
      <c r="H325">
        <v>154</v>
      </c>
      <c r="M325" s="1" t="s">
        <v>2519</v>
      </c>
      <c r="N325" s="1">
        <v>45</v>
      </c>
      <c r="P325" s="1" t="s">
        <v>2519</v>
      </c>
      <c r="Q325" s="42">
        <v>154</v>
      </c>
      <c r="R325" s="42">
        <v>45</v>
      </c>
      <c r="S325" s="42">
        <v>1</v>
      </c>
      <c r="T325" s="10">
        <f>IFERROR(ROUND((Q325/R325),2),"NA")</f>
        <v>3.42</v>
      </c>
      <c r="U325">
        <f t="shared" ref="U325:U388" si="5">Q325*S325</f>
        <v>154</v>
      </c>
    </row>
    <row r="326" spans="7:21" x14ac:dyDescent="0.2">
      <c r="G326" s="9" t="s">
        <v>1745</v>
      </c>
      <c r="H326">
        <v>13</v>
      </c>
      <c r="M326" s="1" t="s">
        <v>1745</v>
      </c>
      <c r="N326" s="1">
        <v>36</v>
      </c>
      <c r="P326" s="1" t="s">
        <v>1745</v>
      </c>
      <c r="Q326" s="42">
        <v>13</v>
      </c>
      <c r="R326" s="42">
        <v>36</v>
      </c>
      <c r="S326" s="42">
        <v>0.13</v>
      </c>
      <c r="T326" s="10">
        <f>IFERROR(ROUND((Q326/R326),2),"NA")</f>
        <v>0.36</v>
      </c>
      <c r="U326">
        <f t="shared" si="5"/>
        <v>1.69</v>
      </c>
    </row>
    <row r="327" spans="7:21" x14ac:dyDescent="0.2">
      <c r="G327" s="9" t="s">
        <v>2308</v>
      </c>
      <c r="H327">
        <v>30</v>
      </c>
      <c r="M327" s="1" t="s">
        <v>2308</v>
      </c>
      <c r="N327" s="1">
        <v>250</v>
      </c>
      <c r="P327" s="1" t="s">
        <v>2308</v>
      </c>
      <c r="Q327" s="42">
        <v>30</v>
      </c>
      <c r="R327" s="42">
        <v>250</v>
      </c>
      <c r="S327" s="42">
        <v>0.08</v>
      </c>
      <c r="T327" s="10">
        <f>IFERROR(ROUND((Q327/R327),2),"NA")</f>
        <v>0.12</v>
      </c>
      <c r="U327">
        <f t="shared" si="5"/>
        <v>2.4</v>
      </c>
    </row>
    <row r="328" spans="7:21" x14ac:dyDescent="0.2">
      <c r="G328" s="9" t="s">
        <v>2226</v>
      </c>
      <c r="H328">
        <v>100</v>
      </c>
      <c r="M328" s="1" t="s">
        <v>2226</v>
      </c>
      <c r="N328" s="1">
        <v>31</v>
      </c>
      <c r="P328" s="1" t="s">
        <v>2226</v>
      </c>
      <c r="Q328" s="42">
        <v>100</v>
      </c>
      <c r="R328" s="42">
        <v>31</v>
      </c>
      <c r="S328" s="42">
        <v>0.5</v>
      </c>
      <c r="T328" s="10">
        <f>IFERROR(ROUND((Q328/R328),2),"NA")</f>
        <v>3.23</v>
      </c>
      <c r="U328">
        <f t="shared" si="5"/>
        <v>50</v>
      </c>
    </row>
    <row r="329" spans="7:21" x14ac:dyDescent="0.2">
      <c r="G329" s="9" t="s">
        <v>1120</v>
      </c>
      <c r="H329">
        <v>70</v>
      </c>
      <c r="M329" s="1" t="s">
        <v>1120</v>
      </c>
      <c r="N329" s="1">
        <v>145</v>
      </c>
      <c r="P329" s="1" t="s">
        <v>1120</v>
      </c>
      <c r="Q329" s="42">
        <v>70</v>
      </c>
      <c r="R329" s="42">
        <v>145</v>
      </c>
      <c r="S329" s="42">
        <v>0.1</v>
      </c>
      <c r="T329" s="10">
        <f>IFERROR(ROUND((Q329/R329),2),"NA")</f>
        <v>0.48</v>
      </c>
      <c r="U329">
        <f t="shared" si="5"/>
        <v>7</v>
      </c>
    </row>
    <row r="330" spans="7:21" x14ac:dyDescent="0.2">
      <c r="G330" s="9" t="s">
        <v>2056</v>
      </c>
      <c r="H330">
        <v>88</v>
      </c>
      <c r="M330" s="1" t="s">
        <v>2056</v>
      </c>
      <c r="N330" s="1">
        <v>290</v>
      </c>
      <c r="P330" s="1" t="s">
        <v>2056</v>
      </c>
      <c r="Q330" s="42">
        <v>88</v>
      </c>
      <c r="R330" s="42">
        <v>290</v>
      </c>
      <c r="S330" s="42">
        <v>0.15</v>
      </c>
      <c r="T330" s="10">
        <f>IFERROR(ROUND((Q330/R330),2),"NA")</f>
        <v>0.3</v>
      </c>
      <c r="U330">
        <f t="shared" si="5"/>
        <v>13.2</v>
      </c>
    </row>
    <row r="331" spans="7:21" x14ac:dyDescent="0.2">
      <c r="G331" s="9" t="s">
        <v>1124</v>
      </c>
      <c r="H331">
        <v>0</v>
      </c>
      <c r="M331" s="1" t="s">
        <v>1124</v>
      </c>
      <c r="N331" s="1">
        <v>424</v>
      </c>
      <c r="P331" s="1" t="s">
        <v>1124</v>
      </c>
      <c r="Q331" s="42">
        <v>0</v>
      </c>
      <c r="R331" s="42">
        <v>424</v>
      </c>
      <c r="S331" s="42">
        <v>0.2</v>
      </c>
      <c r="T331" s="10">
        <f>IFERROR(ROUND((Q331/R331),2),"NA")</f>
        <v>0</v>
      </c>
      <c r="U331">
        <f t="shared" si="5"/>
        <v>0</v>
      </c>
    </row>
    <row r="332" spans="7:21" x14ac:dyDescent="0.2">
      <c r="G332" s="9" t="s">
        <v>102</v>
      </c>
      <c r="H332">
        <v>0</v>
      </c>
      <c r="M332" s="1" t="s">
        <v>102</v>
      </c>
      <c r="N332" s="1">
        <v>64</v>
      </c>
      <c r="P332" s="1" t="s">
        <v>102</v>
      </c>
      <c r="Q332" s="42">
        <v>0</v>
      </c>
      <c r="R332" s="42">
        <v>64</v>
      </c>
      <c r="S332" s="42">
        <v>1</v>
      </c>
      <c r="T332" s="10">
        <f>IFERROR(ROUND((Q332/R332),2),"NA")</f>
        <v>0</v>
      </c>
      <c r="U332">
        <f t="shared" si="5"/>
        <v>0</v>
      </c>
    </row>
    <row r="333" spans="7:21" x14ac:dyDescent="0.2">
      <c r="G333" s="9" t="s">
        <v>2728</v>
      </c>
      <c r="H333">
        <v>10</v>
      </c>
      <c r="M333" s="1" t="s">
        <v>2728</v>
      </c>
      <c r="N333" s="1">
        <v>84</v>
      </c>
      <c r="P333" s="1" t="s">
        <v>2728</v>
      </c>
      <c r="Q333" s="42">
        <v>10</v>
      </c>
      <c r="R333" s="42">
        <v>84</v>
      </c>
      <c r="S333" s="42">
        <v>0.1</v>
      </c>
      <c r="T333" s="10">
        <f>IFERROR(ROUND((Q333/R333),2),"NA")</f>
        <v>0.12</v>
      </c>
      <c r="U333">
        <f t="shared" si="5"/>
        <v>1</v>
      </c>
    </row>
    <row r="334" spans="7:21" x14ac:dyDescent="0.2">
      <c r="G334" s="9" t="s">
        <v>1568</v>
      </c>
      <c r="H334">
        <v>206</v>
      </c>
      <c r="M334" s="1" t="s">
        <v>1568</v>
      </c>
      <c r="N334" s="1">
        <v>2400</v>
      </c>
      <c r="P334" s="1" t="s">
        <v>1568</v>
      </c>
      <c r="Q334" s="42">
        <v>206</v>
      </c>
      <c r="R334" s="42">
        <v>2400</v>
      </c>
      <c r="S334" s="42">
        <v>1</v>
      </c>
      <c r="T334" s="10">
        <f>IFERROR(ROUND((Q334/R334),2),"NA")</f>
        <v>0.09</v>
      </c>
      <c r="U334">
        <f t="shared" si="5"/>
        <v>206</v>
      </c>
    </row>
    <row r="335" spans="7:21" x14ac:dyDescent="0.2">
      <c r="G335" s="9" t="s">
        <v>1684</v>
      </c>
      <c r="H335">
        <v>26</v>
      </c>
      <c r="M335" s="1" t="s">
        <v>1684</v>
      </c>
      <c r="N335" s="1">
        <v>10</v>
      </c>
      <c r="P335" s="1" t="s">
        <v>1684</v>
      </c>
      <c r="Q335" s="42">
        <v>26</v>
      </c>
      <c r="R335" s="42">
        <v>10</v>
      </c>
      <c r="S335" s="42">
        <v>0.4</v>
      </c>
      <c r="T335" s="10">
        <f>IFERROR(ROUND((Q335/R335),2),"NA")</f>
        <v>2.6</v>
      </c>
      <c r="U335">
        <f t="shared" si="5"/>
        <v>10.4</v>
      </c>
    </row>
    <row r="336" spans="7:21" x14ac:dyDescent="0.2">
      <c r="G336" s="9" t="s">
        <v>1717</v>
      </c>
      <c r="H336">
        <v>0</v>
      </c>
      <c r="M336" s="1" t="s">
        <v>1717</v>
      </c>
      <c r="N336" s="1">
        <v>25</v>
      </c>
      <c r="P336" s="1" t="s">
        <v>1717</v>
      </c>
      <c r="Q336" s="42">
        <v>0</v>
      </c>
      <c r="R336" s="42">
        <v>25</v>
      </c>
      <c r="S336" s="42">
        <v>1</v>
      </c>
      <c r="T336" s="10">
        <f>IFERROR(ROUND((Q336/R336),2),"NA")</f>
        <v>0</v>
      </c>
      <c r="U336">
        <f t="shared" si="5"/>
        <v>0</v>
      </c>
    </row>
    <row r="337" spans="7:21" x14ac:dyDescent="0.2">
      <c r="G337" s="9" t="s">
        <v>2239</v>
      </c>
      <c r="H337">
        <v>100</v>
      </c>
      <c r="M337" s="1" t="s">
        <v>2239</v>
      </c>
      <c r="N337" s="1">
        <v>89</v>
      </c>
      <c r="P337" s="1" t="s">
        <v>2239</v>
      </c>
      <c r="Q337" s="42">
        <v>100</v>
      </c>
      <c r="R337" s="42">
        <v>89</v>
      </c>
      <c r="S337" s="42">
        <v>0.3</v>
      </c>
      <c r="T337" s="10">
        <f>IFERROR(ROUND((Q337/R337),2),"NA")</f>
        <v>1.1200000000000001</v>
      </c>
      <c r="U337">
        <f t="shared" si="5"/>
        <v>30</v>
      </c>
    </row>
    <row r="338" spans="7:21" x14ac:dyDescent="0.2">
      <c r="G338" s="9" t="s">
        <v>2432</v>
      </c>
      <c r="H338">
        <v>80</v>
      </c>
      <c r="M338" s="1" t="s">
        <v>2432</v>
      </c>
      <c r="N338" s="1">
        <v>11</v>
      </c>
      <c r="P338" s="1" t="s">
        <v>2432</v>
      </c>
      <c r="Q338" s="42">
        <v>80</v>
      </c>
      <c r="R338" s="42">
        <v>11</v>
      </c>
      <c r="S338" s="42">
        <v>0.45</v>
      </c>
      <c r="T338" s="10">
        <f>IFERROR(ROUND((Q338/R338),2),"NA")</f>
        <v>7.27</v>
      </c>
      <c r="U338">
        <f t="shared" si="5"/>
        <v>36</v>
      </c>
    </row>
    <row r="339" spans="7:21" x14ac:dyDescent="0.2">
      <c r="G339" s="9" t="s">
        <v>2604</v>
      </c>
      <c r="H339">
        <v>39</v>
      </c>
      <c r="M339" s="1" t="s">
        <v>2604</v>
      </c>
      <c r="N339" s="1">
        <v>29</v>
      </c>
      <c r="P339" s="1" t="s">
        <v>2604</v>
      </c>
      <c r="Q339" s="42">
        <v>39</v>
      </c>
      <c r="R339" s="42">
        <v>29</v>
      </c>
      <c r="S339" s="42">
        <v>0.14000000000000001</v>
      </c>
      <c r="T339" s="10">
        <f>IFERROR(ROUND((Q339/R339),2),"NA")</f>
        <v>1.34</v>
      </c>
      <c r="U339">
        <f t="shared" si="5"/>
        <v>5.4600000000000009</v>
      </c>
    </row>
    <row r="340" spans="7:21" x14ac:dyDescent="0.2">
      <c r="G340" s="9" t="s">
        <v>561</v>
      </c>
      <c r="H340">
        <v>0</v>
      </c>
      <c r="M340" s="1" t="s">
        <v>561</v>
      </c>
      <c r="N340" s="1">
        <v>0</v>
      </c>
      <c r="P340" s="1" t="s">
        <v>561</v>
      </c>
      <c r="Q340" s="42">
        <v>0</v>
      </c>
      <c r="R340" s="42">
        <v>0</v>
      </c>
      <c r="S340" s="42">
        <v>0.16</v>
      </c>
      <c r="T340" s="10" t="str">
        <f>IFERROR(ROUND((Q340/R340),2),"NA")</f>
        <v>NA</v>
      </c>
      <c r="U340">
        <f t="shared" si="5"/>
        <v>0</v>
      </c>
    </row>
    <row r="341" spans="7:21" x14ac:dyDescent="0.2">
      <c r="G341" s="9" t="s">
        <v>2006</v>
      </c>
      <c r="H341">
        <v>78</v>
      </c>
      <c r="M341" s="1" t="s">
        <v>2006</v>
      </c>
      <c r="N341" s="1">
        <v>58</v>
      </c>
      <c r="P341" s="1" t="s">
        <v>2006</v>
      </c>
      <c r="Q341" s="42">
        <v>78</v>
      </c>
      <c r="R341" s="42">
        <v>58</v>
      </c>
      <c r="S341" s="42">
        <v>0.25</v>
      </c>
      <c r="T341" s="10">
        <f>IFERROR(ROUND((Q341/R341),2),"NA")</f>
        <v>1.34</v>
      </c>
      <c r="U341">
        <f t="shared" si="5"/>
        <v>19.5</v>
      </c>
    </row>
    <row r="342" spans="7:21" x14ac:dyDescent="0.2">
      <c r="G342" s="9" t="s">
        <v>918</v>
      </c>
      <c r="H342">
        <v>0</v>
      </c>
      <c r="M342" s="1" t="s">
        <v>918</v>
      </c>
      <c r="N342" s="1">
        <v>313</v>
      </c>
      <c r="P342" s="1" t="s">
        <v>918</v>
      </c>
      <c r="Q342" s="42">
        <v>0</v>
      </c>
      <c r="R342" s="42">
        <v>313</v>
      </c>
      <c r="S342" s="42">
        <v>0</v>
      </c>
      <c r="T342" s="10">
        <f>IFERROR(ROUND((Q342/R342),2),"NA")</f>
        <v>0</v>
      </c>
      <c r="U342">
        <f t="shared" si="5"/>
        <v>0</v>
      </c>
    </row>
    <row r="343" spans="7:21" x14ac:dyDescent="0.2">
      <c r="G343" s="9" t="s">
        <v>1431</v>
      </c>
      <c r="H343">
        <v>0</v>
      </c>
      <c r="M343" s="1" t="s">
        <v>1431</v>
      </c>
      <c r="N343" s="1">
        <v>313</v>
      </c>
      <c r="P343" s="1" t="s">
        <v>1431</v>
      </c>
      <c r="Q343" s="42">
        <v>0</v>
      </c>
      <c r="R343" s="42">
        <v>313</v>
      </c>
      <c r="S343" s="42">
        <v>0.08</v>
      </c>
      <c r="T343" s="10">
        <f>IFERROR(ROUND((Q343/R343),2),"NA")</f>
        <v>0</v>
      </c>
      <c r="U343">
        <f t="shared" si="5"/>
        <v>0</v>
      </c>
    </row>
    <row r="344" spans="7:21" x14ac:dyDescent="0.2">
      <c r="G344" s="9" t="s">
        <v>814</v>
      </c>
      <c r="H344">
        <v>0</v>
      </c>
      <c r="M344" s="1" t="s">
        <v>814</v>
      </c>
      <c r="N344" s="1">
        <v>925</v>
      </c>
      <c r="P344" s="1" t="s">
        <v>814</v>
      </c>
      <c r="Q344" s="42">
        <v>0</v>
      </c>
      <c r="R344" s="42">
        <v>925</v>
      </c>
      <c r="S344" s="42">
        <v>0</v>
      </c>
      <c r="T344" s="10">
        <f>IFERROR(ROUND((Q344/R344),2),"NA")</f>
        <v>0</v>
      </c>
      <c r="U344">
        <f t="shared" si="5"/>
        <v>0</v>
      </c>
    </row>
    <row r="345" spans="7:21" x14ac:dyDescent="0.2">
      <c r="G345" s="9" t="s">
        <v>630</v>
      </c>
      <c r="H345">
        <v>240</v>
      </c>
      <c r="M345" s="1" t="s">
        <v>630</v>
      </c>
      <c r="N345" s="1">
        <v>64</v>
      </c>
      <c r="P345" s="1" t="s">
        <v>630</v>
      </c>
      <c r="Q345" s="42">
        <v>240</v>
      </c>
      <c r="R345" s="42">
        <v>64</v>
      </c>
      <c r="S345" s="42">
        <v>0.09</v>
      </c>
      <c r="T345" s="10">
        <f>IFERROR(ROUND((Q345/R345),2),"NA")</f>
        <v>3.75</v>
      </c>
      <c r="U345">
        <f t="shared" si="5"/>
        <v>21.599999999999998</v>
      </c>
    </row>
    <row r="346" spans="7:21" x14ac:dyDescent="0.2">
      <c r="G346" s="9" t="s">
        <v>2264</v>
      </c>
      <c r="H346">
        <v>30</v>
      </c>
      <c r="M346" s="1" t="s">
        <v>2264</v>
      </c>
      <c r="N346" s="1">
        <v>300</v>
      </c>
      <c r="P346" s="1" t="s">
        <v>2264</v>
      </c>
      <c r="Q346" s="42">
        <v>30</v>
      </c>
      <c r="R346" s="42">
        <v>300</v>
      </c>
      <c r="S346" s="42">
        <v>0.08</v>
      </c>
      <c r="T346" s="10">
        <f>IFERROR(ROUND((Q346/R346),2),"NA")</f>
        <v>0.1</v>
      </c>
      <c r="U346">
        <f t="shared" si="5"/>
        <v>2.4</v>
      </c>
    </row>
    <row r="347" spans="7:21" x14ac:dyDescent="0.2">
      <c r="G347" s="9" t="s">
        <v>263</v>
      </c>
      <c r="H347">
        <v>350</v>
      </c>
      <c r="M347" s="1" t="s">
        <v>263</v>
      </c>
      <c r="N347" s="1">
        <v>313</v>
      </c>
      <c r="P347" s="1" t="s">
        <v>263</v>
      </c>
      <c r="Q347" s="42">
        <v>350</v>
      </c>
      <c r="R347" s="42">
        <v>313</v>
      </c>
      <c r="S347" s="42">
        <v>0.3</v>
      </c>
      <c r="T347" s="10">
        <f>IFERROR(ROUND((Q347/R347),2),"NA")</f>
        <v>1.1200000000000001</v>
      </c>
      <c r="U347">
        <f t="shared" si="5"/>
        <v>105</v>
      </c>
    </row>
    <row r="348" spans="7:21" x14ac:dyDescent="0.2">
      <c r="G348" s="9" t="s">
        <v>882</v>
      </c>
      <c r="H348">
        <v>0</v>
      </c>
      <c r="M348" s="1" t="s">
        <v>882</v>
      </c>
      <c r="N348" s="1">
        <v>1</v>
      </c>
      <c r="P348" s="1" t="s">
        <v>882</v>
      </c>
      <c r="Q348" s="42">
        <v>0</v>
      </c>
      <c r="R348" s="42">
        <v>1</v>
      </c>
      <c r="S348" s="42">
        <v>1</v>
      </c>
      <c r="T348" s="10">
        <f>IFERROR(ROUND((Q348/R348),2),"NA")</f>
        <v>0</v>
      </c>
      <c r="U348">
        <f t="shared" si="5"/>
        <v>0</v>
      </c>
    </row>
    <row r="349" spans="7:21" x14ac:dyDescent="0.2">
      <c r="G349" s="9" t="s">
        <v>2329</v>
      </c>
      <c r="H349">
        <v>70</v>
      </c>
      <c r="M349" s="1" t="s">
        <v>2329</v>
      </c>
      <c r="N349" s="1">
        <v>171</v>
      </c>
      <c r="P349" s="1" t="s">
        <v>2329</v>
      </c>
      <c r="Q349" s="42">
        <v>70</v>
      </c>
      <c r="R349" s="42">
        <v>171</v>
      </c>
      <c r="S349" s="42">
        <v>0</v>
      </c>
      <c r="T349" s="10">
        <f>IFERROR(ROUND((Q349/R349),2),"NA")</f>
        <v>0.41</v>
      </c>
      <c r="U349">
        <f t="shared" si="5"/>
        <v>0</v>
      </c>
    </row>
    <row r="350" spans="7:21" x14ac:dyDescent="0.2">
      <c r="G350" s="9" t="s">
        <v>1031</v>
      </c>
      <c r="H350">
        <v>0</v>
      </c>
      <c r="M350" s="1" t="s">
        <v>1031</v>
      </c>
      <c r="N350" s="1">
        <v>0</v>
      </c>
      <c r="P350" s="1" t="s">
        <v>1031</v>
      </c>
      <c r="Q350" s="42">
        <v>0</v>
      </c>
      <c r="R350" s="42">
        <v>0</v>
      </c>
      <c r="S350" s="42">
        <v>1</v>
      </c>
      <c r="T350" s="10" t="str">
        <f>IFERROR(ROUND((Q350/R350),2),"NA")</f>
        <v>NA</v>
      </c>
      <c r="U350">
        <f t="shared" si="5"/>
        <v>0</v>
      </c>
    </row>
    <row r="351" spans="7:21" x14ac:dyDescent="0.2">
      <c r="G351" s="9" t="s">
        <v>2805</v>
      </c>
      <c r="H351">
        <v>23</v>
      </c>
      <c r="M351" s="1" t="s">
        <v>2805</v>
      </c>
      <c r="N351" s="1">
        <v>21</v>
      </c>
      <c r="P351" s="1" t="s">
        <v>2805</v>
      </c>
      <c r="Q351" s="42">
        <v>23</v>
      </c>
      <c r="R351" s="42">
        <v>21</v>
      </c>
      <c r="S351" s="42">
        <v>0.32</v>
      </c>
      <c r="T351" s="10">
        <f>IFERROR(ROUND((Q351/R351),2),"NA")</f>
        <v>1.1000000000000001</v>
      </c>
      <c r="U351">
        <f t="shared" si="5"/>
        <v>7.36</v>
      </c>
    </row>
    <row r="352" spans="7:21" x14ac:dyDescent="0.2">
      <c r="G352" s="9" t="s">
        <v>1722</v>
      </c>
      <c r="H352">
        <v>160</v>
      </c>
      <c r="M352" s="1" t="s">
        <v>1722</v>
      </c>
      <c r="N352" s="1">
        <v>138</v>
      </c>
      <c r="P352" s="1" t="s">
        <v>1722</v>
      </c>
      <c r="Q352" s="42">
        <v>160</v>
      </c>
      <c r="R352" s="42">
        <v>138</v>
      </c>
      <c r="S352" s="42">
        <v>0.3</v>
      </c>
      <c r="T352" s="10">
        <f>IFERROR(ROUND((Q352/R352),2),"NA")</f>
        <v>1.1599999999999999</v>
      </c>
      <c r="U352">
        <f t="shared" si="5"/>
        <v>48</v>
      </c>
    </row>
    <row r="353" spans="7:21" x14ac:dyDescent="0.2">
      <c r="G353" s="9" t="s">
        <v>375</v>
      </c>
      <c r="H353">
        <v>0</v>
      </c>
      <c r="M353" s="1" t="s">
        <v>375</v>
      </c>
      <c r="N353" s="1">
        <v>56</v>
      </c>
      <c r="P353" s="1" t="s">
        <v>375</v>
      </c>
      <c r="Q353" s="42">
        <v>0</v>
      </c>
      <c r="R353" s="42">
        <v>56</v>
      </c>
      <c r="S353" s="42">
        <v>0.08</v>
      </c>
      <c r="T353" s="10">
        <f>IFERROR(ROUND((Q353/R353),2),"NA")</f>
        <v>0</v>
      </c>
      <c r="U353">
        <f t="shared" si="5"/>
        <v>0</v>
      </c>
    </row>
    <row r="354" spans="7:21" x14ac:dyDescent="0.2">
      <c r="G354" s="9" t="s">
        <v>1449</v>
      </c>
      <c r="H354">
        <v>43</v>
      </c>
      <c r="M354" s="1" t="s">
        <v>1449</v>
      </c>
      <c r="N354" s="1">
        <v>240</v>
      </c>
      <c r="P354" s="1" t="s">
        <v>1449</v>
      </c>
      <c r="Q354" s="42">
        <v>43</v>
      </c>
      <c r="R354" s="42">
        <v>240</v>
      </c>
      <c r="S354" s="42">
        <v>0.08</v>
      </c>
      <c r="T354" s="10">
        <f>IFERROR(ROUND((Q354/R354),2),"NA")</f>
        <v>0.18</v>
      </c>
      <c r="U354">
        <f t="shared" si="5"/>
        <v>3.44</v>
      </c>
    </row>
    <row r="355" spans="7:21" x14ac:dyDescent="0.2">
      <c r="G355" s="9" t="s">
        <v>2254</v>
      </c>
      <c r="H355">
        <v>1000</v>
      </c>
      <c r="M355" s="1" t="s">
        <v>2254</v>
      </c>
      <c r="N355" s="1">
        <v>50</v>
      </c>
      <c r="P355" s="1" t="s">
        <v>2254</v>
      </c>
      <c r="Q355" s="42">
        <v>1000</v>
      </c>
      <c r="R355" s="42">
        <v>50</v>
      </c>
      <c r="S355" s="42">
        <v>1</v>
      </c>
      <c r="T355" s="10">
        <f>IFERROR(ROUND((Q355/R355),2),"NA")</f>
        <v>20</v>
      </c>
      <c r="U355">
        <f t="shared" si="5"/>
        <v>1000</v>
      </c>
    </row>
    <row r="356" spans="7:21" x14ac:dyDescent="0.2">
      <c r="G356" s="9" t="s">
        <v>1666</v>
      </c>
      <c r="H356">
        <v>0</v>
      </c>
      <c r="M356" s="1" t="s">
        <v>1666</v>
      </c>
      <c r="N356" s="1">
        <v>1060</v>
      </c>
      <c r="P356" s="1" t="s">
        <v>1666</v>
      </c>
      <c r="Q356" s="42">
        <v>0</v>
      </c>
      <c r="R356" s="42">
        <v>1060</v>
      </c>
      <c r="S356" s="42">
        <v>0.17499999999999999</v>
      </c>
      <c r="T356" s="10">
        <f>IFERROR(ROUND((Q356/R356),2),"NA")</f>
        <v>0</v>
      </c>
      <c r="U356">
        <f t="shared" si="5"/>
        <v>0</v>
      </c>
    </row>
    <row r="357" spans="7:21" x14ac:dyDescent="0.2">
      <c r="G357" s="9" t="s">
        <v>919</v>
      </c>
      <c r="H357">
        <v>0</v>
      </c>
      <c r="M357" s="1" t="s">
        <v>919</v>
      </c>
      <c r="N357" s="1">
        <v>530</v>
      </c>
      <c r="P357" s="1" t="s">
        <v>919</v>
      </c>
      <c r="Q357" s="42">
        <v>0</v>
      </c>
      <c r="R357" s="42">
        <v>530</v>
      </c>
      <c r="S357" s="42">
        <v>0.25</v>
      </c>
      <c r="T357" s="10">
        <f>IFERROR(ROUND((Q357/R357),2),"NA")</f>
        <v>0</v>
      </c>
      <c r="U357">
        <f t="shared" si="5"/>
        <v>0</v>
      </c>
    </row>
    <row r="358" spans="7:21" x14ac:dyDescent="0.2">
      <c r="G358" s="9" t="s">
        <v>2780</v>
      </c>
      <c r="H358">
        <v>48</v>
      </c>
      <c r="M358" s="1" t="s">
        <v>2780</v>
      </c>
      <c r="N358" s="1">
        <v>64</v>
      </c>
      <c r="P358" s="1" t="s">
        <v>2780</v>
      </c>
      <c r="Q358" s="42">
        <v>48</v>
      </c>
      <c r="R358" s="42">
        <v>64</v>
      </c>
      <c r="S358" s="42">
        <v>0</v>
      </c>
      <c r="T358" s="10">
        <f>IFERROR(ROUND((Q358/R358),2),"NA")</f>
        <v>0.75</v>
      </c>
      <c r="U358">
        <f t="shared" si="5"/>
        <v>0</v>
      </c>
    </row>
    <row r="359" spans="7:21" x14ac:dyDescent="0.2">
      <c r="G359" s="9" t="s">
        <v>1522</v>
      </c>
      <c r="H359">
        <v>0</v>
      </c>
      <c r="M359" s="1" t="s">
        <v>1522</v>
      </c>
      <c r="N359" s="1">
        <v>115</v>
      </c>
      <c r="P359" s="1" t="s">
        <v>1522</v>
      </c>
      <c r="Q359" s="42">
        <v>0</v>
      </c>
      <c r="R359" s="42">
        <v>115</v>
      </c>
      <c r="S359" s="42">
        <v>0</v>
      </c>
      <c r="T359" s="10">
        <f>IFERROR(ROUND((Q359/R359),2),"NA")</f>
        <v>0</v>
      </c>
      <c r="U359">
        <f t="shared" si="5"/>
        <v>0</v>
      </c>
    </row>
    <row r="360" spans="7:21" x14ac:dyDescent="0.2">
      <c r="G360" s="9" t="s">
        <v>2562</v>
      </c>
      <c r="H360">
        <v>87</v>
      </c>
      <c r="M360" s="1" t="s">
        <v>2562</v>
      </c>
      <c r="N360" s="1">
        <v>42.4</v>
      </c>
      <c r="P360" s="1" t="s">
        <v>2562</v>
      </c>
      <c r="Q360" s="42">
        <v>87</v>
      </c>
      <c r="R360" s="42">
        <v>42.4</v>
      </c>
      <c r="S360" s="42">
        <v>1</v>
      </c>
      <c r="T360" s="10">
        <f>IFERROR(ROUND((Q360/R360),2),"NA")</f>
        <v>2.0499999999999998</v>
      </c>
      <c r="U360">
        <f t="shared" si="5"/>
        <v>87</v>
      </c>
    </row>
    <row r="361" spans="7:21" x14ac:dyDescent="0.2">
      <c r="G361" s="9" t="s">
        <v>943</v>
      </c>
      <c r="H361">
        <v>0</v>
      </c>
      <c r="M361" s="1" t="s">
        <v>943</v>
      </c>
      <c r="N361" s="1">
        <v>88</v>
      </c>
      <c r="P361" s="1" t="s">
        <v>943</v>
      </c>
      <c r="Q361" s="42">
        <v>0</v>
      </c>
      <c r="R361" s="42">
        <v>88</v>
      </c>
      <c r="S361" s="42">
        <v>0.6</v>
      </c>
      <c r="T361" s="10">
        <f>IFERROR(ROUND((Q361/R361),2),"NA")</f>
        <v>0</v>
      </c>
      <c r="U361">
        <f t="shared" si="5"/>
        <v>0</v>
      </c>
    </row>
    <row r="362" spans="7:21" x14ac:dyDescent="0.2">
      <c r="G362" s="9" t="s">
        <v>275</v>
      </c>
      <c r="H362">
        <v>360</v>
      </c>
      <c r="M362" s="1" t="s">
        <v>275</v>
      </c>
      <c r="N362" s="1">
        <v>2088</v>
      </c>
      <c r="P362" s="1" t="s">
        <v>275</v>
      </c>
      <c r="Q362" s="42">
        <v>360</v>
      </c>
      <c r="R362" s="42">
        <v>2088</v>
      </c>
      <c r="S362" s="42">
        <v>0.14333333333333334</v>
      </c>
      <c r="T362" s="10">
        <f>IFERROR(ROUND((Q362/R362),2),"NA")</f>
        <v>0.17</v>
      </c>
      <c r="U362">
        <f t="shared" si="5"/>
        <v>51.6</v>
      </c>
    </row>
    <row r="363" spans="7:21" x14ac:dyDescent="0.2">
      <c r="G363" s="9" t="s">
        <v>2782</v>
      </c>
      <c r="H363">
        <v>25</v>
      </c>
      <c r="M363" s="1" t="s">
        <v>2782</v>
      </c>
      <c r="N363" s="1">
        <v>0</v>
      </c>
      <c r="P363" s="1" t="s">
        <v>2782</v>
      </c>
      <c r="Q363" s="42">
        <v>25</v>
      </c>
      <c r="R363" s="42">
        <v>0</v>
      </c>
      <c r="S363" s="42">
        <v>0.25</v>
      </c>
      <c r="T363" s="10" t="str">
        <f>IFERROR(ROUND((Q363/R363),2),"NA")</f>
        <v>NA</v>
      </c>
      <c r="U363">
        <f t="shared" si="5"/>
        <v>6.25</v>
      </c>
    </row>
    <row r="364" spans="7:21" x14ac:dyDescent="0.2">
      <c r="G364" s="9" t="s">
        <v>1756</v>
      </c>
      <c r="H364">
        <v>600</v>
      </c>
      <c r="M364" s="1" t="s">
        <v>1756</v>
      </c>
      <c r="N364" s="1">
        <v>0</v>
      </c>
      <c r="P364" s="1" t="s">
        <v>1756</v>
      </c>
      <c r="Q364" s="42">
        <v>600</v>
      </c>
      <c r="R364" s="42">
        <v>0</v>
      </c>
      <c r="S364" s="42">
        <v>0.3</v>
      </c>
      <c r="T364" s="10" t="str">
        <f>IFERROR(ROUND((Q364/R364),2),"NA")</f>
        <v>NA</v>
      </c>
      <c r="U364">
        <f t="shared" si="5"/>
        <v>180</v>
      </c>
    </row>
    <row r="365" spans="7:21" x14ac:dyDescent="0.2">
      <c r="G365" s="9" t="s">
        <v>198</v>
      </c>
      <c r="H365">
        <v>5500</v>
      </c>
      <c r="M365" s="1" t="s">
        <v>198</v>
      </c>
      <c r="N365" s="1">
        <v>22000</v>
      </c>
      <c r="P365" s="1" t="s">
        <v>198</v>
      </c>
      <c r="Q365" s="42">
        <v>5500</v>
      </c>
      <c r="R365" s="42">
        <v>22000</v>
      </c>
      <c r="S365" s="42">
        <v>0.04</v>
      </c>
      <c r="T365" s="10">
        <f>IFERROR(ROUND((Q365/R365),2),"NA")</f>
        <v>0.25</v>
      </c>
      <c r="U365">
        <f t="shared" si="5"/>
        <v>220</v>
      </c>
    </row>
    <row r="366" spans="7:21" x14ac:dyDescent="0.2">
      <c r="G366" s="9" t="s">
        <v>548</v>
      </c>
      <c r="H366">
        <v>4750</v>
      </c>
      <c r="M366" s="1" t="s">
        <v>548</v>
      </c>
      <c r="N366" s="1">
        <v>45000</v>
      </c>
      <c r="P366" s="1" t="s">
        <v>548</v>
      </c>
      <c r="Q366" s="42">
        <v>4750</v>
      </c>
      <c r="R366" s="42">
        <v>45000</v>
      </c>
      <c r="S366" s="42">
        <v>0.1</v>
      </c>
      <c r="T366" s="10">
        <f>IFERROR(ROUND((Q366/R366),2),"NA")</f>
        <v>0.11</v>
      </c>
      <c r="U366">
        <f t="shared" si="5"/>
        <v>475</v>
      </c>
    </row>
    <row r="367" spans="7:21" x14ac:dyDescent="0.2">
      <c r="G367" s="9" t="s">
        <v>2584</v>
      </c>
      <c r="H367">
        <v>0</v>
      </c>
      <c r="M367" s="1" t="s">
        <v>2584</v>
      </c>
      <c r="N367" s="1">
        <v>1200</v>
      </c>
      <c r="P367" s="1" t="s">
        <v>2584</v>
      </c>
      <c r="Q367" s="42">
        <v>0</v>
      </c>
      <c r="R367" s="42">
        <v>1200</v>
      </c>
      <c r="S367" s="42">
        <v>0</v>
      </c>
      <c r="T367" s="10">
        <f>IFERROR(ROUND((Q367/R367),2),"NA")</f>
        <v>0</v>
      </c>
      <c r="U367">
        <f t="shared" si="5"/>
        <v>0</v>
      </c>
    </row>
    <row r="368" spans="7:21" x14ac:dyDescent="0.2">
      <c r="G368" s="9" t="s">
        <v>644</v>
      </c>
      <c r="H368">
        <v>100</v>
      </c>
      <c r="M368" s="1" t="s">
        <v>644</v>
      </c>
      <c r="N368" s="1">
        <v>1074</v>
      </c>
      <c r="P368" s="1" t="s">
        <v>644</v>
      </c>
      <c r="Q368" s="42">
        <v>100</v>
      </c>
      <c r="R368" s="42">
        <v>1074</v>
      </c>
      <c r="S368" s="42">
        <v>2.5000000000000001E-2</v>
      </c>
      <c r="T368" s="10">
        <f>IFERROR(ROUND((Q368/R368),2),"NA")</f>
        <v>0.09</v>
      </c>
      <c r="U368">
        <f t="shared" si="5"/>
        <v>2.5</v>
      </c>
    </row>
    <row r="369" spans="7:21" x14ac:dyDescent="0.2">
      <c r="G369" s="9" t="s">
        <v>556</v>
      </c>
      <c r="H369">
        <v>0</v>
      </c>
      <c r="M369" s="1" t="s">
        <v>556</v>
      </c>
      <c r="N369" s="1">
        <v>228</v>
      </c>
      <c r="P369" s="1" t="s">
        <v>556</v>
      </c>
      <c r="Q369" s="42">
        <v>0</v>
      </c>
      <c r="R369" s="42">
        <v>228</v>
      </c>
      <c r="S369" s="42">
        <v>0</v>
      </c>
      <c r="T369" s="10">
        <f>IFERROR(ROUND((Q369/R369),2),"NA")</f>
        <v>0</v>
      </c>
      <c r="U369">
        <f t="shared" si="5"/>
        <v>0</v>
      </c>
    </row>
    <row r="370" spans="7:21" x14ac:dyDescent="0.2">
      <c r="G370" s="9" t="s">
        <v>1424</v>
      </c>
      <c r="H370">
        <v>60</v>
      </c>
      <c r="M370" s="1" t="s">
        <v>1424</v>
      </c>
      <c r="N370" s="1">
        <v>2300</v>
      </c>
      <c r="P370" s="1" t="s">
        <v>1424</v>
      </c>
      <c r="Q370" s="42">
        <v>60</v>
      </c>
      <c r="R370" s="42">
        <v>2300</v>
      </c>
      <c r="S370" s="42">
        <v>0.06</v>
      </c>
      <c r="T370" s="10">
        <f>IFERROR(ROUND((Q370/R370),2),"NA")</f>
        <v>0.03</v>
      </c>
      <c r="U370">
        <f t="shared" si="5"/>
        <v>3.5999999999999996</v>
      </c>
    </row>
    <row r="371" spans="7:21" x14ac:dyDescent="0.2">
      <c r="G371" s="9" t="s">
        <v>118</v>
      </c>
      <c r="H371">
        <v>29</v>
      </c>
      <c r="M371" s="1" t="s">
        <v>118</v>
      </c>
      <c r="N371" s="1">
        <v>601</v>
      </c>
      <c r="P371" s="1" t="s">
        <v>118</v>
      </c>
      <c r="Q371" s="42">
        <v>29</v>
      </c>
      <c r="R371" s="42">
        <v>601</v>
      </c>
      <c r="S371" s="42">
        <v>0</v>
      </c>
      <c r="T371" s="10">
        <f>IFERROR(ROUND((Q371/R371),2),"NA")</f>
        <v>0.05</v>
      </c>
      <c r="U371">
        <f t="shared" si="5"/>
        <v>0</v>
      </c>
    </row>
    <row r="372" spans="7:21" x14ac:dyDescent="0.2">
      <c r="G372" s="9" t="s">
        <v>2937</v>
      </c>
      <c r="H372">
        <v>0</v>
      </c>
      <c r="M372" s="1" t="s">
        <v>2937</v>
      </c>
      <c r="N372" s="1">
        <v>3</v>
      </c>
      <c r="P372" s="1" t="s">
        <v>2937</v>
      </c>
      <c r="Q372" s="42">
        <v>0</v>
      </c>
      <c r="R372" s="42">
        <v>3</v>
      </c>
      <c r="S372" s="42">
        <v>0.2</v>
      </c>
      <c r="T372" s="10">
        <f>IFERROR(ROUND((Q372/R372),2),"NA")</f>
        <v>0</v>
      </c>
      <c r="U372">
        <f t="shared" si="5"/>
        <v>0</v>
      </c>
    </row>
    <row r="373" spans="7:21" x14ac:dyDescent="0.2">
      <c r="G373" s="9" t="s">
        <v>2657</v>
      </c>
      <c r="H373">
        <v>28</v>
      </c>
      <c r="M373" s="1" t="s">
        <v>2657</v>
      </c>
      <c r="N373" s="1">
        <v>133</v>
      </c>
      <c r="P373" s="1" t="s">
        <v>2657</v>
      </c>
      <c r="Q373" s="42">
        <v>28</v>
      </c>
      <c r="R373" s="42">
        <v>133</v>
      </c>
      <c r="S373" s="42">
        <v>0.25</v>
      </c>
      <c r="T373" s="10">
        <f>IFERROR(ROUND((Q373/R373),2),"NA")</f>
        <v>0.21</v>
      </c>
      <c r="U373">
        <f t="shared" si="5"/>
        <v>7</v>
      </c>
    </row>
    <row r="374" spans="7:21" x14ac:dyDescent="0.2">
      <c r="G374" s="9" t="s">
        <v>336</v>
      </c>
      <c r="H374">
        <v>0</v>
      </c>
      <c r="M374" s="1" t="s">
        <v>336</v>
      </c>
      <c r="N374" s="1">
        <v>74</v>
      </c>
      <c r="P374" s="1" t="s">
        <v>336</v>
      </c>
      <c r="Q374" s="42">
        <v>0</v>
      </c>
      <c r="R374" s="42">
        <v>74</v>
      </c>
      <c r="S374" s="42">
        <v>1</v>
      </c>
      <c r="T374" s="10">
        <f>IFERROR(ROUND((Q374/R374),2),"NA")</f>
        <v>0</v>
      </c>
      <c r="U374">
        <f t="shared" si="5"/>
        <v>0</v>
      </c>
    </row>
    <row r="375" spans="7:21" x14ac:dyDescent="0.2">
      <c r="G375" s="9" t="s">
        <v>578</v>
      </c>
      <c r="H375">
        <v>50</v>
      </c>
      <c r="M375" s="1" t="s">
        <v>578</v>
      </c>
      <c r="N375" s="1">
        <v>0</v>
      </c>
      <c r="P375" s="1" t="s">
        <v>578</v>
      </c>
      <c r="Q375" s="42">
        <v>50</v>
      </c>
      <c r="R375" s="42">
        <v>0</v>
      </c>
      <c r="S375" s="42">
        <v>0.3</v>
      </c>
      <c r="T375" s="10" t="str">
        <f>IFERROR(ROUND((Q375/R375),2),"NA")</f>
        <v>NA</v>
      </c>
      <c r="U375">
        <f t="shared" si="5"/>
        <v>15</v>
      </c>
    </row>
    <row r="376" spans="7:21" x14ac:dyDescent="0.2">
      <c r="G376" s="9" t="s">
        <v>870</v>
      </c>
      <c r="H376">
        <v>60</v>
      </c>
      <c r="M376" s="1" t="s">
        <v>870</v>
      </c>
      <c r="N376" s="1">
        <v>351</v>
      </c>
      <c r="P376" s="1" t="s">
        <v>870</v>
      </c>
      <c r="Q376" s="42">
        <v>60</v>
      </c>
      <c r="R376" s="42">
        <v>351</v>
      </c>
      <c r="S376" s="42">
        <v>0.1</v>
      </c>
      <c r="T376" s="10">
        <f>IFERROR(ROUND((Q376/R376),2),"NA")</f>
        <v>0.17</v>
      </c>
      <c r="U376">
        <f t="shared" si="5"/>
        <v>6</v>
      </c>
    </row>
    <row r="377" spans="7:21" x14ac:dyDescent="0.2">
      <c r="G377" s="9" t="s">
        <v>1178</v>
      </c>
      <c r="H377">
        <v>156</v>
      </c>
      <c r="M377" s="1" t="s">
        <v>1178</v>
      </c>
      <c r="N377" s="1">
        <v>254</v>
      </c>
      <c r="P377" s="1" t="s">
        <v>1178</v>
      </c>
      <c r="Q377" s="42">
        <v>156</v>
      </c>
      <c r="R377" s="42">
        <v>254</v>
      </c>
      <c r="S377" s="42">
        <v>0.21</v>
      </c>
      <c r="T377" s="10">
        <f>IFERROR(ROUND((Q377/R377),2),"NA")</f>
        <v>0.61</v>
      </c>
      <c r="U377">
        <f t="shared" si="5"/>
        <v>32.76</v>
      </c>
    </row>
    <row r="378" spans="7:21" x14ac:dyDescent="0.2">
      <c r="G378" s="9" t="s">
        <v>823</v>
      </c>
      <c r="H378">
        <v>74</v>
      </c>
      <c r="M378" s="1" t="s">
        <v>823</v>
      </c>
      <c r="N378" s="1">
        <v>150</v>
      </c>
      <c r="P378" s="1" t="s">
        <v>823</v>
      </c>
      <c r="Q378" s="42">
        <v>74</v>
      </c>
      <c r="R378" s="42">
        <v>150</v>
      </c>
      <c r="S378" s="42">
        <v>0</v>
      </c>
      <c r="T378" s="10">
        <f>IFERROR(ROUND((Q378/R378),2),"NA")</f>
        <v>0.49</v>
      </c>
      <c r="U378">
        <f t="shared" si="5"/>
        <v>0</v>
      </c>
    </row>
    <row r="379" spans="7:21" x14ac:dyDescent="0.2">
      <c r="G379" s="9" t="s">
        <v>1962</v>
      </c>
      <c r="H379">
        <v>140</v>
      </c>
      <c r="M379" s="1" t="s">
        <v>1962</v>
      </c>
      <c r="N379" s="1">
        <v>0</v>
      </c>
      <c r="P379" s="1" t="s">
        <v>1962</v>
      </c>
      <c r="Q379" s="42">
        <v>140</v>
      </c>
      <c r="R379" s="42">
        <v>0</v>
      </c>
      <c r="S379" s="42">
        <v>0</v>
      </c>
      <c r="T379" s="10" t="str">
        <f>IFERROR(ROUND((Q379/R379),2),"NA")</f>
        <v>NA</v>
      </c>
      <c r="U379">
        <f t="shared" si="5"/>
        <v>0</v>
      </c>
    </row>
    <row r="380" spans="7:21" x14ac:dyDescent="0.2">
      <c r="G380" s="9" t="s">
        <v>2126</v>
      </c>
      <c r="H380">
        <v>90</v>
      </c>
      <c r="M380" s="1" t="s">
        <v>2126</v>
      </c>
      <c r="N380" s="1">
        <v>218</v>
      </c>
      <c r="P380" s="1" t="s">
        <v>2126</v>
      </c>
      <c r="Q380" s="42">
        <v>90</v>
      </c>
      <c r="R380" s="42">
        <v>218</v>
      </c>
      <c r="S380" s="42">
        <v>0.2</v>
      </c>
      <c r="T380" s="10">
        <f>IFERROR(ROUND((Q380/R380),2),"NA")</f>
        <v>0.41</v>
      </c>
      <c r="U380">
        <f t="shared" si="5"/>
        <v>18</v>
      </c>
    </row>
    <row r="381" spans="7:21" x14ac:dyDescent="0.2">
      <c r="G381" s="9" t="s">
        <v>855</v>
      </c>
      <c r="H381">
        <v>0</v>
      </c>
      <c r="M381" s="1" t="s">
        <v>855</v>
      </c>
      <c r="N381" s="1">
        <v>200</v>
      </c>
      <c r="P381" s="1" t="s">
        <v>855</v>
      </c>
      <c r="Q381" s="42">
        <v>0</v>
      </c>
      <c r="R381" s="42">
        <v>200</v>
      </c>
      <c r="S381" s="42">
        <v>0</v>
      </c>
      <c r="T381" s="10">
        <f>IFERROR(ROUND((Q381/R381),2),"NA")</f>
        <v>0</v>
      </c>
      <c r="U381">
        <f t="shared" si="5"/>
        <v>0</v>
      </c>
    </row>
    <row r="382" spans="7:21" x14ac:dyDescent="0.2">
      <c r="G382" s="9" t="s">
        <v>892</v>
      </c>
      <c r="H382">
        <v>247</v>
      </c>
      <c r="M382" s="1" t="s">
        <v>892</v>
      </c>
      <c r="N382" s="1">
        <v>495</v>
      </c>
      <c r="P382" s="1" t="s">
        <v>892</v>
      </c>
      <c r="Q382" s="42">
        <v>247</v>
      </c>
      <c r="R382" s="42">
        <v>495</v>
      </c>
      <c r="S382" s="42">
        <v>0.25</v>
      </c>
      <c r="T382" s="10">
        <f>IFERROR(ROUND((Q382/R382),2),"NA")</f>
        <v>0.5</v>
      </c>
      <c r="U382">
        <f t="shared" si="5"/>
        <v>61.75</v>
      </c>
    </row>
    <row r="383" spans="7:21" x14ac:dyDescent="0.2">
      <c r="G383" s="9" t="s">
        <v>1520</v>
      </c>
      <c r="H383">
        <v>0</v>
      </c>
      <c r="M383" s="1" t="s">
        <v>1520</v>
      </c>
      <c r="N383" s="1">
        <v>16</v>
      </c>
      <c r="P383" s="1" t="s">
        <v>1520</v>
      </c>
      <c r="Q383" s="42">
        <v>0</v>
      </c>
      <c r="R383" s="42">
        <v>16</v>
      </c>
      <c r="S383" s="42">
        <v>0</v>
      </c>
      <c r="T383" s="10">
        <f>IFERROR(ROUND((Q383/R383),2),"NA")</f>
        <v>0</v>
      </c>
      <c r="U383">
        <f t="shared" si="5"/>
        <v>0</v>
      </c>
    </row>
    <row r="384" spans="7:21" x14ac:dyDescent="0.2">
      <c r="G384" s="9" t="s">
        <v>1086</v>
      </c>
      <c r="H384">
        <v>0</v>
      </c>
      <c r="M384" s="1" t="s">
        <v>1086</v>
      </c>
      <c r="N384" s="1">
        <v>30</v>
      </c>
      <c r="P384" s="1" t="s">
        <v>1086</v>
      </c>
      <c r="Q384" s="42">
        <v>0</v>
      </c>
      <c r="R384" s="42">
        <v>30</v>
      </c>
      <c r="S384" s="42">
        <v>1</v>
      </c>
      <c r="T384" s="10">
        <f>IFERROR(ROUND((Q384/R384),2),"NA")</f>
        <v>0</v>
      </c>
      <c r="U384">
        <f t="shared" si="5"/>
        <v>0</v>
      </c>
    </row>
    <row r="385" spans="7:21" x14ac:dyDescent="0.2">
      <c r="G385" s="9" t="s">
        <v>2030</v>
      </c>
      <c r="H385">
        <v>0</v>
      </c>
      <c r="M385" s="1" t="s">
        <v>2030</v>
      </c>
      <c r="N385" s="1">
        <v>5</v>
      </c>
      <c r="P385" s="1" t="s">
        <v>2030</v>
      </c>
      <c r="Q385" s="42">
        <v>0</v>
      </c>
      <c r="R385" s="42">
        <v>5</v>
      </c>
      <c r="S385" s="42">
        <v>0</v>
      </c>
      <c r="T385" s="10">
        <f>IFERROR(ROUND((Q385/R385),2),"NA")</f>
        <v>0</v>
      </c>
      <c r="U385">
        <f t="shared" si="5"/>
        <v>0</v>
      </c>
    </row>
    <row r="386" spans="7:21" x14ac:dyDescent="0.2">
      <c r="G386" s="9" t="s">
        <v>1266</v>
      </c>
      <c r="H386">
        <v>0</v>
      </c>
      <c r="M386" s="1" t="s">
        <v>1266</v>
      </c>
      <c r="N386" s="1">
        <v>23</v>
      </c>
      <c r="P386" s="1" t="s">
        <v>1266</v>
      </c>
      <c r="Q386" s="42">
        <v>0</v>
      </c>
      <c r="R386" s="42">
        <v>23</v>
      </c>
      <c r="S386" s="42">
        <v>0</v>
      </c>
      <c r="T386" s="10">
        <f>IFERROR(ROUND((Q386/R386),2),"NA")</f>
        <v>0</v>
      </c>
      <c r="U386">
        <f t="shared" si="5"/>
        <v>0</v>
      </c>
    </row>
    <row r="387" spans="7:21" x14ac:dyDescent="0.2">
      <c r="G387" s="9" t="s">
        <v>949</v>
      </c>
      <c r="H387">
        <v>63</v>
      </c>
      <c r="M387" s="1" t="s">
        <v>949</v>
      </c>
      <c r="N387" s="1">
        <v>238</v>
      </c>
      <c r="P387" s="1" t="s">
        <v>949</v>
      </c>
      <c r="Q387" s="42">
        <v>63</v>
      </c>
      <c r="R387" s="42">
        <v>238</v>
      </c>
      <c r="S387" s="42">
        <v>0.33</v>
      </c>
      <c r="T387" s="10">
        <f>IFERROR(ROUND((Q387/R387),2),"NA")</f>
        <v>0.26</v>
      </c>
      <c r="U387">
        <f t="shared" si="5"/>
        <v>20.790000000000003</v>
      </c>
    </row>
    <row r="388" spans="7:21" x14ac:dyDescent="0.2">
      <c r="G388" s="9" t="s">
        <v>2277</v>
      </c>
      <c r="H388">
        <v>58</v>
      </c>
      <c r="M388" s="1" t="s">
        <v>2277</v>
      </c>
      <c r="N388" s="1">
        <v>300</v>
      </c>
      <c r="P388" s="1" t="s">
        <v>2277</v>
      </c>
      <c r="Q388" s="42">
        <v>58</v>
      </c>
      <c r="R388" s="42">
        <v>300</v>
      </c>
      <c r="S388" s="42">
        <v>0.06</v>
      </c>
      <c r="T388" s="10">
        <f>IFERROR(ROUND((Q388/R388),2),"NA")</f>
        <v>0.19</v>
      </c>
      <c r="U388">
        <f t="shared" si="5"/>
        <v>3.48</v>
      </c>
    </row>
    <row r="389" spans="7:21" x14ac:dyDescent="0.2">
      <c r="G389" s="9" t="s">
        <v>2842</v>
      </c>
      <c r="H389">
        <v>0</v>
      </c>
      <c r="M389" s="1" t="s">
        <v>2842</v>
      </c>
      <c r="N389" s="1">
        <v>102</v>
      </c>
      <c r="P389" s="1" t="s">
        <v>2842</v>
      </c>
      <c r="Q389" s="42">
        <v>0</v>
      </c>
      <c r="R389" s="42">
        <v>102</v>
      </c>
      <c r="S389" s="42">
        <v>0</v>
      </c>
      <c r="T389" s="10">
        <f>IFERROR(ROUND((Q389/R389),2),"NA")</f>
        <v>0</v>
      </c>
      <c r="U389">
        <f t="shared" ref="U389:U452" si="6">Q389*S389</f>
        <v>0</v>
      </c>
    </row>
    <row r="390" spans="7:21" x14ac:dyDescent="0.2">
      <c r="G390" s="9" t="s">
        <v>1531</v>
      </c>
      <c r="H390">
        <v>1100</v>
      </c>
      <c r="M390" s="1" t="s">
        <v>1531</v>
      </c>
      <c r="N390" s="1">
        <v>0</v>
      </c>
      <c r="P390" s="1" t="s">
        <v>1531</v>
      </c>
      <c r="Q390" s="42">
        <v>1100</v>
      </c>
      <c r="R390" s="42">
        <v>0</v>
      </c>
      <c r="S390" s="42">
        <v>0</v>
      </c>
      <c r="T390" s="10" t="str">
        <f>IFERROR(ROUND((Q390/R390),2),"NA")</f>
        <v>NA</v>
      </c>
      <c r="U390">
        <f t="shared" si="6"/>
        <v>0</v>
      </c>
    </row>
    <row r="391" spans="7:21" x14ac:dyDescent="0.2">
      <c r="G391" s="9" t="s">
        <v>2058</v>
      </c>
      <c r="H391">
        <v>0</v>
      </c>
      <c r="M391" s="1" t="s">
        <v>2058</v>
      </c>
      <c r="N391" s="1">
        <v>33</v>
      </c>
      <c r="P391" s="1" t="s">
        <v>2058</v>
      </c>
      <c r="Q391" s="42">
        <v>0</v>
      </c>
      <c r="R391" s="42">
        <v>33</v>
      </c>
      <c r="S391" s="42">
        <v>0</v>
      </c>
      <c r="T391" s="10">
        <f>IFERROR(ROUND((Q391/R391),2),"NA")</f>
        <v>0</v>
      </c>
      <c r="U391">
        <f t="shared" si="6"/>
        <v>0</v>
      </c>
    </row>
    <row r="392" spans="7:21" x14ac:dyDescent="0.2">
      <c r="G392" s="9" t="s">
        <v>1833</v>
      </c>
      <c r="H392">
        <v>37</v>
      </c>
      <c r="M392" s="1" t="s">
        <v>1833</v>
      </c>
      <c r="N392" s="1">
        <v>562</v>
      </c>
      <c r="P392" s="1" t="s">
        <v>1833</v>
      </c>
      <c r="Q392" s="42">
        <v>37</v>
      </c>
      <c r="R392" s="42">
        <v>562</v>
      </c>
      <c r="S392" s="42">
        <v>0.25</v>
      </c>
      <c r="T392" s="10">
        <f>IFERROR(ROUND((Q392/R392),2),"NA")</f>
        <v>7.0000000000000007E-2</v>
      </c>
      <c r="U392">
        <f t="shared" si="6"/>
        <v>9.25</v>
      </c>
    </row>
    <row r="393" spans="7:21" x14ac:dyDescent="0.2">
      <c r="G393" s="9" t="s">
        <v>2223</v>
      </c>
      <c r="H393">
        <v>0</v>
      </c>
      <c r="M393" s="1" t="s">
        <v>2223</v>
      </c>
      <c r="N393" s="1">
        <v>570</v>
      </c>
      <c r="P393" s="1" t="s">
        <v>2223</v>
      </c>
      <c r="Q393" s="42">
        <v>0</v>
      </c>
      <c r="R393" s="42">
        <v>570</v>
      </c>
      <c r="S393" s="42">
        <v>0.13</v>
      </c>
      <c r="T393" s="10">
        <f>IFERROR(ROUND((Q393/R393),2),"NA")</f>
        <v>0</v>
      </c>
      <c r="U393">
        <f t="shared" si="6"/>
        <v>0</v>
      </c>
    </row>
    <row r="394" spans="7:21" x14ac:dyDescent="0.2">
      <c r="G394" s="9" t="s">
        <v>1594</v>
      </c>
      <c r="H394">
        <v>120</v>
      </c>
      <c r="M394" s="1" t="s">
        <v>1594</v>
      </c>
      <c r="N394" s="1">
        <v>126</v>
      </c>
      <c r="P394" s="1" t="s">
        <v>1594</v>
      </c>
      <c r="Q394" s="42">
        <v>120</v>
      </c>
      <c r="R394" s="42">
        <v>126</v>
      </c>
      <c r="S394" s="42">
        <v>0</v>
      </c>
      <c r="T394" s="10">
        <f>IFERROR(ROUND((Q394/R394),2),"NA")</f>
        <v>0.95</v>
      </c>
      <c r="U394">
        <f t="shared" si="6"/>
        <v>0</v>
      </c>
    </row>
    <row r="395" spans="7:21" x14ac:dyDescent="0.2">
      <c r="G395" s="9" t="s">
        <v>772</v>
      </c>
      <c r="H395">
        <v>8</v>
      </c>
      <c r="M395" s="1" t="s">
        <v>772</v>
      </c>
      <c r="N395" s="1">
        <v>4</v>
      </c>
      <c r="P395" s="1" t="s">
        <v>772</v>
      </c>
      <c r="Q395" s="42">
        <v>8</v>
      </c>
      <c r="R395" s="42">
        <v>4</v>
      </c>
      <c r="S395" s="42">
        <v>0.03</v>
      </c>
      <c r="T395" s="10">
        <f>IFERROR(ROUND((Q395/R395),2),"NA")</f>
        <v>2</v>
      </c>
      <c r="U395">
        <f t="shared" si="6"/>
        <v>0.24</v>
      </c>
    </row>
    <row r="396" spans="7:21" x14ac:dyDescent="0.2">
      <c r="G396" s="9" t="s">
        <v>1862</v>
      </c>
      <c r="H396">
        <v>31</v>
      </c>
      <c r="M396" s="1" t="s">
        <v>1862</v>
      </c>
      <c r="N396" s="1">
        <v>164</v>
      </c>
      <c r="P396" s="1" t="s">
        <v>1862</v>
      </c>
      <c r="Q396" s="42">
        <v>31</v>
      </c>
      <c r="R396" s="42">
        <v>164</v>
      </c>
      <c r="S396" s="42">
        <v>0.1</v>
      </c>
      <c r="T396" s="10">
        <f>IFERROR(ROUND((Q396/R396),2),"NA")</f>
        <v>0.19</v>
      </c>
      <c r="U396">
        <f t="shared" si="6"/>
        <v>3.1</v>
      </c>
    </row>
    <row r="397" spans="7:21" x14ac:dyDescent="0.2">
      <c r="G397" s="9" t="s">
        <v>1958</v>
      </c>
      <c r="H397">
        <v>0</v>
      </c>
      <c r="M397" s="1" t="s">
        <v>1958</v>
      </c>
      <c r="N397" s="1">
        <v>683</v>
      </c>
      <c r="P397" s="1" t="s">
        <v>1958</v>
      </c>
      <c r="Q397" s="42">
        <v>0</v>
      </c>
      <c r="R397" s="42">
        <v>683</v>
      </c>
      <c r="S397" s="42">
        <v>0</v>
      </c>
      <c r="T397" s="10">
        <f>IFERROR(ROUND((Q397/R397),2),"NA")</f>
        <v>0</v>
      </c>
      <c r="U397">
        <f t="shared" si="6"/>
        <v>0</v>
      </c>
    </row>
    <row r="398" spans="7:21" x14ac:dyDescent="0.2">
      <c r="G398" s="9" t="s">
        <v>269</v>
      </c>
      <c r="H398">
        <v>620</v>
      </c>
      <c r="M398" s="1" t="s">
        <v>269</v>
      </c>
      <c r="N398" s="1">
        <v>2088</v>
      </c>
      <c r="P398" s="1" t="s">
        <v>269</v>
      </c>
      <c r="Q398" s="42">
        <v>620</v>
      </c>
      <c r="R398" s="42">
        <v>2088</v>
      </c>
      <c r="S398" s="42">
        <v>6.5000000000000002E-2</v>
      </c>
      <c r="T398" s="10">
        <f>IFERROR(ROUND((Q398/R398),2),"NA")</f>
        <v>0.3</v>
      </c>
      <c r="U398">
        <f t="shared" si="6"/>
        <v>40.300000000000004</v>
      </c>
    </row>
    <row r="399" spans="7:21" x14ac:dyDescent="0.2">
      <c r="G399" s="9" t="s">
        <v>2158</v>
      </c>
      <c r="H399">
        <v>200</v>
      </c>
      <c r="M399" s="1" t="s">
        <v>2158</v>
      </c>
      <c r="N399" s="1">
        <v>744</v>
      </c>
      <c r="P399" s="1" t="s">
        <v>2158</v>
      </c>
      <c r="Q399" s="42">
        <v>200</v>
      </c>
      <c r="R399" s="42">
        <v>744</v>
      </c>
      <c r="S399" s="42">
        <v>0</v>
      </c>
      <c r="T399" s="10">
        <f>IFERROR(ROUND((Q399/R399),2),"NA")</f>
        <v>0.27</v>
      </c>
      <c r="U399">
        <f t="shared" si="6"/>
        <v>0</v>
      </c>
    </row>
    <row r="400" spans="7:21" x14ac:dyDescent="0.2">
      <c r="G400" s="9" t="s">
        <v>1878</v>
      </c>
      <c r="H400">
        <v>51</v>
      </c>
      <c r="M400" s="1" t="s">
        <v>1878</v>
      </c>
      <c r="N400" s="1">
        <v>212</v>
      </c>
      <c r="P400" s="1" t="s">
        <v>1878</v>
      </c>
      <c r="Q400" s="42">
        <v>51</v>
      </c>
      <c r="R400" s="42">
        <v>212</v>
      </c>
      <c r="S400" s="42">
        <v>0</v>
      </c>
      <c r="T400" s="10">
        <f>IFERROR(ROUND((Q400/R400),2),"NA")</f>
        <v>0.24</v>
      </c>
      <c r="U400">
        <f t="shared" si="6"/>
        <v>0</v>
      </c>
    </row>
    <row r="401" spans="7:21" x14ac:dyDescent="0.2">
      <c r="G401" s="9" t="s">
        <v>2691</v>
      </c>
      <c r="H401">
        <v>81</v>
      </c>
      <c r="M401" s="1" t="s">
        <v>2691</v>
      </c>
      <c r="N401" s="1">
        <v>156</v>
      </c>
      <c r="P401" s="1" t="s">
        <v>2691</v>
      </c>
      <c r="Q401" s="42">
        <v>81</v>
      </c>
      <c r="R401" s="42">
        <v>156</v>
      </c>
      <c r="S401" s="42">
        <v>0</v>
      </c>
      <c r="T401" s="10">
        <f>IFERROR(ROUND((Q401/R401),2),"NA")</f>
        <v>0.52</v>
      </c>
      <c r="U401">
        <f t="shared" si="6"/>
        <v>0</v>
      </c>
    </row>
    <row r="402" spans="7:21" x14ac:dyDescent="0.2">
      <c r="G402" s="9" t="s">
        <v>2675</v>
      </c>
      <c r="H402">
        <v>536</v>
      </c>
      <c r="M402" s="1" t="s">
        <v>2675</v>
      </c>
      <c r="N402" s="1">
        <v>771</v>
      </c>
      <c r="P402" s="1" t="s">
        <v>2675</v>
      </c>
      <c r="Q402" s="42">
        <v>536</v>
      </c>
      <c r="R402" s="42">
        <v>771</v>
      </c>
      <c r="S402" s="42">
        <v>0.31</v>
      </c>
      <c r="T402" s="10">
        <f>IFERROR(ROUND((Q402/R402),2),"NA")</f>
        <v>0.7</v>
      </c>
      <c r="U402">
        <f t="shared" si="6"/>
        <v>166.16</v>
      </c>
    </row>
    <row r="403" spans="7:21" x14ac:dyDescent="0.2">
      <c r="G403" s="9" t="s">
        <v>1615</v>
      </c>
      <c r="H403">
        <v>82</v>
      </c>
      <c r="M403" s="1" t="s">
        <v>1615</v>
      </c>
      <c r="N403" s="1">
        <v>102</v>
      </c>
      <c r="P403" s="1" t="s">
        <v>1615</v>
      </c>
      <c r="Q403" s="42">
        <v>82</v>
      </c>
      <c r="R403" s="42">
        <v>102</v>
      </c>
      <c r="S403" s="42">
        <v>0.33</v>
      </c>
      <c r="T403" s="10">
        <f>IFERROR(ROUND((Q403/R403),2),"NA")</f>
        <v>0.8</v>
      </c>
      <c r="U403">
        <f t="shared" si="6"/>
        <v>27.060000000000002</v>
      </c>
    </row>
    <row r="404" spans="7:21" x14ac:dyDescent="0.2">
      <c r="G404" s="9" t="s">
        <v>1646</v>
      </c>
      <c r="H404">
        <v>0</v>
      </c>
      <c r="M404" s="1" t="s">
        <v>1646</v>
      </c>
      <c r="N404" s="1">
        <v>30</v>
      </c>
      <c r="P404" s="1" t="s">
        <v>1646</v>
      </c>
      <c r="Q404" s="42">
        <v>0</v>
      </c>
      <c r="R404" s="42">
        <v>30</v>
      </c>
      <c r="S404" s="42">
        <v>0</v>
      </c>
      <c r="T404" s="10">
        <f>IFERROR(ROUND((Q404/R404),2),"NA")</f>
        <v>0</v>
      </c>
      <c r="U404">
        <f t="shared" si="6"/>
        <v>0</v>
      </c>
    </row>
    <row r="405" spans="7:21" x14ac:dyDescent="0.2">
      <c r="G405" s="9" t="s">
        <v>995</v>
      </c>
      <c r="H405">
        <v>100</v>
      </c>
      <c r="M405" s="1" t="s">
        <v>995</v>
      </c>
      <c r="N405" s="1">
        <v>102</v>
      </c>
      <c r="P405" s="1" t="s">
        <v>995</v>
      </c>
      <c r="Q405" s="42">
        <v>100</v>
      </c>
      <c r="R405" s="42">
        <v>102</v>
      </c>
      <c r="S405" s="42">
        <v>0.33</v>
      </c>
      <c r="T405" s="10">
        <f>IFERROR(ROUND((Q405/R405),2),"NA")</f>
        <v>0.98</v>
      </c>
      <c r="U405">
        <f t="shared" si="6"/>
        <v>33</v>
      </c>
    </row>
    <row r="406" spans="7:21" x14ac:dyDescent="0.2">
      <c r="G406" s="9" t="s">
        <v>2742</v>
      </c>
      <c r="H406">
        <v>130</v>
      </c>
      <c r="M406" s="1" t="s">
        <v>2742</v>
      </c>
      <c r="N406" s="1">
        <v>1</v>
      </c>
      <c r="P406" s="1" t="s">
        <v>2742</v>
      </c>
      <c r="Q406" s="42">
        <v>130</v>
      </c>
      <c r="R406" s="42">
        <v>1</v>
      </c>
      <c r="S406" s="42">
        <v>0.13</v>
      </c>
      <c r="T406" s="10">
        <f>IFERROR(ROUND((Q406/R406),2),"NA")</f>
        <v>130</v>
      </c>
      <c r="U406">
        <f t="shared" si="6"/>
        <v>16.900000000000002</v>
      </c>
    </row>
    <row r="407" spans="7:21" x14ac:dyDescent="0.2">
      <c r="G407" s="9" t="s">
        <v>1707</v>
      </c>
      <c r="H407">
        <v>0</v>
      </c>
      <c r="M407" s="1" t="s">
        <v>1707</v>
      </c>
      <c r="N407" s="1">
        <v>189</v>
      </c>
      <c r="P407" s="1" t="s">
        <v>1707</v>
      </c>
      <c r="Q407" s="42">
        <v>0</v>
      </c>
      <c r="R407" s="42">
        <v>189</v>
      </c>
      <c r="S407" s="42">
        <v>0</v>
      </c>
      <c r="T407" s="10">
        <f>IFERROR(ROUND((Q407/R407),2),"NA")</f>
        <v>0</v>
      </c>
      <c r="U407">
        <f t="shared" si="6"/>
        <v>0</v>
      </c>
    </row>
    <row r="408" spans="7:21" x14ac:dyDescent="0.2">
      <c r="G408" s="9" t="s">
        <v>1763</v>
      </c>
      <c r="H408">
        <v>110</v>
      </c>
      <c r="M408" s="1" t="s">
        <v>1763</v>
      </c>
      <c r="N408" s="1">
        <v>372</v>
      </c>
      <c r="P408" s="1" t="s">
        <v>1763</v>
      </c>
      <c r="Q408" s="42">
        <v>110</v>
      </c>
      <c r="R408" s="42">
        <v>372</v>
      </c>
      <c r="S408" s="42">
        <v>0.1</v>
      </c>
      <c r="T408" s="10">
        <f>IFERROR(ROUND((Q408/R408),2),"NA")</f>
        <v>0.3</v>
      </c>
      <c r="U408">
        <f t="shared" si="6"/>
        <v>11</v>
      </c>
    </row>
    <row r="409" spans="7:21" x14ac:dyDescent="0.2">
      <c r="G409" s="9" t="s">
        <v>1119</v>
      </c>
      <c r="H409">
        <v>700</v>
      </c>
      <c r="M409" s="1" t="s">
        <v>1119</v>
      </c>
      <c r="N409" s="1">
        <v>2600</v>
      </c>
      <c r="P409" s="1" t="s">
        <v>1119</v>
      </c>
      <c r="Q409" s="42">
        <v>700</v>
      </c>
      <c r="R409" s="42">
        <v>2600</v>
      </c>
      <c r="S409" s="42">
        <v>0.06</v>
      </c>
      <c r="T409" s="10">
        <f>IFERROR(ROUND((Q409/R409),2),"NA")</f>
        <v>0.27</v>
      </c>
      <c r="U409">
        <f t="shared" si="6"/>
        <v>42</v>
      </c>
    </row>
    <row r="410" spans="7:21" x14ac:dyDescent="0.2">
      <c r="G410" s="9" t="s">
        <v>2013</v>
      </c>
      <c r="H410">
        <v>0</v>
      </c>
      <c r="M410" s="1" t="s">
        <v>2013</v>
      </c>
      <c r="N410" s="1">
        <v>607</v>
      </c>
      <c r="P410" s="1" t="s">
        <v>2013</v>
      </c>
      <c r="Q410" s="42">
        <v>0</v>
      </c>
      <c r="R410" s="42">
        <v>607</v>
      </c>
      <c r="S410" s="42">
        <v>0.1</v>
      </c>
      <c r="T410" s="10">
        <f>IFERROR(ROUND((Q410/R410),2),"NA")</f>
        <v>0</v>
      </c>
      <c r="U410">
        <f t="shared" si="6"/>
        <v>0</v>
      </c>
    </row>
    <row r="411" spans="7:21" x14ac:dyDescent="0.2">
      <c r="G411" s="9" t="s">
        <v>1633</v>
      </c>
      <c r="H411">
        <v>25</v>
      </c>
      <c r="M411" s="1" t="s">
        <v>1633</v>
      </c>
      <c r="N411" s="1">
        <v>766</v>
      </c>
      <c r="P411" s="1" t="s">
        <v>1633</v>
      </c>
      <c r="Q411" s="42">
        <v>25</v>
      </c>
      <c r="R411" s="42">
        <v>766</v>
      </c>
      <c r="S411" s="42">
        <v>0.04</v>
      </c>
      <c r="T411" s="10">
        <f>IFERROR(ROUND((Q411/R411),2),"NA")</f>
        <v>0.03</v>
      </c>
      <c r="U411">
        <f t="shared" si="6"/>
        <v>1</v>
      </c>
    </row>
    <row r="412" spans="7:21" x14ac:dyDescent="0.2">
      <c r="G412" s="9" t="s">
        <v>584</v>
      </c>
      <c r="H412">
        <v>161</v>
      </c>
      <c r="M412" s="1" t="s">
        <v>584</v>
      </c>
      <c r="N412" s="1">
        <v>2647</v>
      </c>
      <c r="P412" s="1" t="s">
        <v>584</v>
      </c>
      <c r="Q412" s="42">
        <v>161</v>
      </c>
      <c r="R412" s="42">
        <v>2647</v>
      </c>
      <c r="S412" s="42">
        <v>0.13</v>
      </c>
      <c r="T412" s="10">
        <f>IFERROR(ROUND((Q412/R412),2),"NA")</f>
        <v>0.06</v>
      </c>
      <c r="U412">
        <f t="shared" si="6"/>
        <v>20.93</v>
      </c>
    </row>
    <row r="413" spans="7:21" x14ac:dyDescent="0.2">
      <c r="G413" s="9" t="s">
        <v>1601</v>
      </c>
      <c r="H413">
        <v>4000</v>
      </c>
      <c r="M413" s="1" t="s">
        <v>1601</v>
      </c>
      <c r="N413" s="1">
        <v>4800</v>
      </c>
      <c r="P413" s="1" t="s">
        <v>1601</v>
      </c>
      <c r="Q413" s="42">
        <v>4000</v>
      </c>
      <c r="R413" s="42">
        <v>4800</v>
      </c>
      <c r="S413" s="42">
        <v>0.1</v>
      </c>
      <c r="T413" s="10">
        <f>IFERROR(ROUND((Q413/R413),2),"NA")</f>
        <v>0.83</v>
      </c>
      <c r="U413">
        <f t="shared" si="6"/>
        <v>400</v>
      </c>
    </row>
    <row r="414" spans="7:21" x14ac:dyDescent="0.2">
      <c r="G414" s="9" t="s">
        <v>1807</v>
      </c>
      <c r="H414">
        <v>70</v>
      </c>
      <c r="M414" s="1" t="s">
        <v>1807</v>
      </c>
      <c r="N414" s="1">
        <v>157</v>
      </c>
      <c r="P414" s="1" t="s">
        <v>1807</v>
      </c>
      <c r="Q414" s="42">
        <v>70</v>
      </c>
      <c r="R414" s="42">
        <v>157</v>
      </c>
      <c r="S414" s="42">
        <v>0.2</v>
      </c>
      <c r="T414" s="10">
        <f>IFERROR(ROUND((Q414/R414),2),"NA")</f>
        <v>0.45</v>
      </c>
      <c r="U414">
        <f t="shared" si="6"/>
        <v>14</v>
      </c>
    </row>
    <row r="415" spans="7:21" x14ac:dyDescent="0.2">
      <c r="G415" s="9" t="s">
        <v>1388</v>
      </c>
      <c r="H415">
        <v>0</v>
      </c>
      <c r="M415" s="1" t="s">
        <v>1388</v>
      </c>
      <c r="N415" s="1">
        <v>708</v>
      </c>
      <c r="P415" s="1" t="s">
        <v>1388</v>
      </c>
      <c r="Q415" s="42">
        <v>0</v>
      </c>
      <c r="R415" s="42">
        <v>708</v>
      </c>
      <c r="S415" s="42">
        <v>0.3</v>
      </c>
      <c r="T415" s="10">
        <f>IFERROR(ROUND((Q415/R415),2),"NA")</f>
        <v>0</v>
      </c>
      <c r="U415">
        <f t="shared" si="6"/>
        <v>0</v>
      </c>
    </row>
    <row r="416" spans="7:21" x14ac:dyDescent="0.2">
      <c r="G416" s="9" t="s">
        <v>1612</v>
      </c>
      <c r="H416">
        <v>100</v>
      </c>
      <c r="M416" s="1" t="s">
        <v>1612</v>
      </c>
      <c r="N416" s="1">
        <v>41</v>
      </c>
      <c r="P416" s="1" t="s">
        <v>1612</v>
      </c>
      <c r="Q416" s="42">
        <v>100</v>
      </c>
      <c r="R416" s="42">
        <v>41</v>
      </c>
      <c r="S416" s="42">
        <v>0</v>
      </c>
      <c r="T416" s="10">
        <f>IFERROR(ROUND((Q416/R416),2),"NA")</f>
        <v>2.44</v>
      </c>
      <c r="U416">
        <f t="shared" si="6"/>
        <v>0</v>
      </c>
    </row>
    <row r="417" spans="7:21" x14ac:dyDescent="0.2">
      <c r="G417" s="9" t="s">
        <v>2494</v>
      </c>
      <c r="H417">
        <v>78</v>
      </c>
      <c r="M417" s="1" t="s">
        <v>2494</v>
      </c>
      <c r="N417" s="1">
        <v>678</v>
      </c>
      <c r="P417" s="1" t="s">
        <v>2494</v>
      </c>
      <c r="Q417" s="42">
        <v>78</v>
      </c>
      <c r="R417" s="42">
        <v>678</v>
      </c>
      <c r="S417" s="42">
        <v>0.21</v>
      </c>
      <c r="T417" s="10">
        <f>IFERROR(ROUND((Q417/R417),2),"NA")</f>
        <v>0.12</v>
      </c>
      <c r="U417">
        <f t="shared" si="6"/>
        <v>16.38</v>
      </c>
    </row>
    <row r="418" spans="7:21" x14ac:dyDescent="0.2">
      <c r="G418" s="9" t="s">
        <v>2679</v>
      </c>
      <c r="H418">
        <v>0</v>
      </c>
      <c r="M418" s="1" t="s">
        <v>2679</v>
      </c>
      <c r="N418" s="1">
        <v>184</v>
      </c>
      <c r="P418" s="1" t="s">
        <v>2679</v>
      </c>
      <c r="Q418" s="42">
        <v>0</v>
      </c>
      <c r="R418" s="42">
        <v>184</v>
      </c>
      <c r="S418" s="42">
        <v>0.13</v>
      </c>
      <c r="T418" s="10">
        <f>IFERROR(ROUND((Q418/R418),2),"NA")</f>
        <v>0</v>
      </c>
      <c r="U418">
        <f t="shared" si="6"/>
        <v>0</v>
      </c>
    </row>
    <row r="419" spans="7:21" x14ac:dyDescent="0.2">
      <c r="G419" s="9" t="s">
        <v>2886</v>
      </c>
      <c r="H419">
        <v>30</v>
      </c>
      <c r="M419" s="1" t="s">
        <v>2886</v>
      </c>
      <c r="N419" s="1">
        <v>110</v>
      </c>
      <c r="P419" s="1" t="s">
        <v>2886</v>
      </c>
      <c r="Q419" s="42">
        <v>30</v>
      </c>
      <c r="R419" s="42">
        <v>110</v>
      </c>
      <c r="S419" s="42">
        <v>0</v>
      </c>
      <c r="T419" s="10">
        <f>IFERROR(ROUND((Q419/R419),2),"NA")</f>
        <v>0.27</v>
      </c>
      <c r="U419">
        <f t="shared" si="6"/>
        <v>0</v>
      </c>
    </row>
    <row r="420" spans="7:21" x14ac:dyDescent="0.2">
      <c r="G420" s="9" t="s">
        <v>2210</v>
      </c>
      <c r="H420">
        <v>0</v>
      </c>
      <c r="M420" s="1" t="s">
        <v>2210</v>
      </c>
      <c r="N420" s="1">
        <v>45</v>
      </c>
      <c r="P420" s="1" t="s">
        <v>2210</v>
      </c>
      <c r="Q420" s="42">
        <v>0</v>
      </c>
      <c r="R420" s="42">
        <v>45</v>
      </c>
      <c r="S420" s="42">
        <v>0</v>
      </c>
      <c r="T420" s="10">
        <f>IFERROR(ROUND((Q420/R420),2),"NA")</f>
        <v>0</v>
      </c>
      <c r="U420">
        <f t="shared" si="6"/>
        <v>0</v>
      </c>
    </row>
    <row r="421" spans="7:21" x14ac:dyDescent="0.2">
      <c r="G421" s="9" t="s">
        <v>1292</v>
      </c>
      <c r="H421">
        <v>0</v>
      </c>
      <c r="M421" s="1" t="s">
        <v>1292</v>
      </c>
      <c r="N421" s="1">
        <v>18</v>
      </c>
      <c r="P421" s="1" t="s">
        <v>1292</v>
      </c>
      <c r="Q421" s="42">
        <v>0</v>
      </c>
      <c r="R421" s="42">
        <v>18</v>
      </c>
      <c r="S421" s="42">
        <v>1</v>
      </c>
      <c r="T421" s="10">
        <f>IFERROR(ROUND((Q421/R421),2),"NA")</f>
        <v>0</v>
      </c>
      <c r="U421">
        <f t="shared" si="6"/>
        <v>0</v>
      </c>
    </row>
    <row r="422" spans="7:21" x14ac:dyDescent="0.2">
      <c r="G422" s="9" t="s">
        <v>1420</v>
      </c>
      <c r="H422">
        <v>100</v>
      </c>
      <c r="M422" s="1" t="s">
        <v>1420</v>
      </c>
      <c r="N422" s="1">
        <v>80</v>
      </c>
      <c r="P422" s="1" t="s">
        <v>1420</v>
      </c>
      <c r="Q422" s="42">
        <v>100</v>
      </c>
      <c r="R422" s="42">
        <v>80</v>
      </c>
      <c r="S422" s="42">
        <v>0</v>
      </c>
      <c r="T422" s="10">
        <f>IFERROR(ROUND((Q422/R422),2),"NA")</f>
        <v>1.25</v>
      </c>
      <c r="U422">
        <f t="shared" si="6"/>
        <v>0</v>
      </c>
    </row>
    <row r="423" spans="7:21" x14ac:dyDescent="0.2">
      <c r="G423" s="9" t="s">
        <v>1563</v>
      </c>
      <c r="H423">
        <v>1500</v>
      </c>
      <c r="M423" s="1" t="s">
        <v>1563</v>
      </c>
      <c r="N423" s="1">
        <v>6000</v>
      </c>
      <c r="P423" s="1" t="s">
        <v>1563</v>
      </c>
      <c r="Q423" s="42">
        <v>1500</v>
      </c>
      <c r="R423" s="42">
        <v>6000</v>
      </c>
      <c r="S423" s="42">
        <v>0.15</v>
      </c>
      <c r="T423" s="10">
        <f>IFERROR(ROUND((Q423/R423),2),"NA")</f>
        <v>0.25</v>
      </c>
      <c r="U423">
        <f t="shared" si="6"/>
        <v>225</v>
      </c>
    </row>
    <row r="424" spans="7:21" x14ac:dyDescent="0.2">
      <c r="G424" s="9" t="s">
        <v>2258</v>
      </c>
      <c r="H424">
        <v>0</v>
      </c>
      <c r="M424" s="1" t="s">
        <v>2258</v>
      </c>
      <c r="N424" s="1">
        <v>351</v>
      </c>
      <c r="P424" s="1" t="s">
        <v>2258</v>
      </c>
      <c r="Q424" s="42">
        <v>0</v>
      </c>
      <c r="R424" s="42">
        <v>351</v>
      </c>
      <c r="S424" s="42">
        <v>0.24</v>
      </c>
      <c r="T424" s="10">
        <f>IFERROR(ROUND((Q424/R424),2),"NA")</f>
        <v>0</v>
      </c>
      <c r="U424">
        <f t="shared" si="6"/>
        <v>0</v>
      </c>
    </row>
    <row r="425" spans="7:21" x14ac:dyDescent="0.2">
      <c r="G425" s="9" t="s">
        <v>778</v>
      </c>
      <c r="H425">
        <v>0</v>
      </c>
      <c r="M425" s="1" t="s">
        <v>778</v>
      </c>
      <c r="N425" s="1">
        <v>54</v>
      </c>
      <c r="P425" s="1" t="s">
        <v>778</v>
      </c>
      <c r="Q425" s="42">
        <v>0</v>
      </c>
      <c r="R425" s="42">
        <v>54</v>
      </c>
      <c r="S425" s="42">
        <v>0.2</v>
      </c>
      <c r="T425" s="10">
        <f>IFERROR(ROUND((Q425/R425),2),"NA")</f>
        <v>0</v>
      </c>
      <c r="U425">
        <f t="shared" si="6"/>
        <v>0</v>
      </c>
    </row>
    <row r="426" spans="7:21" x14ac:dyDescent="0.2">
      <c r="G426" s="9" t="s">
        <v>2272</v>
      </c>
      <c r="H426">
        <v>150</v>
      </c>
      <c r="M426" s="1" t="s">
        <v>2272</v>
      </c>
      <c r="N426" s="1">
        <v>864</v>
      </c>
      <c r="P426" s="1" t="s">
        <v>2272</v>
      </c>
      <c r="Q426" s="42">
        <v>150</v>
      </c>
      <c r="R426" s="42">
        <v>864</v>
      </c>
      <c r="S426" s="42">
        <v>0.25</v>
      </c>
      <c r="T426" s="10">
        <f>IFERROR(ROUND((Q426/R426),2),"NA")</f>
        <v>0.17</v>
      </c>
      <c r="U426">
        <f t="shared" si="6"/>
        <v>37.5</v>
      </c>
    </row>
    <row r="427" spans="7:21" x14ac:dyDescent="0.2">
      <c r="G427" s="9" t="s">
        <v>903</v>
      </c>
      <c r="H427">
        <v>22</v>
      </c>
      <c r="M427" s="1" t="s">
        <v>903</v>
      </c>
      <c r="N427" s="1">
        <v>0</v>
      </c>
      <c r="P427" s="1" t="s">
        <v>903</v>
      </c>
      <c r="Q427" s="42">
        <v>22</v>
      </c>
      <c r="R427" s="42">
        <v>0</v>
      </c>
      <c r="S427" s="42">
        <v>0</v>
      </c>
      <c r="T427" s="10" t="str">
        <f>IFERROR(ROUND((Q427/R427),2),"NA")</f>
        <v>NA</v>
      </c>
      <c r="U427">
        <f t="shared" si="6"/>
        <v>0</v>
      </c>
    </row>
    <row r="428" spans="7:21" x14ac:dyDescent="0.2">
      <c r="G428" s="9" t="s">
        <v>1639</v>
      </c>
      <c r="H428">
        <v>0</v>
      </c>
      <c r="M428" s="1" t="s">
        <v>1639</v>
      </c>
      <c r="N428" s="1">
        <v>560</v>
      </c>
      <c r="P428" s="1" t="s">
        <v>1639</v>
      </c>
      <c r="Q428" s="42">
        <v>0</v>
      </c>
      <c r="R428" s="42">
        <v>560</v>
      </c>
      <c r="S428" s="42">
        <v>0</v>
      </c>
      <c r="T428" s="10">
        <f>IFERROR(ROUND((Q428/R428),2),"NA")</f>
        <v>0</v>
      </c>
      <c r="U428">
        <f t="shared" si="6"/>
        <v>0</v>
      </c>
    </row>
    <row r="429" spans="7:21" x14ac:dyDescent="0.2">
      <c r="G429" s="9" t="s">
        <v>1325</v>
      </c>
      <c r="H429">
        <v>685</v>
      </c>
      <c r="M429" s="1" t="s">
        <v>1325</v>
      </c>
      <c r="N429" s="1">
        <v>1386</v>
      </c>
      <c r="P429" s="1" t="s">
        <v>1325</v>
      </c>
      <c r="Q429" s="42">
        <v>685</v>
      </c>
      <c r="R429" s="42">
        <v>1386</v>
      </c>
      <c r="S429" s="42">
        <v>0.17499999999999999</v>
      </c>
      <c r="T429" s="10">
        <f>IFERROR(ROUND((Q429/R429),2),"NA")</f>
        <v>0.49</v>
      </c>
      <c r="U429">
        <f t="shared" si="6"/>
        <v>119.87499999999999</v>
      </c>
    </row>
    <row r="430" spans="7:21" x14ac:dyDescent="0.2">
      <c r="G430" s="9" t="s">
        <v>999</v>
      </c>
      <c r="H430">
        <v>3000</v>
      </c>
      <c r="M430" s="1" t="s">
        <v>999</v>
      </c>
      <c r="N430" s="1">
        <v>0</v>
      </c>
      <c r="P430" s="1" t="s">
        <v>999</v>
      </c>
      <c r="Q430" s="42">
        <v>3000</v>
      </c>
      <c r="R430" s="42">
        <v>0</v>
      </c>
      <c r="S430" s="42">
        <v>0.11</v>
      </c>
      <c r="T430" s="10" t="str">
        <f>IFERROR(ROUND((Q430/R430),2),"NA")</f>
        <v>NA</v>
      </c>
      <c r="U430">
        <f t="shared" si="6"/>
        <v>330</v>
      </c>
    </row>
    <row r="431" spans="7:21" x14ac:dyDescent="0.2">
      <c r="G431" s="9" t="s">
        <v>434</v>
      </c>
      <c r="H431">
        <v>0</v>
      </c>
      <c r="M431" s="1" t="s">
        <v>434</v>
      </c>
      <c r="N431" s="1">
        <v>194</v>
      </c>
      <c r="P431" s="1" t="s">
        <v>434</v>
      </c>
      <c r="Q431" s="42">
        <v>0</v>
      </c>
      <c r="R431" s="42">
        <v>194</v>
      </c>
      <c r="S431" s="42">
        <v>0</v>
      </c>
      <c r="T431" s="10">
        <f>IFERROR(ROUND((Q431/R431),2),"NA")</f>
        <v>0</v>
      </c>
      <c r="U431">
        <f t="shared" si="6"/>
        <v>0</v>
      </c>
    </row>
    <row r="432" spans="7:21" x14ac:dyDescent="0.2">
      <c r="G432" s="9" t="s">
        <v>683</v>
      </c>
      <c r="H432">
        <v>194</v>
      </c>
      <c r="M432" s="1" t="s">
        <v>683</v>
      </c>
      <c r="N432" s="1">
        <v>1072</v>
      </c>
      <c r="P432" s="1" t="s">
        <v>683</v>
      </c>
      <c r="Q432" s="42">
        <v>194</v>
      </c>
      <c r="R432" s="42">
        <v>1072</v>
      </c>
      <c r="S432" s="42">
        <v>0.1</v>
      </c>
      <c r="T432" s="10">
        <f>IFERROR(ROUND((Q432/R432),2),"NA")</f>
        <v>0.18</v>
      </c>
      <c r="U432">
        <f t="shared" si="6"/>
        <v>19.400000000000002</v>
      </c>
    </row>
    <row r="433" spans="7:21" x14ac:dyDescent="0.2">
      <c r="G433" s="9" t="s">
        <v>1804</v>
      </c>
      <c r="H433">
        <v>0</v>
      </c>
      <c r="M433" s="1" t="s">
        <v>1804</v>
      </c>
      <c r="N433" s="1">
        <v>22</v>
      </c>
      <c r="P433" s="1" t="s">
        <v>1804</v>
      </c>
      <c r="Q433" s="42">
        <v>0</v>
      </c>
      <c r="R433" s="42">
        <v>22</v>
      </c>
      <c r="S433" s="42">
        <v>0.24</v>
      </c>
      <c r="T433" s="10">
        <f>IFERROR(ROUND((Q433/R433),2),"NA")</f>
        <v>0</v>
      </c>
      <c r="U433">
        <f t="shared" si="6"/>
        <v>0</v>
      </c>
    </row>
    <row r="434" spans="7:21" x14ac:dyDescent="0.2">
      <c r="G434" s="9" t="s">
        <v>2188</v>
      </c>
      <c r="H434">
        <v>0</v>
      </c>
      <c r="M434" s="1" t="s">
        <v>2188</v>
      </c>
      <c r="N434" s="1">
        <v>72</v>
      </c>
      <c r="P434" s="1" t="s">
        <v>2188</v>
      </c>
      <c r="Q434" s="42">
        <v>0</v>
      </c>
      <c r="R434" s="42">
        <v>72</v>
      </c>
      <c r="S434" s="42">
        <v>0.19</v>
      </c>
      <c r="T434" s="10">
        <f>IFERROR(ROUND((Q434/R434),2),"NA")</f>
        <v>0</v>
      </c>
      <c r="U434">
        <f t="shared" si="6"/>
        <v>0</v>
      </c>
    </row>
    <row r="435" spans="7:21" x14ac:dyDescent="0.2">
      <c r="G435" s="9" t="s">
        <v>727</v>
      </c>
      <c r="H435">
        <v>242</v>
      </c>
      <c r="M435" s="1" t="s">
        <v>727</v>
      </c>
      <c r="N435" s="1">
        <v>936</v>
      </c>
      <c r="P435" s="1" t="s">
        <v>727</v>
      </c>
      <c r="Q435" s="42">
        <v>242</v>
      </c>
      <c r="R435" s="42">
        <v>936</v>
      </c>
      <c r="S435" s="42">
        <v>0.1</v>
      </c>
      <c r="T435" s="10">
        <f>IFERROR(ROUND((Q435/R435),2),"NA")</f>
        <v>0.26</v>
      </c>
      <c r="U435">
        <f t="shared" si="6"/>
        <v>24.200000000000003</v>
      </c>
    </row>
    <row r="436" spans="7:21" x14ac:dyDescent="0.2">
      <c r="G436" s="9" t="s">
        <v>443</v>
      </c>
      <c r="H436">
        <v>0</v>
      </c>
      <c r="M436" s="1" t="s">
        <v>443</v>
      </c>
      <c r="N436" s="1">
        <v>2800</v>
      </c>
      <c r="P436" s="1" t="s">
        <v>443</v>
      </c>
      <c r="Q436" s="42">
        <v>0</v>
      </c>
      <c r="R436" s="42">
        <v>2800</v>
      </c>
      <c r="S436" s="42">
        <v>0.11</v>
      </c>
      <c r="T436" s="10">
        <f>IFERROR(ROUND((Q436/R436),2),"NA")</f>
        <v>0</v>
      </c>
      <c r="U436">
        <f t="shared" si="6"/>
        <v>0</v>
      </c>
    </row>
    <row r="437" spans="7:21" x14ac:dyDescent="0.2">
      <c r="G437" s="9" t="s">
        <v>1931</v>
      </c>
      <c r="H437">
        <v>100</v>
      </c>
      <c r="M437" s="1" t="s">
        <v>1931</v>
      </c>
      <c r="N437" s="1">
        <v>184</v>
      </c>
      <c r="P437" s="1" t="s">
        <v>1931</v>
      </c>
      <c r="Q437" s="42">
        <v>100</v>
      </c>
      <c r="R437" s="42">
        <v>184</v>
      </c>
      <c r="S437" s="42">
        <v>0.1</v>
      </c>
      <c r="T437" s="10">
        <f>IFERROR(ROUND((Q437/R437),2),"NA")</f>
        <v>0.54</v>
      </c>
      <c r="U437">
        <f t="shared" si="6"/>
        <v>10</v>
      </c>
    </row>
    <row r="438" spans="7:21" x14ac:dyDescent="0.2">
      <c r="G438" s="9" t="s">
        <v>491</v>
      </c>
      <c r="H438">
        <v>180</v>
      </c>
      <c r="M438" s="1" t="s">
        <v>491</v>
      </c>
      <c r="N438" s="1">
        <v>5400</v>
      </c>
      <c r="P438" s="1" t="s">
        <v>491</v>
      </c>
      <c r="Q438" s="42">
        <v>180</v>
      </c>
      <c r="R438" s="42">
        <v>5400</v>
      </c>
      <c r="S438" s="42">
        <v>0.05</v>
      </c>
      <c r="T438" s="10">
        <f>IFERROR(ROUND((Q438/R438),2),"NA")</f>
        <v>0.03</v>
      </c>
      <c r="U438">
        <f t="shared" si="6"/>
        <v>9</v>
      </c>
    </row>
    <row r="439" spans="7:21" x14ac:dyDescent="0.2">
      <c r="G439" s="9" t="s">
        <v>177</v>
      </c>
      <c r="H439">
        <v>446</v>
      </c>
      <c r="M439" s="1" t="s">
        <v>177</v>
      </c>
      <c r="N439" s="1">
        <v>988</v>
      </c>
      <c r="P439" s="1" t="s">
        <v>177</v>
      </c>
      <c r="Q439" s="42">
        <v>446</v>
      </c>
      <c r="R439" s="42">
        <v>988</v>
      </c>
      <c r="S439" s="42">
        <v>0.22</v>
      </c>
      <c r="T439" s="10">
        <f>IFERROR(ROUND((Q439/R439),2),"NA")</f>
        <v>0.45</v>
      </c>
      <c r="U439">
        <f t="shared" si="6"/>
        <v>98.12</v>
      </c>
    </row>
    <row r="440" spans="7:21" x14ac:dyDescent="0.2">
      <c r="G440" s="9" t="s">
        <v>2717</v>
      </c>
      <c r="H440">
        <v>0</v>
      </c>
      <c r="M440" s="1" t="s">
        <v>2717</v>
      </c>
      <c r="N440" s="1">
        <v>54</v>
      </c>
      <c r="P440" s="1" t="s">
        <v>2717</v>
      </c>
      <c r="Q440" s="42">
        <v>0</v>
      </c>
      <c r="R440" s="42">
        <v>54</v>
      </c>
      <c r="S440" s="42">
        <v>0</v>
      </c>
      <c r="T440" s="10">
        <f>IFERROR(ROUND((Q440/R440),2),"NA")</f>
        <v>0</v>
      </c>
      <c r="U440">
        <f t="shared" si="6"/>
        <v>0</v>
      </c>
    </row>
    <row r="441" spans="7:21" x14ac:dyDescent="0.2">
      <c r="G441" s="9" t="s">
        <v>2528</v>
      </c>
      <c r="H441">
        <v>0</v>
      </c>
      <c r="M441" s="1" t="s">
        <v>2528</v>
      </c>
      <c r="N441" s="1">
        <v>67</v>
      </c>
      <c r="P441" s="1" t="s">
        <v>2528</v>
      </c>
      <c r="Q441" s="42">
        <v>0</v>
      </c>
      <c r="R441" s="42">
        <v>67</v>
      </c>
      <c r="S441" s="42">
        <v>0</v>
      </c>
      <c r="T441" s="10">
        <f>IFERROR(ROUND((Q441/R441),2),"NA")</f>
        <v>0</v>
      </c>
      <c r="U441">
        <f t="shared" si="6"/>
        <v>0</v>
      </c>
    </row>
    <row r="442" spans="7:21" x14ac:dyDescent="0.2">
      <c r="G442" s="9" t="s">
        <v>2533</v>
      </c>
      <c r="H442">
        <v>0</v>
      </c>
      <c r="M442" s="1" t="s">
        <v>2533</v>
      </c>
      <c r="N442" s="1">
        <v>105</v>
      </c>
      <c r="P442" s="1" t="s">
        <v>2533</v>
      </c>
      <c r="Q442" s="42">
        <v>0</v>
      </c>
      <c r="R442" s="42">
        <v>105</v>
      </c>
      <c r="S442" s="42">
        <v>0</v>
      </c>
      <c r="T442" s="10">
        <f>IFERROR(ROUND((Q442/R442),2),"NA")</f>
        <v>0</v>
      </c>
      <c r="U442">
        <f t="shared" si="6"/>
        <v>0</v>
      </c>
    </row>
    <row r="443" spans="7:21" x14ac:dyDescent="0.2">
      <c r="G443" s="9" t="s">
        <v>1010</v>
      </c>
      <c r="H443">
        <v>80</v>
      </c>
      <c r="M443" s="1" t="s">
        <v>1010</v>
      </c>
      <c r="N443" s="1">
        <v>227</v>
      </c>
      <c r="P443" s="1" t="s">
        <v>1010</v>
      </c>
      <c r="Q443" s="42">
        <v>80</v>
      </c>
      <c r="R443" s="42">
        <v>227</v>
      </c>
      <c r="S443" s="42">
        <v>0.04</v>
      </c>
      <c r="T443" s="10">
        <f>IFERROR(ROUND((Q443/R443),2),"NA")</f>
        <v>0.35</v>
      </c>
      <c r="U443">
        <f t="shared" si="6"/>
        <v>3.2</v>
      </c>
    </row>
    <row r="444" spans="7:21" x14ac:dyDescent="0.2">
      <c r="G444" s="9" t="s">
        <v>2269</v>
      </c>
      <c r="H444">
        <v>29</v>
      </c>
      <c r="M444" s="1" t="s">
        <v>2269</v>
      </c>
      <c r="N444" s="1">
        <v>0</v>
      </c>
      <c r="P444" s="1" t="s">
        <v>2269</v>
      </c>
      <c r="Q444" s="42">
        <v>29</v>
      </c>
      <c r="R444" s="42">
        <v>0</v>
      </c>
      <c r="S444" s="42">
        <v>0</v>
      </c>
      <c r="T444" s="10" t="str">
        <f>IFERROR(ROUND((Q444/R444),2),"NA")</f>
        <v>NA</v>
      </c>
      <c r="U444">
        <f t="shared" si="6"/>
        <v>0</v>
      </c>
    </row>
    <row r="445" spans="7:21" x14ac:dyDescent="0.2">
      <c r="G445" s="9" t="s">
        <v>576</v>
      </c>
      <c r="H445">
        <v>200</v>
      </c>
      <c r="M445" s="1" t="s">
        <v>576</v>
      </c>
      <c r="N445" s="1">
        <v>451</v>
      </c>
      <c r="P445" s="1" t="s">
        <v>576</v>
      </c>
      <c r="Q445" s="42">
        <v>200</v>
      </c>
      <c r="R445" s="42">
        <v>451</v>
      </c>
      <c r="S445" s="42">
        <v>0</v>
      </c>
      <c r="T445" s="10">
        <f>IFERROR(ROUND((Q445/R445),2),"NA")</f>
        <v>0.44</v>
      </c>
      <c r="U445">
        <f t="shared" si="6"/>
        <v>0</v>
      </c>
    </row>
    <row r="446" spans="7:21" x14ac:dyDescent="0.2">
      <c r="G446" s="9" t="s">
        <v>685</v>
      </c>
      <c r="H446">
        <v>26</v>
      </c>
      <c r="M446" s="1" t="s">
        <v>685</v>
      </c>
      <c r="N446" s="1">
        <v>70</v>
      </c>
      <c r="P446" s="1" t="s">
        <v>685</v>
      </c>
      <c r="Q446" s="42">
        <v>26</v>
      </c>
      <c r="R446" s="42">
        <v>70</v>
      </c>
      <c r="S446" s="42">
        <v>0.37</v>
      </c>
      <c r="T446" s="10">
        <f>IFERROR(ROUND((Q446/R446),2),"NA")</f>
        <v>0.37</v>
      </c>
      <c r="U446">
        <f t="shared" si="6"/>
        <v>9.6199999999999992</v>
      </c>
    </row>
    <row r="447" spans="7:21" x14ac:dyDescent="0.2">
      <c r="G447" s="9" t="s">
        <v>435</v>
      </c>
      <c r="H447">
        <v>43</v>
      </c>
      <c r="M447" s="1" t="s">
        <v>435</v>
      </c>
      <c r="N447" s="1">
        <v>280</v>
      </c>
      <c r="P447" s="1" t="s">
        <v>435</v>
      </c>
      <c r="Q447" s="42">
        <v>43</v>
      </c>
      <c r="R447" s="42">
        <v>280</v>
      </c>
      <c r="S447" s="42">
        <v>0.14000000000000001</v>
      </c>
      <c r="T447" s="10">
        <f>IFERROR(ROUND((Q447/R447),2),"NA")</f>
        <v>0.15</v>
      </c>
      <c r="U447">
        <f t="shared" si="6"/>
        <v>6.0200000000000005</v>
      </c>
    </row>
    <row r="448" spans="7:21" x14ac:dyDescent="0.2">
      <c r="G448" s="9" t="s">
        <v>1842</v>
      </c>
      <c r="H448">
        <v>58</v>
      </c>
      <c r="M448" s="1" t="s">
        <v>1842</v>
      </c>
      <c r="N448" s="1">
        <v>54</v>
      </c>
      <c r="P448" s="1" t="s">
        <v>1842</v>
      </c>
      <c r="Q448" s="42">
        <v>58</v>
      </c>
      <c r="R448" s="42">
        <v>54</v>
      </c>
      <c r="S448" s="42">
        <v>0</v>
      </c>
      <c r="T448" s="10">
        <f>IFERROR(ROUND((Q448/R448),2),"NA")</f>
        <v>1.07</v>
      </c>
      <c r="U448">
        <f t="shared" si="6"/>
        <v>0</v>
      </c>
    </row>
    <row r="449" spans="7:21" x14ac:dyDescent="0.2">
      <c r="G449" s="9" t="s">
        <v>1930</v>
      </c>
      <c r="H449">
        <v>156</v>
      </c>
      <c r="M449" s="1" t="s">
        <v>1930</v>
      </c>
      <c r="N449" s="1">
        <v>2300</v>
      </c>
      <c r="P449" s="1" t="s">
        <v>1930</v>
      </c>
      <c r="Q449" s="42">
        <v>156</v>
      </c>
      <c r="R449" s="42">
        <v>2300</v>
      </c>
      <c r="S449" s="42">
        <v>0.12</v>
      </c>
      <c r="T449" s="10">
        <f>IFERROR(ROUND((Q449/R449),2),"NA")</f>
        <v>7.0000000000000007E-2</v>
      </c>
      <c r="U449">
        <f t="shared" si="6"/>
        <v>18.72</v>
      </c>
    </row>
    <row r="450" spans="7:21" x14ac:dyDescent="0.2">
      <c r="G450" s="9" t="s">
        <v>773</v>
      </c>
      <c r="H450">
        <v>48</v>
      </c>
      <c r="M450" s="1" t="s">
        <v>773</v>
      </c>
      <c r="N450" s="1">
        <v>176</v>
      </c>
      <c r="P450" s="1" t="s">
        <v>773</v>
      </c>
      <c r="Q450" s="42">
        <v>48</v>
      </c>
      <c r="R450" s="42">
        <v>176</v>
      </c>
      <c r="S450" s="42">
        <v>0.35</v>
      </c>
      <c r="T450" s="10">
        <f>IFERROR(ROUND((Q450/R450),2),"NA")</f>
        <v>0.27</v>
      </c>
      <c r="U450">
        <f t="shared" si="6"/>
        <v>16.799999999999997</v>
      </c>
    </row>
    <row r="451" spans="7:21" x14ac:dyDescent="0.2">
      <c r="G451" s="9" t="s">
        <v>1883</v>
      </c>
      <c r="H451">
        <v>0</v>
      </c>
      <c r="M451" s="1" t="s">
        <v>1883</v>
      </c>
      <c r="N451" s="1">
        <v>2</v>
      </c>
      <c r="P451" s="1" t="s">
        <v>1883</v>
      </c>
      <c r="Q451" s="42">
        <v>0</v>
      </c>
      <c r="R451" s="42">
        <v>2</v>
      </c>
      <c r="S451" s="42">
        <v>0</v>
      </c>
      <c r="T451" s="10">
        <f>IFERROR(ROUND((Q451/R451),2),"NA")</f>
        <v>0</v>
      </c>
      <c r="U451">
        <f t="shared" si="6"/>
        <v>0</v>
      </c>
    </row>
    <row r="452" spans="7:21" x14ac:dyDescent="0.2">
      <c r="G452" s="9" t="s">
        <v>226</v>
      </c>
      <c r="H452">
        <v>185</v>
      </c>
      <c r="M452" s="1" t="s">
        <v>226</v>
      </c>
      <c r="N452" s="1">
        <v>1208</v>
      </c>
      <c r="P452" s="1" t="s">
        <v>226</v>
      </c>
      <c r="Q452" s="42">
        <v>185</v>
      </c>
      <c r="R452" s="42">
        <v>1208</v>
      </c>
      <c r="S452" s="42">
        <v>0.26166666666666666</v>
      </c>
      <c r="T452" s="10">
        <f>IFERROR(ROUND((Q452/R452),2),"NA")</f>
        <v>0.15</v>
      </c>
      <c r="U452">
        <f t="shared" si="6"/>
        <v>48.408333333333331</v>
      </c>
    </row>
    <row r="453" spans="7:21" x14ac:dyDescent="0.2">
      <c r="G453" s="9" t="s">
        <v>1683</v>
      </c>
      <c r="H453">
        <v>65</v>
      </c>
      <c r="M453" s="1" t="s">
        <v>1683</v>
      </c>
      <c r="N453" s="1">
        <v>50</v>
      </c>
      <c r="P453" s="1" t="s">
        <v>1683</v>
      </c>
      <c r="Q453" s="42">
        <v>65</v>
      </c>
      <c r="R453" s="42">
        <v>50</v>
      </c>
      <c r="S453" s="42">
        <v>0.24</v>
      </c>
      <c r="T453" s="10">
        <f>IFERROR(ROUND((Q453/R453),2),"NA")</f>
        <v>1.3</v>
      </c>
      <c r="U453">
        <f t="shared" ref="U453:U516" si="7">Q453*S453</f>
        <v>15.6</v>
      </c>
    </row>
    <row r="454" spans="7:21" x14ac:dyDescent="0.2">
      <c r="G454" s="9" t="s">
        <v>209</v>
      </c>
      <c r="H454">
        <v>200</v>
      </c>
      <c r="M454" s="1" t="s">
        <v>209</v>
      </c>
      <c r="N454" s="1">
        <v>192</v>
      </c>
      <c r="P454" s="1" t="s">
        <v>209</v>
      </c>
      <c r="Q454" s="42">
        <v>200</v>
      </c>
      <c r="R454" s="42">
        <v>192</v>
      </c>
      <c r="S454" s="42">
        <v>0.16666666666666666</v>
      </c>
      <c r="T454" s="10">
        <f>IFERROR(ROUND((Q454/R454),2),"NA")</f>
        <v>1.04</v>
      </c>
      <c r="U454">
        <f t="shared" si="7"/>
        <v>33.333333333333329</v>
      </c>
    </row>
    <row r="455" spans="7:21" x14ac:dyDescent="0.2">
      <c r="G455" s="9" t="s">
        <v>1468</v>
      </c>
      <c r="H455">
        <v>145</v>
      </c>
      <c r="M455" s="1" t="s">
        <v>1468</v>
      </c>
      <c r="N455" s="1">
        <v>410</v>
      </c>
      <c r="P455" s="1" t="s">
        <v>1468</v>
      </c>
      <c r="Q455" s="42">
        <v>145</v>
      </c>
      <c r="R455" s="42">
        <v>410</v>
      </c>
      <c r="S455" s="42">
        <v>0.13</v>
      </c>
      <c r="T455" s="10">
        <f>IFERROR(ROUND((Q455/R455),2),"NA")</f>
        <v>0.35</v>
      </c>
      <c r="U455">
        <f t="shared" si="7"/>
        <v>18.850000000000001</v>
      </c>
    </row>
    <row r="456" spans="7:21" x14ac:dyDescent="0.2">
      <c r="G456" s="9" t="s">
        <v>1241</v>
      </c>
      <c r="H456">
        <v>500</v>
      </c>
      <c r="M456" s="1" t="s">
        <v>1241</v>
      </c>
      <c r="N456" s="1">
        <v>300</v>
      </c>
      <c r="P456" s="1" t="s">
        <v>1241</v>
      </c>
      <c r="Q456" s="42">
        <v>500</v>
      </c>
      <c r="R456" s="42">
        <v>300</v>
      </c>
      <c r="S456" s="42">
        <v>0</v>
      </c>
      <c r="T456" s="10">
        <f>IFERROR(ROUND((Q456/R456),2),"NA")</f>
        <v>1.67</v>
      </c>
      <c r="U456">
        <f t="shared" si="7"/>
        <v>0</v>
      </c>
    </row>
    <row r="457" spans="7:21" x14ac:dyDescent="0.2">
      <c r="G457" s="9" t="s">
        <v>1208</v>
      </c>
      <c r="H457">
        <v>0</v>
      </c>
      <c r="M457" s="1" t="s">
        <v>1208</v>
      </c>
      <c r="N457" s="1">
        <v>0</v>
      </c>
      <c r="P457" s="1" t="s">
        <v>1208</v>
      </c>
      <c r="Q457" s="42">
        <v>0</v>
      </c>
      <c r="R457" s="42">
        <v>0</v>
      </c>
      <c r="S457" s="42">
        <v>0</v>
      </c>
      <c r="T457" s="10" t="str">
        <f>IFERROR(ROUND((Q457/R457),2),"NA")</f>
        <v>NA</v>
      </c>
      <c r="U457">
        <f t="shared" si="7"/>
        <v>0</v>
      </c>
    </row>
    <row r="458" spans="7:21" x14ac:dyDescent="0.2">
      <c r="G458" s="9" t="s">
        <v>2775</v>
      </c>
      <c r="H458">
        <v>0</v>
      </c>
      <c r="M458" s="1" t="s">
        <v>2775</v>
      </c>
      <c r="N458" s="1">
        <v>18</v>
      </c>
      <c r="P458" s="1" t="s">
        <v>2775</v>
      </c>
      <c r="Q458" s="42">
        <v>0</v>
      </c>
      <c r="R458" s="42">
        <v>18</v>
      </c>
      <c r="S458" s="42">
        <v>0</v>
      </c>
      <c r="T458" s="10">
        <f>IFERROR(ROUND((Q458/R458),2),"NA")</f>
        <v>0</v>
      </c>
      <c r="U458">
        <f t="shared" si="7"/>
        <v>0</v>
      </c>
    </row>
    <row r="459" spans="7:21" x14ac:dyDescent="0.2">
      <c r="G459" s="9" t="s">
        <v>2609</v>
      </c>
      <c r="H459">
        <v>100</v>
      </c>
      <c r="M459" s="1" t="s">
        <v>2609</v>
      </c>
      <c r="N459" s="1">
        <v>55</v>
      </c>
      <c r="P459" s="1" t="s">
        <v>2609</v>
      </c>
      <c r="Q459" s="42">
        <v>100</v>
      </c>
      <c r="R459" s="42">
        <v>55</v>
      </c>
      <c r="S459" s="42">
        <v>0</v>
      </c>
      <c r="T459" s="10">
        <f>IFERROR(ROUND((Q459/R459),2),"NA")</f>
        <v>1.82</v>
      </c>
      <c r="U459">
        <f t="shared" si="7"/>
        <v>0</v>
      </c>
    </row>
    <row r="460" spans="7:21" x14ac:dyDescent="0.2">
      <c r="G460" s="9" t="s">
        <v>912</v>
      </c>
      <c r="H460">
        <v>0</v>
      </c>
      <c r="M460" s="1" t="s">
        <v>912</v>
      </c>
      <c r="N460" s="1">
        <v>1100</v>
      </c>
      <c r="P460" s="1" t="s">
        <v>912</v>
      </c>
      <c r="Q460" s="42">
        <v>0</v>
      </c>
      <c r="R460" s="42">
        <v>1100</v>
      </c>
      <c r="S460" s="42">
        <v>0</v>
      </c>
      <c r="T460" s="10">
        <f>IFERROR(ROUND((Q460/R460),2),"NA")</f>
        <v>0</v>
      </c>
      <c r="U460">
        <f t="shared" si="7"/>
        <v>0</v>
      </c>
    </row>
    <row r="461" spans="7:21" x14ac:dyDescent="0.2">
      <c r="G461" s="9" t="s">
        <v>348</v>
      </c>
      <c r="H461">
        <v>100</v>
      </c>
      <c r="M461" s="1" t="s">
        <v>348</v>
      </c>
      <c r="N461" s="1">
        <v>945</v>
      </c>
      <c r="P461" s="1" t="s">
        <v>348</v>
      </c>
      <c r="Q461" s="42">
        <v>100</v>
      </c>
      <c r="R461" s="42">
        <v>945</v>
      </c>
      <c r="S461" s="42">
        <v>0.17</v>
      </c>
      <c r="T461" s="10">
        <f>IFERROR(ROUND((Q461/R461),2),"NA")</f>
        <v>0.11</v>
      </c>
      <c r="U461">
        <f t="shared" si="7"/>
        <v>17</v>
      </c>
    </row>
    <row r="462" spans="7:21" x14ac:dyDescent="0.2">
      <c r="G462" s="9" t="s">
        <v>935</v>
      </c>
      <c r="H462">
        <v>0</v>
      </c>
      <c r="M462" s="1" t="s">
        <v>935</v>
      </c>
      <c r="N462" s="1">
        <v>50</v>
      </c>
      <c r="P462" s="1" t="s">
        <v>935</v>
      </c>
      <c r="Q462" s="42">
        <v>0</v>
      </c>
      <c r="R462" s="42">
        <v>50</v>
      </c>
      <c r="S462" s="42">
        <v>0</v>
      </c>
      <c r="T462" s="10">
        <f>IFERROR(ROUND((Q462/R462),2),"NA")</f>
        <v>0</v>
      </c>
      <c r="U462">
        <f t="shared" si="7"/>
        <v>0</v>
      </c>
    </row>
    <row r="463" spans="7:21" x14ac:dyDescent="0.2">
      <c r="G463" s="9" t="s">
        <v>2242</v>
      </c>
      <c r="H463">
        <v>0</v>
      </c>
      <c r="M463" s="1" t="s">
        <v>2242</v>
      </c>
      <c r="N463" s="1">
        <v>53</v>
      </c>
      <c r="P463" s="1" t="s">
        <v>2242</v>
      </c>
      <c r="Q463" s="42">
        <v>0</v>
      </c>
      <c r="R463" s="42">
        <v>53</v>
      </c>
      <c r="S463" s="42">
        <v>0</v>
      </c>
      <c r="T463" s="10">
        <f>IFERROR(ROUND((Q463/R463),2),"NA")</f>
        <v>0</v>
      </c>
      <c r="U463">
        <f t="shared" si="7"/>
        <v>0</v>
      </c>
    </row>
    <row r="464" spans="7:21" x14ac:dyDescent="0.2">
      <c r="G464" s="9" t="s">
        <v>2344</v>
      </c>
      <c r="H464">
        <v>0</v>
      </c>
      <c r="M464" s="1" t="s">
        <v>2344</v>
      </c>
      <c r="N464" s="1">
        <v>50</v>
      </c>
      <c r="P464" s="1" t="s">
        <v>2344</v>
      </c>
      <c r="Q464" s="42">
        <v>0</v>
      </c>
      <c r="R464" s="42">
        <v>50</v>
      </c>
      <c r="S464" s="42">
        <v>0.5</v>
      </c>
      <c r="T464" s="10">
        <f>IFERROR(ROUND((Q464/R464),2),"NA")</f>
        <v>0</v>
      </c>
      <c r="U464">
        <f t="shared" si="7"/>
        <v>0</v>
      </c>
    </row>
    <row r="465" spans="7:21" x14ac:dyDescent="0.2">
      <c r="G465" s="9" t="s">
        <v>1058</v>
      </c>
      <c r="H465">
        <v>35</v>
      </c>
      <c r="M465" s="1" t="s">
        <v>1058</v>
      </c>
      <c r="N465" s="1">
        <v>12</v>
      </c>
      <c r="P465" s="1" t="s">
        <v>1058</v>
      </c>
      <c r="Q465" s="42">
        <v>35</v>
      </c>
      <c r="R465" s="42">
        <v>12</v>
      </c>
      <c r="S465" s="42">
        <v>0</v>
      </c>
      <c r="T465" s="10">
        <f>IFERROR(ROUND((Q465/R465),2),"NA")</f>
        <v>2.92</v>
      </c>
      <c r="U465">
        <f t="shared" si="7"/>
        <v>0</v>
      </c>
    </row>
    <row r="466" spans="7:21" x14ac:dyDescent="0.2">
      <c r="G466" s="9" t="s">
        <v>295</v>
      </c>
      <c r="H466">
        <v>8700</v>
      </c>
      <c r="M466" s="1" t="s">
        <v>295</v>
      </c>
      <c r="N466" s="1">
        <v>6</v>
      </c>
      <c r="P466" s="1" t="s">
        <v>295</v>
      </c>
      <c r="Q466" s="42">
        <v>8700</v>
      </c>
      <c r="R466" s="42">
        <v>6</v>
      </c>
      <c r="S466" s="42">
        <v>0.05</v>
      </c>
      <c r="T466" s="10">
        <f>IFERROR(ROUND((Q466/R466),2),"NA")</f>
        <v>1450</v>
      </c>
      <c r="U466">
        <f t="shared" si="7"/>
        <v>435</v>
      </c>
    </row>
    <row r="467" spans="7:21" x14ac:dyDescent="0.2">
      <c r="G467" s="9" t="s">
        <v>1622</v>
      </c>
      <c r="H467">
        <v>33</v>
      </c>
      <c r="M467" s="1" t="s">
        <v>1622</v>
      </c>
      <c r="N467" s="1">
        <v>133</v>
      </c>
      <c r="P467" s="1" t="s">
        <v>1622</v>
      </c>
      <c r="Q467" s="42">
        <v>33</v>
      </c>
      <c r="R467" s="42">
        <v>133</v>
      </c>
      <c r="S467" s="42">
        <v>0</v>
      </c>
      <c r="T467" s="10">
        <f>IFERROR(ROUND((Q467/R467),2),"NA")</f>
        <v>0.25</v>
      </c>
      <c r="U467">
        <f t="shared" si="7"/>
        <v>0</v>
      </c>
    </row>
    <row r="468" spans="7:21" x14ac:dyDescent="0.2">
      <c r="G468" s="9" t="s">
        <v>1527</v>
      </c>
      <c r="H468">
        <v>22</v>
      </c>
      <c r="M468" s="1" t="s">
        <v>1527</v>
      </c>
      <c r="N468" s="1">
        <v>64</v>
      </c>
      <c r="P468" s="1" t="s">
        <v>1527</v>
      </c>
      <c r="Q468" s="42">
        <v>22</v>
      </c>
      <c r="R468" s="42">
        <v>64</v>
      </c>
      <c r="S468" s="42">
        <v>0.27</v>
      </c>
      <c r="T468" s="10">
        <f>IFERROR(ROUND((Q468/R468),2),"NA")</f>
        <v>0.34</v>
      </c>
      <c r="U468">
        <f t="shared" si="7"/>
        <v>5.94</v>
      </c>
    </row>
    <row r="469" spans="7:21" x14ac:dyDescent="0.2">
      <c r="G469" s="9" t="s">
        <v>438</v>
      </c>
      <c r="H469">
        <v>1000</v>
      </c>
      <c r="M469" s="1" t="s">
        <v>438</v>
      </c>
      <c r="N469" s="1">
        <v>40</v>
      </c>
      <c r="P469" s="1" t="s">
        <v>438</v>
      </c>
      <c r="Q469" s="42">
        <v>1000</v>
      </c>
      <c r="R469" s="42">
        <v>40</v>
      </c>
      <c r="S469" s="42">
        <v>0.13500000000000001</v>
      </c>
      <c r="T469" s="10">
        <f>IFERROR(ROUND((Q469/R469),2),"NA")</f>
        <v>25</v>
      </c>
      <c r="U469">
        <f t="shared" si="7"/>
        <v>135</v>
      </c>
    </row>
    <row r="470" spans="7:21" x14ac:dyDescent="0.2">
      <c r="G470" s="9" t="s">
        <v>1016</v>
      </c>
      <c r="H470">
        <v>155</v>
      </c>
      <c r="M470" s="1" t="s">
        <v>1016</v>
      </c>
      <c r="N470" s="1">
        <v>891</v>
      </c>
      <c r="P470" s="1" t="s">
        <v>1016</v>
      </c>
      <c r="Q470" s="42">
        <v>155</v>
      </c>
      <c r="R470" s="42">
        <v>891</v>
      </c>
      <c r="S470" s="42">
        <v>0.12</v>
      </c>
      <c r="T470" s="10">
        <f>IFERROR(ROUND((Q470/R470),2),"NA")</f>
        <v>0.17</v>
      </c>
      <c r="U470">
        <f t="shared" si="7"/>
        <v>18.599999999999998</v>
      </c>
    </row>
    <row r="471" spans="7:21" x14ac:dyDescent="0.2">
      <c r="G471" s="9" t="s">
        <v>643</v>
      </c>
      <c r="H471">
        <v>281</v>
      </c>
      <c r="M471" s="1" t="s">
        <v>643</v>
      </c>
      <c r="N471" s="1">
        <v>224</v>
      </c>
      <c r="P471" s="1" t="s">
        <v>643</v>
      </c>
      <c r="Q471" s="42">
        <v>281</v>
      </c>
      <c r="R471" s="42">
        <v>224</v>
      </c>
      <c r="S471" s="42">
        <v>0.3</v>
      </c>
      <c r="T471" s="10">
        <f>IFERROR(ROUND((Q471/R471),2),"NA")</f>
        <v>1.25</v>
      </c>
      <c r="U471">
        <f t="shared" si="7"/>
        <v>84.3</v>
      </c>
    </row>
    <row r="472" spans="7:21" x14ac:dyDescent="0.2">
      <c r="G472" s="9" t="s">
        <v>2877</v>
      </c>
      <c r="H472">
        <v>0</v>
      </c>
      <c r="M472" s="1" t="s">
        <v>2877</v>
      </c>
      <c r="N472" s="1">
        <v>4</v>
      </c>
      <c r="P472" s="1" t="s">
        <v>2877</v>
      </c>
      <c r="Q472" s="42">
        <v>0</v>
      </c>
      <c r="R472" s="42">
        <v>4</v>
      </c>
      <c r="S472" s="42">
        <v>0</v>
      </c>
      <c r="T472" s="10">
        <f>IFERROR(ROUND((Q472/R472),2),"NA")</f>
        <v>0</v>
      </c>
      <c r="U472">
        <f t="shared" si="7"/>
        <v>0</v>
      </c>
    </row>
    <row r="473" spans="7:21" x14ac:dyDescent="0.2">
      <c r="G473" s="9" t="s">
        <v>1423</v>
      </c>
      <c r="H473">
        <v>65</v>
      </c>
      <c r="M473" s="1" t="s">
        <v>1423</v>
      </c>
      <c r="N473" s="1">
        <v>992</v>
      </c>
      <c r="P473" s="1" t="s">
        <v>1423</v>
      </c>
      <c r="Q473" s="42">
        <v>65</v>
      </c>
      <c r="R473" s="42">
        <v>992</v>
      </c>
      <c r="S473" s="42">
        <v>0</v>
      </c>
      <c r="T473" s="10">
        <f>IFERROR(ROUND((Q473/R473),2),"NA")</f>
        <v>7.0000000000000007E-2</v>
      </c>
      <c r="U473">
        <f t="shared" si="7"/>
        <v>0</v>
      </c>
    </row>
    <row r="474" spans="7:21" x14ac:dyDescent="0.2">
      <c r="G474" s="9" t="s">
        <v>2200</v>
      </c>
      <c r="H474">
        <v>15</v>
      </c>
      <c r="M474" s="1" t="s">
        <v>2200</v>
      </c>
      <c r="N474" s="1">
        <v>328</v>
      </c>
      <c r="P474" s="1" t="s">
        <v>2200</v>
      </c>
      <c r="Q474" s="42">
        <v>15</v>
      </c>
      <c r="R474" s="42">
        <v>328</v>
      </c>
      <c r="S474" s="42">
        <v>0.05</v>
      </c>
      <c r="T474" s="10">
        <f>IFERROR(ROUND((Q474/R474),2),"NA")</f>
        <v>0.05</v>
      </c>
      <c r="U474">
        <f t="shared" si="7"/>
        <v>0.75</v>
      </c>
    </row>
    <row r="475" spans="7:21" x14ac:dyDescent="0.2">
      <c r="G475" s="9" t="s">
        <v>2168</v>
      </c>
      <c r="H475">
        <v>0</v>
      </c>
      <c r="M475" s="1" t="s">
        <v>2168</v>
      </c>
      <c r="N475" s="1">
        <v>1</v>
      </c>
      <c r="P475" s="1" t="s">
        <v>2168</v>
      </c>
      <c r="Q475" s="42">
        <v>0</v>
      </c>
      <c r="R475" s="42">
        <v>1</v>
      </c>
      <c r="S475" s="42">
        <v>0</v>
      </c>
      <c r="T475" s="10">
        <f>IFERROR(ROUND((Q475/R475),2),"NA")</f>
        <v>0</v>
      </c>
      <c r="U475">
        <f t="shared" si="7"/>
        <v>0</v>
      </c>
    </row>
    <row r="476" spans="7:21" x14ac:dyDescent="0.2">
      <c r="G476" s="9" t="s">
        <v>2827</v>
      </c>
      <c r="H476">
        <v>154</v>
      </c>
      <c r="M476" s="1" t="s">
        <v>2827</v>
      </c>
      <c r="N476" s="1">
        <v>549</v>
      </c>
      <c r="P476" s="1" t="s">
        <v>2827</v>
      </c>
      <c r="Q476" s="42">
        <v>154</v>
      </c>
      <c r="R476" s="42">
        <v>549</v>
      </c>
      <c r="S476" s="42">
        <v>0.22</v>
      </c>
      <c r="T476" s="10">
        <f>IFERROR(ROUND((Q476/R476),2),"NA")</f>
        <v>0.28000000000000003</v>
      </c>
      <c r="U476">
        <f t="shared" si="7"/>
        <v>33.880000000000003</v>
      </c>
    </row>
    <row r="477" spans="7:21" x14ac:dyDescent="0.2">
      <c r="G477" s="9" t="s">
        <v>2034</v>
      </c>
      <c r="H477">
        <v>190</v>
      </c>
      <c r="M477" s="1" t="s">
        <v>2034</v>
      </c>
      <c r="N477" s="1">
        <v>140</v>
      </c>
      <c r="P477" s="1" t="s">
        <v>2034</v>
      </c>
      <c r="Q477" s="42">
        <v>190</v>
      </c>
      <c r="R477" s="42">
        <v>140</v>
      </c>
      <c r="S477" s="42">
        <v>0.2</v>
      </c>
      <c r="T477" s="10">
        <f>IFERROR(ROUND((Q477/R477),2),"NA")</f>
        <v>1.36</v>
      </c>
      <c r="U477">
        <f t="shared" si="7"/>
        <v>38</v>
      </c>
    </row>
    <row r="478" spans="7:21" x14ac:dyDescent="0.2">
      <c r="G478" s="9" t="s">
        <v>1501</v>
      </c>
      <c r="H478">
        <v>628</v>
      </c>
      <c r="M478" s="1" t="s">
        <v>1501</v>
      </c>
      <c r="N478" s="1">
        <v>0</v>
      </c>
      <c r="P478" s="1" t="s">
        <v>1501</v>
      </c>
      <c r="Q478" s="42">
        <v>628</v>
      </c>
      <c r="R478" s="42">
        <v>0</v>
      </c>
      <c r="S478" s="42">
        <v>0.26</v>
      </c>
      <c r="T478" s="10" t="str">
        <f>IFERROR(ROUND((Q478/R478),2),"NA")</f>
        <v>NA</v>
      </c>
      <c r="U478">
        <f t="shared" si="7"/>
        <v>163.28</v>
      </c>
    </row>
    <row r="479" spans="7:21" x14ac:dyDescent="0.2">
      <c r="G479" s="9" t="s">
        <v>2764</v>
      </c>
      <c r="H479">
        <v>17</v>
      </c>
      <c r="M479" s="1" t="s">
        <v>2764</v>
      </c>
      <c r="N479" s="1">
        <v>119</v>
      </c>
      <c r="P479" s="1" t="s">
        <v>2764</v>
      </c>
      <c r="Q479" s="42">
        <v>17</v>
      </c>
      <c r="R479" s="42">
        <v>119</v>
      </c>
      <c r="S479" s="42">
        <v>0.08</v>
      </c>
      <c r="T479" s="10">
        <f>IFERROR(ROUND((Q479/R479),2),"NA")</f>
        <v>0.14000000000000001</v>
      </c>
      <c r="U479">
        <f t="shared" si="7"/>
        <v>1.36</v>
      </c>
    </row>
    <row r="480" spans="7:21" x14ac:dyDescent="0.2">
      <c r="G480" s="9" t="s">
        <v>1077</v>
      </c>
      <c r="H480">
        <v>0</v>
      </c>
      <c r="M480" s="1" t="s">
        <v>1077</v>
      </c>
      <c r="N480" s="1">
        <v>34</v>
      </c>
      <c r="P480" s="1" t="s">
        <v>1077</v>
      </c>
      <c r="Q480" s="42">
        <v>0</v>
      </c>
      <c r="R480" s="42">
        <v>34</v>
      </c>
      <c r="S480" s="42">
        <v>0</v>
      </c>
      <c r="T480" s="10">
        <f>IFERROR(ROUND((Q480/R480),2),"NA")</f>
        <v>0</v>
      </c>
      <c r="U480">
        <f t="shared" si="7"/>
        <v>0</v>
      </c>
    </row>
    <row r="481" spans="7:21" x14ac:dyDescent="0.2">
      <c r="G481" s="9" t="s">
        <v>1591</v>
      </c>
      <c r="H481">
        <v>235</v>
      </c>
      <c r="M481" s="1" t="s">
        <v>1591</v>
      </c>
      <c r="N481" s="1">
        <v>2741</v>
      </c>
      <c r="P481" s="1" t="s">
        <v>1591</v>
      </c>
      <c r="Q481" s="42">
        <v>235</v>
      </c>
      <c r="R481" s="42">
        <v>2741</v>
      </c>
      <c r="S481" s="42">
        <v>0.27500000000000002</v>
      </c>
      <c r="T481" s="10">
        <f>IFERROR(ROUND((Q481/R481),2),"NA")</f>
        <v>0.09</v>
      </c>
      <c r="U481">
        <f t="shared" si="7"/>
        <v>64.625</v>
      </c>
    </row>
    <row r="482" spans="7:21" x14ac:dyDescent="0.2">
      <c r="G482" s="9" t="s">
        <v>752</v>
      </c>
      <c r="H482">
        <v>81</v>
      </c>
      <c r="M482" s="1" t="s">
        <v>752</v>
      </c>
      <c r="N482" s="1">
        <v>608</v>
      </c>
      <c r="P482" s="1" t="s">
        <v>752</v>
      </c>
      <c r="Q482" s="42">
        <v>81</v>
      </c>
      <c r="R482" s="42">
        <v>608</v>
      </c>
      <c r="S482" s="42">
        <v>0.21500000000000002</v>
      </c>
      <c r="T482" s="10">
        <f>IFERROR(ROUND((Q482/R482),2),"NA")</f>
        <v>0.13</v>
      </c>
      <c r="U482">
        <f t="shared" si="7"/>
        <v>17.415000000000003</v>
      </c>
    </row>
    <row r="483" spans="7:21" x14ac:dyDescent="0.2">
      <c r="G483" s="9" t="s">
        <v>970</v>
      </c>
      <c r="H483">
        <v>0</v>
      </c>
      <c r="M483" s="1" t="s">
        <v>970</v>
      </c>
      <c r="N483" s="1">
        <v>85</v>
      </c>
      <c r="P483" s="1" t="s">
        <v>970</v>
      </c>
      <c r="Q483" s="42">
        <v>0</v>
      </c>
      <c r="R483" s="42">
        <v>85</v>
      </c>
      <c r="S483" s="42">
        <v>0</v>
      </c>
      <c r="T483" s="10">
        <f>IFERROR(ROUND((Q483/R483),2),"NA")</f>
        <v>0</v>
      </c>
      <c r="U483">
        <f t="shared" si="7"/>
        <v>0</v>
      </c>
    </row>
    <row r="484" spans="7:21" x14ac:dyDescent="0.2">
      <c r="G484" s="9" t="s">
        <v>1972</v>
      </c>
      <c r="H484">
        <v>0</v>
      </c>
      <c r="M484" s="1" t="s">
        <v>1972</v>
      </c>
      <c r="N484" s="1">
        <v>18</v>
      </c>
      <c r="P484" s="1" t="s">
        <v>1972</v>
      </c>
      <c r="Q484" s="42">
        <v>0</v>
      </c>
      <c r="R484" s="42">
        <v>18</v>
      </c>
      <c r="S484" s="42">
        <v>0</v>
      </c>
      <c r="T484" s="10">
        <f>IFERROR(ROUND((Q484/R484),2),"NA")</f>
        <v>0</v>
      </c>
      <c r="U484">
        <f t="shared" si="7"/>
        <v>0</v>
      </c>
    </row>
    <row r="485" spans="7:21" x14ac:dyDescent="0.2">
      <c r="G485" s="9" t="s">
        <v>2744</v>
      </c>
      <c r="H485">
        <v>60</v>
      </c>
      <c r="M485" s="1" t="s">
        <v>2744</v>
      </c>
      <c r="N485" s="1">
        <v>76</v>
      </c>
      <c r="P485" s="1" t="s">
        <v>2744</v>
      </c>
      <c r="Q485" s="42">
        <v>60</v>
      </c>
      <c r="R485" s="42">
        <v>76</v>
      </c>
      <c r="S485" s="42">
        <v>0.2</v>
      </c>
      <c r="T485" s="10">
        <f>IFERROR(ROUND((Q485/R485),2),"NA")</f>
        <v>0.79</v>
      </c>
      <c r="U485">
        <f t="shared" si="7"/>
        <v>12</v>
      </c>
    </row>
    <row r="486" spans="7:21" x14ac:dyDescent="0.2">
      <c r="G486" s="9" t="s">
        <v>961</v>
      </c>
      <c r="H486">
        <v>150</v>
      </c>
      <c r="M486" s="1" t="s">
        <v>961</v>
      </c>
      <c r="N486" s="1">
        <v>1074</v>
      </c>
      <c r="P486" s="1" t="s">
        <v>961</v>
      </c>
      <c r="Q486" s="42">
        <v>150</v>
      </c>
      <c r="R486" s="42">
        <v>1074</v>
      </c>
      <c r="S486" s="42">
        <v>8.5000000000000006E-2</v>
      </c>
      <c r="T486" s="10">
        <f>IFERROR(ROUND((Q486/R486),2),"NA")</f>
        <v>0.14000000000000001</v>
      </c>
      <c r="U486">
        <f t="shared" si="7"/>
        <v>12.750000000000002</v>
      </c>
    </row>
    <row r="487" spans="7:21" x14ac:dyDescent="0.2">
      <c r="G487" s="9" t="s">
        <v>2772</v>
      </c>
      <c r="H487">
        <v>40</v>
      </c>
      <c r="M487" s="1" t="s">
        <v>2772</v>
      </c>
      <c r="N487" s="1">
        <v>59</v>
      </c>
      <c r="P487" s="1" t="s">
        <v>2772</v>
      </c>
      <c r="Q487" s="42">
        <v>40</v>
      </c>
      <c r="R487" s="42">
        <v>59</v>
      </c>
      <c r="S487" s="42">
        <v>0.32</v>
      </c>
      <c r="T487" s="10">
        <f>IFERROR(ROUND((Q487/R487),2),"NA")</f>
        <v>0.68</v>
      </c>
      <c r="U487">
        <f t="shared" si="7"/>
        <v>12.8</v>
      </c>
    </row>
    <row r="488" spans="7:21" x14ac:dyDescent="0.2">
      <c r="G488" s="9" t="s">
        <v>766</v>
      </c>
      <c r="H488">
        <v>0</v>
      </c>
      <c r="M488" s="1" t="s">
        <v>766</v>
      </c>
      <c r="N488" s="1">
        <v>4</v>
      </c>
      <c r="P488" s="1" t="s">
        <v>766</v>
      </c>
      <c r="Q488" s="42">
        <v>0</v>
      </c>
      <c r="R488" s="42">
        <v>4</v>
      </c>
      <c r="S488" s="42">
        <v>1</v>
      </c>
      <c r="T488" s="10">
        <f>IFERROR(ROUND((Q488/R488),2),"NA")</f>
        <v>0</v>
      </c>
      <c r="U488">
        <f t="shared" si="7"/>
        <v>0</v>
      </c>
    </row>
    <row r="489" spans="7:21" x14ac:dyDescent="0.2">
      <c r="G489" s="9" t="s">
        <v>2672</v>
      </c>
      <c r="H489">
        <v>0</v>
      </c>
      <c r="M489" s="1" t="s">
        <v>2672</v>
      </c>
      <c r="N489" s="1">
        <v>1000</v>
      </c>
      <c r="P489" s="1" t="s">
        <v>2672</v>
      </c>
      <c r="Q489" s="42">
        <v>0</v>
      </c>
      <c r="R489" s="42">
        <v>1000</v>
      </c>
      <c r="S489" s="42">
        <v>0</v>
      </c>
      <c r="T489" s="10">
        <f>IFERROR(ROUND((Q489/R489),2),"NA")</f>
        <v>0</v>
      </c>
      <c r="U489">
        <f t="shared" si="7"/>
        <v>0</v>
      </c>
    </row>
    <row r="490" spans="7:21" x14ac:dyDescent="0.2">
      <c r="G490" s="9" t="s">
        <v>1901</v>
      </c>
      <c r="H490">
        <v>0</v>
      </c>
      <c r="M490" s="1" t="s">
        <v>1901</v>
      </c>
      <c r="N490" s="1">
        <v>78</v>
      </c>
      <c r="P490" s="1" t="s">
        <v>1901</v>
      </c>
      <c r="Q490" s="42">
        <v>0</v>
      </c>
      <c r="R490" s="42">
        <v>78</v>
      </c>
      <c r="S490" s="42">
        <v>0.12</v>
      </c>
      <c r="T490" s="10">
        <f>IFERROR(ROUND((Q490/R490),2),"NA")</f>
        <v>0</v>
      </c>
      <c r="U490">
        <f t="shared" si="7"/>
        <v>0</v>
      </c>
    </row>
    <row r="491" spans="7:21" x14ac:dyDescent="0.2">
      <c r="G491" s="9" t="s">
        <v>433</v>
      </c>
      <c r="H491">
        <v>40</v>
      </c>
      <c r="M491" s="1" t="s">
        <v>433</v>
      </c>
      <c r="N491" s="1">
        <v>332</v>
      </c>
      <c r="P491" s="1" t="s">
        <v>433</v>
      </c>
      <c r="Q491" s="42">
        <v>40</v>
      </c>
      <c r="R491" s="42">
        <v>332</v>
      </c>
      <c r="S491" s="42">
        <v>0</v>
      </c>
      <c r="T491" s="10">
        <f>IFERROR(ROUND((Q491/R491),2),"NA")</f>
        <v>0.12</v>
      </c>
      <c r="U491">
        <f t="shared" si="7"/>
        <v>0</v>
      </c>
    </row>
    <row r="492" spans="7:21" x14ac:dyDescent="0.2">
      <c r="G492" s="9" t="s">
        <v>1879</v>
      </c>
      <c r="H492">
        <v>40</v>
      </c>
      <c r="M492" s="1" t="s">
        <v>1879</v>
      </c>
      <c r="N492" s="1">
        <v>100</v>
      </c>
      <c r="P492" s="1" t="s">
        <v>1879</v>
      </c>
      <c r="Q492" s="42">
        <v>40</v>
      </c>
      <c r="R492" s="42">
        <v>100</v>
      </c>
      <c r="S492" s="42">
        <v>0.08</v>
      </c>
      <c r="T492" s="10">
        <f>IFERROR(ROUND((Q492/R492),2),"NA")</f>
        <v>0.4</v>
      </c>
      <c r="U492">
        <f t="shared" si="7"/>
        <v>3.2</v>
      </c>
    </row>
    <row r="493" spans="7:21" x14ac:dyDescent="0.2">
      <c r="G493" s="9" t="s">
        <v>588</v>
      </c>
      <c r="H493">
        <v>0</v>
      </c>
      <c r="M493" s="1" t="s">
        <v>588</v>
      </c>
      <c r="N493" s="1">
        <v>2600</v>
      </c>
      <c r="P493" s="1" t="s">
        <v>588</v>
      </c>
      <c r="Q493" s="42">
        <v>0</v>
      </c>
      <c r="R493" s="42">
        <v>2600</v>
      </c>
      <c r="S493" s="42">
        <v>0</v>
      </c>
      <c r="T493" s="10">
        <f>IFERROR(ROUND((Q493/R493),2),"NA")</f>
        <v>0</v>
      </c>
      <c r="U493">
        <f t="shared" si="7"/>
        <v>0</v>
      </c>
    </row>
    <row r="494" spans="7:21" x14ac:dyDescent="0.2">
      <c r="G494" s="9" t="s">
        <v>1043</v>
      </c>
      <c r="H494">
        <v>0</v>
      </c>
      <c r="M494" s="1" t="s">
        <v>1043</v>
      </c>
      <c r="N494" s="1">
        <v>141</v>
      </c>
      <c r="P494" s="1" t="s">
        <v>1043</v>
      </c>
      <c r="Q494" s="42">
        <v>0</v>
      </c>
      <c r="R494" s="42">
        <v>141</v>
      </c>
      <c r="S494" s="42">
        <v>0</v>
      </c>
      <c r="T494" s="10">
        <f>IFERROR(ROUND((Q494/R494),2),"NA")</f>
        <v>0</v>
      </c>
      <c r="U494">
        <f t="shared" si="7"/>
        <v>0</v>
      </c>
    </row>
    <row r="495" spans="7:21" x14ac:dyDescent="0.2">
      <c r="G495" s="9" t="s">
        <v>1143</v>
      </c>
      <c r="H495">
        <v>0</v>
      </c>
      <c r="M495" s="1" t="s">
        <v>1143</v>
      </c>
      <c r="N495" s="1">
        <v>220</v>
      </c>
      <c r="P495" s="1" t="s">
        <v>1143</v>
      </c>
      <c r="Q495" s="42">
        <v>0</v>
      </c>
      <c r="R495" s="42">
        <v>220</v>
      </c>
      <c r="S495" s="42">
        <v>0.5</v>
      </c>
      <c r="T495" s="10">
        <f>IFERROR(ROUND((Q495/R495),2),"NA")</f>
        <v>0</v>
      </c>
      <c r="U495">
        <f t="shared" si="7"/>
        <v>0</v>
      </c>
    </row>
    <row r="496" spans="7:21" x14ac:dyDescent="0.2">
      <c r="G496" s="9" t="s">
        <v>1556</v>
      </c>
      <c r="H496">
        <v>31</v>
      </c>
      <c r="M496" s="1" t="s">
        <v>1556</v>
      </c>
      <c r="N496" s="1">
        <v>47</v>
      </c>
      <c r="P496" s="1" t="s">
        <v>1556</v>
      </c>
      <c r="Q496" s="42">
        <v>31</v>
      </c>
      <c r="R496" s="42">
        <v>47</v>
      </c>
      <c r="S496" s="42">
        <v>0.31</v>
      </c>
      <c r="T496" s="10">
        <f>IFERROR(ROUND((Q496/R496),2),"NA")</f>
        <v>0.66</v>
      </c>
      <c r="U496">
        <f t="shared" si="7"/>
        <v>9.61</v>
      </c>
    </row>
    <row r="497" spans="7:21" x14ac:dyDescent="0.2">
      <c r="G497" s="9" t="s">
        <v>2502</v>
      </c>
      <c r="H497">
        <v>0</v>
      </c>
      <c r="M497" s="1" t="s">
        <v>2502</v>
      </c>
      <c r="N497" s="1">
        <v>186</v>
      </c>
      <c r="P497" s="1" t="s">
        <v>2502</v>
      </c>
      <c r="Q497" s="42">
        <v>0</v>
      </c>
      <c r="R497" s="42">
        <v>186</v>
      </c>
      <c r="S497" s="42">
        <v>0</v>
      </c>
      <c r="T497" s="10">
        <f>IFERROR(ROUND((Q497/R497),2),"NA")</f>
        <v>0</v>
      </c>
      <c r="U497">
        <f t="shared" si="7"/>
        <v>0</v>
      </c>
    </row>
    <row r="498" spans="7:21" x14ac:dyDescent="0.2">
      <c r="G498" s="9" t="s">
        <v>1569</v>
      </c>
      <c r="H498">
        <v>226</v>
      </c>
      <c r="M498" s="1" t="s">
        <v>1569</v>
      </c>
      <c r="N498" s="1">
        <v>406</v>
      </c>
      <c r="P498" s="1" t="s">
        <v>1569</v>
      </c>
      <c r="Q498" s="42">
        <v>226</v>
      </c>
      <c r="R498" s="42">
        <v>406</v>
      </c>
      <c r="S498" s="42">
        <v>0.22</v>
      </c>
      <c r="T498" s="10">
        <f>IFERROR(ROUND((Q498/R498),2),"NA")</f>
        <v>0.56000000000000005</v>
      </c>
      <c r="U498">
        <f t="shared" si="7"/>
        <v>49.72</v>
      </c>
    </row>
    <row r="499" spans="7:21" x14ac:dyDescent="0.2">
      <c r="G499" s="9" t="s">
        <v>2925</v>
      </c>
      <c r="H499">
        <v>0</v>
      </c>
      <c r="M499" s="1" t="s">
        <v>2925</v>
      </c>
      <c r="N499" s="1">
        <v>296</v>
      </c>
      <c r="P499" s="1" t="s">
        <v>2925</v>
      </c>
      <c r="Q499" s="42">
        <v>0</v>
      </c>
      <c r="R499" s="42">
        <v>296</v>
      </c>
      <c r="S499" s="42">
        <v>0.3</v>
      </c>
      <c r="T499" s="10">
        <f>IFERROR(ROUND((Q499/R499),2),"NA")</f>
        <v>0</v>
      </c>
      <c r="U499">
        <f t="shared" si="7"/>
        <v>0</v>
      </c>
    </row>
    <row r="500" spans="7:21" x14ac:dyDescent="0.2">
      <c r="G500" s="9" t="s">
        <v>2460</v>
      </c>
      <c r="H500">
        <v>22</v>
      </c>
      <c r="M500" s="1" t="s">
        <v>2460</v>
      </c>
      <c r="N500" s="1">
        <v>58</v>
      </c>
      <c r="P500" s="1" t="s">
        <v>2460</v>
      </c>
      <c r="Q500" s="42">
        <v>22</v>
      </c>
      <c r="R500" s="42">
        <v>58</v>
      </c>
      <c r="S500" s="42">
        <v>0</v>
      </c>
      <c r="T500" s="10">
        <f>IFERROR(ROUND((Q500/R500),2),"NA")</f>
        <v>0.38</v>
      </c>
      <c r="U500">
        <f t="shared" si="7"/>
        <v>0</v>
      </c>
    </row>
    <row r="501" spans="7:21" x14ac:dyDescent="0.2">
      <c r="G501" s="9" t="s">
        <v>1313</v>
      </c>
      <c r="H501">
        <v>12</v>
      </c>
      <c r="M501" s="1" t="s">
        <v>1313</v>
      </c>
      <c r="N501" s="1">
        <v>20</v>
      </c>
      <c r="P501" s="1" t="s">
        <v>1313</v>
      </c>
      <c r="Q501" s="42">
        <v>12</v>
      </c>
      <c r="R501" s="42">
        <v>20</v>
      </c>
      <c r="S501" s="42">
        <v>0.1</v>
      </c>
      <c r="T501" s="10">
        <f>IFERROR(ROUND((Q501/R501),2),"NA")</f>
        <v>0.6</v>
      </c>
      <c r="U501">
        <f t="shared" si="7"/>
        <v>1.2000000000000002</v>
      </c>
    </row>
    <row r="502" spans="7:21" x14ac:dyDescent="0.2">
      <c r="G502" s="9" t="s">
        <v>1044</v>
      </c>
      <c r="H502">
        <v>0</v>
      </c>
      <c r="M502" s="1" t="s">
        <v>1044</v>
      </c>
      <c r="N502" s="1">
        <v>664</v>
      </c>
      <c r="P502" s="1" t="s">
        <v>1044</v>
      </c>
      <c r="Q502" s="42">
        <v>0</v>
      </c>
      <c r="R502" s="42">
        <v>664</v>
      </c>
      <c r="S502" s="42">
        <v>0.1</v>
      </c>
      <c r="T502" s="10">
        <f>IFERROR(ROUND((Q502/R502),2),"NA")</f>
        <v>0</v>
      </c>
      <c r="U502">
        <f t="shared" si="7"/>
        <v>0</v>
      </c>
    </row>
    <row r="503" spans="7:21" x14ac:dyDescent="0.2">
      <c r="G503" s="9" t="s">
        <v>1564</v>
      </c>
      <c r="H503">
        <v>0</v>
      </c>
      <c r="M503" s="1" t="s">
        <v>1564</v>
      </c>
      <c r="N503" s="1">
        <v>240</v>
      </c>
      <c r="P503" s="1" t="s">
        <v>1564</v>
      </c>
      <c r="Q503" s="42">
        <v>0</v>
      </c>
      <c r="R503" s="42">
        <v>240</v>
      </c>
      <c r="S503" s="42">
        <v>0</v>
      </c>
      <c r="T503" s="10">
        <f>IFERROR(ROUND((Q503/R503),2),"NA")</f>
        <v>0</v>
      </c>
      <c r="U503">
        <f t="shared" si="7"/>
        <v>0</v>
      </c>
    </row>
    <row r="504" spans="7:21" x14ac:dyDescent="0.2">
      <c r="G504" s="9" t="s">
        <v>894</v>
      </c>
      <c r="H504">
        <v>25</v>
      </c>
      <c r="M504" s="1" t="s">
        <v>894</v>
      </c>
      <c r="N504" s="1">
        <v>411.5</v>
      </c>
      <c r="P504" s="1" t="s">
        <v>894</v>
      </c>
      <c r="Q504" s="42">
        <v>25</v>
      </c>
      <c r="R504" s="42">
        <v>411.5</v>
      </c>
      <c r="S504" s="42">
        <v>0.1</v>
      </c>
      <c r="T504" s="10">
        <f>IFERROR(ROUND((Q504/R504),2),"NA")</f>
        <v>0.06</v>
      </c>
      <c r="U504">
        <f t="shared" si="7"/>
        <v>2.5</v>
      </c>
    </row>
    <row r="505" spans="7:21" x14ac:dyDescent="0.2">
      <c r="G505" s="9" t="s">
        <v>827</v>
      </c>
      <c r="H505">
        <v>57</v>
      </c>
      <c r="M505" s="1" t="s">
        <v>827</v>
      </c>
      <c r="N505" s="1">
        <v>0</v>
      </c>
      <c r="P505" s="1" t="s">
        <v>827</v>
      </c>
      <c r="Q505" s="42">
        <v>57</v>
      </c>
      <c r="R505" s="42">
        <v>0</v>
      </c>
      <c r="S505" s="42">
        <v>1</v>
      </c>
      <c r="T505" s="10" t="str">
        <f>IFERROR(ROUND((Q505/R505),2),"NA")</f>
        <v>NA</v>
      </c>
      <c r="U505">
        <f t="shared" si="7"/>
        <v>57</v>
      </c>
    </row>
    <row r="506" spans="7:21" x14ac:dyDescent="0.2">
      <c r="G506" s="9" t="s">
        <v>2529</v>
      </c>
      <c r="H506">
        <v>8</v>
      </c>
      <c r="M506" s="1" t="s">
        <v>2529</v>
      </c>
      <c r="N506" s="1">
        <v>8</v>
      </c>
      <c r="P506" s="1" t="s">
        <v>2529</v>
      </c>
      <c r="Q506" s="42">
        <v>8</v>
      </c>
      <c r="R506" s="42">
        <v>8</v>
      </c>
      <c r="S506" s="42">
        <v>0</v>
      </c>
      <c r="T506" s="10">
        <f>IFERROR(ROUND((Q506/R506),2),"NA")</f>
        <v>1</v>
      </c>
      <c r="U506">
        <f t="shared" si="7"/>
        <v>0</v>
      </c>
    </row>
    <row r="507" spans="7:21" x14ac:dyDescent="0.2">
      <c r="G507" s="9" t="s">
        <v>292</v>
      </c>
      <c r="H507">
        <v>0</v>
      </c>
      <c r="M507" s="1" t="s">
        <v>292</v>
      </c>
      <c r="N507" s="1">
        <v>10</v>
      </c>
      <c r="P507" s="1" t="s">
        <v>292</v>
      </c>
      <c r="Q507" s="42">
        <v>0</v>
      </c>
      <c r="R507" s="42">
        <v>10</v>
      </c>
      <c r="S507" s="42">
        <v>1</v>
      </c>
      <c r="T507" s="10">
        <f>IFERROR(ROUND((Q507/R507),2),"NA")</f>
        <v>0</v>
      </c>
      <c r="U507">
        <f t="shared" si="7"/>
        <v>0</v>
      </c>
    </row>
    <row r="508" spans="7:21" x14ac:dyDescent="0.2">
      <c r="G508" s="9" t="s">
        <v>1787</v>
      </c>
      <c r="H508">
        <v>0</v>
      </c>
      <c r="M508" s="1" t="s">
        <v>1787</v>
      </c>
      <c r="N508" s="1">
        <v>162</v>
      </c>
      <c r="P508" s="1" t="s">
        <v>1787</v>
      </c>
      <c r="Q508" s="42">
        <v>0</v>
      </c>
      <c r="R508" s="42">
        <v>162</v>
      </c>
      <c r="S508" s="42">
        <v>0.18</v>
      </c>
      <c r="T508" s="10">
        <f>IFERROR(ROUND((Q508/R508),2),"NA")</f>
        <v>0</v>
      </c>
      <c r="U508">
        <f t="shared" si="7"/>
        <v>0</v>
      </c>
    </row>
    <row r="509" spans="7:21" x14ac:dyDescent="0.2">
      <c r="G509" s="9" t="s">
        <v>2838</v>
      </c>
      <c r="H509">
        <v>7</v>
      </c>
      <c r="M509" s="1" t="s">
        <v>2838</v>
      </c>
      <c r="N509" s="1">
        <v>2</v>
      </c>
      <c r="P509" s="1" t="s">
        <v>2838</v>
      </c>
      <c r="Q509" s="42">
        <v>7</v>
      </c>
      <c r="R509" s="42">
        <v>2</v>
      </c>
      <c r="S509" s="42">
        <v>7.0000000000000007E-2</v>
      </c>
      <c r="T509" s="10">
        <f>IFERROR(ROUND((Q509/R509),2),"NA")</f>
        <v>3.5</v>
      </c>
      <c r="U509">
        <f t="shared" si="7"/>
        <v>0.49000000000000005</v>
      </c>
    </row>
    <row r="510" spans="7:21" x14ac:dyDescent="0.2">
      <c r="G510" s="9" t="s">
        <v>1131</v>
      </c>
      <c r="H510">
        <v>201</v>
      </c>
      <c r="M510" s="1" t="s">
        <v>1131</v>
      </c>
      <c r="N510" s="1">
        <v>92</v>
      </c>
      <c r="P510" s="1" t="s">
        <v>1131</v>
      </c>
      <c r="Q510" s="42">
        <v>201</v>
      </c>
      <c r="R510" s="42">
        <v>92</v>
      </c>
      <c r="S510" s="42">
        <v>0.14000000000000001</v>
      </c>
      <c r="T510" s="10">
        <f>IFERROR(ROUND((Q510/R510),2),"NA")</f>
        <v>2.1800000000000002</v>
      </c>
      <c r="U510">
        <f t="shared" si="7"/>
        <v>28.140000000000004</v>
      </c>
    </row>
    <row r="511" spans="7:21" x14ac:dyDescent="0.2">
      <c r="G511" s="9" t="s">
        <v>1757</v>
      </c>
      <c r="H511">
        <v>100</v>
      </c>
      <c r="M511" s="1" t="s">
        <v>1757</v>
      </c>
      <c r="N511" s="1">
        <v>0</v>
      </c>
      <c r="P511" s="1" t="s">
        <v>1757</v>
      </c>
      <c r="Q511" s="42">
        <v>100</v>
      </c>
      <c r="R511" s="42">
        <v>0</v>
      </c>
      <c r="S511" s="42">
        <v>0.05</v>
      </c>
      <c r="T511" s="10" t="str">
        <f>IFERROR(ROUND((Q511/R511),2),"NA")</f>
        <v>NA</v>
      </c>
      <c r="U511">
        <f t="shared" si="7"/>
        <v>5</v>
      </c>
    </row>
    <row r="512" spans="7:21" x14ac:dyDescent="0.2">
      <c r="G512" s="9" t="s">
        <v>1026</v>
      </c>
      <c r="H512">
        <v>304</v>
      </c>
      <c r="M512" s="1" t="s">
        <v>1026</v>
      </c>
      <c r="N512" s="1">
        <v>0</v>
      </c>
      <c r="P512" s="1" t="s">
        <v>1026</v>
      </c>
      <c r="Q512" s="42">
        <v>304</v>
      </c>
      <c r="R512" s="42">
        <v>0</v>
      </c>
      <c r="S512" s="42">
        <v>0</v>
      </c>
      <c r="T512" s="10" t="str">
        <f>IFERROR(ROUND((Q512/R512),2),"NA")</f>
        <v>NA</v>
      </c>
      <c r="U512">
        <f t="shared" si="7"/>
        <v>0</v>
      </c>
    </row>
    <row r="513" spans="7:21" x14ac:dyDescent="0.2">
      <c r="G513" s="9" t="s">
        <v>1018</v>
      </c>
      <c r="H513">
        <v>0</v>
      </c>
      <c r="M513" s="1" t="s">
        <v>1018</v>
      </c>
      <c r="N513" s="1">
        <v>1465</v>
      </c>
      <c r="P513" s="1" t="s">
        <v>1018</v>
      </c>
      <c r="Q513" s="42">
        <v>0</v>
      </c>
      <c r="R513" s="42">
        <v>1465</v>
      </c>
      <c r="S513" s="42">
        <v>0</v>
      </c>
      <c r="T513" s="10">
        <f>IFERROR(ROUND((Q513/R513),2),"NA")</f>
        <v>0</v>
      </c>
      <c r="U513">
        <f t="shared" si="7"/>
        <v>0</v>
      </c>
    </row>
    <row r="514" spans="7:21" x14ac:dyDescent="0.2">
      <c r="G514" s="9" t="s">
        <v>1625</v>
      </c>
      <c r="H514">
        <v>2110</v>
      </c>
      <c r="M514" s="1" t="s">
        <v>1625</v>
      </c>
      <c r="N514" s="1">
        <v>1647</v>
      </c>
      <c r="P514" s="1" t="s">
        <v>1625</v>
      </c>
      <c r="Q514" s="42">
        <v>2110</v>
      </c>
      <c r="R514" s="42">
        <v>1647</v>
      </c>
      <c r="S514" s="42">
        <v>0.19</v>
      </c>
      <c r="T514" s="10">
        <f>IFERROR(ROUND((Q514/R514),2),"NA")</f>
        <v>1.28</v>
      </c>
      <c r="U514">
        <f t="shared" si="7"/>
        <v>400.9</v>
      </c>
    </row>
    <row r="515" spans="7:21" x14ac:dyDescent="0.2">
      <c r="G515" s="9" t="s">
        <v>782</v>
      </c>
      <c r="H515">
        <v>80</v>
      </c>
      <c r="M515" s="1" t="s">
        <v>782</v>
      </c>
      <c r="N515" s="1">
        <v>491</v>
      </c>
      <c r="P515" s="1" t="s">
        <v>782</v>
      </c>
      <c r="Q515" s="42">
        <v>80</v>
      </c>
      <c r="R515" s="42">
        <v>491</v>
      </c>
      <c r="S515" s="42">
        <v>0.12</v>
      </c>
      <c r="T515" s="10">
        <f>IFERROR(ROUND((Q515/R515),2),"NA")</f>
        <v>0.16</v>
      </c>
      <c r="U515">
        <f t="shared" si="7"/>
        <v>9.6</v>
      </c>
    </row>
    <row r="516" spans="7:21" x14ac:dyDescent="0.2">
      <c r="G516" s="9" t="s">
        <v>803</v>
      </c>
      <c r="H516">
        <v>0</v>
      </c>
      <c r="M516" s="1" t="s">
        <v>803</v>
      </c>
      <c r="N516" s="1">
        <v>0</v>
      </c>
      <c r="P516" s="1" t="s">
        <v>803</v>
      </c>
      <c r="Q516" s="42">
        <v>0</v>
      </c>
      <c r="R516" s="42">
        <v>0</v>
      </c>
      <c r="S516" s="42">
        <v>0</v>
      </c>
      <c r="T516" s="10" t="str">
        <f>IFERROR(ROUND((Q516/R516),2),"NA")</f>
        <v>NA</v>
      </c>
      <c r="U516">
        <f t="shared" si="7"/>
        <v>0</v>
      </c>
    </row>
    <row r="517" spans="7:21" x14ac:dyDescent="0.2">
      <c r="G517" s="9" t="s">
        <v>2179</v>
      </c>
      <c r="H517">
        <v>0</v>
      </c>
      <c r="M517" s="1" t="s">
        <v>2179</v>
      </c>
      <c r="N517" s="1">
        <v>11</v>
      </c>
      <c r="P517" s="1" t="s">
        <v>2179</v>
      </c>
      <c r="Q517" s="42">
        <v>0</v>
      </c>
      <c r="R517" s="42">
        <v>11</v>
      </c>
      <c r="S517" s="42">
        <v>0</v>
      </c>
      <c r="T517" s="10">
        <f>IFERROR(ROUND((Q517/R517),2),"NA")</f>
        <v>0</v>
      </c>
      <c r="U517">
        <f t="shared" ref="U517:U580" si="8">Q517*S517</f>
        <v>0</v>
      </c>
    </row>
    <row r="518" spans="7:21" x14ac:dyDescent="0.2">
      <c r="G518" s="9" t="s">
        <v>1785</v>
      </c>
      <c r="H518">
        <v>10</v>
      </c>
      <c r="M518" s="1" t="s">
        <v>1785</v>
      </c>
      <c r="N518" s="1">
        <v>1</v>
      </c>
      <c r="P518" s="1" t="s">
        <v>1785</v>
      </c>
      <c r="Q518" s="42">
        <v>10</v>
      </c>
      <c r="R518" s="42">
        <v>1</v>
      </c>
      <c r="S518" s="42">
        <v>0.2</v>
      </c>
      <c r="T518" s="10">
        <f>IFERROR(ROUND((Q518/R518),2),"NA")</f>
        <v>10</v>
      </c>
      <c r="U518">
        <f t="shared" si="8"/>
        <v>2</v>
      </c>
    </row>
    <row r="519" spans="7:21" x14ac:dyDescent="0.2">
      <c r="G519" s="9" t="s">
        <v>2191</v>
      </c>
      <c r="H519">
        <v>30</v>
      </c>
      <c r="M519" s="1" t="s">
        <v>2191</v>
      </c>
      <c r="N519" s="1">
        <v>98</v>
      </c>
      <c r="P519" s="1" t="s">
        <v>2191</v>
      </c>
      <c r="Q519" s="42">
        <v>30</v>
      </c>
      <c r="R519" s="42">
        <v>98</v>
      </c>
      <c r="S519" s="42">
        <v>0.24</v>
      </c>
      <c r="T519" s="10">
        <f>IFERROR(ROUND((Q519/R519),2),"NA")</f>
        <v>0.31</v>
      </c>
      <c r="U519">
        <f t="shared" si="8"/>
        <v>7.1999999999999993</v>
      </c>
    </row>
    <row r="520" spans="7:21" x14ac:dyDescent="0.2">
      <c r="G520" s="9" t="s">
        <v>765</v>
      </c>
      <c r="H520">
        <v>44</v>
      </c>
      <c r="M520" s="1" t="s">
        <v>765</v>
      </c>
      <c r="N520" s="1">
        <v>301</v>
      </c>
      <c r="P520" s="1" t="s">
        <v>765</v>
      </c>
      <c r="Q520" s="42">
        <v>44</v>
      </c>
      <c r="R520" s="42">
        <v>301</v>
      </c>
      <c r="S520" s="42">
        <v>0</v>
      </c>
      <c r="T520" s="10">
        <f>IFERROR(ROUND((Q520/R520),2),"NA")</f>
        <v>0.15</v>
      </c>
      <c r="U520">
        <f t="shared" si="8"/>
        <v>0</v>
      </c>
    </row>
    <row r="521" spans="7:21" x14ac:dyDescent="0.2">
      <c r="G521" s="9" t="s">
        <v>1478</v>
      </c>
      <c r="H521">
        <v>19</v>
      </c>
      <c r="M521" s="1" t="s">
        <v>1478</v>
      </c>
      <c r="N521" s="1">
        <v>101</v>
      </c>
      <c r="P521" s="1" t="s">
        <v>1478</v>
      </c>
      <c r="Q521" s="42">
        <v>19</v>
      </c>
      <c r="R521" s="42">
        <v>101</v>
      </c>
      <c r="S521" s="42">
        <v>0</v>
      </c>
      <c r="T521" s="10">
        <f>IFERROR(ROUND((Q521/R521),2),"NA")</f>
        <v>0.19</v>
      </c>
      <c r="U521">
        <f t="shared" si="8"/>
        <v>0</v>
      </c>
    </row>
    <row r="522" spans="7:21" x14ac:dyDescent="0.2">
      <c r="G522" s="9" t="s">
        <v>1166</v>
      </c>
      <c r="H522">
        <v>0</v>
      </c>
      <c r="M522" s="1" t="s">
        <v>1166</v>
      </c>
      <c r="N522" s="1">
        <v>3</v>
      </c>
      <c r="P522" s="1" t="s">
        <v>1166</v>
      </c>
      <c r="Q522" s="42">
        <v>0</v>
      </c>
      <c r="R522" s="42">
        <v>3</v>
      </c>
      <c r="S522" s="42">
        <v>1</v>
      </c>
      <c r="T522" s="10">
        <f>IFERROR(ROUND((Q522/R522),2),"NA")</f>
        <v>0</v>
      </c>
      <c r="U522">
        <f t="shared" si="8"/>
        <v>0</v>
      </c>
    </row>
    <row r="523" spans="7:21" x14ac:dyDescent="0.2">
      <c r="G523" s="9" t="s">
        <v>1999</v>
      </c>
      <c r="H523">
        <v>0</v>
      </c>
      <c r="M523" s="1" t="s">
        <v>1999</v>
      </c>
      <c r="N523" s="1">
        <v>0</v>
      </c>
      <c r="P523" s="1" t="s">
        <v>1999</v>
      </c>
      <c r="Q523" s="42">
        <v>0</v>
      </c>
      <c r="R523" s="42">
        <v>0</v>
      </c>
      <c r="S523" s="42">
        <v>1</v>
      </c>
      <c r="T523" s="10" t="str">
        <f>IFERROR(ROUND((Q523/R523),2),"NA")</f>
        <v>NA</v>
      </c>
      <c r="U523">
        <f t="shared" si="8"/>
        <v>0</v>
      </c>
    </row>
    <row r="524" spans="7:21" x14ac:dyDescent="0.2">
      <c r="G524" s="9" t="s">
        <v>1386</v>
      </c>
      <c r="H524">
        <v>54</v>
      </c>
      <c r="M524" s="1" t="s">
        <v>1386</v>
      </c>
      <c r="N524" s="1">
        <v>719</v>
      </c>
      <c r="P524" s="1" t="s">
        <v>1386</v>
      </c>
      <c r="Q524" s="42">
        <v>54</v>
      </c>
      <c r="R524" s="42">
        <v>719</v>
      </c>
      <c r="S524" s="42">
        <v>0</v>
      </c>
      <c r="T524" s="10">
        <f>IFERROR(ROUND((Q524/R524),2),"NA")</f>
        <v>0.08</v>
      </c>
      <c r="U524">
        <f t="shared" si="8"/>
        <v>0</v>
      </c>
    </row>
    <row r="525" spans="7:21" x14ac:dyDescent="0.2">
      <c r="G525" s="9" t="s">
        <v>1973</v>
      </c>
      <c r="H525">
        <v>0</v>
      </c>
      <c r="M525" s="1" t="s">
        <v>1973</v>
      </c>
      <c r="N525" s="1">
        <v>596</v>
      </c>
      <c r="P525" s="1" t="s">
        <v>1973</v>
      </c>
      <c r="Q525" s="42">
        <v>0</v>
      </c>
      <c r="R525" s="42">
        <v>596</v>
      </c>
      <c r="S525" s="42">
        <v>0</v>
      </c>
      <c r="T525" s="10">
        <f>IFERROR(ROUND((Q525/R525),2),"NA")</f>
        <v>0</v>
      </c>
      <c r="U525">
        <f t="shared" si="8"/>
        <v>0</v>
      </c>
    </row>
    <row r="526" spans="7:21" x14ac:dyDescent="0.2">
      <c r="G526" s="9" t="s">
        <v>1318</v>
      </c>
      <c r="H526">
        <v>300</v>
      </c>
      <c r="M526" s="1" t="s">
        <v>1318</v>
      </c>
      <c r="N526" s="1">
        <v>482</v>
      </c>
      <c r="P526" s="1" t="s">
        <v>1318</v>
      </c>
      <c r="Q526" s="42">
        <v>300</v>
      </c>
      <c r="R526" s="42">
        <v>482</v>
      </c>
      <c r="S526" s="42">
        <v>0</v>
      </c>
      <c r="T526" s="10">
        <f>IFERROR(ROUND((Q526/R526),2),"NA")</f>
        <v>0.62</v>
      </c>
      <c r="U526">
        <f t="shared" si="8"/>
        <v>0</v>
      </c>
    </row>
    <row r="527" spans="7:21" x14ac:dyDescent="0.2">
      <c r="G527" s="9" t="s">
        <v>2450</v>
      </c>
      <c r="H527">
        <v>97</v>
      </c>
      <c r="M527" s="1" t="s">
        <v>2450</v>
      </c>
      <c r="N527" s="1">
        <v>41</v>
      </c>
      <c r="P527" s="1" t="s">
        <v>2450</v>
      </c>
      <c r="Q527" s="42">
        <v>97</v>
      </c>
      <c r="R527" s="42">
        <v>41</v>
      </c>
      <c r="S527" s="42">
        <v>0</v>
      </c>
      <c r="T527" s="10">
        <f>IFERROR(ROUND((Q527/R527),2),"NA")</f>
        <v>2.37</v>
      </c>
      <c r="U527">
        <f t="shared" si="8"/>
        <v>0</v>
      </c>
    </row>
    <row r="528" spans="7:21" x14ac:dyDescent="0.2">
      <c r="G528" s="9" t="s">
        <v>2298</v>
      </c>
      <c r="H528">
        <v>0</v>
      </c>
      <c r="M528" s="1" t="s">
        <v>2298</v>
      </c>
      <c r="N528" s="1">
        <v>0</v>
      </c>
      <c r="P528" s="1" t="s">
        <v>2298</v>
      </c>
      <c r="Q528" s="42">
        <v>0</v>
      </c>
      <c r="R528" s="42">
        <v>0</v>
      </c>
      <c r="S528" s="42">
        <v>0</v>
      </c>
      <c r="T528" s="10" t="str">
        <f>IFERROR(ROUND((Q528/R528),2),"NA")</f>
        <v>NA</v>
      </c>
      <c r="U528">
        <f t="shared" si="8"/>
        <v>0</v>
      </c>
    </row>
    <row r="529" spans="7:21" x14ac:dyDescent="0.2">
      <c r="G529" s="9" t="s">
        <v>1376</v>
      </c>
      <c r="H529">
        <v>371</v>
      </c>
      <c r="M529" s="1" t="s">
        <v>1376</v>
      </c>
      <c r="N529" s="1">
        <v>0</v>
      </c>
      <c r="P529" s="1" t="s">
        <v>1376</v>
      </c>
      <c r="Q529" s="42">
        <v>371</v>
      </c>
      <c r="R529" s="42">
        <v>0</v>
      </c>
      <c r="S529" s="42">
        <v>0.31</v>
      </c>
      <c r="T529" s="10" t="str">
        <f>IFERROR(ROUND((Q529/R529),2),"NA")</f>
        <v>NA</v>
      </c>
      <c r="U529">
        <f t="shared" si="8"/>
        <v>115.01</v>
      </c>
    </row>
    <row r="530" spans="7:21" x14ac:dyDescent="0.2">
      <c r="G530" s="9" t="s">
        <v>2059</v>
      </c>
      <c r="H530">
        <v>22</v>
      </c>
      <c r="M530" s="1" t="s">
        <v>2059</v>
      </c>
      <c r="N530" s="1">
        <v>255</v>
      </c>
      <c r="P530" s="1" t="s">
        <v>2059</v>
      </c>
      <c r="Q530" s="42">
        <v>22</v>
      </c>
      <c r="R530" s="42">
        <v>255</v>
      </c>
      <c r="S530" s="42">
        <v>1</v>
      </c>
      <c r="T530" s="10">
        <f>IFERROR(ROUND((Q530/R530),2),"NA")</f>
        <v>0.09</v>
      </c>
      <c r="U530">
        <f t="shared" si="8"/>
        <v>22</v>
      </c>
    </row>
    <row r="531" spans="7:21" x14ac:dyDescent="0.2">
      <c r="G531" s="9" t="s">
        <v>2332</v>
      </c>
      <c r="H531">
        <v>40</v>
      </c>
      <c r="M531" s="1" t="s">
        <v>2332</v>
      </c>
      <c r="N531" s="1">
        <v>40</v>
      </c>
      <c r="P531" s="1" t="s">
        <v>2332</v>
      </c>
      <c r="Q531" s="42">
        <v>40</v>
      </c>
      <c r="R531" s="42">
        <v>40</v>
      </c>
      <c r="S531" s="42">
        <v>0.3</v>
      </c>
      <c r="T531" s="10">
        <f>IFERROR(ROUND((Q531/R531),2),"NA")</f>
        <v>1</v>
      </c>
      <c r="U531">
        <f t="shared" si="8"/>
        <v>12</v>
      </c>
    </row>
    <row r="532" spans="7:21" x14ac:dyDescent="0.2">
      <c r="G532" s="9" t="s">
        <v>1177</v>
      </c>
      <c r="H532">
        <v>17</v>
      </c>
      <c r="M532" s="1" t="s">
        <v>1177</v>
      </c>
      <c r="N532" s="1">
        <v>18</v>
      </c>
      <c r="P532" s="1" t="s">
        <v>1177</v>
      </c>
      <c r="Q532" s="42">
        <v>17</v>
      </c>
      <c r="R532" s="42">
        <v>18</v>
      </c>
      <c r="S532" s="42">
        <v>0.17</v>
      </c>
      <c r="T532" s="10">
        <f>IFERROR(ROUND((Q532/R532),2),"NA")</f>
        <v>0.94</v>
      </c>
      <c r="U532">
        <f t="shared" si="8"/>
        <v>2.89</v>
      </c>
    </row>
    <row r="533" spans="7:21" x14ac:dyDescent="0.2">
      <c r="G533" s="9" t="s">
        <v>585</v>
      </c>
      <c r="H533">
        <v>0</v>
      </c>
      <c r="M533" s="1" t="s">
        <v>585</v>
      </c>
      <c r="N533" s="1">
        <v>1900</v>
      </c>
      <c r="P533" s="1" t="s">
        <v>585</v>
      </c>
      <c r="Q533" s="42">
        <v>0</v>
      </c>
      <c r="R533" s="42">
        <v>1900</v>
      </c>
      <c r="S533" s="42">
        <v>0</v>
      </c>
      <c r="T533" s="10">
        <f>IFERROR(ROUND((Q533/R533),2),"NA")</f>
        <v>0</v>
      </c>
      <c r="U533">
        <f t="shared" si="8"/>
        <v>0</v>
      </c>
    </row>
    <row r="534" spans="7:21" x14ac:dyDescent="0.2">
      <c r="G534" s="9" t="s">
        <v>1314</v>
      </c>
      <c r="H534">
        <v>0</v>
      </c>
      <c r="M534" s="1" t="s">
        <v>1314</v>
      </c>
      <c r="N534" s="1">
        <v>0</v>
      </c>
      <c r="P534" s="1" t="s">
        <v>1314</v>
      </c>
      <c r="Q534" s="42">
        <v>0</v>
      </c>
      <c r="R534" s="42">
        <v>0</v>
      </c>
      <c r="S534" s="42">
        <v>0.1</v>
      </c>
      <c r="T534" s="10" t="str">
        <f>IFERROR(ROUND((Q534/R534),2),"NA")</f>
        <v>NA</v>
      </c>
      <c r="U534">
        <f t="shared" si="8"/>
        <v>0</v>
      </c>
    </row>
    <row r="535" spans="7:21" x14ac:dyDescent="0.2">
      <c r="G535" s="9" t="s">
        <v>1663</v>
      </c>
      <c r="H535">
        <v>1096</v>
      </c>
      <c r="M535" s="1" t="s">
        <v>1663</v>
      </c>
      <c r="N535" s="1">
        <v>6400</v>
      </c>
      <c r="P535" s="1" t="s">
        <v>1663</v>
      </c>
      <c r="Q535" s="42">
        <v>1096</v>
      </c>
      <c r="R535" s="42">
        <v>6400</v>
      </c>
      <c r="S535" s="42">
        <v>0.125</v>
      </c>
      <c r="T535" s="10">
        <f>IFERROR(ROUND((Q535/R535),2),"NA")</f>
        <v>0.17</v>
      </c>
      <c r="U535">
        <f t="shared" si="8"/>
        <v>137</v>
      </c>
    </row>
    <row r="536" spans="7:21" x14ac:dyDescent="0.2">
      <c r="G536" s="9" t="s">
        <v>2051</v>
      </c>
      <c r="H536">
        <v>11</v>
      </c>
      <c r="M536" s="1" t="s">
        <v>2051</v>
      </c>
      <c r="N536" s="1">
        <v>17</v>
      </c>
      <c r="P536" s="1" t="s">
        <v>2051</v>
      </c>
      <c r="Q536" s="42">
        <v>11</v>
      </c>
      <c r="R536" s="42">
        <v>17</v>
      </c>
      <c r="S536" s="42">
        <v>0.28000000000000003</v>
      </c>
      <c r="T536" s="10">
        <f>IFERROR(ROUND((Q536/R536),2),"NA")</f>
        <v>0.65</v>
      </c>
      <c r="U536">
        <f t="shared" si="8"/>
        <v>3.08</v>
      </c>
    </row>
    <row r="537" spans="7:21" x14ac:dyDescent="0.2">
      <c r="G537" s="9" t="s">
        <v>131</v>
      </c>
      <c r="H537">
        <v>0</v>
      </c>
      <c r="M537" s="1" t="s">
        <v>131</v>
      </c>
      <c r="N537" s="1">
        <v>6</v>
      </c>
      <c r="P537" s="1" t="s">
        <v>131</v>
      </c>
      <c r="Q537" s="42">
        <v>0</v>
      </c>
      <c r="R537" s="42">
        <v>6</v>
      </c>
      <c r="S537" s="42">
        <v>1</v>
      </c>
      <c r="T537" s="10">
        <f>IFERROR(ROUND((Q537/R537),2),"NA")</f>
        <v>0</v>
      </c>
      <c r="U537">
        <f t="shared" si="8"/>
        <v>0</v>
      </c>
    </row>
    <row r="538" spans="7:21" x14ac:dyDescent="0.2">
      <c r="G538" s="9" t="s">
        <v>1492</v>
      </c>
      <c r="H538">
        <v>221</v>
      </c>
      <c r="M538" s="1" t="s">
        <v>1492</v>
      </c>
      <c r="N538" s="1">
        <v>455</v>
      </c>
      <c r="P538" s="1" t="s">
        <v>1492</v>
      </c>
      <c r="Q538" s="42">
        <v>221</v>
      </c>
      <c r="R538" s="42">
        <v>455</v>
      </c>
      <c r="S538" s="42">
        <v>0.08</v>
      </c>
      <c r="T538" s="10">
        <f>IFERROR(ROUND((Q538/R538),2),"NA")</f>
        <v>0.49</v>
      </c>
      <c r="U538">
        <f t="shared" si="8"/>
        <v>17.68</v>
      </c>
    </row>
    <row r="539" spans="7:21" x14ac:dyDescent="0.2">
      <c r="G539" s="9" t="s">
        <v>2594</v>
      </c>
      <c r="H539">
        <v>0</v>
      </c>
      <c r="M539" s="1" t="s">
        <v>2594</v>
      </c>
      <c r="N539" s="1">
        <v>117</v>
      </c>
      <c r="P539" s="1" t="s">
        <v>2594</v>
      </c>
      <c r="Q539" s="42">
        <v>0</v>
      </c>
      <c r="R539" s="42">
        <v>117</v>
      </c>
      <c r="S539" s="42">
        <v>0.11</v>
      </c>
      <c r="T539" s="10">
        <f>IFERROR(ROUND((Q539/R539),2),"NA")</f>
        <v>0</v>
      </c>
      <c r="U539">
        <f t="shared" si="8"/>
        <v>0</v>
      </c>
    </row>
    <row r="540" spans="7:21" x14ac:dyDescent="0.2">
      <c r="G540" s="9" t="s">
        <v>2784</v>
      </c>
      <c r="H540">
        <v>17</v>
      </c>
      <c r="M540" s="1" t="s">
        <v>2784</v>
      </c>
      <c r="N540" s="1">
        <v>0</v>
      </c>
      <c r="P540" s="1" t="s">
        <v>2784</v>
      </c>
      <c r="Q540" s="42">
        <v>17</v>
      </c>
      <c r="R540" s="42">
        <v>0</v>
      </c>
      <c r="S540" s="42">
        <v>0.1</v>
      </c>
      <c r="T540" s="10" t="str">
        <f>IFERROR(ROUND((Q540/R540),2),"NA")</f>
        <v>NA</v>
      </c>
      <c r="U540">
        <f t="shared" si="8"/>
        <v>1.7000000000000002</v>
      </c>
    </row>
    <row r="541" spans="7:21" x14ac:dyDescent="0.2">
      <c r="G541" s="9" t="s">
        <v>843</v>
      </c>
      <c r="H541">
        <v>0</v>
      </c>
      <c r="M541" s="1" t="s">
        <v>843</v>
      </c>
      <c r="N541" s="1">
        <v>2</v>
      </c>
      <c r="P541" s="1" t="s">
        <v>843</v>
      </c>
      <c r="Q541" s="42">
        <v>0</v>
      </c>
      <c r="R541" s="42">
        <v>2</v>
      </c>
      <c r="S541" s="42">
        <v>1</v>
      </c>
      <c r="T541" s="10">
        <f>IFERROR(ROUND((Q541/R541),2),"NA")</f>
        <v>0</v>
      </c>
      <c r="U541">
        <f t="shared" si="8"/>
        <v>0</v>
      </c>
    </row>
    <row r="542" spans="7:21" x14ac:dyDescent="0.2">
      <c r="G542" s="9" t="s">
        <v>936</v>
      </c>
      <c r="H542">
        <v>0</v>
      </c>
      <c r="M542" s="1" t="s">
        <v>936</v>
      </c>
      <c r="N542" s="1">
        <v>160</v>
      </c>
      <c r="P542" s="1" t="s">
        <v>936</v>
      </c>
      <c r="Q542" s="42">
        <v>0</v>
      </c>
      <c r="R542" s="42">
        <v>160</v>
      </c>
      <c r="S542" s="42">
        <v>0</v>
      </c>
      <c r="T542" s="10">
        <f>IFERROR(ROUND((Q542/R542),2),"NA")</f>
        <v>0</v>
      </c>
      <c r="U542">
        <f t="shared" si="8"/>
        <v>0</v>
      </c>
    </row>
    <row r="543" spans="7:21" x14ac:dyDescent="0.2">
      <c r="G543" s="9" t="s">
        <v>156</v>
      </c>
      <c r="H543">
        <v>0</v>
      </c>
      <c r="M543" s="1" t="s">
        <v>156</v>
      </c>
      <c r="N543" s="1">
        <v>1</v>
      </c>
      <c r="P543" s="1" t="s">
        <v>156</v>
      </c>
      <c r="Q543" s="42">
        <v>0</v>
      </c>
      <c r="R543" s="42">
        <v>1</v>
      </c>
      <c r="S543" s="42">
        <v>0</v>
      </c>
      <c r="T543" s="10">
        <f>IFERROR(ROUND((Q543/R543),2),"NA")</f>
        <v>0</v>
      </c>
      <c r="U543">
        <f t="shared" si="8"/>
        <v>0</v>
      </c>
    </row>
    <row r="544" spans="7:21" x14ac:dyDescent="0.2">
      <c r="G544" s="9" t="s">
        <v>1627</v>
      </c>
      <c r="H544">
        <v>191</v>
      </c>
      <c r="M544" s="1" t="s">
        <v>1627</v>
      </c>
      <c r="N544" s="1">
        <v>736</v>
      </c>
      <c r="P544" s="1" t="s">
        <v>1627</v>
      </c>
      <c r="Q544" s="42">
        <v>191</v>
      </c>
      <c r="R544" s="42">
        <v>736</v>
      </c>
      <c r="S544" s="42">
        <v>0.125</v>
      </c>
      <c r="T544" s="10">
        <f>IFERROR(ROUND((Q544/R544),2),"NA")</f>
        <v>0.26</v>
      </c>
      <c r="U544">
        <f t="shared" si="8"/>
        <v>23.875</v>
      </c>
    </row>
    <row r="545" spans="7:21" x14ac:dyDescent="0.2">
      <c r="G545" s="9" t="s">
        <v>2915</v>
      </c>
      <c r="H545">
        <v>13</v>
      </c>
      <c r="M545" s="1" t="s">
        <v>2915</v>
      </c>
      <c r="N545" s="1">
        <v>5</v>
      </c>
      <c r="P545" s="1" t="s">
        <v>2915</v>
      </c>
      <c r="Q545" s="42">
        <v>13</v>
      </c>
      <c r="R545" s="42">
        <v>5</v>
      </c>
      <c r="S545" s="42">
        <v>1</v>
      </c>
      <c r="T545" s="10">
        <f>IFERROR(ROUND((Q545/R545),2),"NA")</f>
        <v>2.6</v>
      </c>
      <c r="U545">
        <f t="shared" si="8"/>
        <v>13</v>
      </c>
    </row>
    <row r="546" spans="7:21" x14ac:dyDescent="0.2">
      <c r="G546" s="9" t="s">
        <v>2736</v>
      </c>
      <c r="H546">
        <v>140</v>
      </c>
      <c r="M546" s="1" t="s">
        <v>2736</v>
      </c>
      <c r="N546" s="1">
        <v>37</v>
      </c>
      <c r="P546" s="1" t="s">
        <v>2736</v>
      </c>
      <c r="Q546" s="42">
        <v>140</v>
      </c>
      <c r="R546" s="42">
        <v>37</v>
      </c>
      <c r="S546" s="42">
        <v>0</v>
      </c>
      <c r="T546" s="10">
        <f>IFERROR(ROUND((Q546/R546),2),"NA")</f>
        <v>3.78</v>
      </c>
      <c r="U546">
        <f t="shared" si="8"/>
        <v>0</v>
      </c>
    </row>
    <row r="547" spans="7:21" x14ac:dyDescent="0.2">
      <c r="G547" s="9" t="s">
        <v>525</v>
      </c>
      <c r="H547">
        <v>0</v>
      </c>
      <c r="M547" s="1" t="s">
        <v>525</v>
      </c>
      <c r="N547" s="1">
        <v>350</v>
      </c>
      <c r="P547" s="1" t="s">
        <v>525</v>
      </c>
      <c r="Q547" s="42">
        <v>0</v>
      </c>
      <c r="R547" s="42">
        <v>350</v>
      </c>
      <c r="S547" s="42">
        <v>0</v>
      </c>
      <c r="T547" s="10">
        <f>IFERROR(ROUND((Q547/R547),2),"NA")</f>
        <v>0</v>
      </c>
      <c r="U547">
        <f t="shared" si="8"/>
        <v>0</v>
      </c>
    </row>
    <row r="548" spans="7:21" x14ac:dyDescent="0.2">
      <c r="G548" s="9" t="s">
        <v>2120</v>
      </c>
      <c r="H548">
        <v>16</v>
      </c>
      <c r="M548" s="1" t="s">
        <v>2120</v>
      </c>
      <c r="N548" s="1">
        <v>380</v>
      </c>
      <c r="P548" s="1" t="s">
        <v>2120</v>
      </c>
      <c r="Q548" s="42">
        <v>16</v>
      </c>
      <c r="R548" s="42">
        <v>380</v>
      </c>
      <c r="S548" s="42">
        <v>0.37</v>
      </c>
      <c r="T548" s="10">
        <f>IFERROR(ROUND((Q548/R548),2),"NA")</f>
        <v>0.04</v>
      </c>
      <c r="U548">
        <f t="shared" si="8"/>
        <v>5.92</v>
      </c>
    </row>
    <row r="549" spans="7:21" x14ac:dyDescent="0.2">
      <c r="G549" s="9" t="s">
        <v>1711</v>
      </c>
      <c r="H549">
        <v>150</v>
      </c>
      <c r="M549" s="1" t="s">
        <v>1711</v>
      </c>
      <c r="N549" s="1">
        <v>561</v>
      </c>
      <c r="P549" s="1" t="s">
        <v>1711</v>
      </c>
      <c r="Q549" s="42">
        <v>150</v>
      </c>
      <c r="R549" s="42">
        <v>561</v>
      </c>
      <c r="S549" s="42">
        <v>0.18</v>
      </c>
      <c r="T549" s="10">
        <f>IFERROR(ROUND((Q549/R549),2),"NA")</f>
        <v>0.27</v>
      </c>
      <c r="U549">
        <f t="shared" si="8"/>
        <v>27</v>
      </c>
    </row>
    <row r="550" spans="7:21" x14ac:dyDescent="0.2">
      <c r="G550" s="9" t="s">
        <v>629</v>
      </c>
      <c r="H550">
        <v>620</v>
      </c>
      <c r="M550" s="1" t="s">
        <v>629</v>
      </c>
      <c r="N550" s="1">
        <v>6165</v>
      </c>
      <c r="P550" s="1" t="s">
        <v>629</v>
      </c>
      <c r="Q550" s="42">
        <v>620</v>
      </c>
      <c r="R550" s="42">
        <v>6165</v>
      </c>
      <c r="S550" s="42">
        <v>0.28250000000000003</v>
      </c>
      <c r="T550" s="10">
        <f>IFERROR(ROUND((Q550/R550),2),"NA")</f>
        <v>0.1</v>
      </c>
      <c r="U550">
        <f t="shared" si="8"/>
        <v>175.15</v>
      </c>
    </row>
    <row r="551" spans="7:21" x14ac:dyDescent="0.2">
      <c r="G551" s="9" t="s">
        <v>1283</v>
      </c>
      <c r="H551">
        <v>80</v>
      </c>
      <c r="M551" s="1" t="s">
        <v>1283</v>
      </c>
      <c r="N551" s="1">
        <v>0</v>
      </c>
      <c r="P551" s="1" t="s">
        <v>1283</v>
      </c>
      <c r="Q551" s="42">
        <v>80</v>
      </c>
      <c r="R551" s="42">
        <v>0</v>
      </c>
      <c r="S551" s="42">
        <v>0</v>
      </c>
      <c r="T551" s="10" t="str">
        <f>IFERROR(ROUND((Q551/R551),2),"NA")</f>
        <v>NA</v>
      </c>
      <c r="U551">
        <f t="shared" si="8"/>
        <v>0</v>
      </c>
    </row>
    <row r="552" spans="7:21" x14ac:dyDescent="0.2">
      <c r="G552" s="9" t="s">
        <v>868</v>
      </c>
      <c r="H552">
        <v>350</v>
      </c>
      <c r="M552" s="1" t="s">
        <v>868</v>
      </c>
      <c r="N552" s="1">
        <v>103</v>
      </c>
      <c r="P552" s="1" t="s">
        <v>868</v>
      </c>
      <c r="Q552" s="42">
        <v>350</v>
      </c>
      <c r="R552" s="42">
        <v>103</v>
      </c>
      <c r="S552" s="42">
        <v>0.25</v>
      </c>
      <c r="T552" s="10">
        <f>IFERROR(ROUND((Q552/R552),2),"NA")</f>
        <v>3.4</v>
      </c>
      <c r="U552">
        <f t="shared" si="8"/>
        <v>87.5</v>
      </c>
    </row>
    <row r="553" spans="7:21" x14ac:dyDescent="0.2">
      <c r="G553" s="9" t="s">
        <v>1251</v>
      </c>
      <c r="H553">
        <v>35</v>
      </c>
      <c r="M553" s="1" t="s">
        <v>1251</v>
      </c>
      <c r="N553" s="1">
        <v>383</v>
      </c>
      <c r="P553" s="1" t="s">
        <v>1251</v>
      </c>
      <c r="Q553" s="42">
        <v>35</v>
      </c>
      <c r="R553" s="42">
        <v>383</v>
      </c>
      <c r="S553" s="42">
        <v>0.15</v>
      </c>
      <c r="T553" s="10">
        <f>IFERROR(ROUND((Q553/R553),2),"NA")</f>
        <v>0.09</v>
      </c>
      <c r="U553">
        <f t="shared" si="8"/>
        <v>5.25</v>
      </c>
    </row>
    <row r="554" spans="7:21" x14ac:dyDescent="0.2">
      <c r="G554" s="9" t="s">
        <v>2124</v>
      </c>
      <c r="H554">
        <v>0</v>
      </c>
      <c r="M554" s="1" t="s">
        <v>2124</v>
      </c>
      <c r="N554" s="1">
        <v>169</v>
      </c>
      <c r="P554" s="1" t="s">
        <v>2124</v>
      </c>
      <c r="Q554" s="42">
        <v>0</v>
      </c>
      <c r="R554" s="42">
        <v>169</v>
      </c>
      <c r="S554" s="42">
        <v>0.1</v>
      </c>
      <c r="T554" s="10">
        <f>IFERROR(ROUND((Q554/R554),2),"NA")</f>
        <v>0</v>
      </c>
      <c r="U554">
        <f t="shared" si="8"/>
        <v>0</v>
      </c>
    </row>
    <row r="555" spans="7:21" x14ac:dyDescent="0.2">
      <c r="G555" s="9" t="s">
        <v>173</v>
      </c>
      <c r="H555">
        <v>450</v>
      </c>
      <c r="M555" s="1" t="s">
        <v>173</v>
      </c>
      <c r="N555" s="1">
        <v>63</v>
      </c>
      <c r="P555" s="1" t="s">
        <v>173</v>
      </c>
      <c r="Q555" s="42">
        <v>450</v>
      </c>
      <c r="R555" s="42">
        <v>63</v>
      </c>
      <c r="S555" s="42">
        <v>0.11</v>
      </c>
      <c r="T555" s="10">
        <f>IFERROR(ROUND((Q555/R555),2),"NA")</f>
        <v>7.14</v>
      </c>
      <c r="U555">
        <f t="shared" si="8"/>
        <v>49.5</v>
      </c>
    </row>
    <row r="556" spans="7:21" x14ac:dyDescent="0.2">
      <c r="G556" s="9" t="s">
        <v>192</v>
      </c>
      <c r="H556">
        <v>0</v>
      </c>
      <c r="M556" s="1" t="s">
        <v>192</v>
      </c>
      <c r="N556" s="1">
        <v>0</v>
      </c>
      <c r="P556" s="1" t="s">
        <v>192</v>
      </c>
      <c r="Q556" s="42">
        <v>0</v>
      </c>
      <c r="R556" s="42">
        <v>0</v>
      </c>
      <c r="S556" s="42">
        <v>0</v>
      </c>
      <c r="T556" s="10" t="str">
        <f>IFERROR(ROUND((Q556/R556),2),"NA")</f>
        <v>NA</v>
      </c>
      <c r="U556">
        <f t="shared" si="8"/>
        <v>0</v>
      </c>
    </row>
    <row r="557" spans="7:21" x14ac:dyDescent="0.2">
      <c r="G557" s="9" t="s">
        <v>1512</v>
      </c>
      <c r="H557">
        <v>0</v>
      </c>
      <c r="M557" s="1" t="s">
        <v>1512</v>
      </c>
      <c r="N557" s="1">
        <v>160</v>
      </c>
      <c r="P557" s="1" t="s">
        <v>1512</v>
      </c>
      <c r="Q557" s="42">
        <v>0</v>
      </c>
      <c r="R557" s="42">
        <v>160</v>
      </c>
      <c r="S557" s="42">
        <v>0.14000000000000001</v>
      </c>
      <c r="T557" s="10">
        <f>IFERROR(ROUND((Q557/R557),2),"NA")</f>
        <v>0</v>
      </c>
      <c r="U557">
        <f t="shared" si="8"/>
        <v>0</v>
      </c>
    </row>
    <row r="558" spans="7:21" x14ac:dyDescent="0.2">
      <c r="G558" s="9" t="s">
        <v>1602</v>
      </c>
      <c r="H558">
        <v>0</v>
      </c>
      <c r="M558" s="1" t="s">
        <v>1602</v>
      </c>
      <c r="N558" s="1">
        <v>2</v>
      </c>
      <c r="P558" s="1" t="s">
        <v>1602</v>
      </c>
      <c r="Q558" s="42">
        <v>0</v>
      </c>
      <c r="R558" s="42">
        <v>2</v>
      </c>
      <c r="S558" s="42">
        <v>0</v>
      </c>
      <c r="T558" s="10">
        <f>IFERROR(ROUND((Q558/R558),2),"NA")</f>
        <v>0</v>
      </c>
      <c r="U558">
        <f t="shared" si="8"/>
        <v>0</v>
      </c>
    </row>
    <row r="559" spans="7:21" x14ac:dyDescent="0.2">
      <c r="G559" s="9" t="s">
        <v>2234</v>
      </c>
      <c r="H559">
        <v>0</v>
      </c>
      <c r="M559" s="1" t="s">
        <v>2234</v>
      </c>
      <c r="N559" s="1">
        <v>45</v>
      </c>
      <c r="P559" s="1" t="s">
        <v>2234</v>
      </c>
      <c r="Q559" s="42">
        <v>0</v>
      </c>
      <c r="R559" s="42">
        <v>45</v>
      </c>
      <c r="S559" s="42">
        <v>0</v>
      </c>
      <c r="T559" s="10">
        <f>IFERROR(ROUND((Q559/R559),2),"NA")</f>
        <v>0</v>
      </c>
      <c r="U559">
        <f t="shared" si="8"/>
        <v>0</v>
      </c>
    </row>
    <row r="560" spans="7:21" x14ac:dyDescent="0.2">
      <c r="G560" s="9" t="s">
        <v>2428</v>
      </c>
      <c r="H560">
        <v>30</v>
      </c>
      <c r="M560" s="1" t="s">
        <v>2428</v>
      </c>
      <c r="N560" s="1">
        <v>70</v>
      </c>
      <c r="P560" s="1" t="s">
        <v>2428</v>
      </c>
      <c r="Q560" s="42">
        <v>30</v>
      </c>
      <c r="R560" s="42">
        <v>70</v>
      </c>
      <c r="S560" s="42">
        <v>0.2</v>
      </c>
      <c r="T560" s="10">
        <f>IFERROR(ROUND((Q560/R560),2),"NA")</f>
        <v>0.43</v>
      </c>
      <c r="U560">
        <f t="shared" si="8"/>
        <v>6</v>
      </c>
    </row>
    <row r="561" spans="7:21" x14ac:dyDescent="0.2">
      <c r="G561" s="9" t="s">
        <v>1053</v>
      </c>
      <c r="H561">
        <v>0</v>
      </c>
      <c r="M561" s="1" t="s">
        <v>1053</v>
      </c>
      <c r="N561" s="1">
        <v>219</v>
      </c>
      <c r="P561" s="1" t="s">
        <v>1053</v>
      </c>
      <c r="Q561" s="42">
        <v>0</v>
      </c>
      <c r="R561" s="42">
        <v>219</v>
      </c>
      <c r="S561" s="42">
        <v>0</v>
      </c>
      <c r="T561" s="10">
        <f>IFERROR(ROUND((Q561/R561),2),"NA")</f>
        <v>0</v>
      </c>
      <c r="U561">
        <f t="shared" si="8"/>
        <v>0</v>
      </c>
    </row>
    <row r="562" spans="7:21" x14ac:dyDescent="0.2">
      <c r="G562" s="9" t="s">
        <v>526</v>
      </c>
      <c r="H562">
        <v>42</v>
      </c>
      <c r="M562" s="1" t="s">
        <v>526</v>
      </c>
      <c r="N562" s="1">
        <v>954</v>
      </c>
      <c r="P562" s="1" t="s">
        <v>526</v>
      </c>
      <c r="Q562" s="42">
        <v>42</v>
      </c>
      <c r="R562" s="42">
        <v>954</v>
      </c>
      <c r="S562" s="42">
        <v>0.2</v>
      </c>
      <c r="T562" s="10">
        <f>IFERROR(ROUND((Q562/R562),2),"NA")</f>
        <v>0.04</v>
      </c>
      <c r="U562">
        <f t="shared" si="8"/>
        <v>8.4</v>
      </c>
    </row>
    <row r="563" spans="7:21" x14ac:dyDescent="0.2">
      <c r="G563" s="9" t="s">
        <v>1902</v>
      </c>
      <c r="H563">
        <v>0</v>
      </c>
      <c r="M563" s="1" t="s">
        <v>1902</v>
      </c>
      <c r="N563" s="1">
        <v>458</v>
      </c>
      <c r="P563" s="1" t="s">
        <v>1902</v>
      </c>
      <c r="Q563" s="42">
        <v>0</v>
      </c>
      <c r="R563" s="42">
        <v>458</v>
      </c>
      <c r="S563" s="42">
        <v>0</v>
      </c>
      <c r="T563" s="10">
        <f>IFERROR(ROUND((Q563/R563),2),"NA")</f>
        <v>0</v>
      </c>
      <c r="U563">
        <f t="shared" si="8"/>
        <v>0</v>
      </c>
    </row>
    <row r="564" spans="7:21" x14ac:dyDescent="0.2">
      <c r="G564" s="9" t="s">
        <v>376</v>
      </c>
      <c r="H564">
        <v>0</v>
      </c>
      <c r="M564" s="1" t="s">
        <v>376</v>
      </c>
      <c r="N564" s="1">
        <v>0</v>
      </c>
      <c r="P564" s="1" t="s">
        <v>376</v>
      </c>
      <c r="Q564" s="42">
        <v>0</v>
      </c>
      <c r="R564" s="42">
        <v>0</v>
      </c>
      <c r="S564" s="42">
        <v>1</v>
      </c>
      <c r="T564" s="10" t="str">
        <f>IFERROR(ROUND((Q564/R564),2),"NA")</f>
        <v>NA</v>
      </c>
      <c r="U564">
        <f t="shared" si="8"/>
        <v>0</v>
      </c>
    </row>
    <row r="565" spans="7:21" x14ac:dyDescent="0.2">
      <c r="G565" s="9" t="s">
        <v>1227</v>
      </c>
      <c r="H565">
        <v>800</v>
      </c>
      <c r="M565" s="1" t="s">
        <v>1227</v>
      </c>
      <c r="N565" s="1">
        <v>5</v>
      </c>
      <c r="P565" s="1" t="s">
        <v>1227</v>
      </c>
      <c r="Q565" s="42">
        <v>800</v>
      </c>
      <c r="R565" s="42">
        <v>5</v>
      </c>
      <c r="S565" s="42">
        <v>0</v>
      </c>
      <c r="T565" s="10">
        <f>IFERROR(ROUND((Q565/R565),2),"NA")</f>
        <v>160</v>
      </c>
      <c r="U565">
        <f t="shared" si="8"/>
        <v>0</v>
      </c>
    </row>
    <row r="566" spans="7:21" x14ac:dyDescent="0.2">
      <c r="G566" s="9" t="s">
        <v>688</v>
      </c>
      <c r="H566">
        <v>28</v>
      </c>
      <c r="M566" s="1" t="s">
        <v>688</v>
      </c>
      <c r="N566" s="1">
        <v>123</v>
      </c>
      <c r="P566" s="1" t="s">
        <v>688</v>
      </c>
      <c r="Q566" s="42">
        <v>28</v>
      </c>
      <c r="R566" s="42">
        <v>123</v>
      </c>
      <c r="S566" s="42">
        <v>0.12</v>
      </c>
      <c r="T566" s="10">
        <f>IFERROR(ROUND((Q566/R566),2),"NA")</f>
        <v>0.23</v>
      </c>
      <c r="U566">
        <f t="shared" si="8"/>
        <v>3.36</v>
      </c>
    </row>
    <row r="567" spans="7:21" x14ac:dyDescent="0.2">
      <c r="G567" s="9" t="s">
        <v>2853</v>
      </c>
      <c r="H567">
        <v>20</v>
      </c>
      <c r="M567" s="1" t="s">
        <v>2853</v>
      </c>
      <c r="N567" s="1">
        <v>16</v>
      </c>
      <c r="P567" s="1" t="s">
        <v>2853</v>
      </c>
      <c r="Q567" s="42">
        <v>20</v>
      </c>
      <c r="R567" s="42">
        <v>16</v>
      </c>
      <c r="S567" s="42">
        <v>0.2</v>
      </c>
      <c r="T567" s="10">
        <f>IFERROR(ROUND((Q567/R567),2),"NA")</f>
        <v>1.25</v>
      </c>
      <c r="U567">
        <f t="shared" si="8"/>
        <v>4</v>
      </c>
    </row>
    <row r="568" spans="7:21" x14ac:dyDescent="0.2">
      <c r="G568" s="9" t="s">
        <v>1647</v>
      </c>
      <c r="H568">
        <v>0</v>
      </c>
      <c r="M568" s="1" t="s">
        <v>1647</v>
      </c>
      <c r="N568" s="1">
        <v>0</v>
      </c>
      <c r="P568" s="1" t="s">
        <v>1647</v>
      </c>
      <c r="Q568" s="42">
        <v>0</v>
      </c>
      <c r="R568" s="42">
        <v>0</v>
      </c>
      <c r="S568" s="42">
        <v>0</v>
      </c>
      <c r="T568" s="10" t="str">
        <f>IFERROR(ROUND((Q568/R568),2),"NA")</f>
        <v>NA</v>
      </c>
      <c r="U568">
        <f t="shared" si="8"/>
        <v>0</v>
      </c>
    </row>
    <row r="569" spans="7:21" x14ac:dyDescent="0.2">
      <c r="G569" s="9" t="s">
        <v>2608</v>
      </c>
      <c r="H569">
        <v>22</v>
      </c>
      <c r="M569" s="1" t="s">
        <v>2608</v>
      </c>
      <c r="N569" s="1">
        <v>120</v>
      </c>
      <c r="P569" s="1" t="s">
        <v>2608</v>
      </c>
      <c r="Q569" s="42">
        <v>22</v>
      </c>
      <c r="R569" s="42">
        <v>120</v>
      </c>
      <c r="S569" s="42">
        <v>0.14000000000000001</v>
      </c>
      <c r="T569" s="10">
        <f>IFERROR(ROUND((Q569/R569),2),"NA")</f>
        <v>0.18</v>
      </c>
      <c r="U569">
        <f t="shared" si="8"/>
        <v>3.08</v>
      </c>
    </row>
    <row r="570" spans="7:21" x14ac:dyDescent="0.2">
      <c r="G570" s="9" t="s">
        <v>2787</v>
      </c>
      <c r="H570">
        <v>0</v>
      </c>
      <c r="M570" s="1" t="s">
        <v>2787</v>
      </c>
      <c r="N570" s="1">
        <v>314</v>
      </c>
      <c r="P570" s="1" t="s">
        <v>2787</v>
      </c>
      <c r="Q570" s="42">
        <v>0</v>
      </c>
      <c r="R570" s="42">
        <v>314</v>
      </c>
      <c r="S570" s="42">
        <v>0.06</v>
      </c>
      <c r="T570" s="10">
        <f>IFERROR(ROUND((Q570/R570),2),"NA")</f>
        <v>0</v>
      </c>
      <c r="U570">
        <f t="shared" si="8"/>
        <v>0</v>
      </c>
    </row>
    <row r="571" spans="7:21" x14ac:dyDescent="0.2">
      <c r="G571" s="9" t="s">
        <v>2353</v>
      </c>
      <c r="H571">
        <v>0</v>
      </c>
      <c r="M571" s="1" t="s">
        <v>2353</v>
      </c>
      <c r="N571" s="1">
        <v>93</v>
      </c>
      <c r="P571" s="1" t="s">
        <v>2353</v>
      </c>
      <c r="Q571" s="42">
        <v>0</v>
      </c>
      <c r="R571" s="42">
        <v>93</v>
      </c>
      <c r="S571" s="42">
        <v>0</v>
      </c>
      <c r="T571" s="10">
        <f>IFERROR(ROUND((Q571/R571),2),"NA")</f>
        <v>0</v>
      </c>
      <c r="U571">
        <f t="shared" si="8"/>
        <v>0</v>
      </c>
    </row>
    <row r="572" spans="7:21" x14ac:dyDescent="0.2">
      <c r="G572" s="9" t="s">
        <v>2283</v>
      </c>
      <c r="H572">
        <v>170</v>
      </c>
      <c r="M572" s="1" t="s">
        <v>2283</v>
      </c>
      <c r="N572" s="1">
        <v>3</v>
      </c>
      <c r="P572" s="1" t="s">
        <v>2283</v>
      </c>
      <c r="Q572" s="42">
        <v>170</v>
      </c>
      <c r="R572" s="42">
        <v>3</v>
      </c>
      <c r="S572" s="42">
        <v>1</v>
      </c>
      <c r="T572" s="10">
        <f>IFERROR(ROUND((Q572/R572),2),"NA")</f>
        <v>56.67</v>
      </c>
      <c r="U572">
        <f t="shared" si="8"/>
        <v>170</v>
      </c>
    </row>
    <row r="573" spans="7:21" x14ac:dyDescent="0.2">
      <c r="G573" s="9" t="s">
        <v>161</v>
      </c>
      <c r="H573">
        <v>140</v>
      </c>
      <c r="M573" s="1" t="s">
        <v>161</v>
      </c>
      <c r="N573" s="1">
        <v>122</v>
      </c>
      <c r="P573" s="1" t="s">
        <v>161</v>
      </c>
      <c r="Q573" s="42">
        <v>140</v>
      </c>
      <c r="R573" s="42">
        <v>122</v>
      </c>
      <c r="S573" s="42">
        <v>0.04</v>
      </c>
      <c r="T573" s="10">
        <f>IFERROR(ROUND((Q573/R573),2),"NA")</f>
        <v>1.1499999999999999</v>
      </c>
      <c r="U573">
        <f t="shared" si="8"/>
        <v>5.6000000000000005</v>
      </c>
    </row>
    <row r="574" spans="7:21" x14ac:dyDescent="0.2">
      <c r="G574" s="9" t="s">
        <v>1219</v>
      </c>
      <c r="H574">
        <v>17</v>
      </c>
      <c r="M574" s="1" t="s">
        <v>1219</v>
      </c>
      <c r="N574" s="1">
        <v>116</v>
      </c>
      <c r="P574" s="1" t="s">
        <v>1219</v>
      </c>
      <c r="Q574" s="42">
        <v>17</v>
      </c>
      <c r="R574" s="42">
        <v>116</v>
      </c>
      <c r="S574" s="42">
        <v>0.15</v>
      </c>
      <c r="T574" s="10">
        <f>IFERROR(ROUND((Q574/R574),2),"NA")</f>
        <v>0.15</v>
      </c>
      <c r="U574">
        <f t="shared" si="8"/>
        <v>2.5499999999999998</v>
      </c>
    </row>
    <row r="575" spans="7:21" x14ac:dyDescent="0.2">
      <c r="G575" s="9" t="s">
        <v>2745</v>
      </c>
      <c r="H575">
        <v>0</v>
      </c>
      <c r="M575" s="1" t="s">
        <v>2745</v>
      </c>
      <c r="N575" s="1">
        <v>11</v>
      </c>
      <c r="P575" s="1" t="s">
        <v>2745</v>
      </c>
      <c r="Q575" s="42">
        <v>0</v>
      </c>
      <c r="R575" s="42">
        <v>11</v>
      </c>
      <c r="S575" s="42">
        <v>0</v>
      </c>
      <c r="T575" s="10">
        <f>IFERROR(ROUND((Q575/R575),2),"NA")</f>
        <v>0</v>
      </c>
      <c r="U575">
        <f t="shared" si="8"/>
        <v>0</v>
      </c>
    </row>
    <row r="576" spans="7:21" x14ac:dyDescent="0.2">
      <c r="G576" s="9" t="s">
        <v>2612</v>
      </c>
      <c r="H576">
        <v>24</v>
      </c>
      <c r="M576" s="1" t="s">
        <v>2612</v>
      </c>
      <c r="N576" s="1">
        <v>24</v>
      </c>
      <c r="P576" s="1" t="s">
        <v>2612</v>
      </c>
      <c r="Q576" s="42">
        <v>24</v>
      </c>
      <c r="R576" s="42">
        <v>24</v>
      </c>
      <c r="S576" s="42">
        <v>0.22</v>
      </c>
      <c r="T576" s="10">
        <f>IFERROR(ROUND((Q576/R576),2),"NA")</f>
        <v>1</v>
      </c>
      <c r="U576">
        <f t="shared" si="8"/>
        <v>5.28</v>
      </c>
    </row>
    <row r="577" spans="7:21" x14ac:dyDescent="0.2">
      <c r="G577" s="9" t="s">
        <v>497</v>
      </c>
      <c r="H577">
        <v>1050</v>
      </c>
      <c r="M577" s="1" t="s">
        <v>497</v>
      </c>
      <c r="N577" s="1">
        <v>20300</v>
      </c>
      <c r="P577" s="1" t="s">
        <v>497</v>
      </c>
      <c r="Q577" s="42">
        <v>1050</v>
      </c>
      <c r="R577" s="42">
        <v>20300</v>
      </c>
      <c r="S577" s="42">
        <v>0.16</v>
      </c>
      <c r="T577" s="10">
        <f>IFERROR(ROUND((Q577/R577),2),"NA")</f>
        <v>0.05</v>
      </c>
      <c r="U577">
        <f t="shared" si="8"/>
        <v>168</v>
      </c>
    </row>
    <row r="578" spans="7:21" x14ac:dyDescent="0.2">
      <c r="G578" s="9" t="s">
        <v>937</v>
      </c>
      <c r="H578">
        <v>0</v>
      </c>
      <c r="M578" s="1" t="s">
        <v>937</v>
      </c>
      <c r="N578" s="1">
        <v>106</v>
      </c>
      <c r="P578" s="1" t="s">
        <v>937</v>
      </c>
      <c r="Q578" s="42">
        <v>0</v>
      </c>
      <c r="R578" s="42">
        <v>106</v>
      </c>
      <c r="S578" s="42">
        <v>0</v>
      </c>
      <c r="T578" s="10">
        <f>IFERROR(ROUND((Q578/R578),2),"NA")</f>
        <v>0</v>
      </c>
      <c r="U578">
        <f t="shared" si="8"/>
        <v>0</v>
      </c>
    </row>
    <row r="579" spans="7:21" x14ac:dyDescent="0.2">
      <c r="G579" s="9" t="s">
        <v>1352</v>
      </c>
      <c r="H579">
        <v>85</v>
      </c>
      <c r="M579" s="1" t="s">
        <v>1352</v>
      </c>
      <c r="N579" s="1">
        <v>26</v>
      </c>
      <c r="P579" s="1" t="s">
        <v>1352</v>
      </c>
      <c r="Q579" s="42">
        <v>85</v>
      </c>
      <c r="R579" s="42">
        <v>26</v>
      </c>
      <c r="S579" s="42">
        <v>0</v>
      </c>
      <c r="T579" s="10">
        <f>IFERROR(ROUND((Q579/R579),2),"NA")</f>
        <v>3.27</v>
      </c>
      <c r="U579">
        <f t="shared" si="8"/>
        <v>0</v>
      </c>
    </row>
    <row r="580" spans="7:21" x14ac:dyDescent="0.2">
      <c r="G580" s="9" t="s">
        <v>1616</v>
      </c>
      <c r="H580">
        <v>2260</v>
      </c>
      <c r="M580" s="1" t="s">
        <v>1616</v>
      </c>
      <c r="N580" s="1">
        <v>468</v>
      </c>
      <c r="P580" s="1" t="s">
        <v>1616</v>
      </c>
      <c r="Q580" s="42">
        <v>2260</v>
      </c>
      <c r="R580" s="42">
        <v>468</v>
      </c>
      <c r="S580" s="42">
        <v>0.18333333333333335</v>
      </c>
      <c r="T580" s="10">
        <f>IFERROR(ROUND((Q580/R580),2),"NA")</f>
        <v>4.83</v>
      </c>
      <c r="U580">
        <f t="shared" si="8"/>
        <v>414.33333333333337</v>
      </c>
    </row>
    <row r="581" spans="7:21" x14ac:dyDescent="0.2">
      <c r="G581" s="9" t="s">
        <v>1097</v>
      </c>
      <c r="H581">
        <v>62</v>
      </c>
      <c r="M581" s="1" t="s">
        <v>1097</v>
      </c>
      <c r="N581" s="1">
        <v>466</v>
      </c>
      <c r="P581" s="1" t="s">
        <v>1097</v>
      </c>
      <c r="Q581" s="42">
        <v>62</v>
      </c>
      <c r="R581" s="42">
        <v>466</v>
      </c>
      <c r="S581" s="42">
        <v>8.4999999999999992E-2</v>
      </c>
      <c r="T581" s="10">
        <f>IFERROR(ROUND((Q581/R581),2),"NA")</f>
        <v>0.13</v>
      </c>
      <c r="U581">
        <f t="shared" ref="U581:U644" si="9">Q581*S581</f>
        <v>5.27</v>
      </c>
    </row>
    <row r="582" spans="7:21" x14ac:dyDescent="0.2">
      <c r="G582" s="9" t="s">
        <v>2941</v>
      </c>
      <c r="H582">
        <v>30</v>
      </c>
      <c r="M582" s="1" t="s">
        <v>2941</v>
      </c>
      <c r="N582" s="1">
        <v>7</v>
      </c>
      <c r="P582" s="1" t="s">
        <v>2941</v>
      </c>
      <c r="Q582" s="42">
        <v>30</v>
      </c>
      <c r="R582" s="42">
        <v>7</v>
      </c>
      <c r="S582" s="42">
        <v>0.5</v>
      </c>
      <c r="T582" s="10">
        <f>IFERROR(ROUND((Q582/R582),2),"NA")</f>
        <v>4.29</v>
      </c>
      <c r="U582">
        <f t="shared" si="9"/>
        <v>15</v>
      </c>
    </row>
    <row r="583" spans="7:21" x14ac:dyDescent="0.2">
      <c r="G583" s="9" t="s">
        <v>1652</v>
      </c>
      <c r="H583">
        <v>558</v>
      </c>
      <c r="M583" s="1" t="s">
        <v>1652</v>
      </c>
      <c r="N583" s="1">
        <v>1998</v>
      </c>
      <c r="P583" s="1" t="s">
        <v>1652</v>
      </c>
      <c r="Q583" s="42">
        <v>558</v>
      </c>
      <c r="R583" s="42">
        <v>1998</v>
      </c>
      <c r="S583" s="42">
        <v>0</v>
      </c>
      <c r="T583" s="10">
        <f>IFERROR(ROUND((Q583/R583),2),"NA")</f>
        <v>0.28000000000000003</v>
      </c>
      <c r="U583">
        <f t="shared" si="9"/>
        <v>0</v>
      </c>
    </row>
    <row r="584" spans="7:21" x14ac:dyDescent="0.2">
      <c r="G584" s="9" t="s">
        <v>63</v>
      </c>
      <c r="H584">
        <v>1075</v>
      </c>
      <c r="M584" s="1" t="s">
        <v>63</v>
      </c>
      <c r="N584" s="1">
        <v>4495</v>
      </c>
      <c r="P584" s="1" t="s">
        <v>63</v>
      </c>
      <c r="Q584" s="42">
        <v>1075</v>
      </c>
      <c r="R584" s="42">
        <v>4495</v>
      </c>
      <c r="S584" s="42">
        <v>0.44399999999999995</v>
      </c>
      <c r="T584" s="10">
        <f>IFERROR(ROUND((Q584/R584),2),"NA")</f>
        <v>0.24</v>
      </c>
      <c r="U584">
        <f t="shared" si="9"/>
        <v>477.29999999999995</v>
      </c>
    </row>
    <row r="585" spans="7:21" x14ac:dyDescent="0.2">
      <c r="G585" s="9" t="s">
        <v>770</v>
      </c>
      <c r="H585">
        <v>200</v>
      </c>
      <c r="M585" s="1" t="s">
        <v>770</v>
      </c>
      <c r="N585" s="1">
        <v>242</v>
      </c>
      <c r="P585" s="1" t="s">
        <v>770</v>
      </c>
      <c r="Q585" s="42">
        <v>200</v>
      </c>
      <c r="R585" s="42">
        <v>242</v>
      </c>
      <c r="S585" s="42">
        <v>0</v>
      </c>
      <c r="T585" s="10">
        <f>IFERROR(ROUND((Q585/R585),2),"NA")</f>
        <v>0.83</v>
      </c>
      <c r="U585">
        <f t="shared" si="9"/>
        <v>0</v>
      </c>
    </row>
    <row r="586" spans="7:21" x14ac:dyDescent="0.2">
      <c r="G586" s="9" t="s">
        <v>379</v>
      </c>
      <c r="H586">
        <v>100</v>
      </c>
      <c r="M586" s="1" t="s">
        <v>379</v>
      </c>
      <c r="N586" s="1">
        <v>635</v>
      </c>
      <c r="P586" s="1" t="s">
        <v>379</v>
      </c>
      <c r="Q586" s="42">
        <v>100</v>
      </c>
      <c r="R586" s="42">
        <v>635</v>
      </c>
      <c r="S586" s="42">
        <v>0</v>
      </c>
      <c r="T586" s="10">
        <f>IFERROR(ROUND((Q586/R586),2),"NA")</f>
        <v>0.16</v>
      </c>
      <c r="U586">
        <f t="shared" si="9"/>
        <v>0</v>
      </c>
    </row>
    <row r="587" spans="7:21" x14ac:dyDescent="0.2">
      <c r="G587" s="9" t="s">
        <v>1164</v>
      </c>
      <c r="H587">
        <v>126</v>
      </c>
      <c r="M587" s="1" t="s">
        <v>1164</v>
      </c>
      <c r="N587" s="1">
        <v>414</v>
      </c>
      <c r="P587" s="1" t="s">
        <v>1164</v>
      </c>
      <c r="Q587" s="42">
        <v>126</v>
      </c>
      <c r="R587" s="42">
        <v>414</v>
      </c>
      <c r="S587" s="42">
        <v>8.4999999999999992E-2</v>
      </c>
      <c r="T587" s="10">
        <f>IFERROR(ROUND((Q587/R587),2),"NA")</f>
        <v>0.3</v>
      </c>
      <c r="U587">
        <f t="shared" si="9"/>
        <v>10.709999999999999</v>
      </c>
    </row>
    <row r="588" spans="7:21" x14ac:dyDescent="0.2">
      <c r="G588" s="9" t="s">
        <v>2684</v>
      </c>
      <c r="H588">
        <v>95</v>
      </c>
      <c r="M588" s="1" t="s">
        <v>2684</v>
      </c>
      <c r="N588" s="1">
        <v>102</v>
      </c>
      <c r="P588" s="1" t="s">
        <v>2684</v>
      </c>
      <c r="Q588" s="42">
        <v>95</v>
      </c>
      <c r="R588" s="42">
        <v>102</v>
      </c>
      <c r="S588" s="42">
        <v>0.32</v>
      </c>
      <c r="T588" s="10">
        <f>IFERROR(ROUND((Q588/R588),2),"NA")</f>
        <v>0.93</v>
      </c>
      <c r="U588">
        <f t="shared" si="9"/>
        <v>30.400000000000002</v>
      </c>
    </row>
    <row r="589" spans="7:21" x14ac:dyDescent="0.2">
      <c r="G589" s="9" t="s">
        <v>500</v>
      </c>
      <c r="H589">
        <v>0</v>
      </c>
      <c r="M589" s="1" t="s">
        <v>500</v>
      </c>
      <c r="N589" s="1">
        <v>0</v>
      </c>
      <c r="P589" s="1" t="s">
        <v>500</v>
      </c>
      <c r="Q589" s="42">
        <v>0</v>
      </c>
      <c r="R589" s="42">
        <v>0</v>
      </c>
      <c r="S589" s="42">
        <v>1</v>
      </c>
      <c r="T589" s="10" t="str">
        <f>IFERROR(ROUND((Q589/R589),2),"NA")</f>
        <v>NA</v>
      </c>
      <c r="U589">
        <f t="shared" si="9"/>
        <v>0</v>
      </c>
    </row>
    <row r="590" spans="7:21" x14ac:dyDescent="0.2">
      <c r="G590" s="9" t="s">
        <v>2031</v>
      </c>
      <c r="H590">
        <v>109</v>
      </c>
      <c r="M590" s="1" t="s">
        <v>2031</v>
      </c>
      <c r="N590" s="1">
        <v>8</v>
      </c>
      <c r="P590" s="1" t="s">
        <v>2031</v>
      </c>
      <c r="Q590" s="42">
        <v>109</v>
      </c>
      <c r="R590" s="42">
        <v>8</v>
      </c>
      <c r="S590" s="42">
        <v>0</v>
      </c>
      <c r="T590" s="10">
        <f>IFERROR(ROUND((Q590/R590),2),"NA")</f>
        <v>13.63</v>
      </c>
      <c r="U590">
        <f t="shared" si="9"/>
        <v>0</v>
      </c>
    </row>
    <row r="591" spans="7:21" x14ac:dyDescent="0.2">
      <c r="G591" s="9" t="s">
        <v>501</v>
      </c>
      <c r="H591">
        <v>0</v>
      </c>
      <c r="M591" s="1" t="s">
        <v>501</v>
      </c>
      <c r="N591" s="1">
        <v>76</v>
      </c>
      <c r="P591" s="1" t="s">
        <v>501</v>
      </c>
      <c r="Q591" s="42">
        <v>0</v>
      </c>
      <c r="R591" s="42">
        <v>76</v>
      </c>
      <c r="S591" s="42">
        <v>0</v>
      </c>
      <c r="T591" s="10">
        <f>IFERROR(ROUND((Q591/R591),2),"NA")</f>
        <v>0</v>
      </c>
      <c r="U591">
        <f t="shared" si="9"/>
        <v>0</v>
      </c>
    </row>
    <row r="592" spans="7:21" x14ac:dyDescent="0.2">
      <c r="G592" s="9" t="s">
        <v>390</v>
      </c>
      <c r="H592">
        <v>120</v>
      </c>
      <c r="M592" s="1" t="s">
        <v>390</v>
      </c>
      <c r="N592" s="1">
        <v>625</v>
      </c>
      <c r="P592" s="1" t="s">
        <v>390</v>
      </c>
      <c r="Q592" s="42">
        <v>120</v>
      </c>
      <c r="R592" s="42">
        <v>625</v>
      </c>
      <c r="S592" s="42">
        <v>0</v>
      </c>
      <c r="T592" s="10">
        <f>IFERROR(ROUND((Q592/R592),2),"NA")</f>
        <v>0.19</v>
      </c>
      <c r="U592">
        <f t="shared" si="9"/>
        <v>0</v>
      </c>
    </row>
    <row r="593" spans="7:21" x14ac:dyDescent="0.2">
      <c r="G593" s="9" t="s">
        <v>2569</v>
      </c>
      <c r="H593">
        <v>920</v>
      </c>
      <c r="M593" s="1" t="s">
        <v>2569</v>
      </c>
      <c r="N593" s="1">
        <v>808.6</v>
      </c>
      <c r="P593" s="1" t="s">
        <v>2569</v>
      </c>
      <c r="Q593" s="42">
        <v>920</v>
      </c>
      <c r="R593" s="42">
        <v>808.6</v>
      </c>
      <c r="S593" s="42">
        <v>0.16</v>
      </c>
      <c r="T593" s="10">
        <f>IFERROR(ROUND((Q593/R593),2),"NA")</f>
        <v>1.1399999999999999</v>
      </c>
      <c r="U593">
        <f t="shared" si="9"/>
        <v>147.20000000000002</v>
      </c>
    </row>
    <row r="594" spans="7:21" x14ac:dyDescent="0.2">
      <c r="G594" s="9" t="s">
        <v>2474</v>
      </c>
      <c r="H594">
        <v>150</v>
      </c>
      <c r="M594" s="1" t="s">
        <v>2474</v>
      </c>
      <c r="N594" s="1">
        <v>19</v>
      </c>
      <c r="P594" s="1" t="s">
        <v>2474</v>
      </c>
      <c r="Q594" s="42">
        <v>150</v>
      </c>
      <c r="R594" s="42">
        <v>19</v>
      </c>
      <c r="S594" s="42">
        <v>0</v>
      </c>
      <c r="T594" s="10">
        <f>IFERROR(ROUND((Q594/R594),2),"NA")</f>
        <v>7.89</v>
      </c>
      <c r="U594">
        <f t="shared" si="9"/>
        <v>0</v>
      </c>
    </row>
    <row r="595" spans="7:21" x14ac:dyDescent="0.2">
      <c r="G595" s="9" t="s">
        <v>2858</v>
      </c>
      <c r="H595">
        <v>0</v>
      </c>
      <c r="M595" s="1" t="s">
        <v>2858</v>
      </c>
      <c r="N595" s="1">
        <v>0</v>
      </c>
      <c r="P595" s="1" t="s">
        <v>2858</v>
      </c>
      <c r="Q595" s="42">
        <v>0</v>
      </c>
      <c r="R595" s="42">
        <v>0</v>
      </c>
      <c r="S595" s="42">
        <v>0</v>
      </c>
      <c r="T595" s="10" t="str">
        <f>IFERROR(ROUND((Q595/R595),2),"NA")</f>
        <v>NA</v>
      </c>
      <c r="U595">
        <f t="shared" si="9"/>
        <v>0</v>
      </c>
    </row>
    <row r="596" spans="7:21" x14ac:dyDescent="0.2">
      <c r="G596" s="9" t="s">
        <v>2409</v>
      </c>
      <c r="H596">
        <v>65</v>
      </c>
      <c r="M596" s="1" t="s">
        <v>2409</v>
      </c>
      <c r="N596" s="1">
        <v>182</v>
      </c>
      <c r="P596" s="1" t="s">
        <v>2409</v>
      </c>
      <c r="Q596" s="42">
        <v>65</v>
      </c>
      <c r="R596" s="42">
        <v>182</v>
      </c>
      <c r="S596" s="42">
        <v>0.1</v>
      </c>
      <c r="T596" s="10">
        <f>IFERROR(ROUND((Q596/R596),2),"NA")</f>
        <v>0.36</v>
      </c>
      <c r="U596">
        <f t="shared" si="9"/>
        <v>6.5</v>
      </c>
    </row>
    <row r="597" spans="7:21" x14ac:dyDescent="0.2">
      <c r="G597" s="9" t="s">
        <v>2890</v>
      </c>
      <c r="H597">
        <v>0</v>
      </c>
      <c r="M597" s="1" t="s">
        <v>2890</v>
      </c>
      <c r="N597" s="1">
        <v>31</v>
      </c>
      <c r="P597" s="1" t="s">
        <v>2890</v>
      </c>
      <c r="Q597" s="42">
        <v>0</v>
      </c>
      <c r="R597" s="42">
        <v>31</v>
      </c>
      <c r="S597" s="42">
        <v>0</v>
      </c>
      <c r="T597" s="10">
        <f>IFERROR(ROUND((Q597/R597),2),"NA")</f>
        <v>0</v>
      </c>
      <c r="U597">
        <f t="shared" si="9"/>
        <v>0</v>
      </c>
    </row>
    <row r="598" spans="7:21" x14ac:dyDescent="0.2">
      <c r="G598" s="9" t="s">
        <v>2621</v>
      </c>
      <c r="H598">
        <v>400</v>
      </c>
      <c r="M598" s="1" t="s">
        <v>2621</v>
      </c>
      <c r="N598" s="1">
        <v>146</v>
      </c>
      <c r="P598" s="1" t="s">
        <v>2621</v>
      </c>
      <c r="Q598" s="42">
        <v>400</v>
      </c>
      <c r="R598" s="42">
        <v>146</v>
      </c>
      <c r="S598" s="42">
        <v>0.1</v>
      </c>
      <c r="T598" s="10">
        <f>IFERROR(ROUND((Q598/R598),2),"NA")</f>
        <v>2.74</v>
      </c>
      <c r="U598">
        <f t="shared" si="9"/>
        <v>40</v>
      </c>
    </row>
    <row r="599" spans="7:21" x14ac:dyDescent="0.2">
      <c r="G599" s="9" t="s">
        <v>2386</v>
      </c>
      <c r="H599">
        <v>0</v>
      </c>
      <c r="M599" s="1" t="s">
        <v>2386</v>
      </c>
      <c r="N599" s="1">
        <v>35</v>
      </c>
      <c r="P599" s="1" t="s">
        <v>2386</v>
      </c>
      <c r="Q599" s="42">
        <v>0</v>
      </c>
      <c r="R599" s="42">
        <v>35</v>
      </c>
      <c r="S599" s="42">
        <v>0</v>
      </c>
      <c r="T599" s="10">
        <f>IFERROR(ROUND((Q599/R599),2),"NA")</f>
        <v>0</v>
      </c>
      <c r="U599">
        <f t="shared" si="9"/>
        <v>0</v>
      </c>
    </row>
    <row r="600" spans="7:21" x14ac:dyDescent="0.2">
      <c r="G600" s="9" t="s">
        <v>215</v>
      </c>
      <c r="H600">
        <v>300</v>
      </c>
      <c r="M600" s="1" t="s">
        <v>215</v>
      </c>
      <c r="N600" s="1">
        <v>2250</v>
      </c>
      <c r="P600" s="1" t="s">
        <v>215</v>
      </c>
      <c r="Q600" s="42">
        <v>300</v>
      </c>
      <c r="R600" s="42">
        <v>2250</v>
      </c>
      <c r="S600" s="42">
        <v>0.115</v>
      </c>
      <c r="T600" s="10">
        <f>IFERROR(ROUND((Q600/R600),2),"NA")</f>
        <v>0.13</v>
      </c>
      <c r="U600">
        <f t="shared" si="9"/>
        <v>34.5</v>
      </c>
    </row>
    <row r="601" spans="7:21" x14ac:dyDescent="0.2">
      <c r="G601" s="9" t="s">
        <v>913</v>
      </c>
      <c r="H601">
        <v>0</v>
      </c>
      <c r="M601" s="1" t="s">
        <v>913</v>
      </c>
      <c r="N601" s="1">
        <v>99</v>
      </c>
      <c r="P601" s="1" t="s">
        <v>913</v>
      </c>
      <c r="Q601" s="42">
        <v>0</v>
      </c>
      <c r="R601" s="42">
        <v>99</v>
      </c>
      <c r="S601" s="42">
        <v>0</v>
      </c>
      <c r="T601" s="10">
        <f>IFERROR(ROUND((Q601/R601),2),"NA")</f>
        <v>0</v>
      </c>
      <c r="U601">
        <f t="shared" si="9"/>
        <v>0</v>
      </c>
    </row>
    <row r="602" spans="7:21" x14ac:dyDescent="0.2">
      <c r="G602" s="9" t="s">
        <v>1726</v>
      </c>
      <c r="H602">
        <v>30</v>
      </c>
      <c r="M602" s="1" t="s">
        <v>1726</v>
      </c>
      <c r="N602" s="1">
        <v>153</v>
      </c>
      <c r="P602" s="1" t="s">
        <v>1726</v>
      </c>
      <c r="Q602" s="42">
        <v>30</v>
      </c>
      <c r="R602" s="42">
        <v>153</v>
      </c>
      <c r="S602" s="42">
        <v>0.15</v>
      </c>
      <c r="T602" s="10">
        <f>IFERROR(ROUND((Q602/R602),2),"NA")</f>
        <v>0.2</v>
      </c>
      <c r="U602">
        <f t="shared" si="9"/>
        <v>4.5</v>
      </c>
    </row>
    <row r="603" spans="7:21" x14ac:dyDescent="0.2">
      <c r="G603" s="9" t="s">
        <v>1565</v>
      </c>
      <c r="H603">
        <v>0</v>
      </c>
      <c r="M603" s="1" t="s">
        <v>1565</v>
      </c>
      <c r="N603" s="1">
        <v>54</v>
      </c>
      <c r="P603" s="1" t="s">
        <v>1565</v>
      </c>
      <c r="Q603" s="42">
        <v>0</v>
      </c>
      <c r="R603" s="42">
        <v>54</v>
      </c>
      <c r="S603" s="42">
        <v>0</v>
      </c>
      <c r="T603" s="10">
        <f>IFERROR(ROUND((Q603/R603),2),"NA")</f>
        <v>0</v>
      </c>
      <c r="U603">
        <f t="shared" si="9"/>
        <v>0</v>
      </c>
    </row>
    <row r="604" spans="7:21" x14ac:dyDescent="0.2">
      <c r="G604" s="9" t="s">
        <v>1442</v>
      </c>
      <c r="H604">
        <v>121</v>
      </c>
      <c r="M604" s="1" t="s">
        <v>1442</v>
      </c>
      <c r="N604" s="1">
        <v>161</v>
      </c>
      <c r="P604" s="1" t="s">
        <v>1442</v>
      </c>
      <c r="Q604" s="42">
        <v>121</v>
      </c>
      <c r="R604" s="42">
        <v>161</v>
      </c>
      <c r="S604" s="42">
        <v>0</v>
      </c>
      <c r="T604" s="10">
        <f>IFERROR(ROUND((Q604/R604),2),"NA")</f>
        <v>0.75</v>
      </c>
      <c r="U604">
        <f t="shared" si="9"/>
        <v>0</v>
      </c>
    </row>
    <row r="605" spans="7:21" x14ac:dyDescent="0.2">
      <c r="G605" s="9" t="s">
        <v>1529</v>
      </c>
      <c r="H605">
        <v>0</v>
      </c>
      <c r="M605" s="1" t="s">
        <v>1529</v>
      </c>
      <c r="N605" s="1">
        <v>156</v>
      </c>
      <c r="P605" s="1" t="s">
        <v>1529</v>
      </c>
      <c r="Q605" s="42">
        <v>0</v>
      </c>
      <c r="R605" s="42">
        <v>156</v>
      </c>
      <c r="S605" s="42">
        <v>0</v>
      </c>
      <c r="T605" s="10">
        <f>IFERROR(ROUND((Q605/R605),2),"NA")</f>
        <v>0</v>
      </c>
      <c r="U605">
        <f t="shared" si="9"/>
        <v>0</v>
      </c>
    </row>
    <row r="606" spans="7:21" x14ac:dyDescent="0.2">
      <c r="G606" s="9" t="s">
        <v>518</v>
      </c>
      <c r="H606">
        <v>34</v>
      </c>
      <c r="M606" s="1" t="s">
        <v>518</v>
      </c>
      <c r="N606" s="1">
        <v>494</v>
      </c>
      <c r="P606" s="1" t="s">
        <v>518</v>
      </c>
      <c r="Q606" s="42">
        <v>34</v>
      </c>
      <c r="R606" s="42">
        <v>494</v>
      </c>
      <c r="S606" s="42">
        <v>0.56499999999999995</v>
      </c>
      <c r="T606" s="10">
        <f>IFERROR(ROUND((Q606/R606),2),"NA")</f>
        <v>7.0000000000000007E-2</v>
      </c>
      <c r="U606">
        <f t="shared" si="9"/>
        <v>19.209999999999997</v>
      </c>
    </row>
    <row r="607" spans="7:21" x14ac:dyDescent="0.2">
      <c r="G607" s="9" t="s">
        <v>1848</v>
      </c>
      <c r="H607">
        <v>0</v>
      </c>
      <c r="M607" s="1" t="s">
        <v>1848</v>
      </c>
      <c r="N607" s="1">
        <v>168</v>
      </c>
      <c r="P607" s="1" t="s">
        <v>1848</v>
      </c>
      <c r="Q607" s="42">
        <v>0</v>
      </c>
      <c r="R607" s="42">
        <v>168</v>
      </c>
      <c r="S607" s="42">
        <v>0.05</v>
      </c>
      <c r="T607" s="10">
        <f>IFERROR(ROUND((Q607/R607),2),"NA")</f>
        <v>0</v>
      </c>
      <c r="U607">
        <f t="shared" si="9"/>
        <v>0</v>
      </c>
    </row>
    <row r="608" spans="7:21" x14ac:dyDescent="0.2">
      <c r="G608" s="9" t="s">
        <v>2145</v>
      </c>
      <c r="H608">
        <v>60</v>
      </c>
      <c r="M608" s="1" t="s">
        <v>2145</v>
      </c>
      <c r="N608" s="1">
        <v>240</v>
      </c>
      <c r="P608" s="1" t="s">
        <v>2145</v>
      </c>
      <c r="Q608" s="42">
        <v>60</v>
      </c>
      <c r="R608" s="42">
        <v>240</v>
      </c>
      <c r="S608" s="42">
        <v>0.17499999999999999</v>
      </c>
      <c r="T608" s="10">
        <f>IFERROR(ROUND((Q608/R608),2),"NA")</f>
        <v>0.25</v>
      </c>
      <c r="U608">
        <f t="shared" si="9"/>
        <v>10.5</v>
      </c>
    </row>
    <row r="609" spans="7:21" x14ac:dyDescent="0.2">
      <c r="G609" s="9" t="s">
        <v>2139</v>
      </c>
      <c r="H609">
        <v>0</v>
      </c>
      <c r="M609" s="1" t="s">
        <v>2139</v>
      </c>
      <c r="N609" s="1">
        <v>814</v>
      </c>
      <c r="P609" s="1" t="s">
        <v>2139</v>
      </c>
      <c r="Q609" s="42">
        <v>0</v>
      </c>
      <c r="R609" s="42">
        <v>814</v>
      </c>
      <c r="S609" s="42">
        <v>0.15</v>
      </c>
      <c r="T609" s="10">
        <f>IFERROR(ROUND((Q609/R609),2),"NA")</f>
        <v>0</v>
      </c>
      <c r="U609">
        <f t="shared" si="9"/>
        <v>0</v>
      </c>
    </row>
    <row r="610" spans="7:21" x14ac:dyDescent="0.2">
      <c r="G610" s="9" t="s">
        <v>2420</v>
      </c>
      <c r="H610">
        <v>40</v>
      </c>
      <c r="M610" s="1" t="s">
        <v>2420</v>
      </c>
      <c r="N610" s="1">
        <v>23</v>
      </c>
      <c r="P610" s="1" t="s">
        <v>2420</v>
      </c>
      <c r="Q610" s="42">
        <v>40</v>
      </c>
      <c r="R610" s="42">
        <v>23</v>
      </c>
      <c r="S610" s="42">
        <v>0</v>
      </c>
      <c r="T610" s="10">
        <f>IFERROR(ROUND((Q610/R610),2),"NA")</f>
        <v>1.74</v>
      </c>
      <c r="U610">
        <f t="shared" si="9"/>
        <v>0</v>
      </c>
    </row>
    <row r="611" spans="7:21" x14ac:dyDescent="0.2">
      <c r="G611" s="9" t="s">
        <v>1849</v>
      </c>
      <c r="H611">
        <v>0</v>
      </c>
      <c r="M611" s="1" t="s">
        <v>1849</v>
      </c>
      <c r="N611" s="1">
        <v>63</v>
      </c>
      <c r="P611" s="1" t="s">
        <v>1849</v>
      </c>
      <c r="Q611" s="42">
        <v>0</v>
      </c>
      <c r="R611" s="42">
        <v>63</v>
      </c>
      <c r="S611" s="42">
        <v>0.16</v>
      </c>
      <c r="T611" s="10">
        <f>IFERROR(ROUND((Q611/R611),2),"NA")</f>
        <v>0</v>
      </c>
      <c r="U611">
        <f t="shared" si="9"/>
        <v>0</v>
      </c>
    </row>
    <row r="612" spans="7:21" x14ac:dyDescent="0.2">
      <c r="G612" s="9" t="s">
        <v>2372</v>
      </c>
      <c r="H612">
        <v>200</v>
      </c>
      <c r="M612" s="1" t="s">
        <v>2372</v>
      </c>
      <c r="N612" s="1">
        <v>0</v>
      </c>
      <c r="P612" s="1" t="s">
        <v>2372</v>
      </c>
      <c r="Q612" s="42">
        <v>200</v>
      </c>
      <c r="R612" s="42">
        <v>0</v>
      </c>
      <c r="S612" s="42">
        <v>0.15</v>
      </c>
      <c r="T612" s="10" t="str">
        <f>IFERROR(ROUND((Q612/R612),2),"NA")</f>
        <v>NA</v>
      </c>
      <c r="U612">
        <f t="shared" si="9"/>
        <v>30</v>
      </c>
    </row>
    <row r="613" spans="7:21" x14ac:dyDescent="0.2">
      <c r="G613" s="9" t="s">
        <v>909</v>
      </c>
      <c r="H613">
        <v>185</v>
      </c>
      <c r="M613" s="1" t="s">
        <v>909</v>
      </c>
      <c r="N613" s="1">
        <v>1214</v>
      </c>
      <c r="P613" s="1" t="s">
        <v>909</v>
      </c>
      <c r="Q613" s="42">
        <v>185</v>
      </c>
      <c r="R613" s="42">
        <v>1214</v>
      </c>
      <c r="S613" s="42">
        <v>0.21000000000000002</v>
      </c>
      <c r="T613" s="10">
        <f>IFERROR(ROUND((Q613/R613),2),"NA")</f>
        <v>0.15</v>
      </c>
      <c r="U613">
        <f t="shared" si="9"/>
        <v>38.85</v>
      </c>
    </row>
    <row r="614" spans="7:21" x14ac:dyDescent="0.2">
      <c r="G614" s="9" t="s">
        <v>267</v>
      </c>
      <c r="H614">
        <v>0</v>
      </c>
      <c r="M614" s="1" t="s">
        <v>267</v>
      </c>
      <c r="N614" s="1">
        <v>0</v>
      </c>
      <c r="P614" s="1" t="s">
        <v>267</v>
      </c>
      <c r="Q614" s="42">
        <v>0</v>
      </c>
      <c r="R614" s="42">
        <v>0</v>
      </c>
      <c r="S614" s="42">
        <v>0.11</v>
      </c>
      <c r="T614" s="10" t="str">
        <f>IFERROR(ROUND((Q614/R614),2),"NA")</f>
        <v>NA</v>
      </c>
      <c r="U614">
        <f t="shared" si="9"/>
        <v>0</v>
      </c>
    </row>
    <row r="615" spans="7:21" x14ac:dyDescent="0.2">
      <c r="G615" s="9" t="s">
        <v>681</v>
      </c>
      <c r="H615">
        <v>0</v>
      </c>
      <c r="M615" s="1" t="s">
        <v>681</v>
      </c>
      <c r="N615" s="1">
        <v>0</v>
      </c>
      <c r="P615" s="1" t="s">
        <v>681</v>
      </c>
      <c r="Q615" s="42">
        <v>0</v>
      </c>
      <c r="R615" s="42">
        <v>0</v>
      </c>
      <c r="S615" s="42">
        <v>0</v>
      </c>
      <c r="T615" s="10" t="str">
        <f>IFERROR(ROUND((Q615/R615),2),"NA")</f>
        <v>NA</v>
      </c>
      <c r="U615">
        <f t="shared" si="9"/>
        <v>0</v>
      </c>
    </row>
    <row r="616" spans="7:21" x14ac:dyDescent="0.2">
      <c r="G616" s="9" t="s">
        <v>2587</v>
      </c>
      <c r="H616">
        <v>6</v>
      </c>
      <c r="M616" s="1" t="s">
        <v>2587</v>
      </c>
      <c r="N616" s="1">
        <v>3</v>
      </c>
      <c r="P616" s="1" t="s">
        <v>2587</v>
      </c>
      <c r="Q616" s="42">
        <v>6</v>
      </c>
      <c r="R616" s="42">
        <v>3</v>
      </c>
      <c r="S616" s="42">
        <v>1</v>
      </c>
      <c r="T616" s="10">
        <f>IFERROR(ROUND((Q616/R616),2),"NA")</f>
        <v>2</v>
      </c>
      <c r="U616">
        <f t="shared" si="9"/>
        <v>6</v>
      </c>
    </row>
    <row r="617" spans="7:21" x14ac:dyDescent="0.2">
      <c r="G617" s="9" t="s">
        <v>671</v>
      </c>
      <c r="H617">
        <v>0</v>
      </c>
      <c r="M617" s="1" t="s">
        <v>671</v>
      </c>
      <c r="N617" s="1">
        <v>86</v>
      </c>
      <c r="P617" s="1" t="s">
        <v>671</v>
      </c>
      <c r="Q617" s="42">
        <v>0</v>
      </c>
      <c r="R617" s="42">
        <v>86</v>
      </c>
      <c r="S617" s="42">
        <v>1</v>
      </c>
      <c r="T617" s="10">
        <f>IFERROR(ROUND((Q617/R617),2),"NA")</f>
        <v>0</v>
      </c>
      <c r="U617">
        <f t="shared" si="9"/>
        <v>0</v>
      </c>
    </row>
    <row r="618" spans="7:21" x14ac:dyDescent="0.2">
      <c r="G618" s="9" t="s">
        <v>419</v>
      </c>
      <c r="H618">
        <v>0</v>
      </c>
      <c r="M618" s="1" t="s">
        <v>419</v>
      </c>
      <c r="N618" s="1">
        <v>41</v>
      </c>
      <c r="P618" s="1" t="s">
        <v>419</v>
      </c>
      <c r="Q618" s="42">
        <v>0</v>
      </c>
      <c r="R618" s="42">
        <v>41</v>
      </c>
      <c r="S618" s="42">
        <v>0.8</v>
      </c>
      <c r="T618" s="10">
        <f>IFERROR(ROUND((Q618/R618),2),"NA")</f>
        <v>0</v>
      </c>
      <c r="U618">
        <f t="shared" si="9"/>
        <v>0</v>
      </c>
    </row>
    <row r="619" spans="7:21" x14ac:dyDescent="0.2">
      <c r="G619" s="9" t="s">
        <v>783</v>
      </c>
      <c r="H619">
        <v>0</v>
      </c>
      <c r="M619" s="1" t="s">
        <v>783</v>
      </c>
      <c r="N619" s="1">
        <v>72</v>
      </c>
      <c r="P619" s="1" t="s">
        <v>783</v>
      </c>
      <c r="Q619" s="42">
        <v>0</v>
      </c>
      <c r="R619" s="42">
        <v>72</v>
      </c>
      <c r="S619" s="42">
        <v>0</v>
      </c>
      <c r="T619" s="10">
        <f>IFERROR(ROUND((Q619/R619),2),"NA")</f>
        <v>0</v>
      </c>
      <c r="U619">
        <f t="shared" si="9"/>
        <v>0</v>
      </c>
    </row>
    <row r="620" spans="7:21" x14ac:dyDescent="0.2">
      <c r="G620" s="9" t="s">
        <v>544</v>
      </c>
      <c r="H620">
        <v>150</v>
      </c>
      <c r="M620" s="1" t="s">
        <v>544</v>
      </c>
      <c r="N620" s="1">
        <v>1100</v>
      </c>
      <c r="P620" s="1" t="s">
        <v>544</v>
      </c>
      <c r="Q620" s="42">
        <v>150</v>
      </c>
      <c r="R620" s="42">
        <v>1100</v>
      </c>
      <c r="S620" s="42">
        <v>0.2</v>
      </c>
      <c r="T620" s="10">
        <f>IFERROR(ROUND((Q620/R620),2),"NA")</f>
        <v>0.14000000000000001</v>
      </c>
      <c r="U620">
        <f t="shared" si="9"/>
        <v>30</v>
      </c>
    </row>
    <row r="621" spans="7:21" x14ac:dyDescent="0.2">
      <c r="G621" s="9" t="s">
        <v>1752</v>
      </c>
      <c r="H621">
        <v>30</v>
      </c>
      <c r="M621" s="1" t="s">
        <v>1752</v>
      </c>
      <c r="N621" s="1">
        <v>103</v>
      </c>
      <c r="P621" s="1" t="s">
        <v>1752</v>
      </c>
      <c r="Q621" s="42">
        <v>30</v>
      </c>
      <c r="R621" s="42">
        <v>103</v>
      </c>
      <c r="S621" s="42">
        <v>0.18</v>
      </c>
      <c r="T621" s="10">
        <f>IFERROR(ROUND((Q621/R621),2),"NA")</f>
        <v>0.28999999999999998</v>
      </c>
      <c r="U621">
        <f t="shared" si="9"/>
        <v>5.3999999999999995</v>
      </c>
    </row>
    <row r="622" spans="7:21" x14ac:dyDescent="0.2">
      <c r="G622" s="9" t="s">
        <v>2103</v>
      </c>
      <c r="H622">
        <v>270</v>
      </c>
      <c r="M622" s="1" t="s">
        <v>2103</v>
      </c>
      <c r="N622" s="1">
        <v>3430</v>
      </c>
      <c r="P622" s="1" t="s">
        <v>2103</v>
      </c>
      <c r="Q622" s="42">
        <v>270</v>
      </c>
      <c r="R622" s="42">
        <v>3430</v>
      </c>
      <c r="S622" s="42">
        <v>0.16500000000000001</v>
      </c>
      <c r="T622" s="10">
        <f>IFERROR(ROUND((Q622/R622),2),"NA")</f>
        <v>0.08</v>
      </c>
      <c r="U622">
        <f t="shared" si="9"/>
        <v>44.550000000000004</v>
      </c>
    </row>
    <row r="623" spans="7:21" x14ac:dyDescent="0.2">
      <c r="G623" s="9" t="s">
        <v>2759</v>
      </c>
      <c r="H623">
        <v>15</v>
      </c>
      <c r="M623" s="1" t="s">
        <v>2759</v>
      </c>
      <c r="N623" s="1">
        <v>190</v>
      </c>
      <c r="P623" s="1" t="s">
        <v>2759</v>
      </c>
      <c r="Q623" s="42">
        <v>15</v>
      </c>
      <c r="R623" s="42">
        <v>190</v>
      </c>
      <c r="S623" s="42">
        <v>0</v>
      </c>
      <c r="T623" s="10">
        <f>IFERROR(ROUND((Q623/R623),2),"NA")</f>
        <v>0.08</v>
      </c>
      <c r="U623">
        <f t="shared" si="9"/>
        <v>0</v>
      </c>
    </row>
    <row r="624" spans="7:21" x14ac:dyDescent="0.2">
      <c r="G624" s="9" t="s">
        <v>2632</v>
      </c>
      <c r="H624">
        <v>0</v>
      </c>
      <c r="M624" s="1" t="s">
        <v>2632</v>
      </c>
      <c r="N624" s="1">
        <v>63</v>
      </c>
      <c r="P624" s="1" t="s">
        <v>2632</v>
      </c>
      <c r="Q624" s="42">
        <v>0</v>
      </c>
      <c r="R624" s="42">
        <v>63</v>
      </c>
      <c r="S624" s="42">
        <v>0.1</v>
      </c>
      <c r="T624" s="10">
        <f>IFERROR(ROUND((Q624/R624),2),"NA")</f>
        <v>0</v>
      </c>
      <c r="U624">
        <f t="shared" si="9"/>
        <v>0</v>
      </c>
    </row>
    <row r="625" spans="7:21" x14ac:dyDescent="0.2">
      <c r="G625" s="9" t="s">
        <v>866</v>
      </c>
      <c r="H625">
        <v>0</v>
      </c>
      <c r="M625" s="1" t="s">
        <v>866</v>
      </c>
      <c r="N625" s="1">
        <v>11</v>
      </c>
      <c r="P625" s="1" t="s">
        <v>866</v>
      </c>
      <c r="Q625" s="42">
        <v>0</v>
      </c>
      <c r="R625" s="42">
        <v>11</v>
      </c>
      <c r="S625" s="42">
        <v>1</v>
      </c>
      <c r="T625" s="10">
        <f>IFERROR(ROUND((Q625/R625),2),"NA")</f>
        <v>0</v>
      </c>
      <c r="U625">
        <f t="shared" si="9"/>
        <v>0</v>
      </c>
    </row>
    <row r="626" spans="7:21" x14ac:dyDescent="0.2">
      <c r="G626" s="9" t="s">
        <v>2655</v>
      </c>
      <c r="H626">
        <v>0</v>
      </c>
      <c r="M626" s="1" t="s">
        <v>2655</v>
      </c>
      <c r="N626" s="1">
        <v>100</v>
      </c>
      <c r="P626" s="1" t="s">
        <v>2655</v>
      </c>
      <c r="Q626" s="42">
        <v>0</v>
      </c>
      <c r="R626" s="42">
        <v>100</v>
      </c>
      <c r="S626" s="42">
        <v>0</v>
      </c>
      <c r="T626" s="10">
        <f>IFERROR(ROUND((Q626/R626),2),"NA")</f>
        <v>0</v>
      </c>
      <c r="U626">
        <f t="shared" si="9"/>
        <v>0</v>
      </c>
    </row>
    <row r="627" spans="7:21" x14ac:dyDescent="0.2">
      <c r="G627" s="9" t="s">
        <v>1070</v>
      </c>
      <c r="H627">
        <v>0</v>
      </c>
      <c r="M627" s="1" t="s">
        <v>1070</v>
      </c>
      <c r="N627" s="1">
        <v>20</v>
      </c>
      <c r="P627" s="1" t="s">
        <v>1070</v>
      </c>
      <c r="Q627" s="42">
        <v>0</v>
      </c>
      <c r="R627" s="42">
        <v>20</v>
      </c>
      <c r="S627" s="42">
        <v>1</v>
      </c>
      <c r="T627" s="10">
        <f>IFERROR(ROUND((Q627/R627),2),"NA")</f>
        <v>0</v>
      </c>
      <c r="U627">
        <f t="shared" si="9"/>
        <v>0</v>
      </c>
    </row>
    <row r="628" spans="7:21" x14ac:dyDescent="0.2">
      <c r="G628" s="9" t="s">
        <v>938</v>
      </c>
      <c r="H628">
        <v>0</v>
      </c>
      <c r="M628" s="1" t="s">
        <v>938</v>
      </c>
      <c r="N628" s="1">
        <v>180</v>
      </c>
      <c r="P628" s="1" t="s">
        <v>938</v>
      </c>
      <c r="Q628" s="42">
        <v>0</v>
      </c>
      <c r="R628" s="42">
        <v>180</v>
      </c>
      <c r="S628" s="42">
        <v>0</v>
      </c>
      <c r="T628" s="10">
        <f>IFERROR(ROUND((Q628/R628),2),"NA")</f>
        <v>0</v>
      </c>
      <c r="U628">
        <f t="shared" si="9"/>
        <v>0</v>
      </c>
    </row>
    <row r="629" spans="7:21" x14ac:dyDescent="0.2">
      <c r="G629" s="9" t="s">
        <v>2425</v>
      </c>
      <c r="H629">
        <v>50</v>
      </c>
      <c r="M629" s="1" t="s">
        <v>2425</v>
      </c>
      <c r="N629" s="1">
        <v>0</v>
      </c>
      <c r="P629" s="1" t="s">
        <v>2425</v>
      </c>
      <c r="Q629" s="42">
        <v>50</v>
      </c>
      <c r="R629" s="42">
        <v>0</v>
      </c>
      <c r="S629" s="42">
        <v>0.02</v>
      </c>
      <c r="T629" s="10" t="str">
        <f>IFERROR(ROUND((Q629/R629),2),"NA")</f>
        <v>NA</v>
      </c>
      <c r="U629">
        <f t="shared" si="9"/>
        <v>1</v>
      </c>
    </row>
    <row r="630" spans="7:21" x14ac:dyDescent="0.2">
      <c r="G630" s="9" t="s">
        <v>1078</v>
      </c>
      <c r="H630">
        <v>0</v>
      </c>
      <c r="M630" s="1" t="s">
        <v>1078</v>
      </c>
      <c r="N630" s="1">
        <v>414</v>
      </c>
      <c r="P630" s="1" t="s">
        <v>1078</v>
      </c>
      <c r="Q630" s="42">
        <v>0</v>
      </c>
      <c r="R630" s="42">
        <v>414</v>
      </c>
      <c r="S630" s="42">
        <v>0.15</v>
      </c>
      <c r="T630" s="10">
        <f>IFERROR(ROUND((Q630/R630),2),"NA")</f>
        <v>0</v>
      </c>
      <c r="U630">
        <f t="shared" si="9"/>
        <v>0</v>
      </c>
    </row>
    <row r="631" spans="7:21" x14ac:dyDescent="0.2">
      <c r="G631" s="9" t="s">
        <v>234</v>
      </c>
      <c r="H631">
        <v>11</v>
      </c>
      <c r="M631" s="1" t="s">
        <v>234</v>
      </c>
      <c r="N631" s="1">
        <v>0</v>
      </c>
      <c r="P631" s="1" t="s">
        <v>234</v>
      </c>
      <c r="Q631" s="42">
        <v>11</v>
      </c>
      <c r="R631" s="42">
        <v>0</v>
      </c>
      <c r="S631" s="42">
        <v>1</v>
      </c>
      <c r="T631" s="10" t="str">
        <f>IFERROR(ROUND((Q631/R631),2),"NA")</f>
        <v>NA</v>
      </c>
      <c r="U631">
        <f t="shared" si="9"/>
        <v>11</v>
      </c>
    </row>
    <row r="632" spans="7:21" x14ac:dyDescent="0.2">
      <c r="G632" s="9" t="s">
        <v>706</v>
      </c>
      <c r="H632">
        <v>230</v>
      </c>
      <c r="M632" s="1" t="s">
        <v>706</v>
      </c>
      <c r="N632" s="1">
        <v>780</v>
      </c>
      <c r="P632" s="1" t="s">
        <v>706</v>
      </c>
      <c r="Q632" s="42">
        <v>230</v>
      </c>
      <c r="R632" s="42">
        <v>780</v>
      </c>
      <c r="S632" s="42">
        <v>0.06</v>
      </c>
      <c r="T632" s="10">
        <f>IFERROR(ROUND((Q632/R632),2),"NA")</f>
        <v>0.28999999999999998</v>
      </c>
      <c r="U632">
        <f t="shared" si="9"/>
        <v>13.799999999999999</v>
      </c>
    </row>
    <row r="633" spans="7:21" x14ac:dyDescent="0.2">
      <c r="G633" s="9" t="s">
        <v>813</v>
      </c>
      <c r="H633">
        <v>70</v>
      </c>
      <c r="M633" s="1" t="s">
        <v>813</v>
      </c>
      <c r="N633" s="1">
        <v>2</v>
      </c>
      <c r="P633" s="1" t="s">
        <v>813</v>
      </c>
      <c r="Q633" s="42">
        <v>70</v>
      </c>
      <c r="R633" s="42">
        <v>2</v>
      </c>
      <c r="S633" s="42">
        <v>1</v>
      </c>
      <c r="T633" s="10">
        <f>IFERROR(ROUND((Q633/R633),2),"NA")</f>
        <v>35</v>
      </c>
      <c r="U633">
        <f t="shared" si="9"/>
        <v>70</v>
      </c>
    </row>
    <row r="634" spans="7:21" x14ac:dyDescent="0.2">
      <c r="G634" s="9" t="s">
        <v>1486</v>
      </c>
      <c r="H634">
        <v>0</v>
      </c>
      <c r="M634" s="1" t="s">
        <v>1486</v>
      </c>
      <c r="N634" s="1">
        <v>18</v>
      </c>
      <c r="P634" s="1" t="s">
        <v>1486</v>
      </c>
      <c r="Q634" s="42">
        <v>0</v>
      </c>
      <c r="R634" s="42">
        <v>18</v>
      </c>
      <c r="S634" s="42">
        <v>0</v>
      </c>
      <c r="T634" s="10">
        <f>IFERROR(ROUND((Q634/R634),2),"NA")</f>
        <v>0</v>
      </c>
      <c r="U634">
        <f t="shared" si="9"/>
        <v>0</v>
      </c>
    </row>
    <row r="635" spans="7:21" x14ac:dyDescent="0.2">
      <c r="G635" s="9" t="s">
        <v>875</v>
      </c>
      <c r="H635">
        <v>46</v>
      </c>
      <c r="M635" s="1" t="s">
        <v>875</v>
      </c>
      <c r="N635" s="1">
        <v>322</v>
      </c>
      <c r="P635" s="1" t="s">
        <v>875</v>
      </c>
      <c r="Q635" s="42">
        <v>46</v>
      </c>
      <c r="R635" s="42">
        <v>322</v>
      </c>
      <c r="S635" s="42">
        <v>0.15</v>
      </c>
      <c r="T635" s="10">
        <f>IFERROR(ROUND((Q635/R635),2),"NA")</f>
        <v>0.14000000000000001</v>
      </c>
      <c r="U635">
        <f t="shared" si="9"/>
        <v>6.8999999999999995</v>
      </c>
    </row>
    <row r="636" spans="7:21" x14ac:dyDescent="0.2">
      <c r="G636" s="9" t="s">
        <v>2388</v>
      </c>
      <c r="H636">
        <v>0</v>
      </c>
      <c r="M636" s="1" t="s">
        <v>2388</v>
      </c>
      <c r="N636" s="1">
        <v>259</v>
      </c>
      <c r="P636" s="1" t="s">
        <v>2388</v>
      </c>
      <c r="Q636" s="42">
        <v>0</v>
      </c>
      <c r="R636" s="42">
        <v>259</v>
      </c>
      <c r="S636" s="42">
        <v>0.1</v>
      </c>
      <c r="T636" s="10">
        <f>IFERROR(ROUND((Q636/R636),2),"NA")</f>
        <v>0</v>
      </c>
      <c r="U636">
        <f t="shared" si="9"/>
        <v>0</v>
      </c>
    </row>
    <row r="637" spans="7:21" x14ac:dyDescent="0.2">
      <c r="G637" s="9" t="s">
        <v>657</v>
      </c>
      <c r="H637">
        <v>20</v>
      </c>
      <c r="M637" s="1" t="s">
        <v>657</v>
      </c>
      <c r="N637" s="1">
        <v>86</v>
      </c>
      <c r="P637" s="1" t="s">
        <v>657</v>
      </c>
      <c r="Q637" s="42">
        <v>20</v>
      </c>
      <c r="R637" s="42">
        <v>86</v>
      </c>
      <c r="S637" s="42">
        <v>0.2</v>
      </c>
      <c r="T637" s="10">
        <f>IFERROR(ROUND((Q637/R637),2),"NA")</f>
        <v>0.23</v>
      </c>
      <c r="U637">
        <f t="shared" si="9"/>
        <v>4</v>
      </c>
    </row>
    <row r="638" spans="7:21" x14ac:dyDescent="0.2">
      <c r="G638" s="9" t="s">
        <v>910</v>
      </c>
      <c r="H638">
        <v>50</v>
      </c>
      <c r="M638" s="1" t="s">
        <v>910</v>
      </c>
      <c r="N638" s="1">
        <v>20</v>
      </c>
      <c r="P638" s="1" t="s">
        <v>910</v>
      </c>
      <c r="Q638" s="42">
        <v>50</v>
      </c>
      <c r="R638" s="42">
        <v>20</v>
      </c>
      <c r="S638" s="42">
        <v>1</v>
      </c>
      <c r="T638" s="10">
        <f>IFERROR(ROUND((Q638/R638),2),"NA")</f>
        <v>2.5</v>
      </c>
      <c r="U638">
        <f t="shared" si="9"/>
        <v>50</v>
      </c>
    </row>
    <row r="639" spans="7:21" x14ac:dyDescent="0.2">
      <c r="G639" s="9" t="s">
        <v>902</v>
      </c>
      <c r="H639">
        <v>30</v>
      </c>
      <c r="M639" s="1" t="s">
        <v>902</v>
      </c>
      <c r="N639" s="1">
        <v>256</v>
      </c>
      <c r="P639" s="1" t="s">
        <v>902</v>
      </c>
      <c r="Q639" s="42">
        <v>30</v>
      </c>
      <c r="R639" s="42">
        <v>256</v>
      </c>
      <c r="S639" s="42">
        <v>7.0000000000000007E-2</v>
      </c>
      <c r="T639" s="10">
        <f>IFERROR(ROUND((Q639/R639),2),"NA")</f>
        <v>0.12</v>
      </c>
      <c r="U639">
        <f t="shared" si="9"/>
        <v>2.1</v>
      </c>
    </row>
    <row r="640" spans="7:21" x14ac:dyDescent="0.2">
      <c r="G640" s="9" t="s">
        <v>2487</v>
      </c>
      <c r="H640">
        <v>0</v>
      </c>
      <c r="M640" s="1" t="s">
        <v>2487</v>
      </c>
      <c r="N640" s="1">
        <v>78</v>
      </c>
      <c r="P640" s="1" t="s">
        <v>2487</v>
      </c>
      <c r="Q640" s="42">
        <v>0</v>
      </c>
      <c r="R640" s="42">
        <v>78</v>
      </c>
      <c r="S640" s="42">
        <v>0</v>
      </c>
      <c r="T640" s="10">
        <f>IFERROR(ROUND((Q640/R640),2),"NA")</f>
        <v>0</v>
      </c>
      <c r="U640">
        <f t="shared" si="9"/>
        <v>0</v>
      </c>
    </row>
    <row r="641" spans="7:21" x14ac:dyDescent="0.2">
      <c r="G641" s="9" t="s">
        <v>1614</v>
      </c>
      <c r="H641">
        <v>55</v>
      </c>
      <c r="M641" s="1" t="s">
        <v>1614</v>
      </c>
      <c r="N641" s="1">
        <v>0</v>
      </c>
      <c r="P641" s="1" t="s">
        <v>1614</v>
      </c>
      <c r="Q641" s="42">
        <v>55</v>
      </c>
      <c r="R641" s="42">
        <v>0</v>
      </c>
      <c r="S641" s="42">
        <v>0.06</v>
      </c>
      <c r="T641" s="10" t="str">
        <f>IFERROR(ROUND((Q641/R641),2),"NA")</f>
        <v>NA</v>
      </c>
      <c r="U641">
        <f t="shared" si="9"/>
        <v>3.3</v>
      </c>
    </row>
    <row r="642" spans="7:21" x14ac:dyDescent="0.2">
      <c r="G642" s="9" t="s">
        <v>867</v>
      </c>
      <c r="H642">
        <v>0</v>
      </c>
      <c r="M642" s="1" t="s">
        <v>867</v>
      </c>
      <c r="N642" s="1">
        <v>874</v>
      </c>
      <c r="P642" s="1" t="s">
        <v>867</v>
      </c>
      <c r="Q642" s="42">
        <v>0</v>
      </c>
      <c r="R642" s="42">
        <v>874</v>
      </c>
      <c r="S642" s="42">
        <v>0.15</v>
      </c>
      <c r="T642" s="10">
        <f>IFERROR(ROUND((Q642/R642),2),"NA")</f>
        <v>0</v>
      </c>
      <c r="U642">
        <f t="shared" si="9"/>
        <v>0</v>
      </c>
    </row>
    <row r="643" spans="7:21" x14ac:dyDescent="0.2">
      <c r="G643" s="9" t="s">
        <v>1597</v>
      </c>
      <c r="H643">
        <v>0</v>
      </c>
      <c r="M643" s="1" t="s">
        <v>1597</v>
      </c>
      <c r="N643" s="1">
        <v>448</v>
      </c>
      <c r="P643" s="1" t="s">
        <v>1597</v>
      </c>
      <c r="Q643" s="42">
        <v>0</v>
      </c>
      <c r="R643" s="42">
        <v>448</v>
      </c>
      <c r="S643" s="42">
        <v>0.05</v>
      </c>
      <c r="T643" s="10">
        <f>IFERROR(ROUND((Q643/R643),2),"NA")</f>
        <v>0</v>
      </c>
      <c r="U643">
        <f t="shared" si="9"/>
        <v>0</v>
      </c>
    </row>
    <row r="644" spans="7:21" x14ac:dyDescent="0.2">
      <c r="G644" s="9" t="s">
        <v>2643</v>
      </c>
      <c r="H644">
        <v>669</v>
      </c>
      <c r="M644" s="1" t="s">
        <v>2643</v>
      </c>
      <c r="N644" s="1">
        <v>80</v>
      </c>
      <c r="P644" s="1" t="s">
        <v>2643</v>
      </c>
      <c r="Q644" s="42">
        <v>669</v>
      </c>
      <c r="R644" s="42">
        <v>80</v>
      </c>
      <c r="S644" s="42">
        <v>1</v>
      </c>
      <c r="T644" s="10">
        <f>IFERROR(ROUND((Q644/R644),2),"NA")</f>
        <v>8.36</v>
      </c>
      <c r="U644">
        <f t="shared" si="9"/>
        <v>669</v>
      </c>
    </row>
    <row r="645" spans="7:21" x14ac:dyDescent="0.2">
      <c r="G645" s="9" t="s">
        <v>1400</v>
      </c>
      <c r="H645">
        <v>717</v>
      </c>
      <c r="M645" s="1" t="s">
        <v>1400</v>
      </c>
      <c r="N645" s="1">
        <v>3200</v>
      </c>
      <c r="P645" s="1" t="s">
        <v>1400</v>
      </c>
      <c r="Q645" s="42">
        <v>717</v>
      </c>
      <c r="R645" s="42">
        <v>3200</v>
      </c>
      <c r="S645" s="42">
        <v>0.12</v>
      </c>
      <c r="T645" s="10">
        <f>IFERROR(ROUND((Q645/R645),2),"NA")</f>
        <v>0.22</v>
      </c>
      <c r="U645">
        <f t="shared" ref="U645:U708" si="10">Q645*S645</f>
        <v>86.039999999999992</v>
      </c>
    </row>
    <row r="646" spans="7:21" x14ac:dyDescent="0.2">
      <c r="G646" s="9" t="s">
        <v>1856</v>
      </c>
      <c r="H646">
        <v>120</v>
      </c>
      <c r="M646" s="1" t="s">
        <v>1856</v>
      </c>
      <c r="N646" s="1">
        <v>1700</v>
      </c>
      <c r="P646" s="1" t="s">
        <v>1856</v>
      </c>
      <c r="Q646" s="42">
        <v>120</v>
      </c>
      <c r="R646" s="42">
        <v>1700</v>
      </c>
      <c r="S646" s="42">
        <v>1</v>
      </c>
      <c r="T646" s="10">
        <f>IFERROR(ROUND((Q646/R646),2),"NA")</f>
        <v>7.0000000000000007E-2</v>
      </c>
      <c r="U646">
        <f t="shared" si="10"/>
        <v>120</v>
      </c>
    </row>
    <row r="647" spans="7:21" x14ac:dyDescent="0.2">
      <c r="G647" s="9" t="s">
        <v>494</v>
      </c>
      <c r="H647">
        <v>556</v>
      </c>
      <c r="M647" s="1" t="s">
        <v>494</v>
      </c>
      <c r="N647" s="1">
        <v>36400</v>
      </c>
      <c r="P647" s="1" t="s">
        <v>494</v>
      </c>
      <c r="Q647" s="42">
        <v>556</v>
      </c>
      <c r="R647" s="42">
        <v>36400</v>
      </c>
      <c r="S647" s="42">
        <v>0.04</v>
      </c>
      <c r="T647" s="10">
        <f>IFERROR(ROUND((Q647/R647),2),"NA")</f>
        <v>0.02</v>
      </c>
      <c r="U647">
        <f t="shared" si="10"/>
        <v>22.240000000000002</v>
      </c>
    </row>
    <row r="648" spans="7:21" x14ac:dyDescent="0.2">
      <c r="G648" s="9" t="s">
        <v>212</v>
      </c>
      <c r="H648">
        <v>12650</v>
      </c>
      <c r="M648" s="1" t="s">
        <v>212</v>
      </c>
      <c r="N648" s="1">
        <v>0</v>
      </c>
      <c r="P648" s="1" t="s">
        <v>212</v>
      </c>
      <c r="Q648" s="42">
        <v>12650</v>
      </c>
      <c r="R648" s="42">
        <v>0</v>
      </c>
      <c r="S648" s="42">
        <v>0.05</v>
      </c>
      <c r="T648" s="10" t="str">
        <f>IFERROR(ROUND((Q648/R648),2),"NA")</f>
        <v>NA</v>
      </c>
      <c r="U648">
        <f t="shared" si="10"/>
        <v>632.5</v>
      </c>
    </row>
    <row r="649" spans="7:21" x14ac:dyDescent="0.2">
      <c r="G649" s="9" t="s">
        <v>2071</v>
      </c>
      <c r="H649">
        <v>27</v>
      </c>
      <c r="M649" s="1" t="s">
        <v>2071</v>
      </c>
      <c r="N649" s="1">
        <v>143</v>
      </c>
      <c r="P649" s="1" t="s">
        <v>2071</v>
      </c>
      <c r="Q649" s="42">
        <v>27</v>
      </c>
      <c r="R649" s="42">
        <v>143</v>
      </c>
      <c r="S649" s="42">
        <v>0.03</v>
      </c>
      <c r="T649" s="10">
        <f>IFERROR(ROUND((Q649/R649),2),"NA")</f>
        <v>0.19</v>
      </c>
      <c r="U649">
        <f t="shared" si="10"/>
        <v>0.80999999999999994</v>
      </c>
    </row>
    <row r="650" spans="7:21" x14ac:dyDescent="0.2">
      <c r="G650" s="9" t="s">
        <v>2678</v>
      </c>
      <c r="H650">
        <v>60</v>
      </c>
      <c r="M650" s="1" t="s">
        <v>2678</v>
      </c>
      <c r="N650" s="1">
        <v>106</v>
      </c>
      <c r="P650" s="1" t="s">
        <v>2678</v>
      </c>
      <c r="Q650" s="42">
        <v>60</v>
      </c>
      <c r="R650" s="42">
        <v>106</v>
      </c>
      <c r="S650" s="42">
        <v>0.3</v>
      </c>
      <c r="T650" s="10">
        <f>IFERROR(ROUND((Q650/R650),2),"NA")</f>
        <v>0.56999999999999995</v>
      </c>
      <c r="U650">
        <f t="shared" si="10"/>
        <v>18</v>
      </c>
    </row>
    <row r="651" spans="7:21" x14ac:dyDescent="0.2">
      <c r="G651" s="9" t="s">
        <v>2610</v>
      </c>
      <c r="H651">
        <v>12</v>
      </c>
      <c r="M651" s="1" t="s">
        <v>2610</v>
      </c>
      <c r="N651" s="1">
        <v>58</v>
      </c>
      <c r="P651" s="1" t="s">
        <v>2610</v>
      </c>
      <c r="Q651" s="42">
        <v>12</v>
      </c>
      <c r="R651" s="42">
        <v>58</v>
      </c>
      <c r="S651" s="42">
        <v>0.16</v>
      </c>
      <c r="T651" s="10">
        <f>IFERROR(ROUND((Q651/R651),2),"NA")</f>
        <v>0.21</v>
      </c>
      <c r="U651">
        <f t="shared" si="10"/>
        <v>1.92</v>
      </c>
    </row>
    <row r="652" spans="7:21" x14ac:dyDescent="0.2">
      <c r="G652" s="9" t="s">
        <v>383</v>
      </c>
      <c r="H652">
        <v>0</v>
      </c>
      <c r="M652" s="1" t="s">
        <v>383</v>
      </c>
      <c r="N652" s="1">
        <v>2869</v>
      </c>
      <c r="P652" s="1" t="s">
        <v>383</v>
      </c>
      <c r="Q652" s="42">
        <v>0</v>
      </c>
      <c r="R652" s="42">
        <v>2869</v>
      </c>
      <c r="S652" s="42">
        <v>0.16</v>
      </c>
      <c r="T652" s="10">
        <f>IFERROR(ROUND((Q652/R652),2),"NA")</f>
        <v>0</v>
      </c>
      <c r="U652">
        <f t="shared" si="10"/>
        <v>0</v>
      </c>
    </row>
    <row r="653" spans="7:21" x14ac:dyDescent="0.2">
      <c r="G653" s="9" t="s">
        <v>792</v>
      </c>
      <c r="H653">
        <v>30</v>
      </c>
      <c r="M653" s="1" t="s">
        <v>792</v>
      </c>
      <c r="N653" s="1">
        <v>84</v>
      </c>
      <c r="P653" s="1" t="s">
        <v>792</v>
      </c>
      <c r="Q653" s="42">
        <v>30</v>
      </c>
      <c r="R653" s="42">
        <v>84</v>
      </c>
      <c r="S653" s="42">
        <v>0</v>
      </c>
      <c r="T653" s="10">
        <f>IFERROR(ROUND((Q653/R653),2),"NA")</f>
        <v>0.36</v>
      </c>
      <c r="U653">
        <f t="shared" si="10"/>
        <v>0</v>
      </c>
    </row>
    <row r="654" spans="7:21" x14ac:dyDescent="0.2">
      <c r="G654" s="9" t="s">
        <v>1828</v>
      </c>
      <c r="H654">
        <v>0</v>
      </c>
      <c r="M654" s="1" t="s">
        <v>1828</v>
      </c>
      <c r="N654" s="1">
        <v>481</v>
      </c>
      <c r="P654" s="1" t="s">
        <v>1828</v>
      </c>
      <c r="Q654" s="42">
        <v>0</v>
      </c>
      <c r="R654" s="42">
        <v>481</v>
      </c>
      <c r="S654" s="42">
        <v>0.15</v>
      </c>
      <c r="T654" s="10">
        <f>IFERROR(ROUND((Q654/R654),2),"NA")</f>
        <v>0</v>
      </c>
      <c r="U654">
        <f t="shared" si="10"/>
        <v>0</v>
      </c>
    </row>
    <row r="655" spans="7:21" x14ac:dyDescent="0.2">
      <c r="G655" s="9" t="s">
        <v>436</v>
      </c>
      <c r="H655">
        <v>0</v>
      </c>
      <c r="M655" s="1" t="s">
        <v>436</v>
      </c>
      <c r="N655" s="1">
        <v>0</v>
      </c>
      <c r="P655" s="1" t="s">
        <v>436</v>
      </c>
      <c r="Q655" s="42">
        <v>0</v>
      </c>
      <c r="R655" s="42">
        <v>0</v>
      </c>
      <c r="S655" s="42">
        <v>1</v>
      </c>
      <c r="T655" s="10" t="str">
        <f>IFERROR(ROUND((Q655/R655),2),"NA")</f>
        <v>NA</v>
      </c>
      <c r="U655">
        <f t="shared" si="10"/>
        <v>0</v>
      </c>
    </row>
    <row r="656" spans="7:21" x14ac:dyDescent="0.2">
      <c r="G656" s="9" t="s">
        <v>1056</v>
      </c>
      <c r="H656">
        <v>53</v>
      </c>
      <c r="M656" s="1" t="s">
        <v>1056</v>
      </c>
      <c r="N656" s="1">
        <v>0</v>
      </c>
      <c r="P656" s="1" t="s">
        <v>1056</v>
      </c>
      <c r="Q656" s="42">
        <v>53</v>
      </c>
      <c r="R656" s="42">
        <v>0</v>
      </c>
      <c r="S656" s="42">
        <v>0.1</v>
      </c>
      <c r="T656" s="10" t="str">
        <f>IFERROR(ROUND((Q656/R656),2),"NA")</f>
        <v>NA</v>
      </c>
      <c r="U656">
        <f t="shared" si="10"/>
        <v>5.3000000000000007</v>
      </c>
    </row>
    <row r="657" spans="7:21" x14ac:dyDescent="0.2">
      <c r="G657" s="9" t="s">
        <v>2875</v>
      </c>
      <c r="H657">
        <v>5</v>
      </c>
      <c r="M657" s="1" t="s">
        <v>2875</v>
      </c>
      <c r="N657" s="1">
        <v>26</v>
      </c>
      <c r="P657" s="1" t="s">
        <v>2875</v>
      </c>
      <c r="Q657" s="42">
        <v>5</v>
      </c>
      <c r="R657" s="42">
        <v>26</v>
      </c>
      <c r="S657" s="42">
        <v>0.14000000000000001</v>
      </c>
      <c r="T657" s="10">
        <f>IFERROR(ROUND((Q657/R657),2),"NA")</f>
        <v>0.19</v>
      </c>
      <c r="U657">
        <f t="shared" si="10"/>
        <v>0.70000000000000007</v>
      </c>
    </row>
    <row r="658" spans="7:21" x14ac:dyDescent="0.2">
      <c r="G658" s="9" t="s">
        <v>844</v>
      </c>
      <c r="H658">
        <v>0</v>
      </c>
      <c r="M658" s="1" t="s">
        <v>844</v>
      </c>
      <c r="N658" s="1">
        <v>135</v>
      </c>
      <c r="P658" s="1" t="s">
        <v>844</v>
      </c>
      <c r="Q658" s="42">
        <v>0</v>
      </c>
      <c r="R658" s="42">
        <v>135</v>
      </c>
      <c r="S658" s="42">
        <v>0</v>
      </c>
      <c r="T658" s="10">
        <f>IFERROR(ROUND((Q658/R658),2),"NA")</f>
        <v>0</v>
      </c>
      <c r="U658">
        <f t="shared" si="10"/>
        <v>0</v>
      </c>
    </row>
    <row r="659" spans="7:21" x14ac:dyDescent="0.2">
      <c r="G659" s="9" t="s">
        <v>1362</v>
      </c>
      <c r="H659">
        <v>0</v>
      </c>
      <c r="M659" s="1" t="s">
        <v>1362</v>
      </c>
      <c r="N659" s="1">
        <v>105</v>
      </c>
      <c r="P659" s="1" t="s">
        <v>1362</v>
      </c>
      <c r="Q659" s="42">
        <v>0</v>
      </c>
      <c r="R659" s="42">
        <v>105</v>
      </c>
      <c r="S659" s="42">
        <v>0</v>
      </c>
      <c r="T659" s="10">
        <f>IFERROR(ROUND((Q659/R659),2),"NA")</f>
        <v>0</v>
      </c>
      <c r="U659">
        <f t="shared" si="10"/>
        <v>0</v>
      </c>
    </row>
    <row r="660" spans="7:21" x14ac:dyDescent="0.2">
      <c r="G660" s="9" t="s">
        <v>1934</v>
      </c>
      <c r="H660">
        <v>10</v>
      </c>
      <c r="M660" s="1" t="s">
        <v>1934</v>
      </c>
      <c r="N660" s="1">
        <v>0</v>
      </c>
      <c r="P660" s="1" t="s">
        <v>1934</v>
      </c>
      <c r="Q660" s="42">
        <v>10</v>
      </c>
      <c r="R660" s="42">
        <v>0</v>
      </c>
      <c r="S660" s="42">
        <v>0.13</v>
      </c>
      <c r="T660" s="10" t="str">
        <f>IFERROR(ROUND((Q660/R660),2),"NA")</f>
        <v>NA</v>
      </c>
      <c r="U660">
        <f t="shared" si="10"/>
        <v>1.3</v>
      </c>
    </row>
    <row r="661" spans="7:21" x14ac:dyDescent="0.2">
      <c r="G661" s="9" t="s">
        <v>1718</v>
      </c>
      <c r="H661">
        <v>0</v>
      </c>
      <c r="M661" s="1" t="s">
        <v>1718</v>
      </c>
      <c r="N661" s="1">
        <v>0</v>
      </c>
      <c r="P661" s="1" t="s">
        <v>1718</v>
      </c>
      <c r="Q661" s="42">
        <v>0</v>
      </c>
      <c r="R661" s="42">
        <v>0</v>
      </c>
      <c r="S661" s="42">
        <v>1</v>
      </c>
      <c r="T661" s="10" t="str">
        <f>IFERROR(ROUND((Q661/R661),2),"NA")</f>
        <v>NA</v>
      </c>
      <c r="U661">
        <f t="shared" si="10"/>
        <v>0</v>
      </c>
    </row>
    <row r="662" spans="7:21" x14ac:dyDescent="0.2">
      <c r="G662" s="9" t="s">
        <v>1368</v>
      </c>
      <c r="H662">
        <v>200</v>
      </c>
      <c r="M662" s="1" t="s">
        <v>1368</v>
      </c>
      <c r="N662" s="1">
        <v>491</v>
      </c>
      <c r="P662" s="1" t="s">
        <v>1368</v>
      </c>
      <c r="Q662" s="42">
        <v>200</v>
      </c>
      <c r="R662" s="42">
        <v>491</v>
      </c>
      <c r="S662" s="42">
        <v>0.11</v>
      </c>
      <c r="T662" s="10">
        <f>IFERROR(ROUND((Q662/R662),2),"NA")</f>
        <v>0.41</v>
      </c>
      <c r="U662">
        <f t="shared" si="10"/>
        <v>22</v>
      </c>
    </row>
    <row r="663" spans="7:21" x14ac:dyDescent="0.2">
      <c r="G663" s="9" t="s">
        <v>2900</v>
      </c>
      <c r="H663">
        <v>75</v>
      </c>
      <c r="M663" s="1" t="s">
        <v>2900</v>
      </c>
      <c r="N663" s="1">
        <v>133</v>
      </c>
      <c r="P663" s="1" t="s">
        <v>2900</v>
      </c>
      <c r="Q663" s="42">
        <v>75</v>
      </c>
      <c r="R663" s="42">
        <v>133</v>
      </c>
      <c r="S663" s="42">
        <v>0</v>
      </c>
      <c r="T663" s="10">
        <f>IFERROR(ROUND((Q663/R663),2),"NA")</f>
        <v>0.56000000000000005</v>
      </c>
      <c r="U663">
        <f t="shared" si="10"/>
        <v>0</v>
      </c>
    </row>
    <row r="664" spans="7:21" x14ac:dyDescent="0.2">
      <c r="G664" s="9" t="s">
        <v>427</v>
      </c>
      <c r="H664">
        <v>207</v>
      </c>
      <c r="M664" s="1" t="s">
        <v>427</v>
      </c>
      <c r="N664" s="1">
        <v>1990</v>
      </c>
      <c r="P664" s="1" t="s">
        <v>427</v>
      </c>
      <c r="Q664" s="42">
        <v>207</v>
      </c>
      <c r="R664" s="42">
        <v>1990</v>
      </c>
      <c r="S664" s="42">
        <v>0.10500000000000001</v>
      </c>
      <c r="T664" s="10">
        <f>IFERROR(ROUND((Q664/R664),2),"NA")</f>
        <v>0.1</v>
      </c>
      <c r="U664">
        <f t="shared" si="10"/>
        <v>21.735000000000003</v>
      </c>
    </row>
    <row r="665" spans="7:21" x14ac:dyDescent="0.2">
      <c r="G665" s="9" t="s">
        <v>2740</v>
      </c>
      <c r="H665">
        <v>0</v>
      </c>
      <c r="M665" s="1" t="s">
        <v>2740</v>
      </c>
      <c r="N665" s="1">
        <v>18</v>
      </c>
      <c r="P665" s="1" t="s">
        <v>2740</v>
      </c>
      <c r="Q665" s="42">
        <v>0</v>
      </c>
      <c r="R665" s="42">
        <v>18</v>
      </c>
      <c r="S665" s="42">
        <v>0.38</v>
      </c>
      <c r="T665" s="10">
        <f>IFERROR(ROUND((Q665/R665),2),"NA")</f>
        <v>0</v>
      </c>
      <c r="U665">
        <f t="shared" si="10"/>
        <v>0</v>
      </c>
    </row>
    <row r="666" spans="7:21" x14ac:dyDescent="0.2">
      <c r="G666" s="9" t="s">
        <v>366</v>
      </c>
      <c r="H666">
        <v>88</v>
      </c>
      <c r="M666" s="1" t="s">
        <v>366</v>
      </c>
      <c r="N666" s="1">
        <v>733</v>
      </c>
      <c r="P666" s="1" t="s">
        <v>366</v>
      </c>
      <c r="Q666" s="42">
        <v>88</v>
      </c>
      <c r="R666" s="42">
        <v>733</v>
      </c>
      <c r="S666" s="42">
        <v>0</v>
      </c>
      <c r="T666" s="10">
        <f>IFERROR(ROUND((Q666/R666),2),"NA")</f>
        <v>0.12</v>
      </c>
      <c r="U666">
        <f t="shared" si="10"/>
        <v>0</v>
      </c>
    </row>
    <row r="667" spans="7:21" x14ac:dyDescent="0.2">
      <c r="G667" s="9" t="s">
        <v>2710</v>
      </c>
      <c r="H667">
        <v>57</v>
      </c>
      <c r="M667" s="1" t="s">
        <v>2710</v>
      </c>
      <c r="N667" s="1">
        <v>88</v>
      </c>
      <c r="P667" s="1" t="s">
        <v>2710</v>
      </c>
      <c r="Q667" s="42">
        <v>57</v>
      </c>
      <c r="R667" s="42">
        <v>88</v>
      </c>
      <c r="S667" s="42">
        <v>0.36</v>
      </c>
      <c r="T667" s="10">
        <f>IFERROR(ROUND((Q667/R667),2),"NA")</f>
        <v>0.65</v>
      </c>
      <c r="U667">
        <f t="shared" si="10"/>
        <v>20.52</v>
      </c>
    </row>
    <row r="668" spans="7:21" x14ac:dyDescent="0.2">
      <c r="G668" s="9" t="s">
        <v>2628</v>
      </c>
      <c r="H668">
        <v>0</v>
      </c>
      <c r="M668" s="1" t="s">
        <v>2628</v>
      </c>
      <c r="N668" s="1">
        <v>252</v>
      </c>
      <c r="P668" s="1" t="s">
        <v>2628</v>
      </c>
      <c r="Q668" s="42">
        <v>0</v>
      </c>
      <c r="R668" s="42">
        <v>252</v>
      </c>
      <c r="S668" s="42">
        <v>0</v>
      </c>
      <c r="T668" s="10">
        <f>IFERROR(ROUND((Q668/R668),2),"NA")</f>
        <v>0</v>
      </c>
      <c r="U668">
        <f t="shared" si="10"/>
        <v>0</v>
      </c>
    </row>
    <row r="669" spans="7:21" x14ac:dyDescent="0.2">
      <c r="G669" s="9" t="s">
        <v>728</v>
      </c>
      <c r="H669">
        <v>134</v>
      </c>
      <c r="M669" s="1" t="s">
        <v>728</v>
      </c>
      <c r="N669" s="1">
        <v>720</v>
      </c>
      <c r="P669" s="1" t="s">
        <v>728</v>
      </c>
      <c r="Q669" s="42">
        <v>134</v>
      </c>
      <c r="R669" s="42">
        <v>720</v>
      </c>
      <c r="S669" s="42">
        <v>0.1</v>
      </c>
      <c r="T669" s="10">
        <f>IFERROR(ROUND((Q669/R669),2),"NA")</f>
        <v>0.19</v>
      </c>
      <c r="U669">
        <f t="shared" si="10"/>
        <v>13.4</v>
      </c>
    </row>
    <row r="670" spans="7:21" x14ac:dyDescent="0.2">
      <c r="G670" s="9" t="s">
        <v>2446</v>
      </c>
      <c r="H670">
        <v>62</v>
      </c>
      <c r="M670" s="1" t="s">
        <v>2446</v>
      </c>
      <c r="N670" s="1">
        <v>0</v>
      </c>
      <c r="P670" s="1" t="s">
        <v>2446</v>
      </c>
      <c r="Q670" s="42">
        <v>62</v>
      </c>
      <c r="R670" s="42">
        <v>0</v>
      </c>
      <c r="S670" s="42">
        <v>0</v>
      </c>
      <c r="T670" s="10" t="str">
        <f>IFERROR(ROUND((Q670/R670),2),"NA")</f>
        <v>NA</v>
      </c>
      <c r="U670">
        <f t="shared" si="10"/>
        <v>0</v>
      </c>
    </row>
    <row r="671" spans="7:21" x14ac:dyDescent="0.2">
      <c r="G671" s="9" t="s">
        <v>2503</v>
      </c>
      <c r="H671">
        <v>0</v>
      </c>
      <c r="M671" s="1" t="s">
        <v>2503</v>
      </c>
      <c r="N671" s="1">
        <v>210</v>
      </c>
      <c r="P671" s="1" t="s">
        <v>2503</v>
      </c>
      <c r="Q671" s="42">
        <v>0</v>
      </c>
      <c r="R671" s="42">
        <v>210</v>
      </c>
      <c r="S671" s="42">
        <v>0</v>
      </c>
      <c r="T671" s="10">
        <f>IFERROR(ROUND((Q671/R671),2),"NA")</f>
        <v>0</v>
      </c>
      <c r="U671">
        <f t="shared" si="10"/>
        <v>0</v>
      </c>
    </row>
    <row r="672" spans="7:21" x14ac:dyDescent="0.2">
      <c r="G672" s="9" t="s">
        <v>1911</v>
      </c>
      <c r="H672">
        <v>190</v>
      </c>
      <c r="M672" s="1" t="s">
        <v>1911</v>
      </c>
      <c r="N672" s="1">
        <v>280</v>
      </c>
      <c r="P672" s="1" t="s">
        <v>1911</v>
      </c>
      <c r="Q672" s="42">
        <v>190</v>
      </c>
      <c r="R672" s="42">
        <v>280</v>
      </c>
      <c r="S672" s="42">
        <v>0.12</v>
      </c>
      <c r="T672" s="10">
        <f>IFERROR(ROUND((Q672/R672),2),"NA")</f>
        <v>0.68</v>
      </c>
      <c r="U672">
        <f t="shared" si="10"/>
        <v>22.8</v>
      </c>
    </row>
    <row r="673" spans="7:21" x14ac:dyDescent="0.2">
      <c r="G673" s="9" t="s">
        <v>2552</v>
      </c>
      <c r="H673">
        <v>8</v>
      </c>
      <c r="M673" s="1" t="s">
        <v>2552</v>
      </c>
      <c r="N673" s="1">
        <v>15.5</v>
      </c>
      <c r="P673" s="1" t="s">
        <v>2552</v>
      </c>
      <c r="Q673" s="42">
        <v>8</v>
      </c>
      <c r="R673" s="42">
        <v>15.5</v>
      </c>
      <c r="S673" s="42">
        <v>0.8</v>
      </c>
      <c r="T673" s="10">
        <f>IFERROR(ROUND((Q673/R673),2),"NA")</f>
        <v>0.52</v>
      </c>
      <c r="U673">
        <f t="shared" si="10"/>
        <v>6.4</v>
      </c>
    </row>
    <row r="674" spans="7:21" x14ac:dyDescent="0.2">
      <c r="G674" s="9" t="s">
        <v>322</v>
      </c>
      <c r="H674">
        <v>1791</v>
      </c>
      <c r="M674" s="1" t="s">
        <v>322</v>
      </c>
      <c r="N674" s="1">
        <v>1608</v>
      </c>
      <c r="P674" s="1" t="s">
        <v>322</v>
      </c>
      <c r="Q674" s="42">
        <v>1791</v>
      </c>
      <c r="R674" s="42">
        <v>1608</v>
      </c>
      <c r="S674" s="42">
        <v>8.3333333333333329E-2</v>
      </c>
      <c r="T674" s="10">
        <f>IFERROR(ROUND((Q674/R674),2),"NA")</f>
        <v>1.1100000000000001</v>
      </c>
      <c r="U674">
        <f t="shared" si="10"/>
        <v>149.25</v>
      </c>
    </row>
    <row r="675" spans="7:21" x14ac:dyDescent="0.2">
      <c r="G675" s="9" t="s">
        <v>1740</v>
      </c>
      <c r="H675">
        <v>1075</v>
      </c>
      <c r="M675" s="1" t="s">
        <v>1740</v>
      </c>
      <c r="N675" s="1">
        <v>2037</v>
      </c>
      <c r="P675" s="1" t="s">
        <v>1740</v>
      </c>
      <c r="Q675" s="42">
        <v>1075</v>
      </c>
      <c r="R675" s="42">
        <v>2037</v>
      </c>
      <c r="S675" s="42">
        <v>0.22666666666666668</v>
      </c>
      <c r="T675" s="10">
        <f>IFERROR(ROUND((Q675/R675),2),"NA")</f>
        <v>0.53</v>
      </c>
      <c r="U675">
        <f t="shared" si="10"/>
        <v>243.66666666666669</v>
      </c>
    </row>
    <row r="676" spans="7:21" x14ac:dyDescent="0.2">
      <c r="G676" s="9" t="s">
        <v>1213</v>
      </c>
      <c r="H676">
        <v>239</v>
      </c>
      <c r="M676" s="1" t="s">
        <v>1213</v>
      </c>
      <c r="N676" s="1">
        <v>260</v>
      </c>
      <c r="P676" s="1" t="s">
        <v>1213</v>
      </c>
      <c r="Q676" s="42">
        <v>239</v>
      </c>
      <c r="R676" s="42">
        <v>260</v>
      </c>
      <c r="S676" s="42">
        <v>0.32</v>
      </c>
      <c r="T676" s="10">
        <f>IFERROR(ROUND((Q676/R676),2),"NA")</f>
        <v>0.92</v>
      </c>
      <c r="U676">
        <f t="shared" si="10"/>
        <v>76.48</v>
      </c>
    </row>
    <row r="677" spans="7:21" x14ac:dyDescent="0.2">
      <c r="G677" s="9" t="s">
        <v>1912</v>
      </c>
      <c r="H677">
        <v>0</v>
      </c>
      <c r="M677" s="1" t="s">
        <v>1912</v>
      </c>
      <c r="N677" s="1">
        <v>223</v>
      </c>
      <c r="P677" s="1" t="s">
        <v>1912</v>
      </c>
      <c r="Q677" s="42">
        <v>0</v>
      </c>
      <c r="R677" s="42">
        <v>223</v>
      </c>
      <c r="S677" s="42">
        <v>0.25</v>
      </c>
      <c r="T677" s="10">
        <f>IFERROR(ROUND((Q677/R677),2),"NA")</f>
        <v>0</v>
      </c>
      <c r="U677">
        <f t="shared" si="10"/>
        <v>0</v>
      </c>
    </row>
    <row r="678" spans="7:21" x14ac:dyDescent="0.2">
      <c r="G678" s="9" t="s">
        <v>2518</v>
      </c>
      <c r="H678">
        <v>0</v>
      </c>
      <c r="M678" s="1" t="s">
        <v>2518</v>
      </c>
      <c r="N678" s="1">
        <v>232</v>
      </c>
      <c r="P678" s="1" t="s">
        <v>2518</v>
      </c>
      <c r="Q678" s="42">
        <v>0</v>
      </c>
      <c r="R678" s="42">
        <v>232</v>
      </c>
      <c r="S678" s="42">
        <v>0.4</v>
      </c>
      <c r="T678" s="10">
        <f>IFERROR(ROUND((Q678/R678),2),"NA")</f>
        <v>0</v>
      </c>
      <c r="U678">
        <f t="shared" si="10"/>
        <v>0</v>
      </c>
    </row>
    <row r="679" spans="7:21" x14ac:dyDescent="0.2">
      <c r="G679" s="9" t="s">
        <v>540</v>
      </c>
      <c r="H679">
        <v>90</v>
      </c>
      <c r="M679" s="1" t="s">
        <v>540</v>
      </c>
      <c r="N679" s="1">
        <v>1378</v>
      </c>
      <c r="P679" s="1" t="s">
        <v>540</v>
      </c>
      <c r="Q679" s="42">
        <v>90</v>
      </c>
      <c r="R679" s="42">
        <v>1378</v>
      </c>
      <c r="S679" s="42">
        <v>8.5000000000000006E-2</v>
      </c>
      <c r="T679" s="10">
        <f>IFERROR(ROUND((Q679/R679),2),"NA")</f>
        <v>7.0000000000000007E-2</v>
      </c>
      <c r="U679">
        <f t="shared" si="10"/>
        <v>7.65</v>
      </c>
    </row>
    <row r="680" spans="7:21" x14ac:dyDescent="0.2">
      <c r="G680" s="9" t="s">
        <v>2137</v>
      </c>
      <c r="H680">
        <v>12</v>
      </c>
      <c r="M680" s="1" t="s">
        <v>2137</v>
      </c>
      <c r="N680" s="1">
        <v>102</v>
      </c>
      <c r="P680" s="1" t="s">
        <v>2137</v>
      </c>
      <c r="Q680" s="42">
        <v>12</v>
      </c>
      <c r="R680" s="42">
        <v>102</v>
      </c>
      <c r="S680" s="42">
        <v>0</v>
      </c>
      <c r="T680" s="10">
        <f>IFERROR(ROUND((Q680/R680),2),"NA")</f>
        <v>0.12</v>
      </c>
      <c r="U680">
        <f t="shared" si="10"/>
        <v>0</v>
      </c>
    </row>
    <row r="681" spans="7:21" x14ac:dyDescent="0.2">
      <c r="G681" s="9" t="s">
        <v>1771</v>
      </c>
      <c r="H681">
        <v>1250</v>
      </c>
      <c r="M681" s="1" t="s">
        <v>1771</v>
      </c>
      <c r="N681" s="1">
        <v>2500</v>
      </c>
      <c r="P681" s="1" t="s">
        <v>1771</v>
      </c>
      <c r="Q681" s="42">
        <v>1250</v>
      </c>
      <c r="R681" s="42">
        <v>2500</v>
      </c>
      <c r="S681" s="42">
        <v>0.06</v>
      </c>
      <c r="T681" s="10">
        <f>IFERROR(ROUND((Q681/R681),2),"NA")</f>
        <v>0.5</v>
      </c>
      <c r="U681">
        <f t="shared" si="10"/>
        <v>75</v>
      </c>
    </row>
    <row r="682" spans="7:21" x14ac:dyDescent="0.2">
      <c r="G682" s="9" t="s">
        <v>1011</v>
      </c>
      <c r="H682">
        <v>0</v>
      </c>
      <c r="M682" s="1" t="s">
        <v>1011</v>
      </c>
      <c r="N682" s="1">
        <v>4</v>
      </c>
      <c r="P682" s="1" t="s">
        <v>1011</v>
      </c>
      <c r="Q682" s="42">
        <v>0</v>
      </c>
      <c r="R682" s="42">
        <v>4</v>
      </c>
      <c r="S682" s="42">
        <v>1</v>
      </c>
      <c r="T682" s="10">
        <f>IFERROR(ROUND((Q682/R682),2),"NA")</f>
        <v>0</v>
      </c>
      <c r="U682">
        <f t="shared" si="10"/>
        <v>0</v>
      </c>
    </row>
    <row r="683" spans="7:21" x14ac:dyDescent="0.2">
      <c r="G683" s="9" t="s">
        <v>2627</v>
      </c>
      <c r="H683">
        <v>10</v>
      </c>
      <c r="M683" s="1" t="s">
        <v>2627</v>
      </c>
      <c r="N683" s="1">
        <v>0</v>
      </c>
      <c r="P683" s="1" t="s">
        <v>2627</v>
      </c>
      <c r="Q683" s="42">
        <v>10</v>
      </c>
      <c r="R683" s="42">
        <v>0</v>
      </c>
      <c r="S683" s="42">
        <v>1</v>
      </c>
      <c r="T683" s="10" t="str">
        <f>IFERROR(ROUND((Q683/R683),2),"NA")</f>
        <v>NA</v>
      </c>
      <c r="U683">
        <f t="shared" si="10"/>
        <v>10</v>
      </c>
    </row>
    <row r="684" spans="7:21" x14ac:dyDescent="0.2">
      <c r="G684" s="9" t="s">
        <v>1947</v>
      </c>
      <c r="H684">
        <v>0</v>
      </c>
      <c r="M684" s="1" t="s">
        <v>1947</v>
      </c>
      <c r="N684" s="1">
        <v>49</v>
      </c>
      <c r="P684" s="1" t="s">
        <v>1947</v>
      </c>
      <c r="Q684" s="42">
        <v>0</v>
      </c>
      <c r="R684" s="42">
        <v>49</v>
      </c>
      <c r="S684" s="42">
        <v>0.3</v>
      </c>
      <c r="T684" s="10">
        <f>IFERROR(ROUND((Q684/R684),2),"NA")</f>
        <v>0</v>
      </c>
      <c r="U684">
        <f t="shared" si="10"/>
        <v>0</v>
      </c>
    </row>
    <row r="685" spans="7:21" x14ac:dyDescent="0.2">
      <c r="G685" s="9" t="s">
        <v>21</v>
      </c>
      <c r="H685">
        <v>23</v>
      </c>
      <c r="M685" s="1" t="s">
        <v>21</v>
      </c>
      <c r="N685" s="1">
        <v>22</v>
      </c>
      <c r="P685" s="1" t="s">
        <v>21</v>
      </c>
      <c r="Q685" s="42">
        <v>23</v>
      </c>
      <c r="R685" s="42">
        <v>22</v>
      </c>
      <c r="S685" s="42">
        <v>0.3</v>
      </c>
      <c r="T685" s="10">
        <f>IFERROR(ROUND((Q685/R685),2),"NA")</f>
        <v>1.05</v>
      </c>
      <c r="U685">
        <f t="shared" si="10"/>
        <v>6.8999999999999995</v>
      </c>
    </row>
    <row r="686" spans="7:21" x14ac:dyDescent="0.2">
      <c r="G686" s="9" t="s">
        <v>821</v>
      </c>
      <c r="H686">
        <v>100</v>
      </c>
      <c r="M686" s="1" t="s">
        <v>821</v>
      </c>
      <c r="N686" s="1">
        <v>82</v>
      </c>
      <c r="P686" s="1" t="s">
        <v>821</v>
      </c>
      <c r="Q686" s="42">
        <v>100</v>
      </c>
      <c r="R686" s="42">
        <v>82</v>
      </c>
      <c r="S686" s="42">
        <v>0.1</v>
      </c>
      <c r="T686" s="10">
        <f>IFERROR(ROUND((Q686/R686),2),"NA")</f>
        <v>1.22</v>
      </c>
      <c r="U686">
        <f t="shared" si="10"/>
        <v>10</v>
      </c>
    </row>
    <row r="687" spans="7:21" x14ac:dyDescent="0.2">
      <c r="G687" s="9" t="s">
        <v>1441</v>
      </c>
      <c r="H687">
        <v>140</v>
      </c>
      <c r="M687" s="1" t="s">
        <v>1441</v>
      </c>
      <c r="N687" s="1">
        <v>719</v>
      </c>
      <c r="P687" s="1" t="s">
        <v>1441</v>
      </c>
      <c r="Q687" s="42">
        <v>140</v>
      </c>
      <c r="R687" s="42">
        <v>719</v>
      </c>
      <c r="S687" s="42">
        <v>0.04</v>
      </c>
      <c r="T687" s="10">
        <f>IFERROR(ROUND((Q687/R687),2),"NA")</f>
        <v>0.19</v>
      </c>
      <c r="U687">
        <f t="shared" si="10"/>
        <v>5.6000000000000005</v>
      </c>
    </row>
    <row r="688" spans="7:21" x14ac:dyDescent="0.2">
      <c r="G688" s="9" t="s">
        <v>1029</v>
      </c>
      <c r="H688">
        <v>50</v>
      </c>
      <c r="M688" s="1" t="s">
        <v>1029</v>
      </c>
      <c r="N688" s="1">
        <v>364</v>
      </c>
      <c r="P688" s="1" t="s">
        <v>1029</v>
      </c>
      <c r="Q688" s="42">
        <v>50</v>
      </c>
      <c r="R688" s="42">
        <v>364</v>
      </c>
      <c r="S688" s="42">
        <v>0.09</v>
      </c>
      <c r="T688" s="10">
        <f>IFERROR(ROUND((Q688/R688),2),"NA")</f>
        <v>0.14000000000000001</v>
      </c>
      <c r="U688">
        <f t="shared" si="10"/>
        <v>4.5</v>
      </c>
    </row>
    <row r="689" spans="7:21" x14ac:dyDescent="0.2">
      <c r="G689" s="9" t="s">
        <v>2060</v>
      </c>
      <c r="H689">
        <v>0</v>
      </c>
      <c r="M689" s="1" t="s">
        <v>2060</v>
      </c>
      <c r="N689" s="1">
        <v>175</v>
      </c>
      <c r="P689" s="1" t="s">
        <v>2060</v>
      </c>
      <c r="Q689" s="42">
        <v>0</v>
      </c>
      <c r="R689" s="42">
        <v>175</v>
      </c>
      <c r="S689" s="42">
        <v>0</v>
      </c>
      <c r="T689" s="10">
        <f>IFERROR(ROUND((Q689/R689),2),"NA")</f>
        <v>0</v>
      </c>
      <c r="U689">
        <f t="shared" si="10"/>
        <v>0</v>
      </c>
    </row>
    <row r="690" spans="7:21" x14ac:dyDescent="0.2">
      <c r="G690" s="9" t="s">
        <v>735</v>
      </c>
      <c r="H690">
        <v>159</v>
      </c>
      <c r="M690" s="1" t="s">
        <v>735</v>
      </c>
      <c r="N690" s="1">
        <v>214</v>
      </c>
      <c r="P690" s="1" t="s">
        <v>735</v>
      </c>
      <c r="Q690" s="42">
        <v>159</v>
      </c>
      <c r="R690" s="42">
        <v>214</v>
      </c>
      <c r="S690" s="42">
        <v>0.25</v>
      </c>
      <c r="T690" s="10">
        <f>IFERROR(ROUND((Q690/R690),2),"NA")</f>
        <v>0.74</v>
      </c>
      <c r="U690">
        <f t="shared" si="10"/>
        <v>39.75</v>
      </c>
    </row>
    <row r="691" spans="7:21" x14ac:dyDescent="0.2">
      <c r="G691" s="9" t="s">
        <v>2933</v>
      </c>
      <c r="H691">
        <v>20</v>
      </c>
      <c r="M691" s="1" t="s">
        <v>2933</v>
      </c>
      <c r="N691" s="1">
        <v>0</v>
      </c>
      <c r="P691" s="1" t="s">
        <v>2933</v>
      </c>
      <c r="Q691" s="42">
        <v>20</v>
      </c>
      <c r="R691" s="42">
        <v>0</v>
      </c>
      <c r="S691" s="42">
        <v>0</v>
      </c>
      <c r="T691" s="10" t="str">
        <f>IFERROR(ROUND((Q691/R691),2),"NA")</f>
        <v>NA</v>
      </c>
      <c r="U691">
        <f t="shared" si="10"/>
        <v>0</v>
      </c>
    </row>
    <row r="692" spans="7:21" x14ac:dyDescent="0.2">
      <c r="G692" s="9" t="s">
        <v>1176</v>
      </c>
      <c r="H692">
        <v>75</v>
      </c>
      <c r="M692" s="1" t="s">
        <v>1176</v>
      </c>
      <c r="N692" s="1">
        <v>85</v>
      </c>
      <c r="P692" s="1" t="s">
        <v>1176</v>
      </c>
      <c r="Q692" s="42">
        <v>75</v>
      </c>
      <c r="R692" s="42">
        <v>85</v>
      </c>
      <c r="S692" s="42">
        <v>0.2</v>
      </c>
      <c r="T692" s="10">
        <f>IFERROR(ROUND((Q692/R692),2),"NA")</f>
        <v>0.88</v>
      </c>
      <c r="U692">
        <f t="shared" si="10"/>
        <v>15</v>
      </c>
    </row>
    <row r="693" spans="7:21" x14ac:dyDescent="0.2">
      <c r="G693" s="9" t="s">
        <v>1494</v>
      </c>
      <c r="H693">
        <v>0</v>
      </c>
      <c r="M693" s="1" t="s">
        <v>1494</v>
      </c>
      <c r="N693" s="1">
        <v>550</v>
      </c>
      <c r="P693" s="1" t="s">
        <v>1494</v>
      </c>
      <c r="Q693" s="42">
        <v>0</v>
      </c>
      <c r="R693" s="42">
        <v>550</v>
      </c>
      <c r="S693" s="42">
        <v>0.2</v>
      </c>
      <c r="T693" s="10">
        <f>IFERROR(ROUND((Q693/R693),2),"NA")</f>
        <v>0</v>
      </c>
      <c r="U693">
        <f t="shared" si="10"/>
        <v>0</v>
      </c>
    </row>
    <row r="694" spans="7:21" x14ac:dyDescent="0.2">
      <c r="G694" s="9" t="s">
        <v>325</v>
      </c>
      <c r="H694">
        <v>268</v>
      </c>
      <c r="M694" s="1" t="s">
        <v>325</v>
      </c>
      <c r="N694" s="1">
        <v>238</v>
      </c>
      <c r="P694" s="1" t="s">
        <v>325</v>
      </c>
      <c r="Q694" s="42">
        <v>268</v>
      </c>
      <c r="R694" s="42">
        <v>238</v>
      </c>
      <c r="S694" s="42">
        <v>1</v>
      </c>
      <c r="T694" s="10">
        <f>IFERROR(ROUND((Q694/R694),2),"NA")</f>
        <v>1.1299999999999999</v>
      </c>
      <c r="U694">
        <f t="shared" si="10"/>
        <v>268</v>
      </c>
    </row>
    <row r="695" spans="7:21" x14ac:dyDescent="0.2">
      <c r="G695" s="9" t="s">
        <v>1083</v>
      </c>
      <c r="H695">
        <v>0</v>
      </c>
      <c r="M695" s="1" t="s">
        <v>1083</v>
      </c>
      <c r="N695" s="1">
        <v>7</v>
      </c>
      <c r="P695" s="1" t="s">
        <v>1083</v>
      </c>
      <c r="Q695" s="42">
        <v>0</v>
      </c>
      <c r="R695" s="42">
        <v>7</v>
      </c>
      <c r="S695" s="42">
        <v>0</v>
      </c>
      <c r="T695" s="10">
        <f>IFERROR(ROUND((Q695/R695),2),"NA")</f>
        <v>0</v>
      </c>
      <c r="U695">
        <f t="shared" si="10"/>
        <v>0</v>
      </c>
    </row>
    <row r="696" spans="7:21" x14ac:dyDescent="0.2">
      <c r="G696" s="9" t="s">
        <v>1941</v>
      </c>
      <c r="H696">
        <v>24</v>
      </c>
      <c r="M696" s="1" t="s">
        <v>1941</v>
      </c>
      <c r="N696" s="1">
        <v>56</v>
      </c>
      <c r="P696" s="1" t="s">
        <v>1941</v>
      </c>
      <c r="Q696" s="42">
        <v>24</v>
      </c>
      <c r="R696" s="42">
        <v>56</v>
      </c>
      <c r="S696" s="42">
        <v>0</v>
      </c>
      <c r="T696" s="10">
        <f>IFERROR(ROUND((Q696/R696),2),"NA")</f>
        <v>0.43</v>
      </c>
      <c r="U696">
        <f t="shared" si="10"/>
        <v>0</v>
      </c>
    </row>
    <row r="697" spans="7:21" x14ac:dyDescent="0.2">
      <c r="G697" s="9" t="s">
        <v>1135</v>
      </c>
      <c r="H697">
        <v>815</v>
      </c>
      <c r="M697" s="1" t="s">
        <v>1135</v>
      </c>
      <c r="N697" s="1">
        <v>3400</v>
      </c>
      <c r="P697" s="1" t="s">
        <v>1135</v>
      </c>
      <c r="Q697" s="42">
        <v>815</v>
      </c>
      <c r="R697" s="42">
        <v>3400</v>
      </c>
      <c r="S697" s="42">
        <v>0.155</v>
      </c>
      <c r="T697" s="10">
        <f>IFERROR(ROUND((Q697/R697),2),"NA")</f>
        <v>0.24</v>
      </c>
      <c r="U697">
        <f t="shared" si="10"/>
        <v>126.325</v>
      </c>
    </row>
    <row r="698" spans="7:21" x14ac:dyDescent="0.2">
      <c r="G698" s="9" t="s">
        <v>1378</v>
      </c>
      <c r="H698">
        <v>60</v>
      </c>
      <c r="M698" s="1" t="s">
        <v>1378</v>
      </c>
      <c r="N698" s="1">
        <v>2</v>
      </c>
      <c r="P698" s="1" t="s">
        <v>1378</v>
      </c>
      <c r="Q698" s="42">
        <v>60</v>
      </c>
      <c r="R698" s="42">
        <v>2</v>
      </c>
      <c r="S698" s="42">
        <v>1</v>
      </c>
      <c r="T698" s="10">
        <f>IFERROR(ROUND((Q698/R698),2),"NA")</f>
        <v>30</v>
      </c>
      <c r="U698">
        <f t="shared" si="10"/>
        <v>60</v>
      </c>
    </row>
    <row r="699" spans="7:21" x14ac:dyDescent="0.2">
      <c r="G699" s="9" t="s">
        <v>2819</v>
      </c>
      <c r="H699">
        <v>12</v>
      </c>
      <c r="M699" s="1" t="s">
        <v>2819</v>
      </c>
      <c r="N699" s="1">
        <v>4</v>
      </c>
      <c r="P699" s="1" t="s">
        <v>2819</v>
      </c>
      <c r="Q699" s="42">
        <v>12</v>
      </c>
      <c r="R699" s="42">
        <v>4</v>
      </c>
      <c r="S699" s="42">
        <v>0</v>
      </c>
      <c r="T699" s="10">
        <f>IFERROR(ROUND((Q699/R699),2),"NA")</f>
        <v>3</v>
      </c>
      <c r="U699">
        <f t="shared" si="10"/>
        <v>0</v>
      </c>
    </row>
    <row r="700" spans="7:21" x14ac:dyDescent="0.2">
      <c r="G700" s="9" t="s">
        <v>914</v>
      </c>
      <c r="H700">
        <v>0</v>
      </c>
      <c r="M700" s="1" t="s">
        <v>914</v>
      </c>
      <c r="N700" s="1">
        <v>357</v>
      </c>
      <c r="P700" s="1" t="s">
        <v>914</v>
      </c>
      <c r="Q700" s="42">
        <v>0</v>
      </c>
      <c r="R700" s="42">
        <v>357</v>
      </c>
      <c r="S700" s="42">
        <v>0.09</v>
      </c>
      <c r="T700" s="10">
        <f>IFERROR(ROUND((Q700/R700),2),"NA")</f>
        <v>0</v>
      </c>
      <c r="U700">
        <f t="shared" si="10"/>
        <v>0</v>
      </c>
    </row>
    <row r="701" spans="7:21" x14ac:dyDescent="0.2">
      <c r="G701" s="9" t="s">
        <v>2754</v>
      </c>
      <c r="H701">
        <v>0</v>
      </c>
      <c r="M701" s="1" t="s">
        <v>2754</v>
      </c>
      <c r="N701" s="1">
        <v>100</v>
      </c>
      <c r="P701" s="1" t="s">
        <v>2754</v>
      </c>
      <c r="Q701" s="42">
        <v>0</v>
      </c>
      <c r="R701" s="42">
        <v>100</v>
      </c>
      <c r="S701" s="42">
        <v>0.2</v>
      </c>
      <c r="T701" s="10">
        <f>IFERROR(ROUND((Q701/R701),2),"NA")</f>
        <v>0</v>
      </c>
      <c r="U701">
        <f t="shared" si="10"/>
        <v>0</v>
      </c>
    </row>
    <row r="702" spans="7:21" x14ac:dyDescent="0.2">
      <c r="G702" s="9" t="s">
        <v>920</v>
      </c>
      <c r="H702">
        <v>79</v>
      </c>
      <c r="M702" s="1" t="s">
        <v>920</v>
      </c>
      <c r="N702" s="1">
        <v>51</v>
      </c>
      <c r="P702" s="1" t="s">
        <v>920</v>
      </c>
      <c r="Q702" s="42">
        <v>79</v>
      </c>
      <c r="R702" s="42">
        <v>51</v>
      </c>
      <c r="S702" s="42">
        <v>0.3</v>
      </c>
      <c r="T702" s="10">
        <f>IFERROR(ROUND((Q702/R702),2),"NA")</f>
        <v>1.55</v>
      </c>
      <c r="U702">
        <f t="shared" si="10"/>
        <v>23.7</v>
      </c>
    </row>
    <row r="703" spans="7:21" x14ac:dyDescent="0.2">
      <c r="G703" s="9" t="s">
        <v>697</v>
      </c>
      <c r="H703">
        <v>450</v>
      </c>
      <c r="M703" s="1" t="s">
        <v>697</v>
      </c>
      <c r="N703" s="1">
        <v>1604</v>
      </c>
      <c r="P703" s="1" t="s">
        <v>697</v>
      </c>
      <c r="Q703" s="42">
        <v>450</v>
      </c>
      <c r="R703" s="42">
        <v>1604</v>
      </c>
      <c r="S703" s="42">
        <v>0.21</v>
      </c>
      <c r="T703" s="10">
        <f>IFERROR(ROUND((Q703/R703),2),"NA")</f>
        <v>0.28000000000000003</v>
      </c>
      <c r="U703">
        <f t="shared" si="10"/>
        <v>94.5</v>
      </c>
    </row>
    <row r="704" spans="7:21" x14ac:dyDescent="0.2">
      <c r="G704" s="9" t="s">
        <v>2387</v>
      </c>
      <c r="H704">
        <v>50</v>
      </c>
      <c r="M704" s="1" t="s">
        <v>2387</v>
      </c>
      <c r="N704" s="1">
        <v>603</v>
      </c>
      <c r="P704" s="1" t="s">
        <v>2387</v>
      </c>
      <c r="Q704" s="42">
        <v>50</v>
      </c>
      <c r="R704" s="42">
        <v>603</v>
      </c>
      <c r="S704" s="42">
        <v>7.0000000000000007E-2</v>
      </c>
      <c r="T704" s="10">
        <f>IFERROR(ROUND((Q704/R704),2),"NA")</f>
        <v>0.08</v>
      </c>
      <c r="U704">
        <f t="shared" si="10"/>
        <v>3.5000000000000004</v>
      </c>
    </row>
    <row r="705" spans="7:21" x14ac:dyDescent="0.2">
      <c r="G705" s="9" t="s">
        <v>1324</v>
      </c>
      <c r="H705">
        <v>0</v>
      </c>
      <c r="M705" s="1" t="s">
        <v>1324</v>
      </c>
      <c r="N705" s="1">
        <v>0</v>
      </c>
      <c r="P705" s="1" t="s">
        <v>1324</v>
      </c>
      <c r="Q705" s="42">
        <v>0</v>
      </c>
      <c r="R705" s="42">
        <v>0</v>
      </c>
      <c r="S705" s="42">
        <v>1</v>
      </c>
      <c r="T705" s="10" t="str">
        <f>IFERROR(ROUND((Q705/R705),2),"NA")</f>
        <v>NA</v>
      </c>
      <c r="U705">
        <f t="shared" si="10"/>
        <v>0</v>
      </c>
    </row>
    <row r="706" spans="7:21" x14ac:dyDescent="0.2">
      <c r="G706" s="9" t="s">
        <v>534</v>
      </c>
      <c r="H706">
        <v>0</v>
      </c>
      <c r="M706" s="1" t="s">
        <v>534</v>
      </c>
      <c r="N706" s="1">
        <v>6</v>
      </c>
      <c r="P706" s="1" t="s">
        <v>534</v>
      </c>
      <c r="Q706" s="42">
        <v>0</v>
      </c>
      <c r="R706" s="42">
        <v>6</v>
      </c>
      <c r="S706" s="42">
        <v>1</v>
      </c>
      <c r="T706" s="10">
        <f>IFERROR(ROUND((Q706/R706),2),"NA")</f>
        <v>0</v>
      </c>
      <c r="U706">
        <f t="shared" si="10"/>
        <v>0</v>
      </c>
    </row>
    <row r="707" spans="7:21" x14ac:dyDescent="0.2">
      <c r="G707" s="9" t="s">
        <v>2834</v>
      </c>
      <c r="H707">
        <v>35</v>
      </c>
      <c r="M707" s="1" t="s">
        <v>2834</v>
      </c>
      <c r="N707" s="1">
        <v>114</v>
      </c>
      <c r="P707" s="1" t="s">
        <v>2834</v>
      </c>
      <c r="Q707" s="42">
        <v>35</v>
      </c>
      <c r="R707" s="42">
        <v>114</v>
      </c>
      <c r="S707" s="42">
        <v>0.19</v>
      </c>
      <c r="T707" s="10">
        <f>IFERROR(ROUND((Q707/R707),2),"NA")</f>
        <v>0.31</v>
      </c>
      <c r="U707">
        <f t="shared" si="10"/>
        <v>6.65</v>
      </c>
    </row>
    <row r="708" spans="7:21" x14ac:dyDescent="0.2">
      <c r="G708" s="9" t="s">
        <v>2849</v>
      </c>
      <c r="H708">
        <v>50</v>
      </c>
      <c r="M708" s="1" t="s">
        <v>2849</v>
      </c>
      <c r="N708" s="1">
        <v>190</v>
      </c>
      <c r="P708" s="1" t="s">
        <v>2849</v>
      </c>
      <c r="Q708" s="42">
        <v>50</v>
      </c>
      <c r="R708" s="42">
        <v>190</v>
      </c>
      <c r="S708" s="42">
        <v>0.2</v>
      </c>
      <c r="T708" s="10">
        <f>IFERROR(ROUND((Q708/R708),2),"NA")</f>
        <v>0.26</v>
      </c>
      <c r="U708">
        <f t="shared" si="10"/>
        <v>10</v>
      </c>
    </row>
    <row r="709" spans="7:21" x14ac:dyDescent="0.2">
      <c r="G709" s="9" t="s">
        <v>1115</v>
      </c>
      <c r="H709">
        <v>30</v>
      </c>
      <c r="M709" s="1" t="s">
        <v>1115</v>
      </c>
      <c r="N709" s="1">
        <v>100</v>
      </c>
      <c r="P709" s="1" t="s">
        <v>1115</v>
      </c>
      <c r="Q709" s="42">
        <v>30</v>
      </c>
      <c r="R709" s="42">
        <v>100</v>
      </c>
      <c r="S709" s="42">
        <v>0.1</v>
      </c>
      <c r="T709" s="10">
        <f>IFERROR(ROUND((Q709/R709),2),"NA")</f>
        <v>0.3</v>
      </c>
      <c r="U709">
        <f t="shared" ref="U709:U772" si="11">Q709*S709</f>
        <v>3</v>
      </c>
    </row>
    <row r="710" spans="7:21" x14ac:dyDescent="0.2">
      <c r="G710" s="9" t="s">
        <v>1536</v>
      </c>
      <c r="H710">
        <v>0</v>
      </c>
      <c r="M710" s="1" t="s">
        <v>1536</v>
      </c>
      <c r="N710" s="1">
        <v>2</v>
      </c>
      <c r="P710" s="1" t="s">
        <v>1536</v>
      </c>
      <c r="Q710" s="42">
        <v>0</v>
      </c>
      <c r="R710" s="42">
        <v>2</v>
      </c>
      <c r="S710" s="42">
        <v>1</v>
      </c>
      <c r="T710" s="10">
        <f>IFERROR(ROUND((Q710/R710),2),"NA")</f>
        <v>0</v>
      </c>
      <c r="U710">
        <f t="shared" si="11"/>
        <v>0</v>
      </c>
    </row>
    <row r="711" spans="7:21" x14ac:dyDescent="0.2">
      <c r="G711" s="9" t="s">
        <v>801</v>
      </c>
      <c r="H711">
        <v>200</v>
      </c>
      <c r="M711" s="1" t="s">
        <v>801</v>
      </c>
      <c r="N711" s="1">
        <v>0</v>
      </c>
      <c r="P711" s="1" t="s">
        <v>801</v>
      </c>
      <c r="Q711" s="42">
        <v>200</v>
      </c>
      <c r="R711" s="42">
        <v>0</v>
      </c>
      <c r="S711" s="42">
        <v>0.56999999999999995</v>
      </c>
      <c r="T711" s="10" t="str">
        <f>IFERROR(ROUND((Q711/R711),2),"NA")</f>
        <v>NA</v>
      </c>
      <c r="U711">
        <f t="shared" si="11"/>
        <v>113.99999999999999</v>
      </c>
    </row>
    <row r="712" spans="7:21" x14ac:dyDescent="0.2">
      <c r="G712" s="9" t="s">
        <v>2763</v>
      </c>
      <c r="H712">
        <v>125</v>
      </c>
      <c r="M712" s="1" t="s">
        <v>2763</v>
      </c>
      <c r="N712" s="1">
        <v>24</v>
      </c>
      <c r="P712" s="1" t="s">
        <v>2763</v>
      </c>
      <c r="Q712" s="42">
        <v>125</v>
      </c>
      <c r="R712" s="42">
        <v>24</v>
      </c>
      <c r="S712" s="42">
        <v>0.25</v>
      </c>
      <c r="T712" s="10">
        <f>IFERROR(ROUND((Q712/R712),2),"NA")</f>
        <v>5.21</v>
      </c>
      <c r="U712">
        <f t="shared" si="11"/>
        <v>31.25</v>
      </c>
    </row>
    <row r="713" spans="7:21" x14ac:dyDescent="0.2">
      <c r="G713" s="9" t="s">
        <v>700</v>
      </c>
      <c r="H713">
        <v>80</v>
      </c>
      <c r="M713" s="1" t="s">
        <v>700</v>
      </c>
      <c r="N713" s="1">
        <v>930</v>
      </c>
      <c r="P713" s="1" t="s">
        <v>700</v>
      </c>
      <c r="Q713" s="42">
        <v>80</v>
      </c>
      <c r="R713" s="42">
        <v>930</v>
      </c>
      <c r="S713" s="42">
        <v>0</v>
      </c>
      <c r="T713" s="10">
        <f>IFERROR(ROUND((Q713/R713),2),"NA")</f>
        <v>0.09</v>
      </c>
      <c r="U713">
        <f t="shared" si="11"/>
        <v>0</v>
      </c>
    </row>
    <row r="714" spans="7:21" x14ac:dyDescent="0.2">
      <c r="G714" s="9" t="s">
        <v>2556</v>
      </c>
      <c r="H714">
        <v>20</v>
      </c>
      <c r="M714" s="1" t="s">
        <v>2556</v>
      </c>
      <c r="N714" s="1">
        <v>0.97550000000000003</v>
      </c>
      <c r="P714" s="1" t="s">
        <v>2556</v>
      </c>
      <c r="Q714" s="42">
        <v>20</v>
      </c>
      <c r="R714" s="42">
        <v>0.97550000000000003</v>
      </c>
      <c r="S714" s="42">
        <v>1</v>
      </c>
      <c r="T714" s="10">
        <f>IFERROR(ROUND((Q714/R714),2),"NA")</f>
        <v>20.5</v>
      </c>
      <c r="U714">
        <f t="shared" si="11"/>
        <v>20</v>
      </c>
    </row>
    <row r="715" spans="7:21" x14ac:dyDescent="0.2">
      <c r="G715" s="9" t="s">
        <v>2411</v>
      </c>
      <c r="H715">
        <v>25</v>
      </c>
      <c r="M715" s="1" t="s">
        <v>2411</v>
      </c>
      <c r="N715" s="1">
        <v>202</v>
      </c>
      <c r="P715" s="1" t="s">
        <v>2411</v>
      </c>
      <c r="Q715" s="42">
        <v>25</v>
      </c>
      <c r="R715" s="42">
        <v>202</v>
      </c>
      <c r="S715" s="42">
        <v>0</v>
      </c>
      <c r="T715" s="10">
        <f>IFERROR(ROUND((Q715/R715),2),"NA")</f>
        <v>0.12</v>
      </c>
      <c r="U715">
        <f t="shared" si="11"/>
        <v>0</v>
      </c>
    </row>
    <row r="716" spans="7:21" x14ac:dyDescent="0.2">
      <c r="G716" s="9" t="s">
        <v>2331</v>
      </c>
      <c r="H716">
        <v>402</v>
      </c>
      <c r="M716" s="1" t="s">
        <v>2331</v>
      </c>
      <c r="N716" s="1">
        <v>490</v>
      </c>
      <c r="P716" s="1" t="s">
        <v>2331</v>
      </c>
      <c r="Q716" s="42">
        <v>402</v>
      </c>
      <c r="R716" s="42">
        <v>490</v>
      </c>
      <c r="S716" s="42">
        <v>0.14000000000000001</v>
      </c>
      <c r="T716" s="10">
        <f>IFERROR(ROUND((Q716/R716),2),"NA")</f>
        <v>0.82</v>
      </c>
      <c r="U716">
        <f t="shared" si="11"/>
        <v>56.280000000000008</v>
      </c>
    </row>
    <row r="717" spans="7:21" x14ac:dyDescent="0.2">
      <c r="G717" s="9" t="s">
        <v>387</v>
      </c>
      <c r="H717">
        <v>1520</v>
      </c>
      <c r="M717" s="1" t="s">
        <v>387</v>
      </c>
      <c r="N717" s="1">
        <v>3600</v>
      </c>
      <c r="P717" s="1" t="s">
        <v>387</v>
      </c>
      <c r="Q717" s="42">
        <v>1520</v>
      </c>
      <c r="R717" s="42">
        <v>3600</v>
      </c>
      <c r="S717" s="42">
        <v>6.5000000000000002E-2</v>
      </c>
      <c r="T717" s="10">
        <f>IFERROR(ROUND((Q717/R717),2),"NA")</f>
        <v>0.42</v>
      </c>
      <c r="U717">
        <f t="shared" si="11"/>
        <v>98.8</v>
      </c>
    </row>
    <row r="718" spans="7:21" x14ac:dyDescent="0.2">
      <c r="G718" s="9" t="s">
        <v>2911</v>
      </c>
      <c r="H718">
        <v>47</v>
      </c>
      <c r="M718" s="1" t="s">
        <v>2911</v>
      </c>
      <c r="N718" s="1">
        <v>149</v>
      </c>
      <c r="P718" s="1" t="s">
        <v>2911</v>
      </c>
      <c r="Q718" s="42">
        <v>47</v>
      </c>
      <c r="R718" s="42">
        <v>149</v>
      </c>
      <c r="S718" s="42">
        <v>0.1</v>
      </c>
      <c r="T718" s="10">
        <f>IFERROR(ROUND((Q718/R718),2),"NA")</f>
        <v>0.32</v>
      </c>
      <c r="U718">
        <f t="shared" si="11"/>
        <v>4.7</v>
      </c>
    </row>
    <row r="719" spans="7:21" x14ac:dyDescent="0.2">
      <c r="G719" s="9" t="s">
        <v>2781</v>
      </c>
      <c r="H719">
        <v>40</v>
      </c>
      <c r="M719" s="1" t="s">
        <v>2781</v>
      </c>
      <c r="N719" s="1">
        <v>40</v>
      </c>
      <c r="P719" s="1" t="s">
        <v>2781</v>
      </c>
      <c r="Q719" s="42">
        <v>40</v>
      </c>
      <c r="R719" s="42">
        <v>40</v>
      </c>
      <c r="S719" s="42">
        <v>0.4</v>
      </c>
      <c r="T719" s="10">
        <f>IFERROR(ROUND((Q719/R719),2),"NA")</f>
        <v>1</v>
      </c>
      <c r="U719">
        <f t="shared" si="11"/>
        <v>16</v>
      </c>
    </row>
    <row r="720" spans="7:21" x14ac:dyDescent="0.2">
      <c r="G720" s="9" t="s">
        <v>249</v>
      </c>
      <c r="H720">
        <v>309</v>
      </c>
      <c r="M720" s="1" t="s">
        <v>249</v>
      </c>
      <c r="N720" s="1">
        <v>1386</v>
      </c>
      <c r="P720" s="1" t="s">
        <v>249</v>
      </c>
      <c r="Q720" s="42">
        <v>309</v>
      </c>
      <c r="R720" s="42">
        <v>1386</v>
      </c>
      <c r="S720" s="42">
        <v>0.10666666666666667</v>
      </c>
      <c r="T720" s="10">
        <f>IFERROR(ROUND((Q720/R720),2),"NA")</f>
        <v>0.22</v>
      </c>
      <c r="U720">
        <f t="shared" si="11"/>
        <v>32.96</v>
      </c>
    </row>
    <row r="721" spans="7:21" x14ac:dyDescent="0.2">
      <c r="G721" s="9" t="s">
        <v>1526</v>
      </c>
      <c r="H721">
        <v>30</v>
      </c>
      <c r="M721" s="1" t="s">
        <v>1526</v>
      </c>
      <c r="N721" s="1">
        <v>1</v>
      </c>
      <c r="P721" s="1" t="s">
        <v>1526</v>
      </c>
      <c r="Q721" s="42">
        <v>30</v>
      </c>
      <c r="R721" s="42">
        <v>1</v>
      </c>
      <c r="S721" s="42">
        <v>0</v>
      </c>
      <c r="T721" s="10">
        <f>IFERROR(ROUND((Q721/R721),2),"NA")</f>
        <v>30</v>
      </c>
      <c r="U721">
        <f t="shared" si="11"/>
        <v>0</v>
      </c>
    </row>
    <row r="722" spans="7:21" x14ac:dyDescent="0.2">
      <c r="G722" s="9" t="s">
        <v>1640</v>
      </c>
      <c r="H722">
        <v>0</v>
      </c>
      <c r="M722" s="1" t="s">
        <v>1640</v>
      </c>
      <c r="N722" s="1">
        <v>656</v>
      </c>
      <c r="P722" s="1" t="s">
        <v>1640</v>
      </c>
      <c r="Q722" s="42">
        <v>0</v>
      </c>
      <c r="R722" s="42">
        <v>656</v>
      </c>
      <c r="S722" s="42">
        <v>0.2</v>
      </c>
      <c r="T722" s="10">
        <f>IFERROR(ROUND((Q722/R722),2),"NA")</f>
        <v>0</v>
      </c>
      <c r="U722">
        <f t="shared" si="11"/>
        <v>0</v>
      </c>
    </row>
    <row r="723" spans="7:21" x14ac:dyDescent="0.2">
      <c r="G723" s="9" t="s">
        <v>2118</v>
      </c>
      <c r="H723">
        <v>0</v>
      </c>
      <c r="M723" s="1" t="s">
        <v>2118</v>
      </c>
      <c r="N723" s="1">
        <v>77</v>
      </c>
      <c r="P723" s="1" t="s">
        <v>2118</v>
      </c>
      <c r="Q723" s="42">
        <v>0</v>
      </c>
      <c r="R723" s="42">
        <v>77</v>
      </c>
      <c r="S723" s="42">
        <v>1</v>
      </c>
      <c r="T723" s="10">
        <f>IFERROR(ROUND((Q723/R723),2),"NA")</f>
        <v>0</v>
      </c>
      <c r="U723">
        <f t="shared" si="11"/>
        <v>0</v>
      </c>
    </row>
    <row r="724" spans="7:21" x14ac:dyDescent="0.2">
      <c r="G724" s="9" t="s">
        <v>2828</v>
      </c>
      <c r="H724">
        <v>100</v>
      </c>
      <c r="M724" s="1" t="s">
        <v>2828</v>
      </c>
      <c r="N724" s="1">
        <v>109</v>
      </c>
      <c r="P724" s="1" t="s">
        <v>2828</v>
      </c>
      <c r="Q724" s="42">
        <v>100</v>
      </c>
      <c r="R724" s="42">
        <v>109</v>
      </c>
      <c r="S724" s="42">
        <v>0.25</v>
      </c>
      <c r="T724" s="10">
        <f>IFERROR(ROUND((Q724/R724),2),"NA")</f>
        <v>0.92</v>
      </c>
      <c r="U724">
        <f t="shared" si="11"/>
        <v>25</v>
      </c>
    </row>
    <row r="725" spans="7:21" x14ac:dyDescent="0.2">
      <c r="G725" s="9" t="s">
        <v>2938</v>
      </c>
      <c r="H725">
        <v>0</v>
      </c>
      <c r="M725" s="1" t="s">
        <v>2938</v>
      </c>
      <c r="N725" s="1">
        <v>70</v>
      </c>
      <c r="P725" s="1" t="s">
        <v>2938</v>
      </c>
      <c r="Q725" s="42">
        <v>0</v>
      </c>
      <c r="R725" s="42">
        <v>70</v>
      </c>
      <c r="S725" s="42">
        <v>0.2</v>
      </c>
      <c r="T725" s="10">
        <f>IFERROR(ROUND((Q725/R725),2),"NA")</f>
        <v>0</v>
      </c>
      <c r="U725">
        <f t="shared" si="11"/>
        <v>0</v>
      </c>
    </row>
    <row r="726" spans="7:21" x14ac:dyDescent="0.2">
      <c r="G726" s="9" t="s">
        <v>1428</v>
      </c>
      <c r="H726">
        <v>90</v>
      </c>
      <c r="M726" s="1" t="s">
        <v>1428</v>
      </c>
      <c r="N726" s="1">
        <v>396</v>
      </c>
      <c r="P726" s="1" t="s">
        <v>1428</v>
      </c>
      <c r="Q726" s="42">
        <v>90</v>
      </c>
      <c r="R726" s="42">
        <v>396</v>
      </c>
      <c r="S726" s="42">
        <v>0.15</v>
      </c>
      <c r="T726" s="10">
        <f>IFERROR(ROUND((Q726/R726),2),"NA")</f>
        <v>0.23</v>
      </c>
      <c r="U726">
        <f t="shared" si="11"/>
        <v>13.5</v>
      </c>
    </row>
    <row r="727" spans="7:21" x14ac:dyDescent="0.2">
      <c r="G727" s="9" t="s">
        <v>2944</v>
      </c>
      <c r="H727">
        <v>84</v>
      </c>
      <c r="M727" s="1" t="s">
        <v>2944</v>
      </c>
      <c r="N727" s="1">
        <v>0</v>
      </c>
      <c r="P727" s="1" t="s">
        <v>2944</v>
      </c>
      <c r="Q727" s="42">
        <v>84</v>
      </c>
      <c r="R727" s="42">
        <v>0</v>
      </c>
      <c r="S727" s="42">
        <v>1</v>
      </c>
      <c r="T727" s="10" t="str">
        <f>IFERROR(ROUND((Q727/R727),2),"NA")</f>
        <v>NA</v>
      </c>
      <c r="U727">
        <f t="shared" si="11"/>
        <v>84</v>
      </c>
    </row>
    <row r="728" spans="7:21" x14ac:dyDescent="0.2">
      <c r="G728" s="9" t="s">
        <v>1780</v>
      </c>
      <c r="H728">
        <v>0</v>
      </c>
      <c r="M728" s="1" t="s">
        <v>1780</v>
      </c>
      <c r="N728" s="1">
        <v>162</v>
      </c>
      <c r="P728" s="1" t="s">
        <v>1780</v>
      </c>
      <c r="Q728" s="42">
        <v>0</v>
      </c>
      <c r="R728" s="42">
        <v>162</v>
      </c>
      <c r="S728" s="42">
        <v>0.13</v>
      </c>
      <c r="T728" s="10">
        <f>IFERROR(ROUND((Q728/R728),2),"NA")</f>
        <v>0</v>
      </c>
      <c r="U728">
        <f t="shared" si="11"/>
        <v>0</v>
      </c>
    </row>
    <row r="729" spans="7:21" x14ac:dyDescent="0.2">
      <c r="G729" s="9" t="s">
        <v>1383</v>
      </c>
      <c r="H729">
        <v>222</v>
      </c>
      <c r="M729" s="1" t="s">
        <v>1383</v>
      </c>
      <c r="N729" s="1">
        <v>424</v>
      </c>
      <c r="P729" s="1" t="s">
        <v>1383</v>
      </c>
      <c r="Q729" s="42">
        <v>222</v>
      </c>
      <c r="R729" s="42">
        <v>424</v>
      </c>
      <c r="S729" s="42">
        <v>0.25</v>
      </c>
      <c r="T729" s="10">
        <f>IFERROR(ROUND((Q729/R729),2),"NA")</f>
        <v>0.52</v>
      </c>
      <c r="U729">
        <f t="shared" si="11"/>
        <v>55.5</v>
      </c>
    </row>
    <row r="730" spans="7:21" x14ac:dyDescent="0.2">
      <c r="G730" s="9" t="s">
        <v>260</v>
      </c>
      <c r="H730">
        <v>1650</v>
      </c>
      <c r="M730" s="1" t="s">
        <v>260</v>
      </c>
      <c r="N730" s="1">
        <v>6</v>
      </c>
      <c r="P730" s="1" t="s">
        <v>260</v>
      </c>
      <c r="Q730" s="42">
        <v>1650</v>
      </c>
      <c r="R730" s="42">
        <v>6</v>
      </c>
      <c r="S730" s="42">
        <v>5.5E-2</v>
      </c>
      <c r="T730" s="10">
        <f>IFERROR(ROUND((Q730/R730),2),"NA")</f>
        <v>275</v>
      </c>
      <c r="U730">
        <f t="shared" si="11"/>
        <v>90.75</v>
      </c>
    </row>
    <row r="731" spans="7:21" x14ac:dyDescent="0.2">
      <c r="G731" s="9" t="s">
        <v>1678</v>
      </c>
      <c r="H731">
        <v>0</v>
      </c>
      <c r="M731" s="1" t="s">
        <v>1678</v>
      </c>
      <c r="N731" s="1">
        <v>96</v>
      </c>
      <c r="P731" s="1" t="s">
        <v>1678</v>
      </c>
      <c r="Q731" s="42">
        <v>0</v>
      </c>
      <c r="R731" s="42">
        <v>96</v>
      </c>
      <c r="S731" s="42">
        <v>0.15</v>
      </c>
      <c r="T731" s="10">
        <f>IFERROR(ROUND((Q731/R731),2),"NA")</f>
        <v>0</v>
      </c>
      <c r="U731">
        <f t="shared" si="11"/>
        <v>0</v>
      </c>
    </row>
    <row r="732" spans="7:21" x14ac:dyDescent="0.2">
      <c r="G732" s="9" t="s">
        <v>2677</v>
      </c>
      <c r="H732">
        <v>62</v>
      </c>
      <c r="M732" s="1" t="s">
        <v>2677</v>
      </c>
      <c r="N732" s="1">
        <v>257</v>
      </c>
      <c r="P732" s="1" t="s">
        <v>2677</v>
      </c>
      <c r="Q732" s="42">
        <v>62</v>
      </c>
      <c r="R732" s="42">
        <v>257</v>
      </c>
      <c r="S732" s="42">
        <v>0.15</v>
      </c>
      <c r="T732" s="10">
        <f>IFERROR(ROUND((Q732/R732),2),"NA")</f>
        <v>0.24</v>
      </c>
      <c r="U732">
        <f t="shared" si="11"/>
        <v>9.2999999999999989</v>
      </c>
    </row>
    <row r="733" spans="7:21" x14ac:dyDescent="0.2">
      <c r="G733" s="9" t="s">
        <v>2924</v>
      </c>
      <c r="H733">
        <v>10</v>
      </c>
      <c r="M733" s="1" t="s">
        <v>2924</v>
      </c>
      <c r="N733" s="1">
        <v>22</v>
      </c>
      <c r="P733" s="1" t="s">
        <v>2924</v>
      </c>
      <c r="Q733" s="42">
        <v>10</v>
      </c>
      <c r="R733" s="42">
        <v>22</v>
      </c>
      <c r="S733" s="42">
        <v>0</v>
      </c>
      <c r="T733" s="10">
        <f>IFERROR(ROUND((Q733/R733),2),"NA")</f>
        <v>0.45</v>
      </c>
      <c r="U733">
        <f t="shared" si="11"/>
        <v>0</v>
      </c>
    </row>
    <row r="734" spans="7:21" x14ac:dyDescent="0.2">
      <c r="G734" s="9" t="s">
        <v>2348</v>
      </c>
      <c r="H734">
        <v>60</v>
      </c>
      <c r="M734" s="1" t="s">
        <v>2348</v>
      </c>
      <c r="N734" s="1">
        <v>65</v>
      </c>
      <c r="P734" s="1" t="s">
        <v>2348</v>
      </c>
      <c r="Q734" s="42">
        <v>60</v>
      </c>
      <c r="R734" s="42">
        <v>65</v>
      </c>
      <c r="S734" s="42">
        <v>0.15</v>
      </c>
      <c r="T734" s="10">
        <f>IFERROR(ROUND((Q734/R734),2),"NA")</f>
        <v>0.92</v>
      </c>
      <c r="U734">
        <f t="shared" si="11"/>
        <v>9</v>
      </c>
    </row>
    <row r="735" spans="7:21" x14ac:dyDescent="0.2">
      <c r="G735" s="9" t="s">
        <v>1753</v>
      </c>
      <c r="H735">
        <v>0</v>
      </c>
      <c r="M735" s="1" t="s">
        <v>1753</v>
      </c>
      <c r="N735" s="1">
        <v>646</v>
      </c>
      <c r="P735" s="1" t="s">
        <v>1753</v>
      </c>
      <c r="Q735" s="42">
        <v>0</v>
      </c>
      <c r="R735" s="42">
        <v>646</v>
      </c>
      <c r="S735" s="42">
        <v>0</v>
      </c>
      <c r="T735" s="10">
        <f>IFERROR(ROUND((Q735/R735),2),"NA")</f>
        <v>0</v>
      </c>
      <c r="U735">
        <f t="shared" si="11"/>
        <v>0</v>
      </c>
    </row>
    <row r="736" spans="7:21" x14ac:dyDescent="0.2">
      <c r="G736" s="9" t="s">
        <v>1964</v>
      </c>
      <c r="H736">
        <v>43</v>
      </c>
      <c r="M736" s="1" t="s">
        <v>1964</v>
      </c>
      <c r="N736" s="1">
        <v>30</v>
      </c>
      <c r="P736" s="1" t="s">
        <v>1964</v>
      </c>
      <c r="Q736" s="42">
        <v>43</v>
      </c>
      <c r="R736" s="42">
        <v>30</v>
      </c>
      <c r="S736" s="42">
        <v>0.33</v>
      </c>
      <c r="T736" s="10">
        <f>IFERROR(ROUND((Q736/R736),2),"NA")</f>
        <v>1.43</v>
      </c>
      <c r="U736">
        <f t="shared" si="11"/>
        <v>14.190000000000001</v>
      </c>
    </row>
    <row r="737" spans="7:21" x14ac:dyDescent="0.2">
      <c r="G737" s="9" t="s">
        <v>2776</v>
      </c>
      <c r="H737">
        <v>0</v>
      </c>
      <c r="M737" s="1" t="s">
        <v>2776</v>
      </c>
      <c r="N737" s="1">
        <v>40</v>
      </c>
      <c r="P737" s="1" t="s">
        <v>2776</v>
      </c>
      <c r="Q737" s="42">
        <v>0</v>
      </c>
      <c r="R737" s="42">
        <v>40</v>
      </c>
      <c r="S737" s="42">
        <v>0.3</v>
      </c>
      <c r="T737" s="10">
        <f>IFERROR(ROUND((Q737/R737),2),"NA")</f>
        <v>0</v>
      </c>
      <c r="U737">
        <f t="shared" si="11"/>
        <v>0</v>
      </c>
    </row>
    <row r="738" spans="7:21" x14ac:dyDescent="0.2">
      <c r="G738" s="9" t="s">
        <v>1303</v>
      </c>
      <c r="H738">
        <v>230</v>
      </c>
      <c r="M738" s="1" t="s">
        <v>1303</v>
      </c>
      <c r="N738" s="1">
        <v>317</v>
      </c>
      <c r="P738" s="1" t="s">
        <v>1303</v>
      </c>
      <c r="Q738" s="42">
        <v>230</v>
      </c>
      <c r="R738" s="42">
        <v>317</v>
      </c>
      <c r="S738" s="42">
        <v>0.7</v>
      </c>
      <c r="T738" s="10">
        <f>IFERROR(ROUND((Q738/R738),2),"NA")</f>
        <v>0.73</v>
      </c>
      <c r="U738">
        <f t="shared" si="11"/>
        <v>161</v>
      </c>
    </row>
    <row r="739" spans="7:21" x14ac:dyDescent="0.2">
      <c r="G739" s="9" t="s">
        <v>1132</v>
      </c>
      <c r="H739">
        <v>69</v>
      </c>
      <c r="M739" s="1" t="s">
        <v>1132</v>
      </c>
      <c r="N739" s="1">
        <v>188</v>
      </c>
      <c r="P739" s="1" t="s">
        <v>1132</v>
      </c>
      <c r="Q739" s="42">
        <v>69</v>
      </c>
      <c r="R739" s="42">
        <v>188</v>
      </c>
      <c r="S739" s="42">
        <v>0</v>
      </c>
      <c r="T739" s="10">
        <f>IFERROR(ROUND((Q739/R739),2),"NA")</f>
        <v>0.37</v>
      </c>
      <c r="U739">
        <f t="shared" si="11"/>
        <v>0</v>
      </c>
    </row>
    <row r="740" spans="7:21" x14ac:dyDescent="0.2">
      <c r="G740" s="9" t="s">
        <v>793</v>
      </c>
      <c r="H740">
        <v>0</v>
      </c>
      <c r="M740" s="1" t="s">
        <v>793</v>
      </c>
      <c r="N740" s="1">
        <v>77</v>
      </c>
      <c r="P740" s="1" t="s">
        <v>793</v>
      </c>
      <c r="Q740" s="42">
        <v>0</v>
      </c>
      <c r="R740" s="42">
        <v>77</v>
      </c>
      <c r="S740" s="42">
        <v>0</v>
      </c>
      <c r="T740" s="10">
        <f>IFERROR(ROUND((Q740/R740),2),"NA")</f>
        <v>0</v>
      </c>
      <c r="U740">
        <f t="shared" si="11"/>
        <v>0</v>
      </c>
    </row>
    <row r="741" spans="7:21" x14ac:dyDescent="0.2">
      <c r="G741" s="9" t="s">
        <v>1960</v>
      </c>
      <c r="H741">
        <v>30</v>
      </c>
      <c r="M741" s="1" t="s">
        <v>1960</v>
      </c>
      <c r="N741" s="1">
        <v>142</v>
      </c>
      <c r="P741" s="1" t="s">
        <v>1960</v>
      </c>
      <c r="Q741" s="42">
        <v>30</v>
      </c>
      <c r="R741" s="42">
        <v>142</v>
      </c>
      <c r="S741" s="42">
        <v>0.12</v>
      </c>
      <c r="T741" s="10">
        <f>IFERROR(ROUND((Q741/R741),2),"NA")</f>
        <v>0.21</v>
      </c>
      <c r="U741">
        <f t="shared" si="11"/>
        <v>3.5999999999999996</v>
      </c>
    </row>
    <row r="742" spans="7:21" x14ac:dyDescent="0.2">
      <c r="G742" s="9" t="s">
        <v>1993</v>
      </c>
      <c r="H742">
        <v>0</v>
      </c>
      <c r="M742" s="1" t="s">
        <v>1993</v>
      </c>
      <c r="N742" s="1">
        <v>16</v>
      </c>
      <c r="P742" s="1" t="s">
        <v>1993</v>
      </c>
      <c r="Q742" s="42">
        <v>0</v>
      </c>
      <c r="R742" s="42">
        <v>16</v>
      </c>
      <c r="S742" s="42">
        <v>0</v>
      </c>
      <c r="T742" s="10">
        <f>IFERROR(ROUND((Q742/R742),2),"NA")</f>
        <v>0</v>
      </c>
      <c r="U742">
        <f t="shared" si="11"/>
        <v>0</v>
      </c>
    </row>
    <row r="743" spans="7:21" x14ac:dyDescent="0.2">
      <c r="G743" s="9" t="s">
        <v>2257</v>
      </c>
      <c r="H743">
        <v>30</v>
      </c>
      <c r="M743" s="1" t="s">
        <v>2257</v>
      </c>
      <c r="N743" s="1">
        <v>78</v>
      </c>
      <c r="P743" s="1" t="s">
        <v>2257</v>
      </c>
      <c r="Q743" s="42">
        <v>30</v>
      </c>
      <c r="R743" s="42">
        <v>78</v>
      </c>
      <c r="S743" s="42">
        <v>0.18</v>
      </c>
      <c r="T743" s="10">
        <f>IFERROR(ROUND((Q743/R743),2),"NA")</f>
        <v>0.38</v>
      </c>
      <c r="U743">
        <f t="shared" si="11"/>
        <v>5.3999999999999995</v>
      </c>
    </row>
    <row r="744" spans="7:21" x14ac:dyDescent="0.2">
      <c r="G744" s="9" t="s">
        <v>1384</v>
      </c>
      <c r="H744">
        <v>100</v>
      </c>
      <c r="M744" s="1" t="s">
        <v>1384</v>
      </c>
      <c r="N744" s="1">
        <v>0</v>
      </c>
      <c r="P744" s="1" t="s">
        <v>1384</v>
      </c>
      <c r="Q744" s="42">
        <v>100</v>
      </c>
      <c r="R744" s="42">
        <v>0</v>
      </c>
      <c r="S744" s="42">
        <v>1</v>
      </c>
      <c r="T744" s="10" t="str">
        <f>IFERROR(ROUND((Q744/R744),2),"NA")</f>
        <v>NA</v>
      </c>
      <c r="U744">
        <f t="shared" si="11"/>
        <v>100</v>
      </c>
    </row>
    <row r="745" spans="7:21" x14ac:dyDescent="0.2">
      <c r="G745" s="9" t="s">
        <v>1221</v>
      </c>
      <c r="H745">
        <v>0</v>
      </c>
      <c r="M745" s="1" t="s">
        <v>1221</v>
      </c>
      <c r="N745" s="1">
        <v>44</v>
      </c>
      <c r="P745" s="1" t="s">
        <v>1221</v>
      </c>
      <c r="Q745" s="42">
        <v>0</v>
      </c>
      <c r="R745" s="42">
        <v>44</v>
      </c>
      <c r="S745" s="42">
        <v>0</v>
      </c>
      <c r="T745" s="10">
        <f>IFERROR(ROUND((Q745/R745),2),"NA")</f>
        <v>0</v>
      </c>
      <c r="U745">
        <f t="shared" si="11"/>
        <v>0</v>
      </c>
    </row>
    <row r="746" spans="7:21" x14ac:dyDescent="0.2">
      <c r="G746" s="9" t="s">
        <v>2582</v>
      </c>
      <c r="H746">
        <v>0</v>
      </c>
      <c r="M746" s="1" t="s">
        <v>2582</v>
      </c>
      <c r="N746" s="1">
        <v>4</v>
      </c>
      <c r="P746" s="1" t="s">
        <v>2582</v>
      </c>
      <c r="Q746" s="42">
        <v>0</v>
      </c>
      <c r="R746" s="42">
        <v>4</v>
      </c>
      <c r="S746" s="42">
        <v>1</v>
      </c>
      <c r="T746" s="10">
        <f>IFERROR(ROUND((Q746/R746),2),"NA")</f>
        <v>0</v>
      </c>
      <c r="U746">
        <f t="shared" si="11"/>
        <v>0</v>
      </c>
    </row>
    <row r="747" spans="7:21" x14ac:dyDescent="0.2">
      <c r="G747" s="9" t="s">
        <v>1525</v>
      </c>
      <c r="H747">
        <v>31</v>
      </c>
      <c r="M747" s="1" t="s">
        <v>1525</v>
      </c>
      <c r="N747" s="1">
        <v>14</v>
      </c>
      <c r="P747" s="1" t="s">
        <v>1525</v>
      </c>
      <c r="Q747" s="42">
        <v>31</v>
      </c>
      <c r="R747" s="42">
        <v>14</v>
      </c>
      <c r="S747" s="42">
        <v>0.1</v>
      </c>
      <c r="T747" s="10">
        <f>IFERROR(ROUND((Q747/R747),2),"NA")</f>
        <v>2.21</v>
      </c>
      <c r="U747">
        <f t="shared" si="11"/>
        <v>3.1</v>
      </c>
    </row>
    <row r="748" spans="7:21" x14ac:dyDescent="0.2">
      <c r="G748" s="9" t="s">
        <v>2282</v>
      </c>
      <c r="H748">
        <v>400</v>
      </c>
      <c r="M748" s="1" t="s">
        <v>2282</v>
      </c>
      <c r="N748" s="1">
        <v>310</v>
      </c>
      <c r="P748" s="1" t="s">
        <v>2282</v>
      </c>
      <c r="Q748" s="42">
        <v>400</v>
      </c>
      <c r="R748" s="42">
        <v>310</v>
      </c>
      <c r="S748" s="42">
        <v>0.18</v>
      </c>
      <c r="T748" s="10">
        <f>IFERROR(ROUND((Q748/R748),2),"NA")</f>
        <v>1.29</v>
      </c>
      <c r="U748">
        <f t="shared" si="11"/>
        <v>72</v>
      </c>
    </row>
    <row r="749" spans="7:21" x14ac:dyDescent="0.2">
      <c r="G749" s="9" t="s">
        <v>108</v>
      </c>
      <c r="H749">
        <v>355</v>
      </c>
      <c r="M749" s="1" t="s">
        <v>108</v>
      </c>
      <c r="N749" s="1">
        <v>1032</v>
      </c>
      <c r="P749" s="1" t="s">
        <v>108</v>
      </c>
      <c r="Q749" s="42">
        <v>355</v>
      </c>
      <c r="R749" s="42">
        <v>1032</v>
      </c>
      <c r="S749" s="42">
        <v>0.33</v>
      </c>
      <c r="T749" s="10">
        <f>IFERROR(ROUND((Q749/R749),2),"NA")</f>
        <v>0.34</v>
      </c>
      <c r="U749">
        <f t="shared" si="11"/>
        <v>117.15</v>
      </c>
    </row>
    <row r="750" spans="7:21" x14ac:dyDescent="0.2">
      <c r="G750" s="9" t="s">
        <v>489</v>
      </c>
      <c r="H750">
        <v>350</v>
      </c>
      <c r="M750" s="1" t="s">
        <v>489</v>
      </c>
      <c r="N750" s="1">
        <v>116</v>
      </c>
      <c r="P750" s="1" t="s">
        <v>489</v>
      </c>
      <c r="Q750" s="42">
        <v>350</v>
      </c>
      <c r="R750" s="42">
        <v>116</v>
      </c>
      <c r="S750" s="42">
        <v>0.1</v>
      </c>
      <c r="T750" s="10">
        <f>IFERROR(ROUND((Q750/R750),2),"NA")</f>
        <v>3.02</v>
      </c>
      <c r="U750">
        <f t="shared" si="11"/>
        <v>35</v>
      </c>
    </row>
    <row r="751" spans="7:21" x14ac:dyDescent="0.2">
      <c r="G751" s="9" t="s">
        <v>2398</v>
      </c>
      <c r="H751">
        <v>100</v>
      </c>
      <c r="M751" s="1" t="s">
        <v>2398</v>
      </c>
      <c r="N751" s="1">
        <v>0</v>
      </c>
      <c r="P751" s="1" t="s">
        <v>2398</v>
      </c>
      <c r="Q751" s="42">
        <v>100</v>
      </c>
      <c r="R751" s="42">
        <v>0</v>
      </c>
      <c r="S751" s="42">
        <v>0</v>
      </c>
      <c r="T751" s="10" t="str">
        <f>IFERROR(ROUND((Q751/R751),2),"NA")</f>
        <v>NA</v>
      </c>
      <c r="U751">
        <f t="shared" si="11"/>
        <v>0</v>
      </c>
    </row>
    <row r="752" spans="7:21" x14ac:dyDescent="0.2">
      <c r="G752" s="9" t="s">
        <v>2757</v>
      </c>
      <c r="H752">
        <v>58</v>
      </c>
      <c r="M752" s="1" t="s">
        <v>2757</v>
      </c>
      <c r="N752" s="1">
        <v>59</v>
      </c>
      <c r="P752" s="1" t="s">
        <v>2757</v>
      </c>
      <c r="Q752" s="42">
        <v>58</v>
      </c>
      <c r="R752" s="42">
        <v>59</v>
      </c>
      <c r="S752" s="42">
        <v>0.3</v>
      </c>
      <c r="T752" s="10">
        <f>IFERROR(ROUND((Q752/R752),2),"NA")</f>
        <v>0.98</v>
      </c>
      <c r="U752">
        <f t="shared" si="11"/>
        <v>17.399999999999999</v>
      </c>
    </row>
    <row r="753" spans="7:21" x14ac:dyDescent="0.2">
      <c r="G753" s="9" t="s">
        <v>692</v>
      </c>
      <c r="H753">
        <v>870</v>
      </c>
      <c r="M753" s="1" t="s">
        <v>692</v>
      </c>
      <c r="N753" s="1">
        <v>6400</v>
      </c>
      <c r="P753" s="1" t="s">
        <v>692</v>
      </c>
      <c r="Q753" s="42">
        <v>870</v>
      </c>
      <c r="R753" s="42">
        <v>6400</v>
      </c>
      <c r="S753" s="42">
        <v>0.16</v>
      </c>
      <c r="T753" s="10">
        <f>IFERROR(ROUND((Q753/R753),2),"NA")</f>
        <v>0.14000000000000001</v>
      </c>
      <c r="U753">
        <f t="shared" si="11"/>
        <v>139.20000000000002</v>
      </c>
    </row>
    <row r="754" spans="7:21" x14ac:dyDescent="0.2">
      <c r="G754" s="9" t="s">
        <v>1337</v>
      </c>
      <c r="H754">
        <v>0</v>
      </c>
      <c r="M754" s="1" t="s">
        <v>1337</v>
      </c>
      <c r="N754" s="1">
        <v>1900</v>
      </c>
      <c r="P754" s="1" t="s">
        <v>1337</v>
      </c>
      <c r="Q754" s="42">
        <v>0</v>
      </c>
      <c r="R754" s="42">
        <v>1900</v>
      </c>
      <c r="S754" s="42">
        <v>0.18</v>
      </c>
      <c r="T754" s="10">
        <f>IFERROR(ROUND((Q754/R754),2),"NA")</f>
        <v>0</v>
      </c>
      <c r="U754">
        <f t="shared" si="11"/>
        <v>0</v>
      </c>
    </row>
    <row r="755" spans="7:21" x14ac:dyDescent="0.2">
      <c r="G755" s="9" t="s">
        <v>1411</v>
      </c>
      <c r="H755">
        <v>49</v>
      </c>
      <c r="M755" s="1" t="s">
        <v>1411</v>
      </c>
      <c r="N755" s="1">
        <v>170</v>
      </c>
      <c r="P755" s="1" t="s">
        <v>1411</v>
      </c>
      <c r="Q755" s="42">
        <v>49</v>
      </c>
      <c r="R755" s="42">
        <v>170</v>
      </c>
      <c r="S755" s="42">
        <v>0.22500000000000001</v>
      </c>
      <c r="T755" s="10">
        <f>IFERROR(ROUND((Q755/R755),2),"NA")</f>
        <v>0.28999999999999998</v>
      </c>
      <c r="U755">
        <f t="shared" si="11"/>
        <v>11.025</v>
      </c>
    </row>
    <row r="756" spans="7:21" x14ac:dyDescent="0.2">
      <c r="G756" s="9" t="s">
        <v>1946</v>
      </c>
      <c r="H756">
        <v>30</v>
      </c>
      <c r="M756" s="1" t="s">
        <v>1946</v>
      </c>
      <c r="N756" s="1">
        <v>11</v>
      </c>
      <c r="P756" s="1" t="s">
        <v>1946</v>
      </c>
      <c r="Q756" s="42">
        <v>30</v>
      </c>
      <c r="R756" s="42">
        <v>11</v>
      </c>
      <c r="S756" s="42">
        <v>0.27</v>
      </c>
      <c r="T756" s="10">
        <f>IFERROR(ROUND((Q756/R756),2),"NA")</f>
        <v>2.73</v>
      </c>
      <c r="U756">
        <f t="shared" si="11"/>
        <v>8.1000000000000014</v>
      </c>
    </row>
    <row r="757" spans="7:21" x14ac:dyDescent="0.2">
      <c r="G757" s="9" t="s">
        <v>1331</v>
      </c>
      <c r="H757">
        <v>8500</v>
      </c>
      <c r="M757" s="1" t="s">
        <v>1331</v>
      </c>
      <c r="N757" s="1">
        <v>663</v>
      </c>
      <c r="P757" s="1" t="s">
        <v>1331</v>
      </c>
      <c r="Q757" s="42">
        <v>8500</v>
      </c>
      <c r="R757" s="42">
        <v>663</v>
      </c>
      <c r="S757" s="42">
        <v>0.08</v>
      </c>
      <c r="T757" s="10">
        <f>IFERROR(ROUND((Q757/R757),2),"NA")</f>
        <v>12.82</v>
      </c>
      <c r="U757">
        <f t="shared" si="11"/>
        <v>680</v>
      </c>
    </row>
    <row r="758" spans="7:21" x14ac:dyDescent="0.2">
      <c r="G758" s="9" t="s">
        <v>1518</v>
      </c>
      <c r="H758">
        <v>30</v>
      </c>
      <c r="M758" s="1" t="s">
        <v>1518</v>
      </c>
      <c r="N758" s="1">
        <v>97</v>
      </c>
      <c r="P758" s="1" t="s">
        <v>1518</v>
      </c>
      <c r="Q758" s="42">
        <v>30</v>
      </c>
      <c r="R758" s="42">
        <v>97</v>
      </c>
      <c r="S758" s="42">
        <v>0.17</v>
      </c>
      <c r="T758" s="10">
        <f>IFERROR(ROUND((Q758/R758),2),"NA")</f>
        <v>0.31</v>
      </c>
      <c r="U758">
        <f t="shared" si="11"/>
        <v>5.1000000000000005</v>
      </c>
    </row>
    <row r="759" spans="7:21" x14ac:dyDescent="0.2">
      <c r="G759" s="9" t="s">
        <v>857</v>
      </c>
      <c r="H759">
        <v>200</v>
      </c>
      <c r="M759" s="1" t="s">
        <v>857</v>
      </c>
      <c r="N759" s="1">
        <v>46</v>
      </c>
      <c r="P759" s="1" t="s">
        <v>857</v>
      </c>
      <c r="Q759" s="42">
        <v>200</v>
      </c>
      <c r="R759" s="42">
        <v>46</v>
      </c>
      <c r="S759" s="42">
        <v>0.31</v>
      </c>
      <c r="T759" s="10">
        <f>IFERROR(ROUND((Q759/R759),2),"NA")</f>
        <v>4.3499999999999996</v>
      </c>
      <c r="U759">
        <f t="shared" si="11"/>
        <v>62</v>
      </c>
    </row>
    <row r="760" spans="7:21" x14ac:dyDescent="0.2">
      <c r="G760" s="9" t="s">
        <v>2389</v>
      </c>
      <c r="H760">
        <v>40</v>
      </c>
      <c r="M760" s="1" t="s">
        <v>2389</v>
      </c>
      <c r="N760" s="1">
        <v>1200</v>
      </c>
      <c r="P760" s="1" t="s">
        <v>2389</v>
      </c>
      <c r="Q760" s="42">
        <v>40</v>
      </c>
      <c r="R760" s="42">
        <v>1200</v>
      </c>
      <c r="S760" s="42">
        <v>0</v>
      </c>
      <c r="T760" s="10">
        <f>IFERROR(ROUND((Q760/R760),2),"NA")</f>
        <v>0.03</v>
      </c>
      <c r="U760">
        <f t="shared" si="11"/>
        <v>0</v>
      </c>
    </row>
    <row r="761" spans="7:21" x14ac:dyDescent="0.2">
      <c r="G761" s="9" t="s">
        <v>2402</v>
      </c>
      <c r="H761">
        <v>0</v>
      </c>
      <c r="M761" s="1" t="s">
        <v>2402</v>
      </c>
      <c r="N761" s="1">
        <v>37</v>
      </c>
      <c r="P761" s="1" t="s">
        <v>2402</v>
      </c>
      <c r="Q761" s="42">
        <v>0</v>
      </c>
      <c r="R761" s="42">
        <v>37</v>
      </c>
      <c r="S761" s="42">
        <v>0</v>
      </c>
      <c r="T761" s="10">
        <f>IFERROR(ROUND((Q761/R761),2),"NA")</f>
        <v>0</v>
      </c>
      <c r="U761">
        <f t="shared" si="11"/>
        <v>0</v>
      </c>
    </row>
    <row r="762" spans="7:21" x14ac:dyDescent="0.2">
      <c r="G762" s="9" t="s">
        <v>1635</v>
      </c>
      <c r="H762">
        <v>0</v>
      </c>
      <c r="M762" s="1" t="s">
        <v>1635</v>
      </c>
      <c r="N762" s="1">
        <v>20</v>
      </c>
      <c r="P762" s="1" t="s">
        <v>1635</v>
      </c>
      <c r="Q762" s="42">
        <v>0</v>
      </c>
      <c r="R762" s="42">
        <v>20</v>
      </c>
      <c r="S762" s="42">
        <v>0.16499999999999998</v>
      </c>
      <c r="T762" s="10">
        <f>IFERROR(ROUND((Q762/R762),2),"NA")</f>
        <v>0</v>
      </c>
      <c r="U762">
        <f t="shared" si="11"/>
        <v>0</v>
      </c>
    </row>
    <row r="763" spans="7:21" x14ac:dyDescent="0.2">
      <c r="G763" s="9" t="s">
        <v>1778</v>
      </c>
      <c r="H763">
        <v>40</v>
      </c>
      <c r="M763" s="1" t="s">
        <v>1778</v>
      </c>
      <c r="N763" s="1">
        <v>0</v>
      </c>
      <c r="P763" s="1" t="s">
        <v>1778</v>
      </c>
      <c r="Q763" s="42">
        <v>40</v>
      </c>
      <c r="R763" s="42">
        <v>0</v>
      </c>
      <c r="S763" s="42">
        <v>0</v>
      </c>
      <c r="T763" s="10" t="str">
        <f>IFERROR(ROUND((Q763/R763),2),"NA")</f>
        <v>NA</v>
      </c>
      <c r="U763">
        <f t="shared" si="11"/>
        <v>0</v>
      </c>
    </row>
    <row r="764" spans="7:21" x14ac:dyDescent="0.2">
      <c r="G764" s="9" t="s">
        <v>1353</v>
      </c>
      <c r="H764">
        <v>108</v>
      </c>
      <c r="M764" s="1" t="s">
        <v>1353</v>
      </c>
      <c r="N764" s="1">
        <v>918</v>
      </c>
      <c r="P764" s="1" t="s">
        <v>1353</v>
      </c>
      <c r="Q764" s="42">
        <v>108</v>
      </c>
      <c r="R764" s="42">
        <v>918</v>
      </c>
      <c r="S764" s="42">
        <v>0.13</v>
      </c>
      <c r="T764" s="10">
        <f>IFERROR(ROUND((Q764/R764),2),"NA")</f>
        <v>0.12</v>
      </c>
      <c r="U764">
        <f t="shared" si="11"/>
        <v>14.040000000000001</v>
      </c>
    </row>
    <row r="765" spans="7:21" x14ac:dyDescent="0.2">
      <c r="G765" s="9" t="s">
        <v>2263</v>
      </c>
      <c r="H765">
        <v>100</v>
      </c>
      <c r="M765" s="1" t="s">
        <v>2263</v>
      </c>
      <c r="N765" s="1">
        <v>322</v>
      </c>
      <c r="P765" s="1" t="s">
        <v>2263</v>
      </c>
      <c r="Q765" s="42">
        <v>100</v>
      </c>
      <c r="R765" s="42">
        <v>322</v>
      </c>
      <c r="S765" s="42">
        <v>0.06</v>
      </c>
      <c r="T765" s="10">
        <f>IFERROR(ROUND((Q765/R765),2),"NA")</f>
        <v>0.31</v>
      </c>
      <c r="U765">
        <f t="shared" si="11"/>
        <v>6</v>
      </c>
    </row>
    <row r="766" spans="7:21" x14ac:dyDescent="0.2">
      <c r="G766" s="9" t="s">
        <v>505</v>
      </c>
      <c r="H766">
        <v>225</v>
      </c>
      <c r="M766" s="1" t="s">
        <v>505</v>
      </c>
      <c r="N766" s="1">
        <v>97</v>
      </c>
      <c r="P766" s="1" t="s">
        <v>505</v>
      </c>
      <c r="Q766" s="42">
        <v>225</v>
      </c>
      <c r="R766" s="42">
        <v>97</v>
      </c>
      <c r="S766" s="42">
        <v>0.11</v>
      </c>
      <c r="T766" s="10">
        <f>IFERROR(ROUND((Q766/R766),2),"NA")</f>
        <v>2.3199999999999998</v>
      </c>
      <c r="U766">
        <f t="shared" si="11"/>
        <v>24.75</v>
      </c>
    </row>
    <row r="767" spans="7:21" x14ac:dyDescent="0.2">
      <c r="G767" s="9" t="s">
        <v>2198</v>
      </c>
      <c r="H767">
        <v>50</v>
      </c>
      <c r="M767" s="1" t="s">
        <v>2198</v>
      </c>
      <c r="N767" s="1">
        <v>69</v>
      </c>
      <c r="P767" s="1" t="s">
        <v>2198</v>
      </c>
      <c r="Q767" s="42">
        <v>50</v>
      </c>
      <c r="R767" s="42">
        <v>69</v>
      </c>
      <c r="S767" s="42">
        <v>0.2</v>
      </c>
      <c r="T767" s="10">
        <f>IFERROR(ROUND((Q767/R767),2),"NA")</f>
        <v>0.72</v>
      </c>
      <c r="U767">
        <f t="shared" si="11"/>
        <v>10</v>
      </c>
    </row>
    <row r="768" spans="7:21" x14ac:dyDescent="0.2">
      <c r="G768" s="9" t="s">
        <v>1196</v>
      </c>
      <c r="H768">
        <v>0</v>
      </c>
      <c r="M768" s="1" t="s">
        <v>1196</v>
      </c>
      <c r="N768" s="1">
        <v>92</v>
      </c>
      <c r="P768" s="1" t="s">
        <v>1196</v>
      </c>
      <c r="Q768" s="42">
        <v>0</v>
      </c>
      <c r="R768" s="42">
        <v>92</v>
      </c>
      <c r="S768" s="42">
        <v>0.1</v>
      </c>
      <c r="T768" s="10">
        <f>IFERROR(ROUND((Q768/R768),2),"NA")</f>
        <v>0</v>
      </c>
      <c r="U768">
        <f t="shared" si="11"/>
        <v>0</v>
      </c>
    </row>
    <row r="769" spans="7:21" x14ac:dyDescent="0.2">
      <c r="G769" s="9" t="s">
        <v>726</v>
      </c>
      <c r="H769">
        <v>111</v>
      </c>
      <c r="M769" s="1" t="s">
        <v>726</v>
      </c>
      <c r="N769" s="1">
        <v>42</v>
      </c>
      <c r="P769" s="1" t="s">
        <v>726</v>
      </c>
      <c r="Q769" s="42">
        <v>111</v>
      </c>
      <c r="R769" s="42">
        <v>42</v>
      </c>
      <c r="S769" s="42">
        <v>0</v>
      </c>
      <c r="T769" s="10">
        <f>IFERROR(ROUND((Q769/R769),2),"NA")</f>
        <v>2.64</v>
      </c>
      <c r="U769">
        <f t="shared" si="11"/>
        <v>0</v>
      </c>
    </row>
    <row r="770" spans="7:21" x14ac:dyDescent="0.2">
      <c r="G770" s="9" t="s">
        <v>453</v>
      </c>
      <c r="H770">
        <v>0</v>
      </c>
      <c r="M770" s="1" t="s">
        <v>453</v>
      </c>
      <c r="N770" s="1">
        <v>0</v>
      </c>
      <c r="P770" s="1" t="s">
        <v>453</v>
      </c>
      <c r="Q770" s="42">
        <v>0</v>
      </c>
      <c r="R770" s="42">
        <v>0</v>
      </c>
      <c r="S770" s="42">
        <v>0</v>
      </c>
      <c r="T770" s="10" t="str">
        <f>IFERROR(ROUND((Q770/R770),2),"NA")</f>
        <v>NA</v>
      </c>
      <c r="U770">
        <f t="shared" si="11"/>
        <v>0</v>
      </c>
    </row>
    <row r="771" spans="7:21" x14ac:dyDescent="0.2">
      <c r="G771" s="9" t="s">
        <v>1323</v>
      </c>
      <c r="H771">
        <v>580</v>
      </c>
      <c r="M771" s="1" t="s">
        <v>1323</v>
      </c>
      <c r="N771" s="1">
        <v>889</v>
      </c>
      <c r="P771" s="1" t="s">
        <v>1323</v>
      </c>
      <c r="Q771" s="42">
        <v>580</v>
      </c>
      <c r="R771" s="42">
        <v>889</v>
      </c>
      <c r="S771" s="42">
        <v>0.26500000000000001</v>
      </c>
      <c r="T771" s="10">
        <f>IFERROR(ROUND((Q771/R771),2),"NA")</f>
        <v>0.65</v>
      </c>
      <c r="U771">
        <f t="shared" si="11"/>
        <v>153.70000000000002</v>
      </c>
    </row>
    <row r="772" spans="7:21" x14ac:dyDescent="0.2">
      <c r="G772" s="9" t="s">
        <v>1110</v>
      </c>
      <c r="H772">
        <v>0</v>
      </c>
      <c r="M772" s="1" t="s">
        <v>1110</v>
      </c>
      <c r="N772" s="1">
        <v>45</v>
      </c>
      <c r="P772" s="1" t="s">
        <v>1110</v>
      </c>
      <c r="Q772" s="42">
        <v>0</v>
      </c>
      <c r="R772" s="42">
        <v>45</v>
      </c>
      <c r="S772" s="42">
        <v>0.33</v>
      </c>
      <c r="T772" s="10">
        <f>IFERROR(ROUND((Q772/R772),2),"NA")</f>
        <v>0</v>
      </c>
      <c r="U772">
        <f t="shared" si="11"/>
        <v>0</v>
      </c>
    </row>
    <row r="773" spans="7:21" x14ac:dyDescent="0.2">
      <c r="G773" s="9" t="s">
        <v>1904</v>
      </c>
      <c r="H773">
        <v>200</v>
      </c>
      <c r="M773" s="1" t="s">
        <v>1904</v>
      </c>
      <c r="N773" s="1">
        <v>476</v>
      </c>
      <c r="P773" s="1" t="s">
        <v>1904</v>
      </c>
      <c r="Q773" s="42">
        <v>200</v>
      </c>
      <c r="R773" s="42">
        <v>476</v>
      </c>
      <c r="S773" s="42">
        <v>0</v>
      </c>
      <c r="T773" s="10">
        <f>IFERROR(ROUND((Q773/R773),2),"NA")</f>
        <v>0.42</v>
      </c>
      <c r="U773">
        <f t="shared" ref="U773:U836" si="12">Q773*S773</f>
        <v>0</v>
      </c>
    </row>
    <row r="774" spans="7:21" x14ac:dyDescent="0.2">
      <c r="G774" s="9" t="s">
        <v>1657</v>
      </c>
      <c r="H774">
        <v>257</v>
      </c>
      <c r="M774" s="1" t="s">
        <v>1657</v>
      </c>
      <c r="N774" s="1">
        <v>194</v>
      </c>
      <c r="P774" s="1" t="s">
        <v>1657</v>
      </c>
      <c r="Q774" s="42">
        <v>257</v>
      </c>
      <c r="R774" s="42">
        <v>194</v>
      </c>
      <c r="S774" s="42">
        <v>0.17</v>
      </c>
      <c r="T774" s="10">
        <f>IFERROR(ROUND((Q774/R774),2),"NA")</f>
        <v>1.32</v>
      </c>
      <c r="U774">
        <f t="shared" si="12"/>
        <v>43.690000000000005</v>
      </c>
    </row>
    <row r="775" spans="7:21" x14ac:dyDescent="0.2">
      <c r="G775" s="9" t="s">
        <v>1094</v>
      </c>
      <c r="H775">
        <v>0</v>
      </c>
      <c r="M775" s="1" t="s">
        <v>1094</v>
      </c>
      <c r="N775" s="1">
        <v>298</v>
      </c>
      <c r="P775" s="1" t="s">
        <v>1094</v>
      </c>
      <c r="Q775" s="42">
        <v>0</v>
      </c>
      <c r="R775" s="42">
        <v>298</v>
      </c>
      <c r="S775" s="42">
        <v>0.1</v>
      </c>
      <c r="T775" s="10">
        <f>IFERROR(ROUND((Q775/R775),2),"NA")</f>
        <v>0</v>
      </c>
      <c r="U775">
        <f t="shared" si="12"/>
        <v>0</v>
      </c>
    </row>
    <row r="776" spans="7:21" x14ac:dyDescent="0.2">
      <c r="G776" s="9" t="s">
        <v>1105</v>
      </c>
      <c r="H776">
        <v>0</v>
      </c>
      <c r="M776" s="1" t="s">
        <v>1105</v>
      </c>
      <c r="N776" s="1">
        <v>27</v>
      </c>
      <c r="P776" s="1" t="s">
        <v>1105</v>
      </c>
      <c r="Q776" s="42">
        <v>0</v>
      </c>
      <c r="R776" s="42">
        <v>27</v>
      </c>
      <c r="S776" s="42">
        <v>1</v>
      </c>
      <c r="T776" s="10">
        <f>IFERROR(ROUND((Q776/R776),2),"NA")</f>
        <v>0</v>
      </c>
      <c r="U776">
        <f t="shared" si="12"/>
        <v>0</v>
      </c>
    </row>
    <row r="777" spans="7:21" x14ac:dyDescent="0.2">
      <c r="G777" s="9" t="s">
        <v>927</v>
      </c>
      <c r="H777">
        <v>129</v>
      </c>
      <c r="M777" s="1" t="s">
        <v>927</v>
      </c>
      <c r="N777" s="1">
        <v>580</v>
      </c>
      <c r="P777" s="1" t="s">
        <v>927</v>
      </c>
      <c r="Q777" s="42">
        <v>129</v>
      </c>
      <c r="R777" s="42">
        <v>580</v>
      </c>
      <c r="S777" s="42">
        <v>0</v>
      </c>
      <c r="T777" s="10">
        <f>IFERROR(ROUND((Q777/R777),2),"NA")</f>
        <v>0.22</v>
      </c>
      <c r="U777">
        <f t="shared" si="12"/>
        <v>0</v>
      </c>
    </row>
    <row r="778" spans="7:21" x14ac:dyDescent="0.2">
      <c r="G778" s="9" t="s">
        <v>916</v>
      </c>
      <c r="H778">
        <v>100</v>
      </c>
      <c r="M778" s="1" t="s">
        <v>916</v>
      </c>
      <c r="N778" s="1">
        <v>53</v>
      </c>
      <c r="P778" s="1" t="s">
        <v>916</v>
      </c>
      <c r="Q778" s="42">
        <v>100</v>
      </c>
      <c r="R778" s="42">
        <v>53</v>
      </c>
      <c r="S778" s="42">
        <v>0</v>
      </c>
      <c r="T778" s="10">
        <f>IFERROR(ROUND((Q778/R778),2),"NA")</f>
        <v>1.89</v>
      </c>
      <c r="U778">
        <f t="shared" si="12"/>
        <v>0</v>
      </c>
    </row>
    <row r="779" spans="7:21" x14ac:dyDescent="0.2">
      <c r="G779" s="9" t="s">
        <v>303</v>
      </c>
      <c r="H779">
        <v>0</v>
      </c>
      <c r="M779" s="1" t="s">
        <v>303</v>
      </c>
      <c r="N779" s="1">
        <v>15</v>
      </c>
      <c r="P779" s="1" t="s">
        <v>303</v>
      </c>
      <c r="Q779" s="42">
        <v>0</v>
      </c>
      <c r="R779" s="42">
        <v>15</v>
      </c>
      <c r="S779" s="42">
        <v>1</v>
      </c>
      <c r="T779" s="10">
        <f>IFERROR(ROUND((Q779/R779),2),"NA")</f>
        <v>0</v>
      </c>
      <c r="U779">
        <f t="shared" si="12"/>
        <v>0</v>
      </c>
    </row>
    <row r="780" spans="7:21" x14ac:dyDescent="0.2">
      <c r="G780" s="9" t="s">
        <v>1341</v>
      </c>
      <c r="H780">
        <v>40</v>
      </c>
      <c r="M780" s="1" t="s">
        <v>1341</v>
      </c>
      <c r="N780" s="1">
        <v>400</v>
      </c>
      <c r="P780" s="1" t="s">
        <v>1341</v>
      </c>
      <c r="Q780" s="42">
        <v>40</v>
      </c>
      <c r="R780" s="42">
        <v>400</v>
      </c>
      <c r="S780" s="42">
        <v>0</v>
      </c>
      <c r="T780" s="10">
        <f>IFERROR(ROUND((Q780/R780),2),"NA")</f>
        <v>0.1</v>
      </c>
      <c r="U780">
        <f t="shared" si="12"/>
        <v>0</v>
      </c>
    </row>
    <row r="781" spans="7:21" x14ac:dyDescent="0.2">
      <c r="G781" s="9" t="s">
        <v>721</v>
      </c>
      <c r="H781">
        <v>339</v>
      </c>
      <c r="M781" s="1" t="s">
        <v>721</v>
      </c>
      <c r="N781" s="1">
        <v>448</v>
      </c>
      <c r="P781" s="1" t="s">
        <v>721</v>
      </c>
      <c r="Q781" s="42">
        <v>339</v>
      </c>
      <c r="R781" s="42">
        <v>448</v>
      </c>
      <c r="S781" s="42">
        <v>0.17</v>
      </c>
      <c r="T781" s="10">
        <f>IFERROR(ROUND((Q781/R781),2),"NA")</f>
        <v>0.76</v>
      </c>
      <c r="U781">
        <f t="shared" si="12"/>
        <v>57.63</v>
      </c>
    </row>
    <row r="782" spans="7:21" x14ac:dyDescent="0.2">
      <c r="G782" s="9" t="s">
        <v>621</v>
      </c>
      <c r="H782">
        <v>0</v>
      </c>
      <c r="M782" s="1" t="s">
        <v>621</v>
      </c>
      <c r="N782" s="1">
        <v>391</v>
      </c>
      <c r="P782" s="1" t="s">
        <v>621</v>
      </c>
      <c r="Q782" s="42">
        <v>0</v>
      </c>
      <c r="R782" s="42">
        <v>391</v>
      </c>
      <c r="S782" s="42">
        <v>0.2</v>
      </c>
      <c r="T782" s="10">
        <f>IFERROR(ROUND((Q782/R782),2),"NA")</f>
        <v>0</v>
      </c>
      <c r="U782">
        <f t="shared" si="12"/>
        <v>0</v>
      </c>
    </row>
    <row r="783" spans="7:21" x14ac:dyDescent="0.2">
      <c r="G783" s="9" t="s">
        <v>1193</v>
      </c>
      <c r="H783">
        <v>45</v>
      </c>
      <c r="M783" s="1" t="s">
        <v>1193</v>
      </c>
      <c r="N783" s="1">
        <v>19</v>
      </c>
      <c r="P783" s="1" t="s">
        <v>1193</v>
      </c>
      <c r="Q783" s="42">
        <v>45</v>
      </c>
      <c r="R783" s="42">
        <v>19</v>
      </c>
      <c r="S783" s="42">
        <v>0.25</v>
      </c>
      <c r="T783" s="10">
        <f>IFERROR(ROUND((Q783/R783),2),"NA")</f>
        <v>2.37</v>
      </c>
      <c r="U783">
        <f t="shared" si="12"/>
        <v>11.25</v>
      </c>
    </row>
    <row r="784" spans="7:21" x14ac:dyDescent="0.2">
      <c r="G784" s="9" t="s">
        <v>1918</v>
      </c>
      <c r="H784">
        <v>59</v>
      </c>
      <c r="M784" s="1" t="s">
        <v>1918</v>
      </c>
      <c r="N784" s="1">
        <v>60</v>
      </c>
      <c r="P784" s="1" t="s">
        <v>1918</v>
      </c>
      <c r="Q784" s="42">
        <v>59</v>
      </c>
      <c r="R784" s="42">
        <v>60</v>
      </c>
      <c r="S784" s="42">
        <v>0.22</v>
      </c>
      <c r="T784" s="10">
        <f>IFERROR(ROUND((Q784/R784),2),"NA")</f>
        <v>0.98</v>
      </c>
      <c r="U784">
        <f t="shared" si="12"/>
        <v>12.98</v>
      </c>
    </row>
    <row r="785" spans="7:21" x14ac:dyDescent="0.2">
      <c r="G785" s="9" t="s">
        <v>1570</v>
      </c>
      <c r="H785">
        <v>142</v>
      </c>
      <c r="M785" s="1" t="s">
        <v>1570</v>
      </c>
      <c r="N785" s="1">
        <v>87</v>
      </c>
      <c r="P785" s="1" t="s">
        <v>1570</v>
      </c>
      <c r="Q785" s="42">
        <v>142</v>
      </c>
      <c r="R785" s="42">
        <v>87</v>
      </c>
      <c r="S785" s="42">
        <v>0.15</v>
      </c>
      <c r="T785" s="10">
        <f>IFERROR(ROUND((Q785/R785),2),"NA")</f>
        <v>1.63</v>
      </c>
      <c r="U785">
        <f t="shared" si="12"/>
        <v>21.3</v>
      </c>
    </row>
    <row r="786" spans="7:21" x14ac:dyDescent="0.2">
      <c r="G786" s="9" t="s">
        <v>138</v>
      </c>
      <c r="H786">
        <v>1600</v>
      </c>
      <c r="M786" s="1" t="s">
        <v>138</v>
      </c>
      <c r="N786" s="1">
        <v>19800</v>
      </c>
      <c r="P786" s="1" t="s">
        <v>138</v>
      </c>
      <c r="Q786" s="42">
        <v>1600</v>
      </c>
      <c r="R786" s="42">
        <v>19800</v>
      </c>
      <c r="S786" s="42">
        <v>0.08</v>
      </c>
      <c r="T786" s="10">
        <f>IFERROR(ROUND((Q786/R786),2),"NA")</f>
        <v>0.08</v>
      </c>
      <c r="U786">
        <f t="shared" si="12"/>
        <v>128</v>
      </c>
    </row>
    <row r="787" spans="7:21" x14ac:dyDescent="0.2">
      <c r="G787" s="9" t="s">
        <v>1015</v>
      </c>
      <c r="H787">
        <v>60</v>
      </c>
      <c r="M787" s="1" t="s">
        <v>1015</v>
      </c>
      <c r="N787" s="1">
        <v>288</v>
      </c>
      <c r="P787" s="1" t="s">
        <v>1015</v>
      </c>
      <c r="Q787" s="42">
        <v>60</v>
      </c>
      <c r="R787" s="42">
        <v>288</v>
      </c>
      <c r="S787" s="42">
        <v>0.1</v>
      </c>
      <c r="T787" s="10">
        <f>IFERROR(ROUND((Q787/R787),2),"NA")</f>
        <v>0.21</v>
      </c>
      <c r="U787">
        <f t="shared" si="12"/>
        <v>6</v>
      </c>
    </row>
    <row r="788" spans="7:21" x14ac:dyDescent="0.2">
      <c r="G788" s="9" t="s">
        <v>2128</v>
      </c>
      <c r="H788">
        <v>7</v>
      </c>
      <c r="M788" s="1" t="s">
        <v>2128</v>
      </c>
      <c r="N788" s="1">
        <v>26</v>
      </c>
      <c r="P788" s="1" t="s">
        <v>2128</v>
      </c>
      <c r="Q788" s="42">
        <v>7</v>
      </c>
      <c r="R788" s="42">
        <v>26</v>
      </c>
      <c r="S788" s="42">
        <v>0</v>
      </c>
      <c r="T788" s="10">
        <f>IFERROR(ROUND((Q788/R788),2),"NA")</f>
        <v>0.27</v>
      </c>
      <c r="U788">
        <f t="shared" si="12"/>
        <v>0</v>
      </c>
    </row>
    <row r="789" spans="7:21" x14ac:dyDescent="0.2">
      <c r="G789" s="9" t="s">
        <v>1447</v>
      </c>
      <c r="H789">
        <v>24</v>
      </c>
      <c r="M789" s="1" t="s">
        <v>1447</v>
      </c>
      <c r="N789" s="1">
        <v>100</v>
      </c>
      <c r="P789" s="1" t="s">
        <v>1447</v>
      </c>
      <c r="Q789" s="42">
        <v>24</v>
      </c>
      <c r="R789" s="42">
        <v>100</v>
      </c>
      <c r="S789" s="42">
        <v>0.03</v>
      </c>
      <c r="T789" s="10">
        <f>IFERROR(ROUND((Q789/R789),2),"NA")</f>
        <v>0.24</v>
      </c>
      <c r="U789">
        <f t="shared" si="12"/>
        <v>0.72</v>
      </c>
    </row>
    <row r="790" spans="7:21" x14ac:dyDescent="0.2">
      <c r="G790" s="9" t="s">
        <v>1984</v>
      </c>
      <c r="H790">
        <v>0</v>
      </c>
      <c r="M790" s="1" t="s">
        <v>1984</v>
      </c>
      <c r="N790" s="1">
        <v>122</v>
      </c>
      <c r="P790" s="1" t="s">
        <v>1984</v>
      </c>
      <c r="Q790" s="42">
        <v>0</v>
      </c>
      <c r="R790" s="42">
        <v>122</v>
      </c>
      <c r="S790" s="42">
        <v>0</v>
      </c>
      <c r="T790" s="10">
        <f>IFERROR(ROUND((Q790/R790),2),"NA")</f>
        <v>0</v>
      </c>
      <c r="U790">
        <f t="shared" si="12"/>
        <v>0</v>
      </c>
    </row>
    <row r="791" spans="7:21" x14ac:dyDescent="0.2">
      <c r="G791" s="9" t="s">
        <v>1145</v>
      </c>
      <c r="H791">
        <v>300</v>
      </c>
      <c r="M791" s="1" t="s">
        <v>1145</v>
      </c>
      <c r="N791" s="1">
        <v>0</v>
      </c>
      <c r="P791" s="1" t="s">
        <v>1145</v>
      </c>
      <c r="Q791" s="42">
        <v>300</v>
      </c>
      <c r="R791" s="42">
        <v>0</v>
      </c>
      <c r="S791" s="42">
        <v>0</v>
      </c>
      <c r="T791" s="10" t="str">
        <f>IFERROR(ROUND((Q791/R791),2),"NA")</f>
        <v>NA</v>
      </c>
      <c r="U791">
        <f t="shared" si="12"/>
        <v>0</v>
      </c>
    </row>
    <row r="792" spans="7:21" x14ac:dyDescent="0.2">
      <c r="G792" s="9" t="s">
        <v>971</v>
      </c>
      <c r="H792">
        <v>0</v>
      </c>
      <c r="M792" s="1" t="s">
        <v>971</v>
      </c>
      <c r="N792" s="1">
        <v>0</v>
      </c>
      <c r="P792" s="1" t="s">
        <v>971</v>
      </c>
      <c r="Q792" s="42">
        <v>0</v>
      </c>
      <c r="R792" s="42">
        <v>0</v>
      </c>
      <c r="S792" s="42">
        <v>1</v>
      </c>
      <c r="T792" s="10" t="str">
        <f>IFERROR(ROUND((Q792/R792),2),"NA")</f>
        <v>NA</v>
      </c>
      <c r="U792">
        <f t="shared" si="12"/>
        <v>0</v>
      </c>
    </row>
    <row r="793" spans="7:21" x14ac:dyDescent="0.2">
      <c r="G793" s="9" t="s">
        <v>2792</v>
      </c>
      <c r="H793">
        <v>400</v>
      </c>
      <c r="M793" s="1" t="s">
        <v>2792</v>
      </c>
      <c r="N793" s="1">
        <v>319</v>
      </c>
      <c r="P793" s="1" t="s">
        <v>2792</v>
      </c>
      <c r="Q793" s="42">
        <v>400</v>
      </c>
      <c r="R793" s="42">
        <v>319</v>
      </c>
      <c r="S793" s="42">
        <v>0.44</v>
      </c>
      <c r="T793" s="10">
        <f>IFERROR(ROUND((Q793/R793),2),"NA")</f>
        <v>1.25</v>
      </c>
      <c r="U793">
        <f t="shared" si="12"/>
        <v>176</v>
      </c>
    </row>
    <row r="794" spans="7:21" x14ac:dyDescent="0.2">
      <c r="G794" s="9" t="s">
        <v>895</v>
      </c>
      <c r="H794">
        <v>45</v>
      </c>
      <c r="M794" s="1" t="s">
        <v>895</v>
      </c>
      <c r="N794" s="1">
        <v>117</v>
      </c>
      <c r="P794" s="1" t="s">
        <v>895</v>
      </c>
      <c r="Q794" s="42">
        <v>45</v>
      </c>
      <c r="R794" s="42">
        <v>117</v>
      </c>
      <c r="S794" s="42">
        <v>0.28000000000000003</v>
      </c>
      <c r="T794" s="10">
        <f>IFERROR(ROUND((Q794/R794),2),"NA")</f>
        <v>0.38</v>
      </c>
      <c r="U794">
        <f t="shared" si="12"/>
        <v>12.600000000000001</v>
      </c>
    </row>
    <row r="795" spans="7:21" x14ac:dyDescent="0.2">
      <c r="G795" s="9" t="s">
        <v>597</v>
      </c>
      <c r="H795">
        <v>843</v>
      </c>
      <c r="M795" s="1" t="s">
        <v>597</v>
      </c>
      <c r="N795" s="1">
        <v>0</v>
      </c>
      <c r="P795" s="1" t="s">
        <v>597</v>
      </c>
      <c r="Q795" s="42">
        <v>843</v>
      </c>
      <c r="R795" s="42">
        <v>0</v>
      </c>
      <c r="S795" s="42">
        <v>0.04</v>
      </c>
      <c r="T795" s="10" t="str">
        <f>IFERROR(ROUND((Q795/R795),2),"NA")</f>
        <v>NA</v>
      </c>
      <c r="U795">
        <f t="shared" si="12"/>
        <v>33.72</v>
      </c>
    </row>
    <row r="796" spans="7:21" x14ac:dyDescent="0.2">
      <c r="G796" s="9" t="s">
        <v>2882</v>
      </c>
      <c r="H796">
        <v>80</v>
      </c>
      <c r="M796" s="1" t="s">
        <v>2882</v>
      </c>
      <c r="N796" s="1">
        <v>48</v>
      </c>
      <c r="P796" s="1" t="s">
        <v>2882</v>
      </c>
      <c r="Q796" s="42">
        <v>80</v>
      </c>
      <c r="R796" s="42">
        <v>48</v>
      </c>
      <c r="S796" s="42">
        <v>0.2</v>
      </c>
      <c r="T796" s="10">
        <f>IFERROR(ROUND((Q796/R796),2),"NA")</f>
        <v>1.67</v>
      </c>
      <c r="U796">
        <f t="shared" si="12"/>
        <v>16</v>
      </c>
    </row>
    <row r="797" spans="7:21" x14ac:dyDescent="0.2">
      <c r="G797" s="9" t="s">
        <v>854</v>
      </c>
      <c r="H797">
        <v>13</v>
      </c>
      <c r="M797" s="1" t="s">
        <v>854</v>
      </c>
      <c r="N797" s="1">
        <v>12</v>
      </c>
      <c r="P797" s="1" t="s">
        <v>854</v>
      </c>
      <c r="Q797" s="42">
        <v>13</v>
      </c>
      <c r="R797" s="42">
        <v>12</v>
      </c>
      <c r="S797" s="42">
        <v>0.09</v>
      </c>
      <c r="T797" s="10">
        <f>IFERROR(ROUND((Q797/R797),2),"NA")</f>
        <v>1.08</v>
      </c>
      <c r="U797">
        <f t="shared" si="12"/>
        <v>1.17</v>
      </c>
    </row>
    <row r="798" spans="7:21" x14ac:dyDescent="0.2">
      <c r="G798" s="9" t="s">
        <v>169</v>
      </c>
      <c r="H798">
        <v>150</v>
      </c>
      <c r="M798" s="1" t="s">
        <v>169</v>
      </c>
      <c r="N798" s="1">
        <v>672</v>
      </c>
      <c r="P798" s="1" t="s">
        <v>169</v>
      </c>
      <c r="Q798" s="42">
        <v>150</v>
      </c>
      <c r="R798" s="42">
        <v>672</v>
      </c>
      <c r="S798" s="42">
        <v>0.27500000000000002</v>
      </c>
      <c r="T798" s="10">
        <f>IFERROR(ROUND((Q798/R798),2),"NA")</f>
        <v>0.22</v>
      </c>
      <c r="U798">
        <f t="shared" si="12"/>
        <v>41.25</v>
      </c>
    </row>
    <row r="799" spans="7:21" x14ac:dyDescent="0.2">
      <c r="G799" s="9" t="s">
        <v>2462</v>
      </c>
      <c r="H799">
        <v>260</v>
      </c>
      <c r="M799" s="1" t="s">
        <v>2462</v>
      </c>
      <c r="N799" s="1">
        <v>502</v>
      </c>
      <c r="P799" s="1" t="s">
        <v>2462</v>
      </c>
      <c r="Q799" s="42">
        <v>260</v>
      </c>
      <c r="R799" s="42">
        <v>502</v>
      </c>
      <c r="S799" s="42">
        <v>0.3</v>
      </c>
      <c r="T799" s="10">
        <f>IFERROR(ROUND((Q799/R799),2),"NA")</f>
        <v>0.52</v>
      </c>
      <c r="U799">
        <f t="shared" si="12"/>
        <v>78</v>
      </c>
    </row>
    <row r="800" spans="7:21" x14ac:dyDescent="0.2">
      <c r="G800" s="9" t="s">
        <v>904</v>
      </c>
      <c r="H800">
        <v>20</v>
      </c>
      <c r="M800" s="1" t="s">
        <v>904</v>
      </c>
      <c r="N800" s="1">
        <v>220</v>
      </c>
      <c r="P800" s="1" t="s">
        <v>904</v>
      </c>
      <c r="Q800" s="42">
        <v>20</v>
      </c>
      <c r="R800" s="42">
        <v>220</v>
      </c>
      <c r="S800" s="42">
        <v>0</v>
      </c>
      <c r="T800" s="10">
        <f>IFERROR(ROUND((Q800/R800),2),"NA")</f>
        <v>0.09</v>
      </c>
      <c r="U800">
        <f t="shared" si="12"/>
        <v>0</v>
      </c>
    </row>
    <row r="801" spans="7:21" x14ac:dyDescent="0.2">
      <c r="G801" s="9" t="s">
        <v>609</v>
      </c>
      <c r="H801">
        <v>334</v>
      </c>
      <c r="M801" s="1" t="s">
        <v>609</v>
      </c>
      <c r="N801" s="1">
        <v>3400</v>
      </c>
      <c r="P801" s="1" t="s">
        <v>609</v>
      </c>
      <c r="Q801" s="42">
        <v>334</v>
      </c>
      <c r="R801" s="42">
        <v>3400</v>
      </c>
      <c r="S801" s="42">
        <v>0.13500000000000001</v>
      </c>
      <c r="T801" s="10">
        <f>IFERROR(ROUND((Q801/R801),2),"NA")</f>
        <v>0.1</v>
      </c>
      <c r="U801">
        <f t="shared" si="12"/>
        <v>45.09</v>
      </c>
    </row>
    <row r="802" spans="7:21" x14ac:dyDescent="0.2">
      <c r="G802" s="9" t="s">
        <v>841</v>
      </c>
      <c r="H802">
        <v>18</v>
      </c>
      <c r="M802" s="1" t="s">
        <v>841</v>
      </c>
      <c r="N802" s="1">
        <v>84</v>
      </c>
      <c r="P802" s="1" t="s">
        <v>841</v>
      </c>
      <c r="Q802" s="42">
        <v>18</v>
      </c>
      <c r="R802" s="42">
        <v>84</v>
      </c>
      <c r="S802" s="42">
        <v>0</v>
      </c>
      <c r="T802" s="10">
        <f>IFERROR(ROUND((Q802/R802),2),"NA")</f>
        <v>0.21</v>
      </c>
      <c r="U802">
        <f t="shared" si="12"/>
        <v>0</v>
      </c>
    </row>
    <row r="803" spans="7:21" x14ac:dyDescent="0.2">
      <c r="G803" s="9" t="s">
        <v>1217</v>
      </c>
      <c r="H803">
        <v>100</v>
      </c>
      <c r="M803" s="1" t="s">
        <v>1217</v>
      </c>
      <c r="N803" s="1">
        <v>50</v>
      </c>
      <c r="P803" s="1" t="s">
        <v>1217</v>
      </c>
      <c r="Q803" s="42">
        <v>100</v>
      </c>
      <c r="R803" s="42">
        <v>50</v>
      </c>
      <c r="S803" s="42">
        <v>0.75</v>
      </c>
      <c r="T803" s="10">
        <f>IFERROR(ROUND((Q803/R803),2),"NA")</f>
        <v>2</v>
      </c>
      <c r="U803">
        <f t="shared" si="12"/>
        <v>75</v>
      </c>
    </row>
    <row r="804" spans="7:21" x14ac:dyDescent="0.2">
      <c r="G804" s="9" t="s">
        <v>1537</v>
      </c>
      <c r="H804">
        <v>0</v>
      </c>
      <c r="M804" s="1" t="s">
        <v>1537</v>
      </c>
      <c r="N804" s="1">
        <v>290</v>
      </c>
      <c r="P804" s="1" t="s">
        <v>1537</v>
      </c>
      <c r="Q804" s="42">
        <v>0</v>
      </c>
      <c r="R804" s="42">
        <v>290</v>
      </c>
      <c r="S804" s="42">
        <v>0.14000000000000001</v>
      </c>
      <c r="T804" s="10">
        <f>IFERROR(ROUND((Q804/R804),2),"NA")</f>
        <v>0</v>
      </c>
      <c r="U804">
        <f t="shared" si="12"/>
        <v>0</v>
      </c>
    </row>
    <row r="805" spans="7:21" x14ac:dyDescent="0.2">
      <c r="G805" s="9" t="s">
        <v>2910</v>
      </c>
      <c r="H805">
        <v>200</v>
      </c>
      <c r="M805" s="1" t="s">
        <v>2910</v>
      </c>
      <c r="N805" s="1">
        <v>0</v>
      </c>
      <c r="P805" s="1" t="s">
        <v>2910</v>
      </c>
      <c r="Q805" s="42">
        <v>200</v>
      </c>
      <c r="R805" s="42">
        <v>0</v>
      </c>
      <c r="S805" s="42">
        <v>0</v>
      </c>
      <c r="T805" s="10" t="str">
        <f>IFERROR(ROUND((Q805/R805),2),"NA")</f>
        <v>NA</v>
      </c>
      <c r="U805">
        <f t="shared" si="12"/>
        <v>0</v>
      </c>
    </row>
    <row r="806" spans="7:21" x14ac:dyDescent="0.2">
      <c r="G806" s="9" t="s">
        <v>1429</v>
      </c>
      <c r="H806">
        <v>340</v>
      </c>
      <c r="M806" s="1" t="s">
        <v>1429</v>
      </c>
      <c r="N806" s="1">
        <v>300</v>
      </c>
      <c r="P806" s="1" t="s">
        <v>1429</v>
      </c>
      <c r="Q806" s="42">
        <v>340</v>
      </c>
      <c r="R806" s="42">
        <v>300</v>
      </c>
      <c r="S806" s="42">
        <v>0.3</v>
      </c>
      <c r="T806" s="10">
        <f>IFERROR(ROUND((Q806/R806),2),"NA")</f>
        <v>1.1299999999999999</v>
      </c>
      <c r="U806">
        <f t="shared" si="12"/>
        <v>102</v>
      </c>
    </row>
    <row r="807" spans="7:21" x14ac:dyDescent="0.2">
      <c r="G807" s="9" t="s">
        <v>285</v>
      </c>
      <c r="H807">
        <v>2000</v>
      </c>
      <c r="M807" s="1" t="s">
        <v>285</v>
      </c>
      <c r="N807" s="1">
        <v>1700</v>
      </c>
      <c r="P807" s="1" t="s">
        <v>285</v>
      </c>
      <c r="Q807" s="42">
        <v>2000</v>
      </c>
      <c r="R807" s="42">
        <v>1700</v>
      </c>
      <c r="S807" s="42">
        <v>0.25</v>
      </c>
      <c r="T807" s="10">
        <f>IFERROR(ROUND((Q807/R807),2),"NA")</f>
        <v>1.18</v>
      </c>
      <c r="U807">
        <f t="shared" si="12"/>
        <v>500</v>
      </c>
    </row>
    <row r="808" spans="7:21" x14ac:dyDescent="0.2">
      <c r="G808" s="9" t="s">
        <v>404</v>
      </c>
      <c r="H808">
        <v>0</v>
      </c>
      <c r="M808" s="1" t="s">
        <v>404</v>
      </c>
      <c r="N808" s="1">
        <v>153</v>
      </c>
      <c r="P808" s="1" t="s">
        <v>404</v>
      </c>
      <c r="Q808" s="42">
        <v>0</v>
      </c>
      <c r="R808" s="42">
        <v>153</v>
      </c>
      <c r="S808" s="42">
        <v>0</v>
      </c>
      <c r="T808" s="10">
        <f>IFERROR(ROUND((Q808/R808),2),"NA")</f>
        <v>0</v>
      </c>
      <c r="U808">
        <f t="shared" si="12"/>
        <v>0</v>
      </c>
    </row>
    <row r="809" spans="7:21" x14ac:dyDescent="0.2">
      <c r="G809" s="9" t="s">
        <v>2469</v>
      </c>
      <c r="H809">
        <v>0</v>
      </c>
      <c r="M809" s="1" t="s">
        <v>2469</v>
      </c>
      <c r="N809" s="1">
        <v>124</v>
      </c>
      <c r="P809" s="1" t="s">
        <v>2469</v>
      </c>
      <c r="Q809" s="42">
        <v>0</v>
      </c>
      <c r="R809" s="42">
        <v>124</v>
      </c>
      <c r="S809" s="42">
        <v>1</v>
      </c>
      <c r="T809" s="10">
        <f>IFERROR(ROUND((Q809/R809),2),"NA")</f>
        <v>0</v>
      </c>
      <c r="U809">
        <f t="shared" si="12"/>
        <v>0</v>
      </c>
    </row>
    <row r="810" spans="7:21" x14ac:dyDescent="0.2">
      <c r="G810" s="9" t="s">
        <v>1637</v>
      </c>
      <c r="H810">
        <v>315</v>
      </c>
      <c r="M810" s="1" t="s">
        <v>1637</v>
      </c>
      <c r="N810" s="1">
        <v>1200</v>
      </c>
      <c r="P810" s="1" t="s">
        <v>1637</v>
      </c>
      <c r="Q810" s="42">
        <v>315</v>
      </c>
      <c r="R810" s="42">
        <v>1200</v>
      </c>
      <c r="S810" s="42">
        <v>0</v>
      </c>
      <c r="T810" s="10">
        <f>IFERROR(ROUND((Q810/R810),2),"NA")</f>
        <v>0.26</v>
      </c>
      <c r="U810">
        <f t="shared" si="12"/>
        <v>0</v>
      </c>
    </row>
    <row r="811" spans="7:21" x14ac:dyDescent="0.2">
      <c r="G811" s="9" t="s">
        <v>2395</v>
      </c>
      <c r="H811">
        <v>170</v>
      </c>
      <c r="M811" s="1" t="s">
        <v>2395</v>
      </c>
      <c r="N811" s="1">
        <v>31</v>
      </c>
      <c r="P811" s="1" t="s">
        <v>2395</v>
      </c>
      <c r="Q811" s="42">
        <v>170</v>
      </c>
      <c r="R811" s="42">
        <v>31</v>
      </c>
      <c r="S811" s="42">
        <v>0</v>
      </c>
      <c r="T811" s="10">
        <f>IFERROR(ROUND((Q811/R811),2),"NA")</f>
        <v>5.48</v>
      </c>
      <c r="U811">
        <f t="shared" si="12"/>
        <v>0</v>
      </c>
    </row>
    <row r="812" spans="7:21" x14ac:dyDescent="0.2">
      <c r="G812" s="9" t="s">
        <v>1903</v>
      </c>
      <c r="H812">
        <v>0</v>
      </c>
      <c r="M812" s="1" t="s">
        <v>1903</v>
      </c>
      <c r="N812" s="1">
        <v>81</v>
      </c>
      <c r="P812" s="1" t="s">
        <v>1903</v>
      </c>
      <c r="Q812" s="42">
        <v>0</v>
      </c>
      <c r="R812" s="42">
        <v>81</v>
      </c>
      <c r="S812" s="42">
        <v>1</v>
      </c>
      <c r="T812" s="10">
        <f>IFERROR(ROUND((Q812/R812),2),"NA")</f>
        <v>0</v>
      </c>
      <c r="U812">
        <f t="shared" si="12"/>
        <v>0</v>
      </c>
    </row>
    <row r="813" spans="7:21" x14ac:dyDescent="0.2">
      <c r="G813" s="9" t="s">
        <v>2319</v>
      </c>
      <c r="H813">
        <v>0</v>
      </c>
      <c r="M813" s="1" t="s">
        <v>2319</v>
      </c>
      <c r="N813" s="1">
        <v>76</v>
      </c>
      <c r="P813" s="1" t="s">
        <v>2319</v>
      </c>
      <c r="Q813" s="42">
        <v>0</v>
      </c>
      <c r="R813" s="42">
        <v>76</v>
      </c>
      <c r="S813" s="42">
        <v>0</v>
      </c>
      <c r="T813" s="10">
        <f>IFERROR(ROUND((Q813/R813),2),"NA")</f>
        <v>0</v>
      </c>
      <c r="U813">
        <f t="shared" si="12"/>
        <v>0</v>
      </c>
    </row>
    <row r="814" spans="7:21" x14ac:dyDescent="0.2">
      <c r="G814" s="9" t="s">
        <v>1487</v>
      </c>
      <c r="H814">
        <v>0</v>
      </c>
      <c r="M814" s="1" t="s">
        <v>1487</v>
      </c>
      <c r="N814" s="1">
        <v>273</v>
      </c>
      <c r="P814" s="1" t="s">
        <v>1487</v>
      </c>
      <c r="Q814" s="42">
        <v>0</v>
      </c>
      <c r="R814" s="42">
        <v>273</v>
      </c>
      <c r="S814" s="42">
        <v>0</v>
      </c>
      <c r="T814" s="10">
        <f>IFERROR(ROUND((Q814/R814),2),"NA")</f>
        <v>0</v>
      </c>
      <c r="U814">
        <f t="shared" si="12"/>
        <v>0</v>
      </c>
    </row>
    <row r="815" spans="7:21" x14ac:dyDescent="0.2">
      <c r="G815" s="9" t="s">
        <v>1071</v>
      </c>
      <c r="H815">
        <v>0</v>
      </c>
      <c r="M815" s="1" t="s">
        <v>1071</v>
      </c>
      <c r="N815" s="1">
        <v>0</v>
      </c>
      <c r="P815" s="1" t="s">
        <v>1071</v>
      </c>
      <c r="Q815" s="42">
        <v>0</v>
      </c>
      <c r="R815" s="42">
        <v>0</v>
      </c>
      <c r="S815" s="42">
        <v>1</v>
      </c>
      <c r="T815" s="10" t="str">
        <f>IFERROR(ROUND((Q815/R815),2),"NA")</f>
        <v>NA</v>
      </c>
      <c r="U815">
        <f t="shared" si="12"/>
        <v>0</v>
      </c>
    </row>
    <row r="816" spans="7:21" x14ac:dyDescent="0.2">
      <c r="G816" s="9" t="s">
        <v>1275</v>
      </c>
      <c r="H816">
        <v>100</v>
      </c>
      <c r="M816" s="1" t="s">
        <v>1275</v>
      </c>
      <c r="N816" s="1">
        <v>581</v>
      </c>
      <c r="P816" s="1" t="s">
        <v>1275</v>
      </c>
      <c r="Q816" s="42">
        <v>100</v>
      </c>
      <c r="R816" s="42">
        <v>581</v>
      </c>
      <c r="S816" s="42">
        <v>0.1</v>
      </c>
      <c r="T816" s="10">
        <f>IFERROR(ROUND((Q816/R816),2),"NA")</f>
        <v>0.17</v>
      </c>
      <c r="U816">
        <f t="shared" si="12"/>
        <v>10</v>
      </c>
    </row>
    <row r="817" spans="7:21" x14ac:dyDescent="0.2">
      <c r="G817" s="9" t="s">
        <v>696</v>
      </c>
      <c r="H817">
        <v>30</v>
      </c>
      <c r="M817" s="1" t="s">
        <v>696</v>
      </c>
      <c r="N817" s="1">
        <v>137</v>
      </c>
      <c r="P817" s="1" t="s">
        <v>696</v>
      </c>
      <c r="Q817" s="42">
        <v>30</v>
      </c>
      <c r="R817" s="42">
        <v>137</v>
      </c>
      <c r="S817" s="42">
        <v>0.1</v>
      </c>
      <c r="T817" s="10">
        <f>IFERROR(ROUND((Q817/R817),2),"NA")</f>
        <v>0.22</v>
      </c>
      <c r="U817">
        <f t="shared" si="12"/>
        <v>3</v>
      </c>
    </row>
    <row r="818" spans="7:21" x14ac:dyDescent="0.2">
      <c r="G818" s="9" t="s">
        <v>1948</v>
      </c>
      <c r="H818">
        <v>100</v>
      </c>
      <c r="M818" s="1" t="s">
        <v>1948</v>
      </c>
      <c r="N818" s="1">
        <v>35</v>
      </c>
      <c r="P818" s="1" t="s">
        <v>1948</v>
      </c>
      <c r="Q818" s="42">
        <v>100</v>
      </c>
      <c r="R818" s="42">
        <v>35</v>
      </c>
      <c r="S818" s="42">
        <v>1</v>
      </c>
      <c r="T818" s="10">
        <f>IFERROR(ROUND((Q818/R818),2),"NA")</f>
        <v>2.86</v>
      </c>
      <c r="U818">
        <f t="shared" si="12"/>
        <v>100</v>
      </c>
    </row>
    <row r="819" spans="7:21" x14ac:dyDescent="0.2">
      <c r="G819" s="9" t="s">
        <v>869</v>
      </c>
      <c r="H819">
        <v>90</v>
      </c>
      <c r="M819" s="1" t="s">
        <v>869</v>
      </c>
      <c r="N819" s="1">
        <v>1500</v>
      </c>
      <c r="P819" s="1" t="s">
        <v>869</v>
      </c>
      <c r="Q819" s="42">
        <v>90</v>
      </c>
      <c r="R819" s="42">
        <v>1500</v>
      </c>
      <c r="S819" s="42">
        <v>0.2</v>
      </c>
      <c r="T819" s="10">
        <f>IFERROR(ROUND((Q819/R819),2),"NA")</f>
        <v>0.06</v>
      </c>
      <c r="U819">
        <f t="shared" si="12"/>
        <v>18</v>
      </c>
    </row>
    <row r="820" spans="7:21" x14ac:dyDescent="0.2">
      <c r="G820" s="9" t="s">
        <v>1746</v>
      </c>
      <c r="H820">
        <v>0</v>
      </c>
      <c r="M820" s="1" t="s">
        <v>1746</v>
      </c>
      <c r="N820" s="1">
        <v>226</v>
      </c>
      <c r="P820" s="1" t="s">
        <v>1746</v>
      </c>
      <c r="Q820" s="42">
        <v>0</v>
      </c>
      <c r="R820" s="42">
        <v>226</v>
      </c>
      <c r="S820" s="42">
        <v>0</v>
      </c>
      <c r="T820" s="10">
        <f>IFERROR(ROUND((Q820/R820),2),"NA")</f>
        <v>0</v>
      </c>
      <c r="U820">
        <f t="shared" si="12"/>
        <v>0</v>
      </c>
    </row>
    <row r="821" spans="7:21" x14ac:dyDescent="0.2">
      <c r="G821" s="9" t="s">
        <v>536</v>
      </c>
      <c r="H821">
        <v>0</v>
      </c>
      <c r="M821" s="1" t="s">
        <v>536</v>
      </c>
      <c r="N821" s="1">
        <v>0</v>
      </c>
      <c r="P821" s="1" t="s">
        <v>536</v>
      </c>
      <c r="Q821" s="42">
        <v>0</v>
      </c>
      <c r="R821" s="42">
        <v>0</v>
      </c>
      <c r="S821" s="42">
        <v>1</v>
      </c>
      <c r="T821" s="10" t="str">
        <f>IFERROR(ROUND((Q821/R821),2),"NA")</f>
        <v>NA</v>
      </c>
      <c r="U821">
        <f t="shared" si="12"/>
        <v>0</v>
      </c>
    </row>
    <row r="822" spans="7:21" x14ac:dyDescent="0.2">
      <c r="G822" s="9" t="s">
        <v>834</v>
      </c>
      <c r="H822">
        <v>0</v>
      </c>
      <c r="M822" s="1" t="s">
        <v>834</v>
      </c>
      <c r="N822" s="1">
        <v>0</v>
      </c>
      <c r="P822" s="1" t="s">
        <v>834</v>
      </c>
      <c r="Q822" s="42">
        <v>0</v>
      </c>
      <c r="R822" s="42">
        <v>0</v>
      </c>
      <c r="S822" s="42">
        <v>0</v>
      </c>
      <c r="T822" s="10" t="str">
        <f>IFERROR(ROUND((Q822/R822),2),"NA")</f>
        <v>NA</v>
      </c>
      <c r="U822">
        <f t="shared" si="12"/>
        <v>0</v>
      </c>
    </row>
    <row r="823" spans="7:21" x14ac:dyDescent="0.2">
      <c r="G823" s="9" t="s">
        <v>272</v>
      </c>
      <c r="H823">
        <v>100</v>
      </c>
      <c r="M823" s="1" t="s">
        <v>272</v>
      </c>
      <c r="N823" s="1">
        <v>90</v>
      </c>
      <c r="P823" s="1" t="s">
        <v>272</v>
      </c>
      <c r="Q823" s="42">
        <v>100</v>
      </c>
      <c r="R823" s="42">
        <v>90</v>
      </c>
      <c r="S823" s="42">
        <v>0.16</v>
      </c>
      <c r="T823" s="10">
        <f>IFERROR(ROUND((Q823/R823),2),"NA")</f>
        <v>1.1100000000000001</v>
      </c>
      <c r="U823">
        <f t="shared" si="12"/>
        <v>16</v>
      </c>
    </row>
    <row r="824" spans="7:21" x14ac:dyDescent="0.2">
      <c r="G824" s="9" t="s">
        <v>2341</v>
      </c>
      <c r="H824">
        <v>16</v>
      </c>
      <c r="M824" s="1" t="s">
        <v>2341</v>
      </c>
      <c r="N824" s="1">
        <v>49</v>
      </c>
      <c r="P824" s="1" t="s">
        <v>2341</v>
      </c>
      <c r="Q824" s="42">
        <v>16</v>
      </c>
      <c r="R824" s="42">
        <v>49</v>
      </c>
      <c r="S824" s="42">
        <v>0.2</v>
      </c>
      <c r="T824" s="10">
        <f>IFERROR(ROUND((Q824/R824),2),"NA")</f>
        <v>0.33</v>
      </c>
      <c r="U824">
        <f t="shared" si="12"/>
        <v>3.2</v>
      </c>
    </row>
    <row r="825" spans="7:21" x14ac:dyDescent="0.2">
      <c r="G825" s="9" t="s">
        <v>2286</v>
      </c>
      <c r="H825">
        <v>14</v>
      </c>
      <c r="M825" s="1" t="s">
        <v>2286</v>
      </c>
      <c r="N825" s="1">
        <v>22</v>
      </c>
      <c r="P825" s="1" t="s">
        <v>2286</v>
      </c>
      <c r="Q825" s="42">
        <v>14</v>
      </c>
      <c r="R825" s="42">
        <v>22</v>
      </c>
      <c r="S825" s="42">
        <v>0.1</v>
      </c>
      <c r="T825" s="10">
        <f>IFERROR(ROUND((Q825/R825),2),"NA")</f>
        <v>0.64</v>
      </c>
      <c r="U825">
        <f t="shared" si="12"/>
        <v>1.4000000000000001</v>
      </c>
    </row>
    <row r="826" spans="7:21" x14ac:dyDescent="0.2">
      <c r="G826" s="9" t="s">
        <v>569</v>
      </c>
      <c r="H826">
        <v>0</v>
      </c>
      <c r="M826" s="1" t="s">
        <v>569</v>
      </c>
      <c r="N826" s="1">
        <v>91</v>
      </c>
      <c r="P826" s="1" t="s">
        <v>569</v>
      </c>
      <c r="Q826" s="42">
        <v>0</v>
      </c>
      <c r="R826" s="42">
        <v>91</v>
      </c>
      <c r="S826" s="42">
        <v>0</v>
      </c>
      <c r="T826" s="10">
        <f>IFERROR(ROUND((Q826/R826),2),"NA")</f>
        <v>0</v>
      </c>
      <c r="U826">
        <f t="shared" si="12"/>
        <v>0</v>
      </c>
    </row>
    <row r="827" spans="7:21" x14ac:dyDescent="0.2">
      <c r="G827" s="9" t="s">
        <v>1358</v>
      </c>
      <c r="H827">
        <v>0</v>
      </c>
      <c r="M827" s="1" t="s">
        <v>1358</v>
      </c>
      <c r="N827" s="1">
        <v>9</v>
      </c>
      <c r="P827" s="1" t="s">
        <v>1358</v>
      </c>
      <c r="Q827" s="42">
        <v>0</v>
      </c>
      <c r="R827" s="42">
        <v>9</v>
      </c>
      <c r="S827" s="42">
        <v>1</v>
      </c>
      <c r="T827" s="10">
        <f>IFERROR(ROUND((Q827/R827),2),"NA")</f>
        <v>0</v>
      </c>
      <c r="U827">
        <f t="shared" si="12"/>
        <v>0</v>
      </c>
    </row>
    <row r="828" spans="7:21" x14ac:dyDescent="0.2">
      <c r="G828" s="9" t="s">
        <v>316</v>
      </c>
      <c r="H828">
        <v>50</v>
      </c>
      <c r="M828" s="1" t="s">
        <v>316</v>
      </c>
      <c r="N828" s="1">
        <v>2000</v>
      </c>
      <c r="P828" s="1" t="s">
        <v>316</v>
      </c>
      <c r="Q828" s="42">
        <v>50</v>
      </c>
      <c r="R828" s="42">
        <v>2000</v>
      </c>
      <c r="S828" s="42">
        <v>0.04</v>
      </c>
      <c r="T828" s="10">
        <f>IFERROR(ROUND((Q828/R828),2),"NA")</f>
        <v>0.03</v>
      </c>
      <c r="U828">
        <f t="shared" si="12"/>
        <v>2</v>
      </c>
    </row>
    <row r="829" spans="7:21" x14ac:dyDescent="0.2">
      <c r="G829" s="9" t="s">
        <v>2072</v>
      </c>
      <c r="H829">
        <v>0</v>
      </c>
      <c r="M829" s="1" t="s">
        <v>2072</v>
      </c>
      <c r="N829" s="1">
        <v>264</v>
      </c>
      <c r="P829" s="1" t="s">
        <v>2072</v>
      </c>
      <c r="Q829" s="42">
        <v>0</v>
      </c>
      <c r="R829" s="42">
        <v>264</v>
      </c>
      <c r="S829" s="42">
        <v>0</v>
      </c>
      <c r="T829" s="10">
        <f>IFERROR(ROUND((Q829/R829),2),"NA")</f>
        <v>0</v>
      </c>
      <c r="U829">
        <f t="shared" si="12"/>
        <v>0</v>
      </c>
    </row>
    <row r="830" spans="7:21" x14ac:dyDescent="0.2">
      <c r="G830" s="9" t="s">
        <v>1728</v>
      </c>
      <c r="H830">
        <v>0</v>
      </c>
      <c r="M830" s="1" t="s">
        <v>1728</v>
      </c>
      <c r="N830" s="1">
        <v>32</v>
      </c>
      <c r="P830" s="1" t="s">
        <v>1728</v>
      </c>
      <c r="Q830" s="42">
        <v>0</v>
      </c>
      <c r="R830" s="42">
        <v>32</v>
      </c>
      <c r="S830" s="42">
        <v>0</v>
      </c>
      <c r="T830" s="10">
        <f>IFERROR(ROUND((Q830/R830),2),"NA")</f>
        <v>0</v>
      </c>
      <c r="U830">
        <f t="shared" si="12"/>
        <v>0</v>
      </c>
    </row>
    <row r="831" spans="7:21" x14ac:dyDescent="0.2">
      <c r="G831" s="9" t="s">
        <v>1788</v>
      </c>
      <c r="H831">
        <v>0</v>
      </c>
      <c r="M831" s="1" t="s">
        <v>1788</v>
      </c>
      <c r="N831" s="1">
        <v>269</v>
      </c>
      <c r="P831" s="1" t="s">
        <v>1788</v>
      </c>
      <c r="Q831" s="42">
        <v>0</v>
      </c>
      <c r="R831" s="42">
        <v>269</v>
      </c>
      <c r="S831" s="42">
        <v>0.1</v>
      </c>
      <c r="T831" s="10">
        <f>IFERROR(ROUND((Q831/R831),2),"NA")</f>
        <v>0</v>
      </c>
      <c r="U831">
        <f t="shared" si="12"/>
        <v>0</v>
      </c>
    </row>
    <row r="832" spans="7:21" x14ac:dyDescent="0.2">
      <c r="G832" s="9" t="s">
        <v>2004</v>
      </c>
      <c r="H832">
        <v>0</v>
      </c>
      <c r="M832" s="1" t="s">
        <v>2004</v>
      </c>
      <c r="N832" s="1">
        <v>29</v>
      </c>
      <c r="P832" s="1" t="s">
        <v>2004</v>
      </c>
      <c r="Q832" s="42">
        <v>0</v>
      </c>
      <c r="R832" s="42">
        <v>29</v>
      </c>
      <c r="S832" s="42">
        <v>0</v>
      </c>
      <c r="T832" s="10">
        <f>IFERROR(ROUND((Q832/R832),2),"NA")</f>
        <v>0</v>
      </c>
      <c r="U832">
        <f t="shared" si="12"/>
        <v>0</v>
      </c>
    </row>
    <row r="833" spans="7:21" x14ac:dyDescent="0.2">
      <c r="G833" s="9" t="s">
        <v>410</v>
      </c>
      <c r="H833">
        <v>48</v>
      </c>
      <c r="M833" s="1" t="s">
        <v>410</v>
      </c>
      <c r="N833" s="1">
        <v>9</v>
      </c>
      <c r="P833" s="1" t="s">
        <v>410</v>
      </c>
      <c r="Q833" s="42">
        <v>48</v>
      </c>
      <c r="R833" s="42">
        <v>9</v>
      </c>
      <c r="S833" s="42">
        <v>0.2</v>
      </c>
      <c r="T833" s="10">
        <f>IFERROR(ROUND((Q833/R833),2),"NA")</f>
        <v>5.33</v>
      </c>
      <c r="U833">
        <f t="shared" si="12"/>
        <v>9.6000000000000014</v>
      </c>
    </row>
    <row r="834" spans="7:21" x14ac:dyDescent="0.2">
      <c r="G834" s="9" t="s">
        <v>2835</v>
      </c>
      <c r="H834">
        <v>30</v>
      </c>
      <c r="M834" s="1" t="s">
        <v>2835</v>
      </c>
      <c r="N834" s="1">
        <v>50</v>
      </c>
      <c r="P834" s="1" t="s">
        <v>2835</v>
      </c>
      <c r="Q834" s="42">
        <v>30</v>
      </c>
      <c r="R834" s="42">
        <v>50</v>
      </c>
      <c r="S834" s="42">
        <v>0</v>
      </c>
      <c r="T834" s="10">
        <f>IFERROR(ROUND((Q834/R834),2),"NA")</f>
        <v>0.6</v>
      </c>
      <c r="U834">
        <f t="shared" si="12"/>
        <v>0</v>
      </c>
    </row>
    <row r="835" spans="7:21" x14ac:dyDescent="0.2">
      <c r="G835" s="9" t="s">
        <v>1580</v>
      </c>
      <c r="H835">
        <v>0</v>
      </c>
      <c r="M835" s="1" t="s">
        <v>1580</v>
      </c>
      <c r="N835" s="1">
        <v>59</v>
      </c>
      <c r="P835" s="1" t="s">
        <v>1580</v>
      </c>
      <c r="Q835" s="42">
        <v>0</v>
      </c>
      <c r="R835" s="42">
        <v>59</v>
      </c>
      <c r="S835" s="42">
        <v>0</v>
      </c>
      <c r="T835" s="10">
        <f>IFERROR(ROUND((Q835/R835),2),"NA")</f>
        <v>0</v>
      </c>
      <c r="U835">
        <f t="shared" si="12"/>
        <v>0</v>
      </c>
    </row>
    <row r="836" spans="7:21" x14ac:dyDescent="0.2">
      <c r="G836" s="9" t="s">
        <v>51</v>
      </c>
      <c r="H836">
        <v>0</v>
      </c>
      <c r="M836" s="1" t="s">
        <v>51</v>
      </c>
      <c r="N836" s="1">
        <v>5100</v>
      </c>
      <c r="P836" s="1" t="s">
        <v>51</v>
      </c>
      <c r="Q836" s="42">
        <v>0</v>
      </c>
      <c r="R836" s="42">
        <v>5100</v>
      </c>
      <c r="S836" s="42">
        <v>0.15</v>
      </c>
      <c r="T836" s="10">
        <f>IFERROR(ROUND((Q836/R836),2),"NA")</f>
        <v>0</v>
      </c>
      <c r="U836">
        <f t="shared" si="12"/>
        <v>0</v>
      </c>
    </row>
    <row r="837" spans="7:21" x14ac:dyDescent="0.2">
      <c r="G837" s="9" t="s">
        <v>182</v>
      </c>
      <c r="H837">
        <v>0</v>
      </c>
      <c r="M837" s="1" t="s">
        <v>182</v>
      </c>
      <c r="N837" s="1">
        <v>0</v>
      </c>
      <c r="P837" s="1" t="s">
        <v>182</v>
      </c>
      <c r="Q837" s="42">
        <v>0</v>
      </c>
      <c r="R837" s="42">
        <v>0</v>
      </c>
      <c r="S837" s="42">
        <v>1</v>
      </c>
      <c r="T837" s="10" t="str">
        <f>IFERROR(ROUND((Q837/R837),2),"NA")</f>
        <v>NA</v>
      </c>
      <c r="U837">
        <f t="shared" ref="U837:U900" si="13">Q837*S837</f>
        <v>0</v>
      </c>
    </row>
    <row r="838" spans="7:21" x14ac:dyDescent="0.2">
      <c r="G838" s="9" t="s">
        <v>695</v>
      </c>
      <c r="H838">
        <v>0</v>
      </c>
      <c r="M838" s="1" t="s">
        <v>695</v>
      </c>
      <c r="N838" s="1">
        <v>0</v>
      </c>
      <c r="P838" s="1" t="s">
        <v>695</v>
      </c>
      <c r="Q838" s="42">
        <v>0</v>
      </c>
      <c r="R838" s="42">
        <v>0</v>
      </c>
      <c r="S838" s="42">
        <v>1</v>
      </c>
      <c r="T838" s="10" t="str">
        <f>IFERROR(ROUND((Q838/R838),2),"NA")</f>
        <v>NA</v>
      </c>
      <c r="U838">
        <f t="shared" si="13"/>
        <v>0</v>
      </c>
    </row>
    <row r="839" spans="7:21" x14ac:dyDescent="0.2">
      <c r="G839" s="9" t="s">
        <v>1312</v>
      </c>
      <c r="H839">
        <v>30</v>
      </c>
      <c r="M839" s="1" t="s">
        <v>1312</v>
      </c>
      <c r="N839" s="1">
        <v>13</v>
      </c>
      <c r="P839" s="1" t="s">
        <v>1312</v>
      </c>
      <c r="Q839" s="42">
        <v>30</v>
      </c>
      <c r="R839" s="42">
        <v>13</v>
      </c>
      <c r="S839" s="42">
        <v>0.11</v>
      </c>
      <c r="T839" s="10">
        <f>IFERROR(ROUND((Q839/R839),2),"NA")</f>
        <v>2.31</v>
      </c>
      <c r="U839">
        <f t="shared" si="13"/>
        <v>3.3</v>
      </c>
    </row>
    <row r="840" spans="7:21" x14ac:dyDescent="0.2">
      <c r="G840" s="9" t="s">
        <v>2193</v>
      </c>
      <c r="H840">
        <v>60</v>
      </c>
      <c r="M840" s="1" t="s">
        <v>2193</v>
      </c>
      <c r="N840" s="1">
        <v>111</v>
      </c>
      <c r="P840" s="1" t="s">
        <v>2193</v>
      </c>
      <c r="Q840" s="42">
        <v>60</v>
      </c>
      <c r="R840" s="42">
        <v>111</v>
      </c>
      <c r="S840" s="42">
        <v>0.08</v>
      </c>
      <c r="T840" s="10">
        <f>IFERROR(ROUND((Q840/R840),2),"NA")</f>
        <v>0.54</v>
      </c>
      <c r="U840">
        <f t="shared" si="13"/>
        <v>4.8</v>
      </c>
    </row>
    <row r="841" spans="7:21" x14ac:dyDescent="0.2">
      <c r="G841" s="9" t="s">
        <v>2008</v>
      </c>
      <c r="H841">
        <v>0</v>
      </c>
      <c r="M841" s="1" t="s">
        <v>2008</v>
      </c>
      <c r="N841" s="1">
        <v>0</v>
      </c>
      <c r="P841" s="1" t="s">
        <v>2008</v>
      </c>
      <c r="Q841" s="42">
        <v>0</v>
      </c>
      <c r="R841" s="42">
        <v>0</v>
      </c>
      <c r="S841" s="42">
        <v>0.05</v>
      </c>
      <c r="T841" s="10" t="str">
        <f>IFERROR(ROUND((Q841/R841),2),"NA")</f>
        <v>NA</v>
      </c>
      <c r="U841">
        <f t="shared" si="13"/>
        <v>0</v>
      </c>
    </row>
    <row r="842" spans="7:21" x14ac:dyDescent="0.2">
      <c r="G842" s="9" t="s">
        <v>1821</v>
      </c>
      <c r="H842">
        <v>0</v>
      </c>
      <c r="M842" s="1" t="s">
        <v>1821</v>
      </c>
      <c r="N842" s="1">
        <v>57</v>
      </c>
      <c r="P842" s="1" t="s">
        <v>1821</v>
      </c>
      <c r="Q842" s="42">
        <v>0</v>
      </c>
      <c r="R842" s="42">
        <v>57</v>
      </c>
      <c r="S842" s="42">
        <v>0</v>
      </c>
      <c r="T842" s="10">
        <f>IFERROR(ROUND((Q842/R842),2),"NA")</f>
        <v>0</v>
      </c>
      <c r="U842">
        <f t="shared" si="13"/>
        <v>0</v>
      </c>
    </row>
    <row r="843" spans="7:21" x14ac:dyDescent="0.2">
      <c r="G843" s="9" t="s">
        <v>1023</v>
      </c>
      <c r="H843">
        <v>39</v>
      </c>
      <c r="M843" s="1" t="s">
        <v>1023</v>
      </c>
      <c r="N843" s="1">
        <v>324</v>
      </c>
      <c r="P843" s="1" t="s">
        <v>1023</v>
      </c>
      <c r="Q843" s="42">
        <v>39</v>
      </c>
      <c r="R843" s="42">
        <v>324</v>
      </c>
      <c r="S843" s="42">
        <v>0</v>
      </c>
      <c r="T843" s="10">
        <f>IFERROR(ROUND((Q843/R843),2),"NA")</f>
        <v>0.12</v>
      </c>
      <c r="U843">
        <f t="shared" si="13"/>
        <v>0</v>
      </c>
    </row>
    <row r="844" spans="7:21" x14ac:dyDescent="0.2">
      <c r="G844" s="9" t="s">
        <v>2665</v>
      </c>
      <c r="H844">
        <v>100</v>
      </c>
      <c r="M844" s="1" t="s">
        <v>2665</v>
      </c>
      <c r="N844" s="1">
        <v>15</v>
      </c>
      <c r="P844" s="1" t="s">
        <v>2665</v>
      </c>
      <c r="Q844" s="42">
        <v>100</v>
      </c>
      <c r="R844" s="42">
        <v>15</v>
      </c>
      <c r="S844" s="42">
        <v>0</v>
      </c>
      <c r="T844" s="10">
        <f>IFERROR(ROUND((Q844/R844),2),"NA")</f>
        <v>6.67</v>
      </c>
      <c r="U844">
        <f t="shared" si="13"/>
        <v>0</v>
      </c>
    </row>
    <row r="845" spans="7:21" x14ac:dyDescent="0.2">
      <c r="G845" s="9" t="s">
        <v>508</v>
      </c>
      <c r="H845">
        <v>31</v>
      </c>
      <c r="M845" s="1" t="s">
        <v>508</v>
      </c>
      <c r="N845" s="1">
        <v>0</v>
      </c>
      <c r="P845" s="1" t="s">
        <v>508</v>
      </c>
      <c r="Q845" s="42">
        <v>31</v>
      </c>
      <c r="R845" s="42">
        <v>0</v>
      </c>
      <c r="S845" s="42">
        <v>0</v>
      </c>
      <c r="T845" s="10" t="str">
        <f>IFERROR(ROUND((Q845/R845),2),"NA")</f>
        <v>NA</v>
      </c>
      <c r="U845">
        <f t="shared" si="13"/>
        <v>0</v>
      </c>
    </row>
    <row r="846" spans="7:21" x14ac:dyDescent="0.2">
      <c r="G846" s="9" t="s">
        <v>798</v>
      </c>
      <c r="H846">
        <v>20</v>
      </c>
      <c r="M846" s="1" t="s">
        <v>798</v>
      </c>
      <c r="N846" s="1">
        <v>297</v>
      </c>
      <c r="P846" s="1" t="s">
        <v>798</v>
      </c>
      <c r="Q846" s="42">
        <v>20</v>
      </c>
      <c r="R846" s="42">
        <v>297</v>
      </c>
      <c r="S846" s="42">
        <v>0</v>
      </c>
      <c r="T846" s="10">
        <f>IFERROR(ROUND((Q846/R846),2),"NA")</f>
        <v>7.0000000000000007E-2</v>
      </c>
      <c r="U846">
        <f t="shared" si="13"/>
        <v>0</v>
      </c>
    </row>
    <row r="847" spans="7:21" x14ac:dyDescent="0.2">
      <c r="G847" s="9" t="s">
        <v>460</v>
      </c>
      <c r="H847">
        <v>230</v>
      </c>
      <c r="M847" s="1" t="s">
        <v>460</v>
      </c>
      <c r="N847" s="1">
        <v>526</v>
      </c>
      <c r="P847" s="1" t="s">
        <v>460</v>
      </c>
      <c r="Q847" s="42">
        <v>230</v>
      </c>
      <c r="R847" s="42">
        <v>526</v>
      </c>
      <c r="S847" s="42">
        <v>0.35499999999999998</v>
      </c>
      <c r="T847" s="10">
        <f>IFERROR(ROUND((Q847/R847),2),"NA")</f>
        <v>0.44</v>
      </c>
      <c r="U847">
        <f t="shared" si="13"/>
        <v>81.649999999999991</v>
      </c>
    </row>
    <row r="848" spans="7:21" x14ac:dyDescent="0.2">
      <c r="G848" s="9" t="s">
        <v>369</v>
      </c>
      <c r="H848">
        <v>640</v>
      </c>
      <c r="M848" s="1" t="s">
        <v>369</v>
      </c>
      <c r="N848" s="1">
        <v>7200</v>
      </c>
      <c r="P848" s="1" t="s">
        <v>369</v>
      </c>
      <c r="Q848" s="42">
        <v>640</v>
      </c>
      <c r="R848" s="42">
        <v>7200</v>
      </c>
      <c r="S848" s="42">
        <v>0.20000000000000004</v>
      </c>
      <c r="T848" s="10">
        <f>IFERROR(ROUND((Q848/R848),2),"NA")</f>
        <v>0.09</v>
      </c>
      <c r="U848">
        <f t="shared" si="13"/>
        <v>128.00000000000003</v>
      </c>
    </row>
    <row r="849" spans="7:21" x14ac:dyDescent="0.2">
      <c r="G849" s="9" t="s">
        <v>42</v>
      </c>
      <c r="H849">
        <v>73</v>
      </c>
      <c r="M849" s="1" t="s">
        <v>42</v>
      </c>
      <c r="N849" s="1">
        <v>3</v>
      </c>
      <c r="P849" s="1" t="s">
        <v>42</v>
      </c>
      <c r="Q849" s="42">
        <v>73</v>
      </c>
      <c r="R849" s="42">
        <v>3</v>
      </c>
      <c r="S849" s="42">
        <v>0</v>
      </c>
      <c r="T849" s="10">
        <f>IFERROR(ROUND((Q849/R849),2),"NA")</f>
        <v>24.33</v>
      </c>
      <c r="U849">
        <f t="shared" si="13"/>
        <v>0</v>
      </c>
    </row>
    <row r="850" spans="7:21" x14ac:dyDescent="0.2">
      <c r="G850" s="9" t="s">
        <v>1062</v>
      </c>
      <c r="H850">
        <v>8100</v>
      </c>
      <c r="M850" s="1" t="s">
        <v>1062</v>
      </c>
      <c r="N850" s="1">
        <v>2000</v>
      </c>
      <c r="P850" s="1" t="s">
        <v>1062</v>
      </c>
      <c r="Q850" s="42">
        <v>8100</v>
      </c>
      <c r="R850" s="42">
        <v>2000</v>
      </c>
      <c r="S850" s="42">
        <v>0.28000000000000003</v>
      </c>
      <c r="T850" s="10">
        <f>IFERROR(ROUND((Q850/R850),2),"NA")</f>
        <v>4.05</v>
      </c>
      <c r="U850">
        <f t="shared" si="13"/>
        <v>2268</v>
      </c>
    </row>
    <row r="851" spans="7:21" x14ac:dyDescent="0.2">
      <c r="G851" s="9" t="s">
        <v>1979</v>
      </c>
      <c r="H851">
        <v>24</v>
      </c>
      <c r="M851" s="1" t="s">
        <v>1979</v>
      </c>
      <c r="N851" s="1">
        <v>235</v>
      </c>
      <c r="P851" s="1" t="s">
        <v>1979</v>
      </c>
      <c r="Q851" s="42">
        <v>24</v>
      </c>
      <c r="R851" s="42">
        <v>235</v>
      </c>
      <c r="S851" s="42">
        <v>0.21</v>
      </c>
      <c r="T851" s="10">
        <f>IFERROR(ROUND((Q851/R851),2),"NA")</f>
        <v>0.1</v>
      </c>
      <c r="U851">
        <f t="shared" si="13"/>
        <v>5.04</v>
      </c>
    </row>
    <row r="852" spans="7:21" x14ac:dyDescent="0.2">
      <c r="G852" s="9" t="s">
        <v>457</v>
      </c>
      <c r="H852">
        <v>1100</v>
      </c>
      <c r="M852" s="1" t="s">
        <v>457</v>
      </c>
      <c r="N852" s="1">
        <v>25800</v>
      </c>
      <c r="P852" s="1" t="s">
        <v>457</v>
      </c>
      <c r="Q852" s="42">
        <v>1100</v>
      </c>
      <c r="R852" s="42">
        <v>25800</v>
      </c>
      <c r="S852" s="42">
        <v>0.05</v>
      </c>
      <c r="T852" s="10">
        <f>IFERROR(ROUND((Q852/R852),2),"NA")</f>
        <v>0.04</v>
      </c>
      <c r="U852">
        <f t="shared" si="13"/>
        <v>55</v>
      </c>
    </row>
    <row r="853" spans="7:21" x14ac:dyDescent="0.2">
      <c r="G853" s="9" t="s">
        <v>225</v>
      </c>
      <c r="H853">
        <v>99</v>
      </c>
      <c r="M853" s="1" t="s">
        <v>225</v>
      </c>
      <c r="N853" s="1">
        <v>798</v>
      </c>
      <c r="P853" s="1" t="s">
        <v>225</v>
      </c>
      <c r="Q853" s="42">
        <v>99</v>
      </c>
      <c r="R853" s="42">
        <v>798</v>
      </c>
      <c r="S853" s="42">
        <v>0.08</v>
      </c>
      <c r="T853" s="10">
        <f>IFERROR(ROUND((Q853/R853),2),"NA")</f>
        <v>0.12</v>
      </c>
      <c r="U853">
        <f t="shared" si="13"/>
        <v>7.92</v>
      </c>
    </row>
    <row r="854" spans="7:21" x14ac:dyDescent="0.2">
      <c r="G854" s="9" t="s">
        <v>2496</v>
      </c>
      <c r="H854">
        <v>37</v>
      </c>
      <c r="M854" s="1" t="s">
        <v>2496</v>
      </c>
      <c r="N854" s="1">
        <v>14</v>
      </c>
      <c r="P854" s="1" t="s">
        <v>2496</v>
      </c>
      <c r="Q854" s="42">
        <v>37</v>
      </c>
      <c r="R854" s="42">
        <v>14</v>
      </c>
      <c r="S854" s="42">
        <v>0.5</v>
      </c>
      <c r="T854" s="10">
        <f>IFERROR(ROUND((Q854/R854),2),"NA")</f>
        <v>2.64</v>
      </c>
      <c r="U854">
        <f t="shared" si="13"/>
        <v>18.5</v>
      </c>
    </row>
    <row r="855" spans="7:21" x14ac:dyDescent="0.2">
      <c r="G855" s="9" t="s">
        <v>2770</v>
      </c>
      <c r="H855">
        <v>0</v>
      </c>
      <c r="M855" s="1" t="s">
        <v>2770</v>
      </c>
      <c r="N855" s="1">
        <v>119</v>
      </c>
      <c r="P855" s="1" t="s">
        <v>2770</v>
      </c>
      <c r="Q855" s="42">
        <v>0</v>
      </c>
      <c r="R855" s="42">
        <v>119</v>
      </c>
      <c r="S855" s="42">
        <v>0</v>
      </c>
      <c r="T855" s="10">
        <f>IFERROR(ROUND((Q855/R855),2),"NA")</f>
        <v>0</v>
      </c>
      <c r="U855">
        <f t="shared" si="13"/>
        <v>0</v>
      </c>
    </row>
    <row r="856" spans="7:21" x14ac:dyDescent="0.2">
      <c r="G856" s="9" t="s">
        <v>2061</v>
      </c>
      <c r="H856">
        <v>0</v>
      </c>
      <c r="M856" s="1" t="s">
        <v>2061</v>
      </c>
      <c r="N856" s="1">
        <v>45</v>
      </c>
      <c r="P856" s="1" t="s">
        <v>2061</v>
      </c>
      <c r="Q856" s="42">
        <v>0</v>
      </c>
      <c r="R856" s="42">
        <v>45</v>
      </c>
      <c r="S856" s="42">
        <v>0.15</v>
      </c>
      <c r="T856" s="10">
        <f>IFERROR(ROUND((Q856/R856),2),"NA")</f>
        <v>0</v>
      </c>
      <c r="U856">
        <f t="shared" si="13"/>
        <v>0</v>
      </c>
    </row>
    <row r="857" spans="7:21" x14ac:dyDescent="0.2">
      <c r="G857" s="9" t="s">
        <v>2930</v>
      </c>
      <c r="H857">
        <v>0</v>
      </c>
      <c r="M857" s="1" t="s">
        <v>2930</v>
      </c>
      <c r="N857" s="1">
        <v>0</v>
      </c>
      <c r="P857" s="1" t="s">
        <v>2930</v>
      </c>
      <c r="Q857" s="42">
        <v>0</v>
      </c>
      <c r="R857" s="42">
        <v>0</v>
      </c>
      <c r="S857" s="42">
        <v>0.25</v>
      </c>
      <c r="T857" s="10" t="str">
        <f>IFERROR(ROUND((Q857/R857),2),"NA")</f>
        <v>NA</v>
      </c>
      <c r="U857">
        <f t="shared" si="13"/>
        <v>0</v>
      </c>
    </row>
    <row r="858" spans="7:21" x14ac:dyDescent="0.2">
      <c r="G858" s="9" t="s">
        <v>2112</v>
      </c>
      <c r="H858">
        <v>83</v>
      </c>
      <c r="M858" s="1" t="s">
        <v>2112</v>
      </c>
      <c r="N858" s="1">
        <v>0</v>
      </c>
      <c r="P858" s="1" t="s">
        <v>2112</v>
      </c>
      <c r="Q858" s="42">
        <v>83</v>
      </c>
      <c r="R858" s="42">
        <v>0</v>
      </c>
      <c r="S858" s="42">
        <v>0</v>
      </c>
      <c r="T858" s="10" t="str">
        <f>IFERROR(ROUND((Q858/R858),2),"NA")</f>
        <v>NA</v>
      </c>
      <c r="U858">
        <f t="shared" si="13"/>
        <v>0</v>
      </c>
    </row>
    <row r="859" spans="7:21" x14ac:dyDescent="0.2">
      <c r="G859" s="9" t="s">
        <v>1981</v>
      </c>
      <c r="H859">
        <v>0</v>
      </c>
      <c r="M859" s="1" t="s">
        <v>1981</v>
      </c>
      <c r="N859" s="1">
        <v>9</v>
      </c>
      <c r="P859" s="1" t="s">
        <v>1981</v>
      </c>
      <c r="Q859" s="42">
        <v>0</v>
      </c>
      <c r="R859" s="42">
        <v>9</v>
      </c>
      <c r="S859" s="42">
        <v>1</v>
      </c>
      <c r="T859" s="10">
        <f>IFERROR(ROUND((Q859/R859),2),"NA")</f>
        <v>0</v>
      </c>
      <c r="U859">
        <f t="shared" si="13"/>
        <v>0</v>
      </c>
    </row>
    <row r="860" spans="7:21" x14ac:dyDescent="0.2">
      <c r="G860" s="9" t="s">
        <v>502</v>
      </c>
      <c r="H860">
        <v>500</v>
      </c>
      <c r="M860" s="1" t="s">
        <v>502</v>
      </c>
      <c r="N860" s="1">
        <v>1240</v>
      </c>
      <c r="P860" s="1" t="s">
        <v>502</v>
      </c>
      <c r="Q860" s="42">
        <v>500</v>
      </c>
      <c r="R860" s="42">
        <v>1240</v>
      </c>
      <c r="S860" s="42">
        <v>0.30000000000000004</v>
      </c>
      <c r="T860" s="10">
        <f>IFERROR(ROUND((Q860/R860),2),"NA")</f>
        <v>0.4</v>
      </c>
      <c r="U860">
        <f t="shared" si="13"/>
        <v>150.00000000000003</v>
      </c>
    </row>
    <row r="861" spans="7:21" x14ac:dyDescent="0.2">
      <c r="G861" s="9" t="s">
        <v>2845</v>
      </c>
      <c r="H861">
        <v>200</v>
      </c>
      <c r="M861" s="1" t="s">
        <v>2845</v>
      </c>
      <c r="N861" s="1">
        <v>0</v>
      </c>
      <c r="P861" s="1" t="s">
        <v>2845</v>
      </c>
      <c r="Q861" s="42">
        <v>200</v>
      </c>
      <c r="R861" s="42">
        <v>0</v>
      </c>
      <c r="S861" s="42">
        <v>0.33</v>
      </c>
      <c r="T861" s="10" t="str">
        <f>IFERROR(ROUND((Q861/R861),2),"NA")</f>
        <v>NA</v>
      </c>
      <c r="U861">
        <f t="shared" si="13"/>
        <v>66</v>
      </c>
    </row>
    <row r="862" spans="7:21" x14ac:dyDescent="0.2">
      <c r="G862" s="9" t="s">
        <v>2690</v>
      </c>
      <c r="H862">
        <v>0</v>
      </c>
      <c r="M862" s="1" t="s">
        <v>2690</v>
      </c>
      <c r="N862" s="1">
        <v>1</v>
      </c>
      <c r="P862" s="1" t="s">
        <v>2690</v>
      </c>
      <c r="Q862" s="42">
        <v>0</v>
      </c>
      <c r="R862" s="42">
        <v>1</v>
      </c>
      <c r="S862" s="42">
        <v>0</v>
      </c>
      <c r="T862" s="10">
        <f>IFERROR(ROUND((Q862/R862),2),"NA")</f>
        <v>0</v>
      </c>
      <c r="U862">
        <f t="shared" si="13"/>
        <v>0</v>
      </c>
    </row>
    <row r="863" spans="7:21" x14ac:dyDescent="0.2">
      <c r="G863" s="9" t="s">
        <v>2950</v>
      </c>
      <c r="H863">
        <v>4</v>
      </c>
      <c r="M863" s="1" t="s">
        <v>2950</v>
      </c>
      <c r="N863" s="1">
        <v>4</v>
      </c>
      <c r="P863" s="1" t="s">
        <v>2950</v>
      </c>
      <c r="Q863" s="42">
        <v>4</v>
      </c>
      <c r="R863" s="42">
        <v>4</v>
      </c>
      <c r="S863" s="42">
        <v>0.2</v>
      </c>
      <c r="T863" s="10">
        <f>IFERROR(ROUND((Q863/R863),2),"NA")</f>
        <v>1</v>
      </c>
      <c r="U863">
        <f t="shared" si="13"/>
        <v>0.8</v>
      </c>
    </row>
    <row r="864" spans="7:21" x14ac:dyDescent="0.2">
      <c r="G864" s="9" t="s">
        <v>2939</v>
      </c>
      <c r="H864">
        <v>784</v>
      </c>
      <c r="M864" s="1" t="s">
        <v>2939</v>
      </c>
      <c r="N864" s="1">
        <v>120</v>
      </c>
      <c r="P864" s="1" t="s">
        <v>2939</v>
      </c>
      <c r="Q864" s="42">
        <v>784</v>
      </c>
      <c r="R864" s="42">
        <v>120</v>
      </c>
      <c r="S864" s="42">
        <v>0.98</v>
      </c>
      <c r="T864" s="10">
        <f>IFERROR(ROUND((Q864/R864),2),"NA")</f>
        <v>6.53</v>
      </c>
      <c r="U864">
        <f t="shared" si="13"/>
        <v>768.31999999999994</v>
      </c>
    </row>
    <row r="865" spans="7:21" x14ac:dyDescent="0.2">
      <c r="G865" s="9" t="s">
        <v>2660</v>
      </c>
      <c r="H865">
        <v>60</v>
      </c>
      <c r="M865" s="1" t="s">
        <v>2660</v>
      </c>
      <c r="N865" s="1">
        <v>263</v>
      </c>
      <c r="P865" s="1" t="s">
        <v>2660</v>
      </c>
      <c r="Q865" s="42">
        <v>60</v>
      </c>
      <c r="R865" s="42">
        <v>263</v>
      </c>
      <c r="S865" s="42">
        <v>0.12</v>
      </c>
      <c r="T865" s="10">
        <f>IFERROR(ROUND((Q865/R865),2),"NA")</f>
        <v>0.23</v>
      </c>
      <c r="U865">
        <f t="shared" si="13"/>
        <v>7.1999999999999993</v>
      </c>
    </row>
    <row r="866" spans="7:21" x14ac:dyDescent="0.2">
      <c r="G866" s="9" t="s">
        <v>931</v>
      </c>
      <c r="H866">
        <v>1000</v>
      </c>
      <c r="M866" s="1" t="s">
        <v>931</v>
      </c>
      <c r="N866" s="1">
        <v>1400</v>
      </c>
      <c r="P866" s="1" t="s">
        <v>931</v>
      </c>
      <c r="Q866" s="42">
        <v>1000</v>
      </c>
      <c r="R866" s="42">
        <v>1400</v>
      </c>
      <c r="S866" s="42">
        <v>0.15</v>
      </c>
      <c r="T866" s="10">
        <f>IFERROR(ROUND((Q866/R866),2),"NA")</f>
        <v>0.71</v>
      </c>
      <c r="U866">
        <f t="shared" si="13"/>
        <v>150</v>
      </c>
    </row>
    <row r="867" spans="7:21" x14ac:dyDescent="0.2">
      <c r="G867" s="9" t="s">
        <v>2393</v>
      </c>
      <c r="H867">
        <v>41</v>
      </c>
      <c r="M867" s="1" t="s">
        <v>2393</v>
      </c>
      <c r="N867" s="1">
        <v>448</v>
      </c>
      <c r="P867" s="1" t="s">
        <v>2393</v>
      </c>
      <c r="Q867" s="42">
        <v>41</v>
      </c>
      <c r="R867" s="42">
        <v>448</v>
      </c>
      <c r="S867" s="42">
        <v>0.125</v>
      </c>
      <c r="T867" s="10">
        <f>IFERROR(ROUND((Q867/R867),2),"NA")</f>
        <v>0.09</v>
      </c>
      <c r="U867">
        <f t="shared" si="13"/>
        <v>5.125</v>
      </c>
    </row>
    <row r="868" spans="7:21" x14ac:dyDescent="0.2">
      <c r="G868" s="9" t="s">
        <v>703</v>
      </c>
      <c r="H868">
        <v>140</v>
      </c>
      <c r="M868" s="1" t="s">
        <v>703</v>
      </c>
      <c r="N868" s="1">
        <v>2996</v>
      </c>
      <c r="P868" s="1" t="s">
        <v>703</v>
      </c>
      <c r="Q868" s="42">
        <v>140</v>
      </c>
      <c r="R868" s="42">
        <v>2996</v>
      </c>
      <c r="S868" s="42">
        <v>0</v>
      </c>
      <c r="T868" s="10">
        <f>IFERROR(ROUND((Q868/R868),2),"NA")</f>
        <v>0.05</v>
      </c>
      <c r="U868">
        <f t="shared" si="13"/>
        <v>0</v>
      </c>
    </row>
    <row r="869" spans="7:21" x14ac:dyDescent="0.2">
      <c r="G869" s="9" t="s">
        <v>2928</v>
      </c>
      <c r="H869">
        <v>87</v>
      </c>
      <c r="M869" s="1" t="s">
        <v>2928</v>
      </c>
      <c r="N869" s="1">
        <v>20</v>
      </c>
      <c r="P869" s="1" t="s">
        <v>2928</v>
      </c>
      <c r="Q869" s="42">
        <v>87</v>
      </c>
      <c r="R869" s="42">
        <v>20</v>
      </c>
      <c r="S869" s="42">
        <v>0.67</v>
      </c>
      <c r="T869" s="10">
        <f>IFERROR(ROUND((Q869/R869),2),"NA")</f>
        <v>4.3499999999999996</v>
      </c>
      <c r="U869">
        <f t="shared" si="13"/>
        <v>58.290000000000006</v>
      </c>
    </row>
    <row r="870" spans="7:21" x14ac:dyDescent="0.2">
      <c r="G870" s="9" t="s">
        <v>738</v>
      </c>
      <c r="H870">
        <v>140</v>
      </c>
      <c r="M870" s="1" t="s">
        <v>738</v>
      </c>
      <c r="N870" s="1">
        <v>250</v>
      </c>
      <c r="P870" s="1" t="s">
        <v>738</v>
      </c>
      <c r="Q870" s="42">
        <v>140</v>
      </c>
      <c r="R870" s="42">
        <v>250</v>
      </c>
      <c r="S870" s="42">
        <v>0.1</v>
      </c>
      <c r="T870" s="10">
        <f>IFERROR(ROUND((Q870/R870),2),"NA")</f>
        <v>0.56000000000000005</v>
      </c>
      <c r="U870">
        <f t="shared" si="13"/>
        <v>14</v>
      </c>
    </row>
    <row r="871" spans="7:21" x14ac:dyDescent="0.2">
      <c r="G871" s="9" t="s">
        <v>2005</v>
      </c>
      <c r="H871">
        <v>0</v>
      </c>
      <c r="M871" s="1" t="s">
        <v>2005</v>
      </c>
      <c r="N871" s="1">
        <v>58</v>
      </c>
      <c r="P871" s="1" t="s">
        <v>2005</v>
      </c>
      <c r="Q871" s="42">
        <v>0</v>
      </c>
      <c r="R871" s="42">
        <v>58</v>
      </c>
      <c r="S871" s="42">
        <v>0.4</v>
      </c>
      <c r="T871" s="10">
        <f>IFERROR(ROUND((Q871/R871),2),"NA")</f>
        <v>0</v>
      </c>
      <c r="U871">
        <f t="shared" si="13"/>
        <v>0</v>
      </c>
    </row>
    <row r="872" spans="7:21" x14ac:dyDescent="0.2">
      <c r="G872" s="9" t="s">
        <v>507</v>
      </c>
      <c r="H872">
        <v>109</v>
      </c>
      <c r="M872" s="1" t="s">
        <v>507</v>
      </c>
      <c r="N872" s="1">
        <v>234</v>
      </c>
      <c r="P872" s="1" t="s">
        <v>507</v>
      </c>
      <c r="Q872" s="42">
        <v>109</v>
      </c>
      <c r="R872" s="42">
        <v>234</v>
      </c>
      <c r="S872" s="42">
        <v>0</v>
      </c>
      <c r="T872" s="10">
        <f>IFERROR(ROUND((Q872/R872),2),"NA")</f>
        <v>0.47</v>
      </c>
      <c r="U872">
        <f t="shared" si="13"/>
        <v>0</v>
      </c>
    </row>
    <row r="873" spans="7:21" x14ac:dyDescent="0.2">
      <c r="G873" s="9" t="s">
        <v>247</v>
      </c>
      <c r="H873">
        <v>0</v>
      </c>
      <c r="M873" s="1" t="s">
        <v>247</v>
      </c>
      <c r="N873" s="1">
        <v>966</v>
      </c>
      <c r="P873" s="1" t="s">
        <v>247</v>
      </c>
      <c r="Q873" s="42">
        <v>0</v>
      </c>
      <c r="R873" s="42">
        <v>966</v>
      </c>
      <c r="S873" s="42">
        <v>0</v>
      </c>
      <c r="T873" s="10">
        <f>IFERROR(ROUND((Q873/R873),2),"NA")</f>
        <v>0</v>
      </c>
      <c r="U873">
        <f t="shared" si="13"/>
        <v>0</v>
      </c>
    </row>
    <row r="874" spans="7:21" x14ac:dyDescent="0.2">
      <c r="G874" s="9" t="s">
        <v>2218</v>
      </c>
      <c r="H874">
        <v>15</v>
      </c>
      <c r="M874" s="1" t="s">
        <v>2218</v>
      </c>
      <c r="N874" s="1">
        <v>58</v>
      </c>
      <c r="P874" s="1" t="s">
        <v>2218</v>
      </c>
      <c r="Q874" s="42">
        <v>15</v>
      </c>
      <c r="R874" s="42">
        <v>58</v>
      </c>
      <c r="S874" s="42">
        <v>0.09</v>
      </c>
      <c r="T874" s="10">
        <f>IFERROR(ROUND((Q874/R874),2),"NA")</f>
        <v>0.26</v>
      </c>
      <c r="U874">
        <f t="shared" si="13"/>
        <v>1.3499999999999999</v>
      </c>
    </row>
    <row r="875" spans="7:21" x14ac:dyDescent="0.2">
      <c r="G875" s="9" t="s">
        <v>1081</v>
      </c>
      <c r="H875">
        <v>0</v>
      </c>
      <c r="M875" s="1" t="s">
        <v>1081</v>
      </c>
      <c r="N875" s="1">
        <v>425</v>
      </c>
      <c r="P875" s="1" t="s">
        <v>1081</v>
      </c>
      <c r="Q875" s="42">
        <v>0</v>
      </c>
      <c r="R875" s="42">
        <v>425</v>
      </c>
      <c r="S875" s="42">
        <v>0.4</v>
      </c>
      <c r="T875" s="10">
        <f>IFERROR(ROUND((Q875/R875),2),"NA")</f>
        <v>0</v>
      </c>
      <c r="U875">
        <f t="shared" si="13"/>
        <v>0</v>
      </c>
    </row>
    <row r="876" spans="7:21" x14ac:dyDescent="0.2">
      <c r="G876" s="9" t="s">
        <v>771</v>
      </c>
      <c r="H876">
        <v>0</v>
      </c>
      <c r="M876" s="1" t="s">
        <v>771</v>
      </c>
      <c r="N876" s="1">
        <v>89</v>
      </c>
      <c r="P876" s="1" t="s">
        <v>771</v>
      </c>
      <c r="Q876" s="42">
        <v>0</v>
      </c>
      <c r="R876" s="42">
        <v>89</v>
      </c>
      <c r="S876" s="42">
        <v>0</v>
      </c>
      <c r="T876" s="10">
        <f>IFERROR(ROUND((Q876/R876),2),"NA")</f>
        <v>0</v>
      </c>
      <c r="U876">
        <f t="shared" si="13"/>
        <v>0</v>
      </c>
    </row>
    <row r="877" spans="7:21" x14ac:dyDescent="0.2">
      <c r="G877" s="9" t="s">
        <v>1882</v>
      </c>
      <c r="H877">
        <v>60</v>
      </c>
      <c r="M877" s="1" t="s">
        <v>1882</v>
      </c>
      <c r="N877" s="1">
        <v>593</v>
      </c>
      <c r="P877" s="1" t="s">
        <v>1882</v>
      </c>
      <c r="Q877" s="42">
        <v>60</v>
      </c>
      <c r="R877" s="42">
        <v>593</v>
      </c>
      <c r="S877" s="42">
        <v>0.08</v>
      </c>
      <c r="T877" s="10">
        <f>IFERROR(ROUND((Q877/R877),2),"NA")</f>
        <v>0.1</v>
      </c>
      <c r="U877">
        <f t="shared" si="13"/>
        <v>4.8</v>
      </c>
    </row>
    <row r="878" spans="7:21" x14ac:dyDescent="0.2">
      <c r="G878" s="9" t="s">
        <v>2251</v>
      </c>
      <c r="H878">
        <v>10</v>
      </c>
      <c r="M878" s="1" t="s">
        <v>2251</v>
      </c>
      <c r="N878" s="1">
        <v>325</v>
      </c>
      <c r="P878" s="1" t="s">
        <v>2251</v>
      </c>
      <c r="Q878" s="42">
        <v>10</v>
      </c>
      <c r="R878" s="42">
        <v>325</v>
      </c>
      <c r="S878" s="42">
        <v>0.04</v>
      </c>
      <c r="T878" s="10">
        <f>IFERROR(ROUND((Q878/R878),2),"NA")</f>
        <v>0.03</v>
      </c>
      <c r="U878">
        <f t="shared" si="13"/>
        <v>0.4</v>
      </c>
    </row>
    <row r="879" spans="7:21" x14ac:dyDescent="0.2">
      <c r="G879" s="9" t="s">
        <v>1206</v>
      </c>
      <c r="H879">
        <v>135</v>
      </c>
      <c r="M879" s="1" t="s">
        <v>1206</v>
      </c>
      <c r="N879" s="1">
        <v>96</v>
      </c>
      <c r="P879" s="1" t="s">
        <v>1206</v>
      </c>
      <c r="Q879" s="42">
        <v>135</v>
      </c>
      <c r="R879" s="42">
        <v>96</v>
      </c>
      <c r="S879" s="42">
        <v>0</v>
      </c>
      <c r="T879" s="10">
        <f>IFERROR(ROUND((Q879/R879),2),"NA")</f>
        <v>1.41</v>
      </c>
      <c r="U879">
        <f t="shared" si="13"/>
        <v>0</v>
      </c>
    </row>
    <row r="880" spans="7:21" x14ac:dyDescent="0.2">
      <c r="G880" s="9" t="s">
        <v>509</v>
      </c>
      <c r="H880">
        <v>60</v>
      </c>
      <c r="M880" s="1" t="s">
        <v>509</v>
      </c>
      <c r="N880" s="1">
        <v>442</v>
      </c>
      <c r="P880" s="1" t="s">
        <v>509</v>
      </c>
      <c r="Q880" s="42">
        <v>60</v>
      </c>
      <c r="R880" s="42">
        <v>442</v>
      </c>
      <c r="S880" s="42">
        <v>0.11499999999999999</v>
      </c>
      <c r="T880" s="10">
        <f>IFERROR(ROUND((Q880/R880),2),"NA")</f>
        <v>0.14000000000000001</v>
      </c>
      <c r="U880">
        <f t="shared" si="13"/>
        <v>6.8999999999999995</v>
      </c>
    </row>
    <row r="881" spans="7:21" x14ac:dyDescent="0.2">
      <c r="G881" s="9" t="s">
        <v>57</v>
      </c>
      <c r="H881">
        <v>105</v>
      </c>
      <c r="M881" s="1" t="s">
        <v>57</v>
      </c>
      <c r="N881" s="1">
        <v>390</v>
      </c>
      <c r="P881" s="1" t="s">
        <v>57</v>
      </c>
      <c r="Q881" s="42">
        <v>105</v>
      </c>
      <c r="R881" s="42">
        <v>390</v>
      </c>
      <c r="S881" s="42">
        <v>0.25</v>
      </c>
      <c r="T881" s="10">
        <f>IFERROR(ROUND((Q881/R881),2),"NA")</f>
        <v>0.27</v>
      </c>
      <c r="U881">
        <f t="shared" si="13"/>
        <v>26.25</v>
      </c>
    </row>
    <row r="882" spans="7:21" x14ac:dyDescent="0.2">
      <c r="G882" s="9" t="s">
        <v>2023</v>
      </c>
      <c r="H882">
        <v>26</v>
      </c>
      <c r="M882" s="1" t="s">
        <v>2023</v>
      </c>
      <c r="N882" s="1">
        <v>166</v>
      </c>
      <c r="P882" s="1" t="s">
        <v>2023</v>
      </c>
      <c r="Q882" s="42">
        <v>26</v>
      </c>
      <c r="R882" s="42">
        <v>166</v>
      </c>
      <c r="S882" s="42">
        <v>3.5000000000000003E-2</v>
      </c>
      <c r="T882" s="10">
        <f>IFERROR(ROUND((Q882/R882),2),"NA")</f>
        <v>0.16</v>
      </c>
      <c r="U882">
        <f t="shared" si="13"/>
        <v>0.91000000000000014</v>
      </c>
    </row>
    <row r="883" spans="7:21" x14ac:dyDescent="0.2">
      <c r="G883" s="9" t="s">
        <v>2244</v>
      </c>
      <c r="H883">
        <v>150</v>
      </c>
      <c r="M883" s="1" t="s">
        <v>2244</v>
      </c>
      <c r="N883" s="1">
        <v>63</v>
      </c>
      <c r="P883" s="1" t="s">
        <v>2244</v>
      </c>
      <c r="Q883" s="42">
        <v>150</v>
      </c>
      <c r="R883" s="42">
        <v>63</v>
      </c>
      <c r="S883" s="42">
        <v>0</v>
      </c>
      <c r="T883" s="10">
        <f>IFERROR(ROUND((Q883/R883),2),"NA")</f>
        <v>2.38</v>
      </c>
      <c r="U883">
        <f t="shared" si="13"/>
        <v>0</v>
      </c>
    </row>
    <row r="884" spans="7:21" x14ac:dyDescent="0.2">
      <c r="G884" s="9" t="s">
        <v>1045</v>
      </c>
      <c r="H884">
        <v>0</v>
      </c>
      <c r="M884" s="1" t="s">
        <v>1045</v>
      </c>
      <c r="N884" s="1">
        <v>0</v>
      </c>
      <c r="P884" s="1" t="s">
        <v>1045</v>
      </c>
      <c r="Q884" s="42">
        <v>0</v>
      </c>
      <c r="R884" s="42">
        <v>0</v>
      </c>
      <c r="S884" s="42">
        <v>0</v>
      </c>
      <c r="T884" s="10" t="str">
        <f>IFERROR(ROUND((Q884/R884),2),"NA")</f>
        <v>NA</v>
      </c>
      <c r="U884">
        <f t="shared" si="13"/>
        <v>0</v>
      </c>
    </row>
    <row r="885" spans="7:21" x14ac:dyDescent="0.2">
      <c r="G885" s="9" t="s">
        <v>139</v>
      </c>
      <c r="H885">
        <v>100</v>
      </c>
      <c r="M885" s="1" t="s">
        <v>139</v>
      </c>
      <c r="N885" s="1">
        <v>1400</v>
      </c>
      <c r="P885" s="1" t="s">
        <v>139</v>
      </c>
      <c r="Q885" s="42">
        <v>100</v>
      </c>
      <c r="R885" s="42">
        <v>1400</v>
      </c>
      <c r="S885" s="42">
        <v>0.2</v>
      </c>
      <c r="T885" s="10">
        <f>IFERROR(ROUND((Q885/R885),2),"NA")</f>
        <v>7.0000000000000007E-2</v>
      </c>
      <c r="U885">
        <f t="shared" si="13"/>
        <v>20</v>
      </c>
    </row>
    <row r="886" spans="7:21" x14ac:dyDescent="0.2">
      <c r="G886" s="9" t="s">
        <v>2366</v>
      </c>
      <c r="H886">
        <v>45</v>
      </c>
      <c r="M886" s="1" t="s">
        <v>2366</v>
      </c>
      <c r="N886" s="1">
        <v>133</v>
      </c>
      <c r="P886" s="1" t="s">
        <v>2366</v>
      </c>
      <c r="Q886" s="42">
        <v>45</v>
      </c>
      <c r="R886" s="42">
        <v>133</v>
      </c>
      <c r="S886" s="42">
        <v>0.15</v>
      </c>
      <c r="T886" s="10">
        <f>IFERROR(ROUND((Q886/R886),2),"NA")</f>
        <v>0.34</v>
      </c>
      <c r="U886">
        <f t="shared" si="13"/>
        <v>6.75</v>
      </c>
    </row>
    <row r="887" spans="7:21" x14ac:dyDescent="0.2">
      <c r="G887" s="9" t="s">
        <v>911</v>
      </c>
      <c r="H887">
        <v>50</v>
      </c>
      <c r="M887" s="1" t="s">
        <v>911</v>
      </c>
      <c r="N887" s="1">
        <v>118</v>
      </c>
      <c r="P887" s="1" t="s">
        <v>911</v>
      </c>
      <c r="Q887" s="42">
        <v>50</v>
      </c>
      <c r="R887" s="42">
        <v>118</v>
      </c>
      <c r="S887" s="42">
        <v>0.13</v>
      </c>
      <c r="T887" s="10">
        <f>IFERROR(ROUND((Q887/R887),2),"NA")</f>
        <v>0.42</v>
      </c>
      <c r="U887">
        <f t="shared" si="13"/>
        <v>6.5</v>
      </c>
    </row>
    <row r="888" spans="7:21" x14ac:dyDescent="0.2">
      <c r="G888" s="9" t="s">
        <v>1450</v>
      </c>
      <c r="H888">
        <v>0</v>
      </c>
      <c r="M888" s="1" t="s">
        <v>1450</v>
      </c>
      <c r="N888" s="1">
        <v>76</v>
      </c>
      <c r="P888" s="1" t="s">
        <v>1450</v>
      </c>
      <c r="Q888" s="42">
        <v>0</v>
      </c>
      <c r="R888" s="42">
        <v>76</v>
      </c>
      <c r="S888" s="42">
        <v>0.5</v>
      </c>
      <c r="T888" s="10">
        <f>IFERROR(ROUND((Q888/R888),2),"NA")</f>
        <v>0</v>
      </c>
      <c r="U888">
        <f t="shared" si="13"/>
        <v>0</v>
      </c>
    </row>
    <row r="889" spans="7:21" x14ac:dyDescent="0.2">
      <c r="G889" s="9" t="s">
        <v>572</v>
      </c>
      <c r="H889">
        <v>118</v>
      </c>
      <c r="M889" s="1" t="s">
        <v>572</v>
      </c>
      <c r="N889" s="1">
        <v>1068</v>
      </c>
      <c r="P889" s="1" t="s">
        <v>572</v>
      </c>
      <c r="Q889" s="42">
        <v>118</v>
      </c>
      <c r="R889" s="42">
        <v>1068</v>
      </c>
      <c r="S889" s="42">
        <v>8.3333333333333329E-2</v>
      </c>
      <c r="T889" s="10">
        <f>IFERROR(ROUND((Q889/R889),2),"NA")</f>
        <v>0.11</v>
      </c>
      <c r="U889">
        <f t="shared" si="13"/>
        <v>9.8333333333333321</v>
      </c>
    </row>
    <row r="890" spans="7:21" x14ac:dyDescent="0.2">
      <c r="G890" s="9" t="s">
        <v>440</v>
      </c>
      <c r="H890">
        <v>140</v>
      </c>
      <c r="M890" s="1" t="s">
        <v>440</v>
      </c>
      <c r="N890" s="1">
        <v>560</v>
      </c>
      <c r="P890" s="1" t="s">
        <v>440</v>
      </c>
      <c r="Q890" s="42">
        <v>140</v>
      </c>
      <c r="R890" s="42">
        <v>560</v>
      </c>
      <c r="S890" s="42">
        <v>0.03</v>
      </c>
      <c r="T890" s="10">
        <f>IFERROR(ROUND((Q890/R890),2),"NA")</f>
        <v>0.25</v>
      </c>
      <c r="U890">
        <f t="shared" si="13"/>
        <v>4.2</v>
      </c>
    </row>
    <row r="891" spans="7:21" x14ac:dyDescent="0.2">
      <c r="G891" s="9" t="s">
        <v>1705</v>
      </c>
      <c r="H891">
        <v>329</v>
      </c>
      <c r="M891" s="1" t="s">
        <v>1705</v>
      </c>
      <c r="N891" s="1">
        <v>214</v>
      </c>
      <c r="P891" s="1" t="s">
        <v>1705</v>
      </c>
      <c r="Q891" s="42">
        <v>329</v>
      </c>
      <c r="R891" s="42">
        <v>214</v>
      </c>
      <c r="S891" s="42">
        <v>0.25</v>
      </c>
      <c r="T891" s="10">
        <f>IFERROR(ROUND((Q891/R891),2),"NA")</f>
        <v>1.54</v>
      </c>
      <c r="U891">
        <f t="shared" si="13"/>
        <v>82.25</v>
      </c>
    </row>
    <row r="892" spans="7:21" x14ac:dyDescent="0.2">
      <c r="G892" s="9" t="s">
        <v>1019</v>
      </c>
      <c r="H892">
        <v>204</v>
      </c>
      <c r="M892" s="1" t="s">
        <v>1019</v>
      </c>
      <c r="N892" s="1">
        <v>1452</v>
      </c>
      <c r="P892" s="1" t="s">
        <v>1019</v>
      </c>
      <c r="Q892" s="42">
        <v>204</v>
      </c>
      <c r="R892" s="42">
        <v>1452</v>
      </c>
      <c r="S892" s="42">
        <v>0.02</v>
      </c>
      <c r="T892" s="10">
        <f>IFERROR(ROUND((Q892/R892),2),"NA")</f>
        <v>0.14000000000000001</v>
      </c>
      <c r="U892">
        <f t="shared" si="13"/>
        <v>4.08</v>
      </c>
    </row>
    <row r="893" spans="7:21" x14ac:dyDescent="0.2">
      <c r="G893" s="9" t="s">
        <v>982</v>
      </c>
      <c r="H893">
        <v>0</v>
      </c>
      <c r="M893" s="1" t="s">
        <v>982</v>
      </c>
      <c r="N893" s="1">
        <v>306</v>
      </c>
      <c r="P893" s="1" t="s">
        <v>982</v>
      </c>
      <c r="Q893" s="42">
        <v>0</v>
      </c>
      <c r="R893" s="42">
        <v>306</v>
      </c>
      <c r="S893" s="42">
        <v>0</v>
      </c>
      <c r="T893" s="10">
        <f>IFERROR(ROUND((Q893/R893),2),"NA")</f>
        <v>0</v>
      </c>
      <c r="U893">
        <f t="shared" si="13"/>
        <v>0</v>
      </c>
    </row>
    <row r="894" spans="7:21" x14ac:dyDescent="0.2">
      <c r="G894" s="9" t="s">
        <v>2020</v>
      </c>
      <c r="H894">
        <v>0</v>
      </c>
      <c r="M894" s="1" t="s">
        <v>2020</v>
      </c>
      <c r="N894" s="1">
        <v>203</v>
      </c>
      <c r="P894" s="1" t="s">
        <v>2020</v>
      </c>
      <c r="Q894" s="42">
        <v>0</v>
      </c>
      <c r="R894" s="42">
        <v>203</v>
      </c>
      <c r="S894" s="42">
        <v>0</v>
      </c>
      <c r="T894" s="10">
        <f>IFERROR(ROUND((Q894/R894),2),"NA")</f>
        <v>0</v>
      </c>
      <c r="U894">
        <f t="shared" si="13"/>
        <v>0</v>
      </c>
    </row>
    <row r="895" spans="7:21" x14ac:dyDescent="0.2">
      <c r="G895" s="9" t="s">
        <v>477</v>
      </c>
      <c r="H895">
        <v>235</v>
      </c>
      <c r="M895" s="1" t="s">
        <v>477</v>
      </c>
      <c r="N895" s="1">
        <v>29</v>
      </c>
      <c r="P895" s="1" t="s">
        <v>477</v>
      </c>
      <c r="Q895" s="42">
        <v>235</v>
      </c>
      <c r="R895" s="42">
        <v>29</v>
      </c>
      <c r="S895" s="42">
        <v>0.57999999999999996</v>
      </c>
      <c r="T895" s="10">
        <f>IFERROR(ROUND((Q895/R895),2),"NA")</f>
        <v>8.1</v>
      </c>
      <c r="U895">
        <f t="shared" si="13"/>
        <v>136.29999999999998</v>
      </c>
    </row>
    <row r="896" spans="7:21" x14ac:dyDescent="0.2">
      <c r="G896" s="9" t="s">
        <v>922</v>
      </c>
      <c r="H896">
        <v>275</v>
      </c>
      <c r="M896" s="1" t="s">
        <v>922</v>
      </c>
      <c r="N896" s="1">
        <v>68</v>
      </c>
      <c r="P896" s="1" t="s">
        <v>922</v>
      </c>
      <c r="Q896" s="42">
        <v>275</v>
      </c>
      <c r="R896" s="42">
        <v>68</v>
      </c>
      <c r="S896" s="42">
        <v>0.73749999999999993</v>
      </c>
      <c r="T896" s="10">
        <f>IFERROR(ROUND((Q896/R896),2),"NA")</f>
        <v>4.04</v>
      </c>
      <c r="U896">
        <f t="shared" si="13"/>
        <v>202.81249999999997</v>
      </c>
    </row>
    <row r="897" spans="7:21" x14ac:dyDescent="0.2">
      <c r="G897" s="9" t="s">
        <v>2334</v>
      </c>
      <c r="H897">
        <v>0</v>
      </c>
      <c r="M897" s="1" t="s">
        <v>2334</v>
      </c>
      <c r="N897" s="1">
        <v>202</v>
      </c>
      <c r="P897" s="1" t="s">
        <v>2334</v>
      </c>
      <c r="Q897" s="42">
        <v>0</v>
      </c>
      <c r="R897" s="42">
        <v>202</v>
      </c>
      <c r="S897" s="42">
        <v>0.03</v>
      </c>
      <c r="T897" s="10">
        <f>IFERROR(ROUND((Q897/R897),2),"NA")</f>
        <v>0</v>
      </c>
      <c r="U897">
        <f t="shared" si="13"/>
        <v>0</v>
      </c>
    </row>
    <row r="898" spans="7:21" x14ac:dyDescent="0.2">
      <c r="G898" s="9" t="s">
        <v>2166</v>
      </c>
      <c r="H898">
        <v>0</v>
      </c>
      <c r="M898" s="1" t="s">
        <v>2166</v>
      </c>
      <c r="N898" s="1">
        <v>151</v>
      </c>
      <c r="P898" s="1" t="s">
        <v>2166</v>
      </c>
      <c r="Q898" s="42">
        <v>0</v>
      </c>
      <c r="R898" s="42">
        <v>151</v>
      </c>
      <c r="S898" s="42">
        <v>0</v>
      </c>
      <c r="T898" s="10">
        <f>IFERROR(ROUND((Q898/R898),2),"NA")</f>
        <v>0</v>
      </c>
      <c r="U898">
        <f t="shared" si="13"/>
        <v>0</v>
      </c>
    </row>
    <row r="899" spans="7:21" x14ac:dyDescent="0.2">
      <c r="G899" s="9" t="s">
        <v>448</v>
      </c>
      <c r="H899">
        <v>50</v>
      </c>
      <c r="M899" s="1" t="s">
        <v>448</v>
      </c>
      <c r="N899" s="1">
        <v>453</v>
      </c>
      <c r="P899" s="1" t="s">
        <v>448</v>
      </c>
      <c r="Q899" s="42">
        <v>50</v>
      </c>
      <c r="R899" s="42">
        <v>453</v>
      </c>
      <c r="S899" s="42">
        <v>0.11</v>
      </c>
      <c r="T899" s="10">
        <f>IFERROR(ROUND((Q899/R899),2),"NA")</f>
        <v>0.11</v>
      </c>
      <c r="U899">
        <f t="shared" si="13"/>
        <v>5.5</v>
      </c>
    </row>
    <row r="900" spans="7:21" x14ac:dyDescent="0.2">
      <c r="G900" s="9" t="s">
        <v>1959</v>
      </c>
      <c r="H900">
        <v>164</v>
      </c>
      <c r="M900" s="1" t="s">
        <v>1959</v>
      </c>
      <c r="N900" s="1">
        <v>1006</v>
      </c>
      <c r="P900" s="1" t="s">
        <v>1959</v>
      </c>
      <c r="Q900" s="42">
        <v>164</v>
      </c>
      <c r="R900" s="42">
        <v>1006</v>
      </c>
      <c r="S900" s="42">
        <v>0.28499999999999998</v>
      </c>
      <c r="T900" s="10">
        <f>IFERROR(ROUND((Q900/R900),2),"NA")</f>
        <v>0.16</v>
      </c>
      <c r="U900">
        <f t="shared" si="13"/>
        <v>46.739999999999995</v>
      </c>
    </row>
    <row r="901" spans="7:21" x14ac:dyDescent="0.2">
      <c r="G901" s="9" t="s">
        <v>53</v>
      </c>
      <c r="H901">
        <v>85</v>
      </c>
      <c r="M901" s="1" t="s">
        <v>53</v>
      </c>
      <c r="N901" s="1">
        <v>1492</v>
      </c>
      <c r="P901" s="1" t="s">
        <v>53</v>
      </c>
      <c r="Q901" s="42">
        <v>85</v>
      </c>
      <c r="R901" s="42">
        <v>1492</v>
      </c>
      <c r="S901" s="42">
        <v>0</v>
      </c>
      <c r="T901" s="10">
        <f>IFERROR(ROUND((Q901/R901),2),"NA")</f>
        <v>0.06</v>
      </c>
      <c r="U901">
        <f t="shared" ref="U901:U964" si="14">Q901*S901</f>
        <v>0</v>
      </c>
    </row>
    <row r="902" spans="7:21" x14ac:dyDescent="0.2">
      <c r="G902" s="9" t="s">
        <v>2743</v>
      </c>
      <c r="H902">
        <v>65</v>
      </c>
      <c r="M902" s="1" t="s">
        <v>2743</v>
      </c>
      <c r="N902" s="1">
        <v>42</v>
      </c>
      <c r="P902" s="1" t="s">
        <v>2743</v>
      </c>
      <c r="Q902" s="42">
        <v>65</v>
      </c>
      <c r="R902" s="42">
        <v>42</v>
      </c>
      <c r="S902" s="42">
        <v>0.18</v>
      </c>
      <c r="T902" s="10">
        <f>IFERROR(ROUND((Q902/R902),2),"NA")</f>
        <v>1.55</v>
      </c>
      <c r="U902">
        <f t="shared" si="14"/>
        <v>11.7</v>
      </c>
    </row>
    <row r="903" spans="7:21" x14ac:dyDescent="0.2">
      <c r="G903" s="9" t="s">
        <v>2092</v>
      </c>
      <c r="H903">
        <v>0</v>
      </c>
      <c r="M903" s="1" t="s">
        <v>2092</v>
      </c>
      <c r="N903" s="1">
        <v>310</v>
      </c>
      <c r="P903" s="1" t="s">
        <v>2092</v>
      </c>
      <c r="Q903" s="42">
        <v>0</v>
      </c>
      <c r="R903" s="42">
        <v>310</v>
      </c>
      <c r="S903" s="42">
        <v>0</v>
      </c>
      <c r="T903" s="10">
        <f>IFERROR(ROUND((Q903/R903),2),"NA")</f>
        <v>0</v>
      </c>
      <c r="U903">
        <f t="shared" si="14"/>
        <v>0</v>
      </c>
    </row>
    <row r="904" spans="7:21" x14ac:dyDescent="0.2">
      <c r="G904" s="9" t="s">
        <v>2472</v>
      </c>
      <c r="H904">
        <v>180</v>
      </c>
      <c r="M904" s="1" t="s">
        <v>2472</v>
      </c>
      <c r="N904" s="1">
        <v>228</v>
      </c>
      <c r="P904" s="1" t="s">
        <v>2472</v>
      </c>
      <c r="Q904" s="42">
        <v>180</v>
      </c>
      <c r="R904" s="42">
        <v>228</v>
      </c>
      <c r="S904" s="42">
        <v>0</v>
      </c>
      <c r="T904" s="10">
        <f>IFERROR(ROUND((Q904/R904),2),"NA")</f>
        <v>0.79</v>
      </c>
      <c r="U904">
        <f t="shared" si="14"/>
        <v>0</v>
      </c>
    </row>
    <row r="905" spans="7:21" x14ac:dyDescent="0.2">
      <c r="G905" s="9" t="s">
        <v>1799</v>
      </c>
      <c r="H905">
        <v>0</v>
      </c>
      <c r="M905" s="1" t="s">
        <v>1799</v>
      </c>
      <c r="N905" s="1">
        <v>50</v>
      </c>
      <c r="P905" s="1" t="s">
        <v>1799</v>
      </c>
      <c r="Q905" s="42">
        <v>0</v>
      </c>
      <c r="R905" s="42">
        <v>50</v>
      </c>
      <c r="S905" s="42">
        <v>0</v>
      </c>
      <c r="T905" s="10">
        <f>IFERROR(ROUND((Q905/R905),2),"NA")</f>
        <v>0</v>
      </c>
      <c r="U905">
        <f t="shared" si="14"/>
        <v>0</v>
      </c>
    </row>
    <row r="906" spans="7:21" x14ac:dyDescent="0.2">
      <c r="G906" s="9" t="s">
        <v>990</v>
      </c>
      <c r="H906">
        <v>0</v>
      </c>
      <c r="M906" s="1" t="s">
        <v>990</v>
      </c>
      <c r="N906" s="1">
        <v>80</v>
      </c>
      <c r="P906" s="1" t="s">
        <v>990</v>
      </c>
      <c r="Q906" s="42">
        <v>0</v>
      </c>
      <c r="R906" s="42">
        <v>80</v>
      </c>
      <c r="S906" s="42">
        <v>1</v>
      </c>
      <c r="T906" s="10">
        <f>IFERROR(ROUND((Q906/R906),2),"NA")</f>
        <v>0</v>
      </c>
      <c r="U906">
        <f t="shared" si="14"/>
        <v>0</v>
      </c>
    </row>
    <row r="907" spans="7:21" x14ac:dyDescent="0.2">
      <c r="G907" s="9" t="s">
        <v>2818</v>
      </c>
      <c r="H907">
        <v>14</v>
      </c>
      <c r="M907" s="1" t="s">
        <v>2818</v>
      </c>
      <c r="N907" s="1">
        <v>0</v>
      </c>
      <c r="P907" s="1" t="s">
        <v>2818</v>
      </c>
      <c r="Q907" s="42">
        <v>14</v>
      </c>
      <c r="R907" s="42">
        <v>0</v>
      </c>
      <c r="S907" s="42">
        <v>0.05</v>
      </c>
      <c r="T907" s="10" t="str">
        <f>IFERROR(ROUND((Q907/R907),2),"NA")</f>
        <v>NA</v>
      </c>
      <c r="U907">
        <f t="shared" si="14"/>
        <v>0.70000000000000007</v>
      </c>
    </row>
    <row r="908" spans="7:21" x14ac:dyDescent="0.2">
      <c r="G908" s="9" t="s">
        <v>2580</v>
      </c>
      <c r="H908">
        <v>17</v>
      </c>
      <c r="M908" s="1" t="s">
        <v>2580</v>
      </c>
      <c r="N908" s="1">
        <v>100.8</v>
      </c>
      <c r="P908" s="1" t="s">
        <v>2580</v>
      </c>
      <c r="Q908" s="42">
        <v>17</v>
      </c>
      <c r="R908" s="42">
        <v>100.8</v>
      </c>
      <c r="S908" s="42">
        <v>0.05</v>
      </c>
      <c r="T908" s="10">
        <f>IFERROR(ROUND((Q908/R908),2),"NA")</f>
        <v>0.17</v>
      </c>
      <c r="U908">
        <f t="shared" si="14"/>
        <v>0.85000000000000009</v>
      </c>
    </row>
    <row r="909" spans="7:21" x14ac:dyDescent="0.2">
      <c r="G909" s="9" t="s">
        <v>1260</v>
      </c>
      <c r="H909">
        <v>0</v>
      </c>
      <c r="M909" s="1" t="s">
        <v>1260</v>
      </c>
      <c r="N909" s="1">
        <v>17</v>
      </c>
      <c r="P909" s="1" t="s">
        <v>1260</v>
      </c>
      <c r="Q909" s="42">
        <v>0</v>
      </c>
      <c r="R909" s="42">
        <v>17</v>
      </c>
      <c r="S909" s="42">
        <v>0</v>
      </c>
      <c r="T909" s="10">
        <f>IFERROR(ROUND((Q909/R909),2),"NA")</f>
        <v>0</v>
      </c>
      <c r="U909">
        <f t="shared" si="14"/>
        <v>0</v>
      </c>
    </row>
    <row r="910" spans="7:21" x14ac:dyDescent="0.2">
      <c r="G910" s="9" t="s">
        <v>753</v>
      </c>
      <c r="H910">
        <v>0</v>
      </c>
      <c r="M910" s="1" t="s">
        <v>753</v>
      </c>
      <c r="N910" s="1">
        <v>3</v>
      </c>
      <c r="P910" s="1" t="s">
        <v>753</v>
      </c>
      <c r="Q910" s="42">
        <v>0</v>
      </c>
      <c r="R910" s="42">
        <v>3</v>
      </c>
      <c r="S910" s="42">
        <v>1</v>
      </c>
      <c r="T910" s="10">
        <f>IFERROR(ROUND((Q910/R910),2),"NA")</f>
        <v>0</v>
      </c>
      <c r="U910">
        <f t="shared" si="14"/>
        <v>0</v>
      </c>
    </row>
    <row r="911" spans="7:21" x14ac:dyDescent="0.2">
      <c r="G911" s="9" t="s">
        <v>2400</v>
      </c>
      <c r="H911">
        <v>30</v>
      </c>
      <c r="M911" s="1" t="s">
        <v>2400</v>
      </c>
      <c r="N911" s="1">
        <v>76</v>
      </c>
      <c r="P911" s="1" t="s">
        <v>2400</v>
      </c>
      <c r="Q911" s="42">
        <v>30</v>
      </c>
      <c r="R911" s="42">
        <v>76</v>
      </c>
      <c r="S911" s="42">
        <v>0.33</v>
      </c>
      <c r="T911" s="10">
        <f>IFERROR(ROUND((Q911/R911),2),"NA")</f>
        <v>0.39</v>
      </c>
      <c r="U911">
        <f t="shared" si="14"/>
        <v>9.9</v>
      </c>
    </row>
    <row r="912" spans="7:21" x14ac:dyDescent="0.2">
      <c r="G912" s="9" t="s">
        <v>2173</v>
      </c>
      <c r="H912">
        <v>0</v>
      </c>
      <c r="M912" s="1" t="s">
        <v>2173</v>
      </c>
      <c r="N912" s="1">
        <v>0</v>
      </c>
      <c r="P912" s="1" t="s">
        <v>2173</v>
      </c>
      <c r="Q912" s="42">
        <v>0</v>
      </c>
      <c r="R912" s="42">
        <v>0</v>
      </c>
      <c r="S912" s="42">
        <v>0.5</v>
      </c>
      <c r="T912" s="10" t="str">
        <f>IFERROR(ROUND((Q912/R912),2),"NA")</f>
        <v>NA</v>
      </c>
      <c r="U912">
        <f t="shared" si="14"/>
        <v>0</v>
      </c>
    </row>
    <row r="913" spans="7:21" x14ac:dyDescent="0.2">
      <c r="G913" s="9" t="s">
        <v>2288</v>
      </c>
      <c r="H913">
        <v>0</v>
      </c>
      <c r="M913" s="1" t="s">
        <v>2288</v>
      </c>
      <c r="N913" s="1">
        <v>5</v>
      </c>
      <c r="P913" s="1" t="s">
        <v>2288</v>
      </c>
      <c r="Q913" s="42">
        <v>0</v>
      </c>
      <c r="R913" s="42">
        <v>5</v>
      </c>
      <c r="S913" s="42">
        <v>1</v>
      </c>
      <c r="T913" s="10">
        <f>IFERROR(ROUND((Q913/R913),2),"NA")</f>
        <v>0</v>
      </c>
      <c r="U913">
        <f t="shared" si="14"/>
        <v>0</v>
      </c>
    </row>
    <row r="914" spans="7:21" x14ac:dyDescent="0.2">
      <c r="G914" s="9" t="s">
        <v>2769</v>
      </c>
      <c r="H914">
        <v>5</v>
      </c>
      <c r="M914" s="1" t="s">
        <v>2769</v>
      </c>
      <c r="N914" s="1">
        <v>0</v>
      </c>
      <c r="P914" s="1" t="s">
        <v>2769</v>
      </c>
      <c r="Q914" s="42">
        <v>5</v>
      </c>
      <c r="R914" s="42">
        <v>0</v>
      </c>
      <c r="S914" s="42">
        <v>0.31</v>
      </c>
      <c r="T914" s="10" t="str">
        <f>IFERROR(ROUND((Q914/R914),2),"NA")</f>
        <v>NA</v>
      </c>
      <c r="U914">
        <f t="shared" si="14"/>
        <v>1.55</v>
      </c>
    </row>
    <row r="915" spans="7:21" x14ac:dyDescent="0.2">
      <c r="G915" s="9" t="s">
        <v>839</v>
      </c>
      <c r="H915">
        <v>170</v>
      </c>
      <c r="M915" s="1" t="s">
        <v>839</v>
      </c>
      <c r="N915" s="1">
        <v>296</v>
      </c>
      <c r="P915" s="1" t="s">
        <v>839</v>
      </c>
      <c r="Q915" s="42">
        <v>170</v>
      </c>
      <c r="R915" s="42">
        <v>296</v>
      </c>
      <c r="S915" s="42">
        <v>0.33</v>
      </c>
      <c r="T915" s="10">
        <f>IFERROR(ROUND((Q915/R915),2),"NA")</f>
        <v>0.56999999999999995</v>
      </c>
      <c r="U915">
        <f t="shared" si="14"/>
        <v>56.1</v>
      </c>
    </row>
    <row r="916" spans="7:21" x14ac:dyDescent="0.2">
      <c r="G916" s="9" t="s">
        <v>1521</v>
      </c>
      <c r="H916">
        <v>168</v>
      </c>
      <c r="M916" s="1" t="s">
        <v>1521</v>
      </c>
      <c r="N916" s="1">
        <v>1269</v>
      </c>
      <c r="P916" s="1" t="s">
        <v>1521</v>
      </c>
      <c r="Q916" s="42">
        <v>168</v>
      </c>
      <c r="R916" s="42">
        <v>1269</v>
      </c>
      <c r="S916" s="42">
        <v>9.0000000000000011E-2</v>
      </c>
      <c r="T916" s="10">
        <f>IFERROR(ROUND((Q916/R916),2),"NA")</f>
        <v>0.13</v>
      </c>
      <c r="U916">
        <f t="shared" si="14"/>
        <v>15.120000000000001</v>
      </c>
    </row>
    <row r="917" spans="7:21" x14ac:dyDescent="0.2">
      <c r="G917" s="9" t="s">
        <v>1655</v>
      </c>
      <c r="H917">
        <v>112</v>
      </c>
      <c r="M917" s="1" t="s">
        <v>1655</v>
      </c>
      <c r="N917" s="1">
        <v>0</v>
      </c>
      <c r="P917" s="1" t="s">
        <v>1655</v>
      </c>
      <c r="Q917" s="42">
        <v>112</v>
      </c>
      <c r="R917" s="42">
        <v>0</v>
      </c>
      <c r="S917" s="42">
        <v>0.25</v>
      </c>
      <c r="T917" s="10" t="str">
        <f>IFERROR(ROUND((Q917/R917),2),"NA")</f>
        <v>NA</v>
      </c>
      <c r="U917">
        <f t="shared" si="14"/>
        <v>28</v>
      </c>
    </row>
    <row r="918" spans="7:21" x14ac:dyDescent="0.2">
      <c r="G918" s="9" t="s">
        <v>2492</v>
      </c>
      <c r="H918">
        <v>0</v>
      </c>
      <c r="M918" s="1" t="s">
        <v>2492</v>
      </c>
      <c r="N918" s="1">
        <v>78</v>
      </c>
      <c r="P918" s="1" t="s">
        <v>2492</v>
      </c>
      <c r="Q918" s="42">
        <v>0</v>
      </c>
      <c r="R918" s="42">
        <v>78</v>
      </c>
      <c r="S918" s="42">
        <v>0</v>
      </c>
      <c r="T918" s="10">
        <f>IFERROR(ROUND((Q918/R918),2),"NA")</f>
        <v>0</v>
      </c>
      <c r="U918">
        <f t="shared" si="14"/>
        <v>0</v>
      </c>
    </row>
    <row r="919" spans="7:21" x14ac:dyDescent="0.2">
      <c r="G919" s="9" t="s">
        <v>2066</v>
      </c>
      <c r="H919">
        <v>23</v>
      </c>
      <c r="M919" s="1" t="s">
        <v>2066</v>
      </c>
      <c r="N919" s="1">
        <v>120</v>
      </c>
      <c r="P919" s="1" t="s">
        <v>2066</v>
      </c>
      <c r="Q919" s="42">
        <v>23</v>
      </c>
      <c r="R919" s="42">
        <v>120</v>
      </c>
      <c r="S919" s="42">
        <v>0</v>
      </c>
      <c r="T919" s="10">
        <f>IFERROR(ROUND((Q919/R919),2),"NA")</f>
        <v>0.19</v>
      </c>
      <c r="U919">
        <f t="shared" si="14"/>
        <v>0</v>
      </c>
    </row>
    <row r="920" spans="7:21" x14ac:dyDescent="0.2">
      <c r="G920" s="9" t="s">
        <v>312</v>
      </c>
      <c r="H920">
        <v>100</v>
      </c>
      <c r="M920" s="1" t="s">
        <v>312</v>
      </c>
      <c r="N920" s="1">
        <v>2299</v>
      </c>
      <c r="P920" s="1" t="s">
        <v>312</v>
      </c>
      <c r="Q920" s="42">
        <v>100</v>
      </c>
      <c r="R920" s="42">
        <v>2299</v>
      </c>
      <c r="S920" s="42">
        <v>0.21666666666666667</v>
      </c>
      <c r="T920" s="10">
        <f>IFERROR(ROUND((Q920/R920),2),"NA")</f>
        <v>0.04</v>
      </c>
      <c r="U920">
        <f t="shared" si="14"/>
        <v>21.666666666666668</v>
      </c>
    </row>
    <row r="921" spans="7:21" x14ac:dyDescent="0.2">
      <c r="G921" s="9" t="s">
        <v>127</v>
      </c>
      <c r="H921">
        <v>5900</v>
      </c>
      <c r="M921" s="1" t="s">
        <v>127</v>
      </c>
      <c r="N921" s="1">
        <v>9000</v>
      </c>
      <c r="P921" s="1" t="s">
        <v>127</v>
      </c>
      <c r="Q921" s="42">
        <v>5900</v>
      </c>
      <c r="R921" s="42">
        <v>9000</v>
      </c>
      <c r="S921" s="42">
        <v>0.125</v>
      </c>
      <c r="T921" s="10">
        <f>IFERROR(ROUND((Q921/R921),2),"NA")</f>
        <v>0.66</v>
      </c>
      <c r="U921">
        <f t="shared" si="14"/>
        <v>737.5</v>
      </c>
    </row>
    <row r="922" spans="7:21" x14ac:dyDescent="0.2">
      <c r="G922" s="9" t="s">
        <v>2785</v>
      </c>
      <c r="H922">
        <v>11</v>
      </c>
      <c r="M922" s="1" t="s">
        <v>2785</v>
      </c>
      <c r="N922" s="1">
        <v>16</v>
      </c>
      <c r="P922" s="1" t="s">
        <v>2785</v>
      </c>
      <c r="Q922" s="42">
        <v>11</v>
      </c>
      <c r="R922" s="42">
        <v>16</v>
      </c>
      <c r="S922" s="42">
        <v>0.1</v>
      </c>
      <c r="T922" s="10">
        <f>IFERROR(ROUND((Q922/R922),2),"NA")</f>
        <v>0.69</v>
      </c>
      <c r="U922">
        <f t="shared" si="14"/>
        <v>1.1000000000000001</v>
      </c>
    </row>
    <row r="923" spans="7:21" x14ac:dyDescent="0.2">
      <c r="G923" s="9" t="s">
        <v>2415</v>
      </c>
      <c r="H923">
        <v>30</v>
      </c>
      <c r="M923" s="1" t="s">
        <v>2415</v>
      </c>
      <c r="N923" s="1">
        <v>49</v>
      </c>
      <c r="P923" s="1" t="s">
        <v>2415</v>
      </c>
      <c r="Q923" s="42">
        <v>30</v>
      </c>
      <c r="R923" s="42">
        <v>49</v>
      </c>
      <c r="S923" s="42">
        <v>0</v>
      </c>
      <c r="T923" s="10">
        <f>IFERROR(ROUND((Q923/R923),2),"NA")</f>
        <v>0.61</v>
      </c>
      <c r="U923">
        <f t="shared" si="14"/>
        <v>0</v>
      </c>
    </row>
    <row r="924" spans="7:21" x14ac:dyDescent="0.2">
      <c r="G924" s="9" t="s">
        <v>2531</v>
      </c>
      <c r="H924">
        <v>90</v>
      </c>
      <c r="M924" s="1" t="s">
        <v>2531</v>
      </c>
      <c r="N924" s="1">
        <v>656</v>
      </c>
      <c r="P924" s="1" t="s">
        <v>2531</v>
      </c>
      <c r="Q924" s="42">
        <v>90</v>
      </c>
      <c r="R924" s="42">
        <v>656</v>
      </c>
      <c r="S924" s="42">
        <v>0.17</v>
      </c>
      <c r="T924" s="10">
        <f>IFERROR(ROUND((Q924/R924),2),"NA")</f>
        <v>0.14000000000000001</v>
      </c>
      <c r="U924">
        <f t="shared" si="14"/>
        <v>15.3</v>
      </c>
    </row>
    <row r="925" spans="7:21" x14ac:dyDescent="0.2">
      <c r="G925" s="9" t="s">
        <v>189</v>
      </c>
      <c r="H925">
        <v>100</v>
      </c>
      <c r="M925" s="1" t="s">
        <v>189</v>
      </c>
      <c r="N925" s="1">
        <v>247</v>
      </c>
      <c r="P925" s="1" t="s">
        <v>189</v>
      </c>
      <c r="Q925" s="42">
        <v>100</v>
      </c>
      <c r="R925" s="42">
        <v>247</v>
      </c>
      <c r="S925" s="42">
        <v>1</v>
      </c>
      <c r="T925" s="10">
        <f>IFERROR(ROUND((Q925/R925),2),"NA")</f>
        <v>0.4</v>
      </c>
      <c r="U925">
        <f t="shared" si="14"/>
        <v>100</v>
      </c>
    </row>
    <row r="926" spans="7:21" x14ac:dyDescent="0.2">
      <c r="G926" s="9" t="s">
        <v>1405</v>
      </c>
      <c r="H926">
        <v>0</v>
      </c>
      <c r="M926" s="1" t="s">
        <v>1405</v>
      </c>
      <c r="N926" s="1">
        <v>350</v>
      </c>
      <c r="P926" s="1" t="s">
        <v>1405</v>
      </c>
      <c r="Q926" s="42">
        <v>0</v>
      </c>
      <c r="R926" s="42">
        <v>350</v>
      </c>
      <c r="S926" s="42">
        <v>0.1</v>
      </c>
      <c r="T926" s="10">
        <f>IFERROR(ROUND((Q926/R926),2),"NA")</f>
        <v>0</v>
      </c>
      <c r="U926">
        <f t="shared" si="14"/>
        <v>0</v>
      </c>
    </row>
    <row r="927" spans="7:21" x14ac:dyDescent="0.2">
      <c r="G927" s="9" t="s">
        <v>1403</v>
      </c>
      <c r="H927">
        <v>130</v>
      </c>
      <c r="M927" s="1" t="s">
        <v>1403</v>
      </c>
      <c r="N927" s="1">
        <v>413</v>
      </c>
      <c r="P927" s="1" t="s">
        <v>1403</v>
      </c>
      <c r="Q927" s="42">
        <v>130</v>
      </c>
      <c r="R927" s="42">
        <v>413</v>
      </c>
      <c r="S927" s="42">
        <v>7.0000000000000007E-2</v>
      </c>
      <c r="T927" s="10">
        <f>IFERROR(ROUND((Q927/R927),2),"NA")</f>
        <v>0.31</v>
      </c>
      <c r="U927">
        <f t="shared" si="14"/>
        <v>9.1000000000000014</v>
      </c>
    </row>
    <row r="928" spans="7:21" x14ac:dyDescent="0.2">
      <c r="G928" s="9" t="s">
        <v>1508</v>
      </c>
      <c r="H928">
        <v>21</v>
      </c>
      <c r="M928" s="1" t="s">
        <v>1508</v>
      </c>
      <c r="N928" s="1">
        <v>41</v>
      </c>
      <c r="P928" s="1" t="s">
        <v>1508</v>
      </c>
      <c r="Q928" s="42">
        <v>21</v>
      </c>
      <c r="R928" s="42">
        <v>41</v>
      </c>
      <c r="S928" s="42">
        <v>0.28000000000000003</v>
      </c>
      <c r="T928" s="10">
        <f>IFERROR(ROUND((Q928/R928),2),"NA")</f>
        <v>0.51</v>
      </c>
      <c r="U928">
        <f t="shared" si="14"/>
        <v>5.8800000000000008</v>
      </c>
    </row>
    <row r="929" spans="7:21" x14ac:dyDescent="0.2">
      <c r="G929" s="9" t="s">
        <v>2320</v>
      </c>
      <c r="H929">
        <v>0</v>
      </c>
      <c r="M929" s="1" t="s">
        <v>2320</v>
      </c>
      <c r="N929" s="1">
        <v>45</v>
      </c>
      <c r="P929" s="1" t="s">
        <v>2320</v>
      </c>
      <c r="Q929" s="42">
        <v>0</v>
      </c>
      <c r="R929" s="42">
        <v>45</v>
      </c>
      <c r="S929" s="42">
        <v>0</v>
      </c>
      <c r="T929" s="10">
        <f>IFERROR(ROUND((Q929/R929),2),"NA")</f>
        <v>0</v>
      </c>
      <c r="U929">
        <f t="shared" si="14"/>
        <v>0</v>
      </c>
    </row>
    <row r="930" spans="7:21" x14ac:dyDescent="0.2">
      <c r="G930" s="9" t="s">
        <v>1041</v>
      </c>
      <c r="H930">
        <v>160</v>
      </c>
      <c r="M930" s="1" t="s">
        <v>1041</v>
      </c>
      <c r="N930" s="1">
        <v>9</v>
      </c>
      <c r="P930" s="1" t="s">
        <v>1041</v>
      </c>
      <c r="Q930" s="42">
        <v>160</v>
      </c>
      <c r="R930" s="42">
        <v>9</v>
      </c>
      <c r="S930" s="42">
        <v>0</v>
      </c>
      <c r="T930" s="10">
        <f>IFERROR(ROUND((Q930/R930),2),"NA")</f>
        <v>17.78</v>
      </c>
      <c r="U930">
        <f t="shared" si="14"/>
        <v>0</v>
      </c>
    </row>
    <row r="931" spans="7:21" x14ac:dyDescent="0.2">
      <c r="G931" s="9" t="s">
        <v>1117</v>
      </c>
      <c r="H931">
        <v>0</v>
      </c>
      <c r="M931" s="1" t="s">
        <v>1117</v>
      </c>
      <c r="N931" s="1">
        <v>70</v>
      </c>
      <c r="P931" s="1" t="s">
        <v>1117</v>
      </c>
      <c r="Q931" s="42">
        <v>0</v>
      </c>
      <c r="R931" s="42">
        <v>70</v>
      </c>
      <c r="S931" s="42">
        <v>0.14000000000000001</v>
      </c>
      <c r="T931" s="10">
        <f>IFERROR(ROUND((Q931/R931),2),"NA")</f>
        <v>0</v>
      </c>
      <c r="U931">
        <f t="shared" si="14"/>
        <v>0</v>
      </c>
    </row>
    <row r="932" spans="7:21" x14ac:dyDescent="0.2">
      <c r="G932" s="9" t="s">
        <v>1248</v>
      </c>
      <c r="H932">
        <v>440</v>
      </c>
      <c r="M932" s="1" t="s">
        <v>1248</v>
      </c>
      <c r="N932" s="1">
        <v>408</v>
      </c>
      <c r="P932" s="1" t="s">
        <v>1248</v>
      </c>
      <c r="Q932" s="42">
        <v>440</v>
      </c>
      <c r="R932" s="42">
        <v>408</v>
      </c>
      <c r="S932" s="42">
        <v>0.22499999999999998</v>
      </c>
      <c r="T932" s="10">
        <f>IFERROR(ROUND((Q932/R932),2),"NA")</f>
        <v>1.08</v>
      </c>
      <c r="U932">
        <f t="shared" si="14"/>
        <v>98.999999999999986</v>
      </c>
    </row>
    <row r="933" spans="7:21" x14ac:dyDescent="0.2">
      <c r="G933" s="9" t="s">
        <v>1104</v>
      </c>
      <c r="H933">
        <v>5</v>
      </c>
      <c r="M933" s="1" t="s">
        <v>1104</v>
      </c>
      <c r="N933" s="1">
        <v>11</v>
      </c>
      <c r="P933" s="1" t="s">
        <v>1104</v>
      </c>
      <c r="Q933" s="42">
        <v>5</v>
      </c>
      <c r="R933" s="42">
        <v>11</v>
      </c>
      <c r="S933" s="42">
        <v>0</v>
      </c>
      <c r="T933" s="10">
        <f>IFERROR(ROUND((Q933/R933),2),"NA")</f>
        <v>0.45</v>
      </c>
      <c r="U933">
        <f t="shared" si="14"/>
        <v>0</v>
      </c>
    </row>
    <row r="934" spans="7:21" x14ac:dyDescent="0.2">
      <c r="G934" s="9" t="s">
        <v>1721</v>
      </c>
      <c r="H934">
        <v>198</v>
      </c>
      <c r="M934" s="1" t="s">
        <v>1721</v>
      </c>
      <c r="N934" s="1">
        <v>82</v>
      </c>
      <c r="P934" s="1" t="s">
        <v>1721</v>
      </c>
      <c r="Q934" s="42">
        <v>198</v>
      </c>
      <c r="R934" s="42">
        <v>82</v>
      </c>
      <c r="S934" s="42">
        <v>0.18</v>
      </c>
      <c r="T934" s="10">
        <f>IFERROR(ROUND((Q934/R934),2),"NA")</f>
        <v>2.41</v>
      </c>
      <c r="U934">
        <f t="shared" si="14"/>
        <v>35.64</v>
      </c>
    </row>
    <row r="935" spans="7:21" x14ac:dyDescent="0.2">
      <c r="G935" s="9" t="s">
        <v>1493</v>
      </c>
      <c r="H935">
        <v>25</v>
      </c>
      <c r="M935" s="1" t="s">
        <v>1493</v>
      </c>
      <c r="N935" s="1">
        <v>1</v>
      </c>
      <c r="P935" s="1" t="s">
        <v>1493</v>
      </c>
      <c r="Q935" s="42">
        <v>25</v>
      </c>
      <c r="R935" s="42">
        <v>1</v>
      </c>
      <c r="S935" s="42">
        <v>1</v>
      </c>
      <c r="T935" s="10">
        <f>IFERROR(ROUND((Q935/R935),2),"NA")</f>
        <v>25</v>
      </c>
      <c r="U935">
        <f t="shared" si="14"/>
        <v>25</v>
      </c>
    </row>
    <row r="936" spans="7:21" x14ac:dyDescent="0.2">
      <c r="G936" s="9" t="s">
        <v>2623</v>
      </c>
      <c r="H936">
        <v>18</v>
      </c>
      <c r="M936" s="1" t="s">
        <v>2623</v>
      </c>
      <c r="N936" s="1">
        <v>30</v>
      </c>
      <c r="P936" s="1" t="s">
        <v>2623</v>
      </c>
      <c r="Q936" s="42">
        <v>18</v>
      </c>
      <c r="R936" s="42">
        <v>30</v>
      </c>
      <c r="S936" s="42">
        <v>0.36</v>
      </c>
      <c r="T936" s="10">
        <f>IFERROR(ROUND((Q936/R936),2),"NA")</f>
        <v>0.6</v>
      </c>
      <c r="U936">
        <f t="shared" si="14"/>
        <v>6.4799999999999995</v>
      </c>
    </row>
    <row r="937" spans="7:21" x14ac:dyDescent="0.2">
      <c r="G937" s="9" t="s">
        <v>1155</v>
      </c>
      <c r="H937">
        <v>35</v>
      </c>
      <c r="M937" s="1" t="s">
        <v>1155</v>
      </c>
      <c r="N937" s="1">
        <v>192</v>
      </c>
      <c r="P937" s="1" t="s">
        <v>1155</v>
      </c>
      <c r="Q937" s="42">
        <v>35</v>
      </c>
      <c r="R937" s="42">
        <v>192</v>
      </c>
      <c r="S937" s="42">
        <v>0.12</v>
      </c>
      <c r="T937" s="10">
        <f>IFERROR(ROUND((Q937/R937),2),"NA")</f>
        <v>0.18</v>
      </c>
      <c r="U937">
        <f t="shared" si="14"/>
        <v>4.2</v>
      </c>
    </row>
    <row r="938" spans="7:21" x14ac:dyDescent="0.2">
      <c r="G938" s="9" t="s">
        <v>1829</v>
      </c>
      <c r="H938">
        <v>0</v>
      </c>
      <c r="M938" s="1" t="s">
        <v>1829</v>
      </c>
      <c r="N938" s="1">
        <v>0</v>
      </c>
      <c r="P938" s="1" t="s">
        <v>1829</v>
      </c>
      <c r="Q938" s="42">
        <v>0</v>
      </c>
      <c r="R938" s="42">
        <v>0</v>
      </c>
      <c r="S938" s="42">
        <v>1</v>
      </c>
      <c r="T938" s="10" t="str">
        <f>IFERROR(ROUND((Q938/R938),2),"NA")</f>
        <v>NA</v>
      </c>
      <c r="U938">
        <f t="shared" si="14"/>
        <v>0</v>
      </c>
    </row>
    <row r="939" spans="7:21" x14ac:dyDescent="0.2">
      <c r="G939" s="9" t="s">
        <v>2165</v>
      </c>
      <c r="H939">
        <v>249</v>
      </c>
      <c r="M939" s="1" t="s">
        <v>2165</v>
      </c>
      <c r="N939" s="1">
        <v>718.4</v>
      </c>
      <c r="P939" s="1" t="s">
        <v>2165</v>
      </c>
      <c r="Q939" s="42">
        <v>249</v>
      </c>
      <c r="R939" s="42">
        <v>718.4</v>
      </c>
      <c r="S939" s="42">
        <v>0.26333333333333336</v>
      </c>
      <c r="T939" s="10">
        <f>IFERROR(ROUND((Q939/R939),2),"NA")</f>
        <v>0.35</v>
      </c>
      <c r="U939">
        <f t="shared" si="14"/>
        <v>65.570000000000007</v>
      </c>
    </row>
    <row r="940" spans="7:21" x14ac:dyDescent="0.2">
      <c r="G940" s="9" t="s">
        <v>164</v>
      </c>
      <c r="H940">
        <v>415</v>
      </c>
      <c r="M940" s="1" t="s">
        <v>164</v>
      </c>
      <c r="N940" s="1">
        <v>3600</v>
      </c>
      <c r="P940" s="1" t="s">
        <v>164</v>
      </c>
      <c r="Q940" s="42">
        <v>415</v>
      </c>
      <c r="R940" s="42">
        <v>3600</v>
      </c>
      <c r="S940" s="42">
        <v>0.06</v>
      </c>
      <c r="T940" s="10">
        <f>IFERROR(ROUND((Q940/R940),2),"NA")</f>
        <v>0.12</v>
      </c>
      <c r="U940">
        <f t="shared" si="14"/>
        <v>24.9</v>
      </c>
    </row>
    <row r="941" spans="7:21" x14ac:dyDescent="0.2">
      <c r="G941" s="9" t="s">
        <v>323</v>
      </c>
      <c r="H941">
        <v>30</v>
      </c>
      <c r="M941" s="1" t="s">
        <v>323</v>
      </c>
      <c r="N941" s="1">
        <v>266</v>
      </c>
      <c r="P941" s="1" t="s">
        <v>323</v>
      </c>
      <c r="Q941" s="42">
        <v>30</v>
      </c>
      <c r="R941" s="42">
        <v>266</v>
      </c>
      <c r="S941" s="42">
        <v>0</v>
      </c>
      <c r="T941" s="10">
        <f>IFERROR(ROUND((Q941/R941),2),"NA")</f>
        <v>0.11</v>
      </c>
      <c r="U941">
        <f t="shared" si="14"/>
        <v>0</v>
      </c>
    </row>
    <row r="942" spans="7:21" x14ac:dyDescent="0.2">
      <c r="G942" s="9" t="s">
        <v>2859</v>
      </c>
      <c r="H942">
        <v>0</v>
      </c>
      <c r="M942" s="1" t="s">
        <v>2859</v>
      </c>
      <c r="N942" s="1">
        <v>197</v>
      </c>
      <c r="P942" s="1" t="s">
        <v>2859</v>
      </c>
      <c r="Q942" s="42">
        <v>0</v>
      </c>
      <c r="R942" s="42">
        <v>197</v>
      </c>
      <c r="S942" s="42">
        <v>0</v>
      </c>
      <c r="T942" s="10">
        <f>IFERROR(ROUND((Q942/R942),2),"NA")</f>
        <v>0</v>
      </c>
      <c r="U942">
        <f t="shared" si="14"/>
        <v>0</v>
      </c>
    </row>
    <row r="943" spans="7:21" x14ac:dyDescent="0.2">
      <c r="G943" s="9" t="s">
        <v>2545</v>
      </c>
      <c r="H943">
        <v>22</v>
      </c>
      <c r="M943" s="1" t="s">
        <v>2545</v>
      </c>
      <c r="N943" s="1">
        <v>97</v>
      </c>
      <c r="P943" s="1" t="s">
        <v>2545</v>
      </c>
      <c r="Q943" s="42">
        <v>22</v>
      </c>
      <c r="R943" s="42">
        <v>97</v>
      </c>
      <c r="S943" s="42">
        <v>0.11</v>
      </c>
      <c r="T943" s="10">
        <f>IFERROR(ROUND((Q943/R943),2),"NA")</f>
        <v>0.23</v>
      </c>
      <c r="U943">
        <f t="shared" si="14"/>
        <v>2.42</v>
      </c>
    </row>
    <row r="944" spans="7:21" x14ac:dyDescent="0.2">
      <c r="G944" s="9" t="s">
        <v>1631</v>
      </c>
      <c r="H944">
        <v>55</v>
      </c>
      <c r="M944" s="1" t="s">
        <v>1631</v>
      </c>
      <c r="N944" s="1">
        <v>178</v>
      </c>
      <c r="P944" s="1" t="s">
        <v>1631</v>
      </c>
      <c r="Q944" s="42">
        <v>55</v>
      </c>
      <c r="R944" s="42">
        <v>178</v>
      </c>
      <c r="S944" s="42">
        <v>0.05</v>
      </c>
      <c r="T944" s="10">
        <f>IFERROR(ROUND((Q944/R944),2),"NA")</f>
        <v>0.31</v>
      </c>
      <c r="U944">
        <f t="shared" si="14"/>
        <v>2.75</v>
      </c>
    </row>
    <row r="945" spans="7:21" x14ac:dyDescent="0.2">
      <c r="G945" s="9" t="s">
        <v>1604</v>
      </c>
      <c r="H945">
        <v>0</v>
      </c>
      <c r="M945" s="1" t="s">
        <v>1604</v>
      </c>
      <c r="N945" s="1">
        <v>21</v>
      </c>
      <c r="P945" s="1" t="s">
        <v>1604</v>
      </c>
      <c r="Q945" s="42">
        <v>0</v>
      </c>
      <c r="R945" s="42">
        <v>21</v>
      </c>
      <c r="S945" s="42">
        <v>0</v>
      </c>
      <c r="T945" s="10">
        <f>IFERROR(ROUND((Q945/R945),2),"NA")</f>
        <v>0</v>
      </c>
      <c r="U945">
        <f t="shared" si="14"/>
        <v>0</v>
      </c>
    </row>
    <row r="946" spans="7:21" x14ac:dyDescent="0.2">
      <c r="G946" s="9" t="s">
        <v>1008</v>
      </c>
      <c r="H946">
        <v>150</v>
      </c>
      <c r="M946" s="1" t="s">
        <v>1008</v>
      </c>
      <c r="N946" s="1">
        <v>651</v>
      </c>
      <c r="P946" s="1" t="s">
        <v>1008</v>
      </c>
      <c r="Q946" s="42">
        <v>150</v>
      </c>
      <c r="R946" s="42">
        <v>651</v>
      </c>
      <c r="S946" s="42">
        <v>0.17</v>
      </c>
      <c r="T946" s="10">
        <f>IFERROR(ROUND((Q946/R946),2),"NA")</f>
        <v>0.23</v>
      </c>
      <c r="U946">
        <f t="shared" si="14"/>
        <v>25.500000000000004</v>
      </c>
    </row>
    <row r="947" spans="7:21" x14ac:dyDescent="0.2">
      <c r="G947" s="9" t="s">
        <v>1408</v>
      </c>
      <c r="H947">
        <v>981</v>
      </c>
      <c r="M947" s="1" t="s">
        <v>1408</v>
      </c>
      <c r="N947" s="1">
        <v>800</v>
      </c>
      <c r="P947" s="1" t="s">
        <v>1408</v>
      </c>
      <c r="Q947" s="42">
        <v>981</v>
      </c>
      <c r="R947" s="42">
        <v>800</v>
      </c>
      <c r="S947" s="42">
        <v>7.0000000000000007E-2</v>
      </c>
      <c r="T947" s="10">
        <f>IFERROR(ROUND((Q947/R947),2),"NA")</f>
        <v>1.23</v>
      </c>
      <c r="U947">
        <f t="shared" si="14"/>
        <v>68.67</v>
      </c>
    </row>
    <row r="948" spans="7:21" x14ac:dyDescent="0.2">
      <c r="G948" s="9" t="s">
        <v>1957</v>
      </c>
      <c r="H948">
        <v>94</v>
      </c>
      <c r="M948" s="1" t="s">
        <v>1957</v>
      </c>
      <c r="N948" s="1">
        <v>0</v>
      </c>
      <c r="P948" s="1" t="s">
        <v>1957</v>
      </c>
      <c r="Q948" s="42">
        <v>94</v>
      </c>
      <c r="R948" s="42">
        <v>0</v>
      </c>
      <c r="S948" s="42">
        <v>0.12</v>
      </c>
      <c r="T948" s="10" t="str">
        <f>IFERROR(ROUND((Q948/R948),2),"NA")</f>
        <v>NA</v>
      </c>
      <c r="U948">
        <f t="shared" si="14"/>
        <v>11.28</v>
      </c>
    </row>
    <row r="949" spans="7:21" x14ac:dyDescent="0.2">
      <c r="G949" s="9" t="s">
        <v>2132</v>
      </c>
      <c r="H949">
        <v>800</v>
      </c>
      <c r="M949" s="1" t="s">
        <v>2132</v>
      </c>
      <c r="N949" s="1">
        <v>75</v>
      </c>
      <c r="P949" s="1" t="s">
        <v>2132</v>
      </c>
      <c r="Q949" s="42">
        <v>800</v>
      </c>
      <c r="R949" s="42">
        <v>75</v>
      </c>
      <c r="S949" s="42">
        <v>0.2</v>
      </c>
      <c r="T949" s="10">
        <f>IFERROR(ROUND((Q949/R949),2),"NA")</f>
        <v>10.67</v>
      </c>
      <c r="U949">
        <f t="shared" si="14"/>
        <v>160</v>
      </c>
    </row>
    <row r="950" spans="7:21" x14ac:dyDescent="0.2">
      <c r="G950" s="9" t="s">
        <v>2585</v>
      </c>
      <c r="H950">
        <v>430</v>
      </c>
      <c r="M950" s="1" t="s">
        <v>2585</v>
      </c>
      <c r="N950" s="1">
        <v>4800</v>
      </c>
      <c r="P950" s="1" t="s">
        <v>2585</v>
      </c>
      <c r="Q950" s="42">
        <v>430</v>
      </c>
      <c r="R950" s="42">
        <v>4800</v>
      </c>
      <c r="S950" s="42">
        <v>0.09</v>
      </c>
      <c r="T950" s="10">
        <f>IFERROR(ROUND((Q950/R950),2),"NA")</f>
        <v>0.09</v>
      </c>
      <c r="U950">
        <f t="shared" si="14"/>
        <v>38.699999999999996</v>
      </c>
    </row>
    <row r="951" spans="7:21" x14ac:dyDescent="0.2">
      <c r="G951" s="9" t="s">
        <v>1460</v>
      </c>
      <c r="H951">
        <v>74</v>
      </c>
      <c r="M951" s="1" t="s">
        <v>1460</v>
      </c>
      <c r="N951" s="1">
        <v>24</v>
      </c>
      <c r="P951" s="1" t="s">
        <v>1460</v>
      </c>
      <c r="Q951" s="42">
        <v>74</v>
      </c>
      <c r="R951" s="42">
        <v>24</v>
      </c>
      <c r="S951" s="42">
        <v>0</v>
      </c>
      <c r="T951" s="10">
        <f>IFERROR(ROUND((Q951/R951),2),"NA")</f>
        <v>3.08</v>
      </c>
      <c r="U951">
        <f t="shared" si="14"/>
        <v>0</v>
      </c>
    </row>
    <row r="952" spans="7:21" x14ac:dyDescent="0.2">
      <c r="G952" s="9" t="s">
        <v>1581</v>
      </c>
      <c r="H952">
        <v>0</v>
      </c>
      <c r="M952" s="1" t="s">
        <v>1581</v>
      </c>
      <c r="N952" s="1">
        <v>54</v>
      </c>
      <c r="P952" s="1" t="s">
        <v>1581</v>
      </c>
      <c r="Q952" s="42">
        <v>0</v>
      </c>
      <c r="R952" s="42">
        <v>54</v>
      </c>
      <c r="S952" s="42">
        <v>0</v>
      </c>
      <c r="T952" s="10">
        <f>IFERROR(ROUND((Q952/R952),2),"NA")</f>
        <v>0</v>
      </c>
      <c r="U952">
        <f t="shared" si="14"/>
        <v>0</v>
      </c>
    </row>
    <row r="953" spans="7:21" x14ac:dyDescent="0.2">
      <c r="G953" s="9" t="s">
        <v>1410</v>
      </c>
      <c r="H953">
        <v>80</v>
      </c>
      <c r="M953" s="1" t="s">
        <v>1410</v>
      </c>
      <c r="N953" s="1">
        <v>583</v>
      </c>
      <c r="P953" s="1" t="s">
        <v>1410</v>
      </c>
      <c r="Q953" s="42">
        <v>80</v>
      </c>
      <c r="R953" s="42">
        <v>583</v>
      </c>
      <c r="S953" s="42">
        <v>7.0000000000000007E-2</v>
      </c>
      <c r="T953" s="10">
        <f>IFERROR(ROUND((Q953/R953),2),"NA")</f>
        <v>0.14000000000000001</v>
      </c>
      <c r="U953">
        <f t="shared" si="14"/>
        <v>5.6000000000000005</v>
      </c>
    </row>
    <row r="954" spans="7:21" x14ac:dyDescent="0.2">
      <c r="G954" s="9" t="s">
        <v>1953</v>
      </c>
      <c r="H954">
        <v>0</v>
      </c>
      <c r="M954" s="1" t="s">
        <v>1953</v>
      </c>
      <c r="N954" s="1">
        <v>0</v>
      </c>
      <c r="P954" s="1" t="s">
        <v>1953</v>
      </c>
      <c r="Q954" s="42">
        <v>0</v>
      </c>
      <c r="R954" s="42">
        <v>0</v>
      </c>
      <c r="S954" s="42">
        <v>1</v>
      </c>
      <c r="T954" s="10" t="str">
        <f>IFERROR(ROUND((Q954/R954),2),"NA")</f>
        <v>NA</v>
      </c>
      <c r="U954">
        <f t="shared" si="14"/>
        <v>0</v>
      </c>
    </row>
    <row r="955" spans="7:21" x14ac:dyDescent="0.2">
      <c r="G955" s="9" t="s">
        <v>2467</v>
      </c>
      <c r="H955">
        <v>70</v>
      </c>
      <c r="M955" s="1" t="s">
        <v>2467</v>
      </c>
      <c r="N955" s="1">
        <v>16</v>
      </c>
      <c r="P955" s="1" t="s">
        <v>2467</v>
      </c>
      <c r="Q955" s="42">
        <v>70</v>
      </c>
      <c r="R955" s="42">
        <v>16</v>
      </c>
      <c r="S955" s="42">
        <v>0</v>
      </c>
      <c r="T955" s="10">
        <f>IFERROR(ROUND((Q955/R955),2),"NA")</f>
        <v>4.38</v>
      </c>
      <c r="U955">
        <f t="shared" si="14"/>
        <v>0</v>
      </c>
    </row>
    <row r="956" spans="7:21" x14ac:dyDescent="0.2">
      <c r="G956" s="9" t="s">
        <v>1813</v>
      </c>
      <c r="H956">
        <v>0</v>
      </c>
      <c r="M956" s="1" t="s">
        <v>1813</v>
      </c>
      <c r="N956" s="1">
        <v>6</v>
      </c>
      <c r="P956" s="1" t="s">
        <v>1813</v>
      </c>
      <c r="Q956" s="42">
        <v>0</v>
      </c>
      <c r="R956" s="42">
        <v>6</v>
      </c>
      <c r="S956" s="42">
        <v>1</v>
      </c>
      <c r="T956" s="10">
        <f>IFERROR(ROUND((Q956/R956),2),"NA")</f>
        <v>0</v>
      </c>
      <c r="U956">
        <f t="shared" si="14"/>
        <v>0</v>
      </c>
    </row>
    <row r="957" spans="7:21" x14ac:dyDescent="0.2">
      <c r="G957" s="9" t="s">
        <v>2083</v>
      </c>
      <c r="H957">
        <v>140</v>
      </c>
      <c r="M957" s="1" t="s">
        <v>2083</v>
      </c>
      <c r="N957" s="1">
        <v>910</v>
      </c>
      <c r="P957" s="1" t="s">
        <v>2083</v>
      </c>
      <c r="Q957" s="42">
        <v>140</v>
      </c>
      <c r="R957" s="42">
        <v>910</v>
      </c>
      <c r="S957" s="42">
        <v>0.16</v>
      </c>
      <c r="T957" s="10">
        <f>IFERROR(ROUND((Q957/R957),2),"NA")</f>
        <v>0.15</v>
      </c>
      <c r="U957">
        <f t="shared" si="14"/>
        <v>22.400000000000002</v>
      </c>
    </row>
    <row r="958" spans="7:21" x14ac:dyDescent="0.2">
      <c r="G958" s="9" t="s">
        <v>1222</v>
      </c>
      <c r="H958">
        <v>0</v>
      </c>
      <c r="M958" s="1" t="s">
        <v>1222</v>
      </c>
      <c r="N958" s="1">
        <v>0</v>
      </c>
      <c r="P958" s="1" t="s">
        <v>1222</v>
      </c>
      <c r="Q958" s="42">
        <v>0</v>
      </c>
      <c r="R958" s="42">
        <v>0</v>
      </c>
      <c r="S958" s="42">
        <v>0.9</v>
      </c>
      <c r="T958" s="10" t="str">
        <f>IFERROR(ROUND((Q958/R958),2),"NA")</f>
        <v>NA</v>
      </c>
      <c r="U958">
        <f t="shared" si="14"/>
        <v>0</v>
      </c>
    </row>
    <row r="959" spans="7:21" x14ac:dyDescent="0.2">
      <c r="G959" s="9" t="s">
        <v>33</v>
      </c>
      <c r="H959">
        <v>13472</v>
      </c>
      <c r="M959" s="1" t="s">
        <v>33</v>
      </c>
      <c r="N959" s="1">
        <v>312</v>
      </c>
      <c r="P959" s="1" t="s">
        <v>33</v>
      </c>
      <c r="Q959" s="42">
        <v>13472</v>
      </c>
      <c r="R959" s="42">
        <v>312</v>
      </c>
      <c r="S959" s="42">
        <v>0.06</v>
      </c>
      <c r="T959" s="10">
        <f>IFERROR(ROUND((Q959/R959),2),"NA")</f>
        <v>43.18</v>
      </c>
      <c r="U959">
        <f t="shared" si="14"/>
        <v>808.31999999999994</v>
      </c>
    </row>
    <row r="960" spans="7:21" x14ac:dyDescent="0.2">
      <c r="G960" s="9" t="s">
        <v>211</v>
      </c>
      <c r="H960">
        <v>200</v>
      </c>
      <c r="M960" s="1" t="s">
        <v>211</v>
      </c>
      <c r="N960" s="1">
        <v>576</v>
      </c>
      <c r="P960" s="1" t="s">
        <v>211</v>
      </c>
      <c r="Q960" s="42">
        <v>200</v>
      </c>
      <c r="R960" s="42">
        <v>576</v>
      </c>
      <c r="S960" s="42">
        <v>0.12000000000000001</v>
      </c>
      <c r="T960" s="10">
        <f>IFERROR(ROUND((Q960/R960),2),"NA")</f>
        <v>0.35</v>
      </c>
      <c r="U960">
        <f t="shared" si="14"/>
        <v>24.000000000000004</v>
      </c>
    </row>
    <row r="961" spans="7:21" x14ac:dyDescent="0.2">
      <c r="G961" s="9" t="s">
        <v>79</v>
      </c>
      <c r="H961">
        <v>2400</v>
      </c>
      <c r="M961" s="1" t="s">
        <v>79</v>
      </c>
      <c r="N961" s="1">
        <v>20400</v>
      </c>
      <c r="P961" s="1" t="s">
        <v>79</v>
      </c>
      <c r="Q961" s="42">
        <v>2400</v>
      </c>
      <c r="R961" s="42">
        <v>20400</v>
      </c>
      <c r="S961" s="42">
        <v>5.2499999999999998E-2</v>
      </c>
      <c r="T961" s="10">
        <f>IFERROR(ROUND((Q961/R961),2),"NA")</f>
        <v>0.12</v>
      </c>
      <c r="U961">
        <f t="shared" si="14"/>
        <v>126</v>
      </c>
    </row>
    <row r="962" spans="7:21" x14ac:dyDescent="0.2">
      <c r="G962" s="9" t="s">
        <v>2271</v>
      </c>
      <c r="H962">
        <v>840</v>
      </c>
      <c r="M962" s="1" t="s">
        <v>2271</v>
      </c>
      <c r="N962" s="1">
        <v>2600</v>
      </c>
      <c r="P962" s="1" t="s">
        <v>2271</v>
      </c>
      <c r="Q962" s="42">
        <v>840</v>
      </c>
      <c r="R962" s="42">
        <v>2600</v>
      </c>
      <c r="S962" s="42">
        <v>0.5</v>
      </c>
      <c r="T962" s="10">
        <f>IFERROR(ROUND((Q962/R962),2),"NA")</f>
        <v>0.32</v>
      </c>
      <c r="U962">
        <f t="shared" si="14"/>
        <v>420</v>
      </c>
    </row>
    <row r="963" spans="7:21" x14ac:dyDescent="0.2">
      <c r="G963" s="9" t="s">
        <v>2914</v>
      </c>
      <c r="H963">
        <v>23</v>
      </c>
      <c r="M963" s="1" t="s">
        <v>2914</v>
      </c>
      <c r="N963" s="1">
        <v>47</v>
      </c>
      <c r="P963" s="1" t="s">
        <v>2914</v>
      </c>
      <c r="Q963" s="42">
        <v>23</v>
      </c>
      <c r="R963" s="42">
        <v>47</v>
      </c>
      <c r="S963" s="42">
        <v>0.2</v>
      </c>
      <c r="T963" s="10">
        <f>IFERROR(ROUND((Q963/R963),2),"NA")</f>
        <v>0.49</v>
      </c>
      <c r="U963">
        <f t="shared" si="14"/>
        <v>4.6000000000000005</v>
      </c>
    </row>
    <row r="964" spans="7:21" x14ac:dyDescent="0.2">
      <c r="G964" s="9" t="s">
        <v>391</v>
      </c>
      <c r="H964">
        <v>400</v>
      </c>
      <c r="M964" s="1" t="s">
        <v>391</v>
      </c>
      <c r="N964" s="1">
        <v>2058</v>
      </c>
      <c r="P964" s="1" t="s">
        <v>391</v>
      </c>
      <c r="Q964" s="42">
        <v>400</v>
      </c>
      <c r="R964" s="42">
        <v>2058</v>
      </c>
      <c r="S964" s="42">
        <v>0</v>
      </c>
      <c r="T964" s="10">
        <f>IFERROR(ROUND((Q964/R964),2),"NA")</f>
        <v>0.19</v>
      </c>
      <c r="U964">
        <f t="shared" si="14"/>
        <v>0</v>
      </c>
    </row>
    <row r="965" spans="7:21" x14ac:dyDescent="0.2">
      <c r="G965" s="9" t="s">
        <v>394</v>
      </c>
      <c r="H965">
        <v>29</v>
      </c>
      <c r="M965" s="1" t="s">
        <v>394</v>
      </c>
      <c r="N965" s="1">
        <v>2</v>
      </c>
      <c r="P965" s="1" t="s">
        <v>394</v>
      </c>
      <c r="Q965" s="42">
        <v>29</v>
      </c>
      <c r="R965" s="42">
        <v>2</v>
      </c>
      <c r="S965" s="42">
        <v>0</v>
      </c>
      <c r="T965" s="10">
        <f>IFERROR(ROUND((Q965/R965),2),"NA")</f>
        <v>14.5</v>
      </c>
      <c r="U965">
        <f t="shared" ref="U965:U1028" si="15">Q965*S965</f>
        <v>0</v>
      </c>
    </row>
    <row r="966" spans="7:21" x14ac:dyDescent="0.2">
      <c r="G966" s="9" t="s">
        <v>1282</v>
      </c>
      <c r="H966">
        <v>1900</v>
      </c>
      <c r="M966" s="1" t="s">
        <v>1282</v>
      </c>
      <c r="N966" s="1">
        <v>2600</v>
      </c>
      <c r="P966" s="1" t="s">
        <v>1282</v>
      </c>
      <c r="Q966" s="42">
        <v>1900</v>
      </c>
      <c r="R966" s="42">
        <v>2600</v>
      </c>
      <c r="S966" s="42">
        <v>0.12</v>
      </c>
      <c r="T966" s="10">
        <f>IFERROR(ROUND((Q966/R966),2),"NA")</f>
        <v>0.73</v>
      </c>
      <c r="U966">
        <f t="shared" si="15"/>
        <v>228</v>
      </c>
    </row>
    <row r="967" spans="7:21" x14ac:dyDescent="0.2">
      <c r="G967" s="9" t="s">
        <v>1672</v>
      </c>
      <c r="H967">
        <v>0</v>
      </c>
      <c r="M967" s="1" t="s">
        <v>1672</v>
      </c>
      <c r="N967" s="1">
        <v>675</v>
      </c>
      <c r="P967" s="1" t="s">
        <v>1672</v>
      </c>
      <c r="Q967" s="42">
        <v>0</v>
      </c>
      <c r="R967" s="42">
        <v>675</v>
      </c>
      <c r="S967" s="42">
        <v>0.14000000000000001</v>
      </c>
      <c r="T967" s="10">
        <f>IFERROR(ROUND((Q967/R967),2),"NA")</f>
        <v>0</v>
      </c>
      <c r="U967">
        <f t="shared" si="15"/>
        <v>0</v>
      </c>
    </row>
    <row r="968" spans="7:21" x14ac:dyDescent="0.2">
      <c r="G968" s="9" t="s">
        <v>985</v>
      </c>
      <c r="H968">
        <v>1360</v>
      </c>
      <c r="M968" s="1" t="s">
        <v>985</v>
      </c>
      <c r="N968" s="1">
        <v>26400</v>
      </c>
      <c r="P968" s="1" t="s">
        <v>985</v>
      </c>
      <c r="Q968" s="42">
        <v>1360</v>
      </c>
      <c r="R968" s="42">
        <v>26400</v>
      </c>
      <c r="S968" s="42">
        <v>0.08</v>
      </c>
      <c r="T968" s="10">
        <f>IFERROR(ROUND((Q968/R968),2),"NA")</f>
        <v>0.05</v>
      </c>
      <c r="U968">
        <f t="shared" si="15"/>
        <v>108.8</v>
      </c>
    </row>
    <row r="969" spans="7:21" x14ac:dyDescent="0.2">
      <c r="G969" s="9" t="s">
        <v>729</v>
      </c>
      <c r="H969">
        <v>34</v>
      </c>
      <c r="M969" s="1" t="s">
        <v>729</v>
      </c>
      <c r="N969" s="1">
        <v>94</v>
      </c>
      <c r="P969" s="1" t="s">
        <v>729</v>
      </c>
      <c r="Q969" s="42">
        <v>34</v>
      </c>
      <c r="R969" s="42">
        <v>94</v>
      </c>
      <c r="S969" s="42">
        <v>0.4</v>
      </c>
      <c r="T969" s="10">
        <f>IFERROR(ROUND((Q969/R969),2),"NA")</f>
        <v>0.36</v>
      </c>
      <c r="U969">
        <f t="shared" si="15"/>
        <v>13.600000000000001</v>
      </c>
    </row>
    <row r="970" spans="7:21" x14ac:dyDescent="0.2">
      <c r="G970" s="9" t="s">
        <v>415</v>
      </c>
      <c r="H970">
        <v>13</v>
      </c>
      <c r="M970" s="1" t="s">
        <v>415</v>
      </c>
      <c r="N970" s="1">
        <v>28</v>
      </c>
      <c r="P970" s="1" t="s">
        <v>415</v>
      </c>
      <c r="Q970" s="42">
        <v>13</v>
      </c>
      <c r="R970" s="42">
        <v>28</v>
      </c>
      <c r="S970" s="42">
        <v>0</v>
      </c>
      <c r="T970" s="10">
        <f>IFERROR(ROUND((Q970/R970),2),"NA")</f>
        <v>0.46</v>
      </c>
      <c r="U970">
        <f t="shared" si="15"/>
        <v>0</v>
      </c>
    </row>
    <row r="971" spans="7:21" x14ac:dyDescent="0.2">
      <c r="G971" s="9" t="s">
        <v>2746</v>
      </c>
      <c r="H971">
        <v>0</v>
      </c>
      <c r="M971" s="1" t="s">
        <v>2746</v>
      </c>
      <c r="N971" s="1">
        <v>16</v>
      </c>
      <c r="P971" s="1" t="s">
        <v>2746</v>
      </c>
      <c r="Q971" s="42">
        <v>0</v>
      </c>
      <c r="R971" s="42">
        <v>16</v>
      </c>
      <c r="S971" s="42">
        <v>0</v>
      </c>
      <c r="T971" s="10">
        <f>IFERROR(ROUND((Q971/R971),2),"NA")</f>
        <v>0</v>
      </c>
      <c r="U971">
        <f t="shared" si="15"/>
        <v>0</v>
      </c>
    </row>
    <row r="972" spans="7:21" x14ac:dyDescent="0.2">
      <c r="G972" s="9" t="s">
        <v>315</v>
      </c>
      <c r="H972">
        <v>230</v>
      </c>
      <c r="M972" s="1" t="s">
        <v>315</v>
      </c>
      <c r="N972" s="1">
        <v>400</v>
      </c>
      <c r="P972" s="1" t="s">
        <v>315</v>
      </c>
      <c r="Q972" s="42">
        <v>230</v>
      </c>
      <c r="R972" s="42">
        <v>400</v>
      </c>
      <c r="S972" s="42">
        <v>0</v>
      </c>
      <c r="T972" s="10">
        <f>IFERROR(ROUND((Q972/R972),2),"NA")</f>
        <v>0.57999999999999996</v>
      </c>
      <c r="U972">
        <f t="shared" si="15"/>
        <v>0</v>
      </c>
    </row>
    <row r="973" spans="7:21" x14ac:dyDescent="0.2">
      <c r="G973" s="9" t="s">
        <v>1589</v>
      </c>
      <c r="H973">
        <v>75</v>
      </c>
      <c r="M973" s="1" t="s">
        <v>1589</v>
      </c>
      <c r="N973" s="1">
        <v>17</v>
      </c>
      <c r="P973" s="1" t="s">
        <v>1589</v>
      </c>
      <c r="Q973" s="42">
        <v>75</v>
      </c>
      <c r="R973" s="42">
        <v>17</v>
      </c>
      <c r="S973" s="42">
        <v>0</v>
      </c>
      <c r="T973" s="10">
        <f>IFERROR(ROUND((Q973/R973),2),"NA")</f>
        <v>4.41</v>
      </c>
      <c r="U973">
        <f t="shared" si="15"/>
        <v>0</v>
      </c>
    </row>
    <row r="974" spans="7:21" x14ac:dyDescent="0.2">
      <c r="G974" s="9" t="s">
        <v>1671</v>
      </c>
      <c r="H974">
        <v>0</v>
      </c>
      <c r="M974" s="1" t="s">
        <v>1671</v>
      </c>
      <c r="N974" s="1">
        <v>1374</v>
      </c>
      <c r="P974" s="1" t="s">
        <v>1671</v>
      </c>
      <c r="Q974" s="42">
        <v>0</v>
      </c>
      <c r="R974" s="42">
        <v>1374</v>
      </c>
      <c r="S974" s="42">
        <v>0</v>
      </c>
      <c r="T974" s="10">
        <f>IFERROR(ROUND((Q974/R974),2),"NA")</f>
        <v>0</v>
      </c>
      <c r="U974">
        <f t="shared" si="15"/>
        <v>0</v>
      </c>
    </row>
    <row r="975" spans="7:21" x14ac:dyDescent="0.2">
      <c r="G975" s="9" t="s">
        <v>616</v>
      </c>
      <c r="H975">
        <v>50</v>
      </c>
      <c r="M975" s="1" t="s">
        <v>616</v>
      </c>
      <c r="N975" s="1">
        <v>0</v>
      </c>
      <c r="P975" s="1" t="s">
        <v>616</v>
      </c>
      <c r="Q975" s="42">
        <v>50</v>
      </c>
      <c r="R975" s="42">
        <v>0</v>
      </c>
      <c r="S975" s="42">
        <v>0.2</v>
      </c>
      <c r="T975" s="10" t="str">
        <f>IFERROR(ROUND((Q975/R975),2),"NA")</f>
        <v>NA</v>
      </c>
      <c r="U975">
        <f t="shared" si="15"/>
        <v>10</v>
      </c>
    </row>
    <row r="976" spans="7:21" x14ac:dyDescent="0.2">
      <c r="G976" s="9" t="s">
        <v>2934</v>
      </c>
      <c r="H976">
        <v>20</v>
      </c>
      <c r="M976" s="1" t="s">
        <v>2934</v>
      </c>
      <c r="N976" s="1">
        <v>7</v>
      </c>
      <c r="P976" s="1" t="s">
        <v>2934</v>
      </c>
      <c r="Q976" s="42">
        <v>20</v>
      </c>
      <c r="R976" s="42">
        <v>7</v>
      </c>
      <c r="S976" s="42">
        <v>0.4</v>
      </c>
      <c r="T976" s="10">
        <f>IFERROR(ROUND((Q976/R976),2),"NA")</f>
        <v>2.86</v>
      </c>
      <c r="U976">
        <f t="shared" si="15"/>
        <v>8</v>
      </c>
    </row>
    <row r="977" spans="7:21" x14ac:dyDescent="0.2">
      <c r="G977" s="9" t="s">
        <v>1351</v>
      </c>
      <c r="H977">
        <v>350</v>
      </c>
      <c r="M977" s="1" t="s">
        <v>1351</v>
      </c>
      <c r="N977" s="1">
        <v>214</v>
      </c>
      <c r="P977" s="1" t="s">
        <v>1351</v>
      </c>
      <c r="Q977" s="42">
        <v>350</v>
      </c>
      <c r="R977" s="42">
        <v>214</v>
      </c>
      <c r="S977" s="42">
        <v>0.7</v>
      </c>
      <c r="T977" s="10">
        <f>IFERROR(ROUND((Q977/R977),2),"NA")</f>
        <v>1.64</v>
      </c>
      <c r="U977">
        <f t="shared" si="15"/>
        <v>244.99999999999997</v>
      </c>
    </row>
    <row r="978" spans="7:21" x14ac:dyDescent="0.2">
      <c r="G978" s="9" t="s">
        <v>1137</v>
      </c>
      <c r="H978">
        <v>220</v>
      </c>
      <c r="M978" s="1" t="s">
        <v>1137</v>
      </c>
      <c r="N978" s="1">
        <v>220</v>
      </c>
      <c r="P978" s="1" t="s">
        <v>1137</v>
      </c>
      <c r="Q978" s="42">
        <v>220</v>
      </c>
      <c r="R978" s="42">
        <v>220</v>
      </c>
      <c r="S978" s="42">
        <v>0.2</v>
      </c>
      <c r="T978" s="10">
        <f>IFERROR(ROUND((Q978/R978),2),"NA")</f>
        <v>1</v>
      </c>
      <c r="U978">
        <f t="shared" si="15"/>
        <v>44</v>
      </c>
    </row>
    <row r="979" spans="7:21" x14ac:dyDescent="0.2">
      <c r="G979" s="9" t="s">
        <v>1611</v>
      </c>
      <c r="H979">
        <v>104</v>
      </c>
      <c r="M979" s="1" t="s">
        <v>1611</v>
      </c>
      <c r="N979" s="1">
        <v>556</v>
      </c>
      <c r="P979" s="1" t="s">
        <v>1611</v>
      </c>
      <c r="Q979" s="42">
        <v>104</v>
      </c>
      <c r="R979" s="42">
        <v>556</v>
      </c>
      <c r="S979" s="42">
        <v>0.21</v>
      </c>
      <c r="T979" s="10">
        <f>IFERROR(ROUND((Q979/R979),2),"NA")</f>
        <v>0.19</v>
      </c>
      <c r="U979">
        <f t="shared" si="15"/>
        <v>21.84</v>
      </c>
    </row>
    <row r="980" spans="7:21" x14ac:dyDescent="0.2">
      <c r="G980" s="9" t="s">
        <v>136</v>
      </c>
      <c r="H980">
        <v>60</v>
      </c>
      <c r="M980" s="1" t="s">
        <v>136</v>
      </c>
      <c r="N980" s="1">
        <v>435</v>
      </c>
      <c r="P980" s="1" t="s">
        <v>136</v>
      </c>
      <c r="Q980" s="42">
        <v>60</v>
      </c>
      <c r="R980" s="42">
        <v>435</v>
      </c>
      <c r="S980" s="42">
        <v>0.13</v>
      </c>
      <c r="T980" s="10">
        <f>IFERROR(ROUND((Q980/R980),2),"NA")</f>
        <v>0.14000000000000001</v>
      </c>
      <c r="U980">
        <f t="shared" si="15"/>
        <v>7.8000000000000007</v>
      </c>
    </row>
    <row r="981" spans="7:21" x14ac:dyDescent="0.2">
      <c r="G981" s="9" t="s">
        <v>38</v>
      </c>
      <c r="H981">
        <v>110</v>
      </c>
      <c r="M981" s="1" t="s">
        <v>38</v>
      </c>
      <c r="N981" s="1">
        <v>354</v>
      </c>
      <c r="P981" s="1" t="s">
        <v>38</v>
      </c>
      <c r="Q981" s="42">
        <v>110</v>
      </c>
      <c r="R981" s="42">
        <v>354</v>
      </c>
      <c r="S981" s="42">
        <v>0.26666666666666666</v>
      </c>
      <c r="T981" s="10">
        <f>IFERROR(ROUND((Q981/R981),2),"NA")</f>
        <v>0.31</v>
      </c>
      <c r="U981">
        <f t="shared" si="15"/>
        <v>29.333333333333332</v>
      </c>
    </row>
    <row r="982" spans="7:21" x14ac:dyDescent="0.2">
      <c r="G982" s="9" t="s">
        <v>2798</v>
      </c>
      <c r="H982">
        <v>50</v>
      </c>
      <c r="M982" s="1" t="s">
        <v>2798</v>
      </c>
      <c r="N982" s="1">
        <v>190</v>
      </c>
      <c r="P982" s="1" t="s">
        <v>2798</v>
      </c>
      <c r="Q982" s="42">
        <v>50</v>
      </c>
      <c r="R982" s="42">
        <v>190</v>
      </c>
      <c r="S982" s="42">
        <v>7.0000000000000007E-2</v>
      </c>
      <c r="T982" s="10">
        <f>IFERROR(ROUND((Q982/R982),2),"NA")</f>
        <v>0.26</v>
      </c>
      <c r="U982">
        <f t="shared" si="15"/>
        <v>3.5000000000000004</v>
      </c>
    </row>
    <row r="983" spans="7:21" x14ac:dyDescent="0.2">
      <c r="G983" s="9" t="s">
        <v>1466</v>
      </c>
      <c r="H983">
        <v>3800</v>
      </c>
      <c r="M983" s="1" t="s">
        <v>1466</v>
      </c>
      <c r="N983" s="1">
        <v>4200</v>
      </c>
      <c r="P983" s="1" t="s">
        <v>1466</v>
      </c>
      <c r="Q983" s="42">
        <v>3800</v>
      </c>
      <c r="R983" s="42">
        <v>4200</v>
      </c>
      <c r="S983" s="42">
        <v>0.29499999999999998</v>
      </c>
      <c r="T983" s="10">
        <f>IFERROR(ROUND((Q983/R983),2),"NA")</f>
        <v>0.9</v>
      </c>
      <c r="U983">
        <f t="shared" si="15"/>
        <v>1121</v>
      </c>
    </row>
    <row r="984" spans="7:21" x14ac:dyDescent="0.2">
      <c r="G984" s="9" t="s">
        <v>2473</v>
      </c>
      <c r="H984">
        <v>0</v>
      </c>
      <c r="M984" s="1" t="s">
        <v>2473</v>
      </c>
      <c r="N984" s="1">
        <v>474</v>
      </c>
      <c r="P984" s="1" t="s">
        <v>2473</v>
      </c>
      <c r="Q984" s="42">
        <v>0</v>
      </c>
      <c r="R984" s="42">
        <v>474</v>
      </c>
      <c r="S984" s="42">
        <v>0.17</v>
      </c>
      <c r="T984" s="10">
        <f>IFERROR(ROUND((Q984/R984),2),"NA")</f>
        <v>0</v>
      </c>
      <c r="U984">
        <f t="shared" si="15"/>
        <v>0</v>
      </c>
    </row>
    <row r="985" spans="7:21" x14ac:dyDescent="0.2">
      <c r="G985" s="9" t="s">
        <v>1737</v>
      </c>
      <c r="H985">
        <v>40</v>
      </c>
      <c r="M985" s="1" t="s">
        <v>1737</v>
      </c>
      <c r="N985" s="1">
        <v>2300</v>
      </c>
      <c r="P985" s="1" t="s">
        <v>1737</v>
      </c>
      <c r="Q985" s="42">
        <v>40</v>
      </c>
      <c r="R985" s="42">
        <v>2300</v>
      </c>
      <c r="S985" s="42">
        <v>0.1</v>
      </c>
      <c r="T985" s="10">
        <f>IFERROR(ROUND((Q985/R985),2),"NA")</f>
        <v>0.02</v>
      </c>
      <c r="U985">
        <f t="shared" si="15"/>
        <v>4</v>
      </c>
    </row>
    <row r="986" spans="7:21" x14ac:dyDescent="0.2">
      <c r="G986" s="9" t="s">
        <v>1007</v>
      </c>
      <c r="H986">
        <v>400</v>
      </c>
      <c r="M986" s="1" t="s">
        <v>1007</v>
      </c>
      <c r="N986" s="1">
        <v>284</v>
      </c>
      <c r="P986" s="1" t="s">
        <v>1007</v>
      </c>
      <c r="Q986" s="42">
        <v>400</v>
      </c>
      <c r="R986" s="42">
        <v>284</v>
      </c>
      <c r="S986" s="42">
        <v>0.15</v>
      </c>
      <c r="T986" s="10">
        <f>IFERROR(ROUND((Q986/R986),2),"NA")</f>
        <v>1.41</v>
      </c>
      <c r="U986">
        <f t="shared" si="15"/>
        <v>60</v>
      </c>
    </row>
    <row r="987" spans="7:21" x14ac:dyDescent="0.2">
      <c r="G987" s="9" t="s">
        <v>1994</v>
      </c>
      <c r="H987">
        <v>0</v>
      </c>
      <c r="M987" s="1" t="s">
        <v>1994</v>
      </c>
      <c r="N987" s="1">
        <v>0</v>
      </c>
      <c r="P987" s="1" t="s">
        <v>1994</v>
      </c>
      <c r="Q987" s="42">
        <v>0</v>
      </c>
      <c r="R987" s="42">
        <v>0</v>
      </c>
      <c r="S987" s="42">
        <v>0</v>
      </c>
      <c r="T987" s="10" t="str">
        <f>IFERROR(ROUND((Q987/R987),2),"NA")</f>
        <v>NA</v>
      </c>
      <c r="U987">
        <f t="shared" si="15"/>
        <v>0</v>
      </c>
    </row>
    <row r="988" spans="7:21" x14ac:dyDescent="0.2">
      <c r="G988" s="9" t="s">
        <v>1502</v>
      </c>
      <c r="H988">
        <v>130</v>
      </c>
      <c r="M988" s="1" t="s">
        <v>1502</v>
      </c>
      <c r="N988" s="1">
        <v>550</v>
      </c>
      <c r="P988" s="1" t="s">
        <v>1502</v>
      </c>
      <c r="Q988" s="42">
        <v>130</v>
      </c>
      <c r="R988" s="42">
        <v>550</v>
      </c>
      <c r="S988" s="42">
        <v>7.0000000000000007E-2</v>
      </c>
      <c r="T988" s="10">
        <f>IFERROR(ROUND((Q988/R988),2),"NA")</f>
        <v>0.24</v>
      </c>
      <c r="U988">
        <f t="shared" si="15"/>
        <v>9.1000000000000014</v>
      </c>
    </row>
    <row r="989" spans="7:21" x14ac:dyDescent="0.2">
      <c r="G989" s="9" t="s">
        <v>1212</v>
      </c>
      <c r="H989">
        <v>48</v>
      </c>
      <c r="M989" s="1" t="s">
        <v>1212</v>
      </c>
      <c r="N989" s="1">
        <v>339</v>
      </c>
      <c r="P989" s="1" t="s">
        <v>1212</v>
      </c>
      <c r="Q989" s="42">
        <v>48</v>
      </c>
      <c r="R989" s="42">
        <v>339</v>
      </c>
      <c r="S989" s="42">
        <v>0.11</v>
      </c>
      <c r="T989" s="10">
        <f>IFERROR(ROUND((Q989/R989),2),"NA")</f>
        <v>0.14000000000000001</v>
      </c>
      <c r="U989">
        <f t="shared" si="15"/>
        <v>5.28</v>
      </c>
    </row>
    <row r="990" spans="7:21" x14ac:dyDescent="0.2">
      <c r="G990" s="9" t="s">
        <v>2129</v>
      </c>
      <c r="H990">
        <v>0</v>
      </c>
      <c r="M990" s="1" t="s">
        <v>2129</v>
      </c>
      <c r="N990" s="1">
        <v>24</v>
      </c>
      <c r="P990" s="1" t="s">
        <v>2129</v>
      </c>
      <c r="Q990" s="42">
        <v>0</v>
      </c>
      <c r="R990" s="42">
        <v>24</v>
      </c>
      <c r="S990" s="42">
        <v>0.02</v>
      </c>
      <c r="T990" s="10">
        <f>IFERROR(ROUND((Q990/R990),2),"NA")</f>
        <v>0</v>
      </c>
      <c r="U990">
        <f t="shared" si="15"/>
        <v>0</v>
      </c>
    </row>
    <row r="991" spans="7:21" x14ac:dyDescent="0.2">
      <c r="G991" s="9" t="s">
        <v>59</v>
      </c>
      <c r="H991">
        <v>472</v>
      </c>
      <c r="M991" s="1" t="s">
        <v>59</v>
      </c>
      <c r="N991" s="1">
        <v>1286</v>
      </c>
      <c r="P991" s="1" t="s">
        <v>59</v>
      </c>
      <c r="Q991" s="42">
        <v>472</v>
      </c>
      <c r="R991" s="42">
        <v>1286</v>
      </c>
      <c r="S991" s="42">
        <v>0.185</v>
      </c>
      <c r="T991" s="10">
        <f>IFERROR(ROUND((Q991/R991),2),"NA")</f>
        <v>0.37</v>
      </c>
      <c r="U991">
        <f t="shared" si="15"/>
        <v>87.32</v>
      </c>
    </row>
    <row r="992" spans="7:21" x14ac:dyDescent="0.2">
      <c r="G992" s="9" t="s">
        <v>2730</v>
      </c>
      <c r="H992">
        <v>90</v>
      </c>
      <c r="M992" s="1" t="s">
        <v>2730</v>
      </c>
      <c r="N992" s="1">
        <v>58</v>
      </c>
      <c r="P992" s="1" t="s">
        <v>2730</v>
      </c>
      <c r="Q992" s="42">
        <v>90</v>
      </c>
      <c r="R992" s="42">
        <v>58</v>
      </c>
      <c r="S992" s="42">
        <v>0.25</v>
      </c>
      <c r="T992" s="10">
        <f>IFERROR(ROUND((Q992/R992),2),"NA")</f>
        <v>1.55</v>
      </c>
      <c r="U992">
        <f t="shared" si="15"/>
        <v>22.5</v>
      </c>
    </row>
    <row r="993" spans="7:21" x14ac:dyDescent="0.2">
      <c r="G993" s="9" t="s">
        <v>840</v>
      </c>
      <c r="H993">
        <v>58</v>
      </c>
      <c r="M993" s="1" t="s">
        <v>840</v>
      </c>
      <c r="N993" s="1">
        <v>105</v>
      </c>
      <c r="P993" s="1" t="s">
        <v>840</v>
      </c>
      <c r="Q993" s="42">
        <v>58</v>
      </c>
      <c r="R993" s="42">
        <v>105</v>
      </c>
      <c r="S993" s="42">
        <v>0.08</v>
      </c>
      <c r="T993" s="10">
        <f>IFERROR(ROUND((Q993/R993),2),"NA")</f>
        <v>0.55000000000000004</v>
      </c>
      <c r="U993">
        <f t="shared" si="15"/>
        <v>4.6399999999999997</v>
      </c>
    </row>
    <row r="994" spans="7:21" x14ac:dyDescent="0.2">
      <c r="G994" s="9" t="s">
        <v>1409</v>
      </c>
      <c r="H994">
        <v>126</v>
      </c>
      <c r="M994" s="1" t="s">
        <v>1409</v>
      </c>
      <c r="N994" s="1">
        <v>746</v>
      </c>
      <c r="P994" s="1" t="s">
        <v>1409</v>
      </c>
      <c r="Q994" s="42">
        <v>126</v>
      </c>
      <c r="R994" s="42">
        <v>746</v>
      </c>
      <c r="S994" s="42">
        <v>0.05</v>
      </c>
      <c r="T994" s="10">
        <f>IFERROR(ROUND((Q994/R994),2),"NA")</f>
        <v>0.17</v>
      </c>
      <c r="U994">
        <f t="shared" si="15"/>
        <v>6.3000000000000007</v>
      </c>
    </row>
    <row r="995" spans="7:21" x14ac:dyDescent="0.2">
      <c r="G995" s="9" t="s">
        <v>2811</v>
      </c>
      <c r="H995">
        <v>467</v>
      </c>
      <c r="M995" s="1" t="s">
        <v>2811</v>
      </c>
      <c r="N995" s="1">
        <v>300</v>
      </c>
      <c r="P995" s="1" t="s">
        <v>2811</v>
      </c>
      <c r="Q995" s="42">
        <v>467</v>
      </c>
      <c r="R995" s="42">
        <v>300</v>
      </c>
      <c r="S995" s="42">
        <v>0.33</v>
      </c>
      <c r="T995" s="10">
        <f>IFERROR(ROUND((Q995/R995),2),"NA")</f>
        <v>1.56</v>
      </c>
      <c r="U995">
        <f t="shared" si="15"/>
        <v>154.11000000000001</v>
      </c>
    </row>
    <row r="996" spans="7:21" x14ac:dyDescent="0.2">
      <c r="G996" s="9" t="s">
        <v>1379</v>
      </c>
      <c r="H996">
        <v>0</v>
      </c>
      <c r="M996" s="1" t="s">
        <v>1379</v>
      </c>
      <c r="N996" s="1">
        <v>11</v>
      </c>
      <c r="P996" s="1" t="s">
        <v>1379</v>
      </c>
      <c r="Q996" s="42">
        <v>0</v>
      </c>
      <c r="R996" s="42">
        <v>11</v>
      </c>
      <c r="S996" s="42">
        <v>0.08</v>
      </c>
      <c r="T996" s="10">
        <f>IFERROR(ROUND((Q996/R996),2),"NA")</f>
        <v>0</v>
      </c>
      <c r="U996">
        <f t="shared" si="15"/>
        <v>0</v>
      </c>
    </row>
    <row r="997" spans="7:21" x14ac:dyDescent="0.2">
      <c r="G997" s="9" t="s">
        <v>845</v>
      </c>
      <c r="H997">
        <v>0</v>
      </c>
      <c r="M997" s="1" t="s">
        <v>845</v>
      </c>
      <c r="N997" s="1">
        <v>159</v>
      </c>
      <c r="P997" s="1" t="s">
        <v>845</v>
      </c>
      <c r="Q997" s="42">
        <v>0</v>
      </c>
      <c r="R997" s="42">
        <v>159</v>
      </c>
      <c r="S997" s="42">
        <v>0.12</v>
      </c>
      <c r="T997" s="10">
        <f>IFERROR(ROUND((Q997/R997),2),"NA")</f>
        <v>0</v>
      </c>
      <c r="U997">
        <f t="shared" si="15"/>
        <v>0</v>
      </c>
    </row>
    <row r="998" spans="7:21" x14ac:dyDescent="0.2">
      <c r="G998" s="9" t="s">
        <v>769</v>
      </c>
      <c r="H998">
        <v>53</v>
      </c>
      <c r="M998" s="1" t="s">
        <v>769</v>
      </c>
      <c r="N998" s="1">
        <v>103</v>
      </c>
      <c r="P998" s="1" t="s">
        <v>769</v>
      </c>
      <c r="Q998" s="42">
        <v>53</v>
      </c>
      <c r="R998" s="42">
        <v>103</v>
      </c>
      <c r="S998" s="42">
        <v>0</v>
      </c>
      <c r="T998" s="10">
        <f>IFERROR(ROUND((Q998/R998),2),"NA")</f>
        <v>0.51</v>
      </c>
      <c r="U998">
        <f t="shared" si="15"/>
        <v>0</v>
      </c>
    </row>
    <row r="999" spans="7:21" x14ac:dyDescent="0.2">
      <c r="G999" s="9" t="s">
        <v>2465</v>
      </c>
      <c r="H999">
        <v>0</v>
      </c>
      <c r="M999" s="1" t="s">
        <v>2465</v>
      </c>
      <c r="N999" s="1">
        <v>2</v>
      </c>
      <c r="P999" s="1" t="s">
        <v>2465</v>
      </c>
      <c r="Q999" s="42">
        <v>0</v>
      </c>
      <c r="R999" s="42">
        <v>2</v>
      </c>
      <c r="S999" s="42">
        <v>1</v>
      </c>
      <c r="T999" s="10">
        <f>IFERROR(ROUND((Q999/R999),2),"NA")</f>
        <v>0</v>
      </c>
      <c r="U999">
        <f t="shared" si="15"/>
        <v>0</v>
      </c>
    </row>
    <row r="1000" spans="7:21" x14ac:dyDescent="0.2">
      <c r="G1000" s="9" t="s">
        <v>579</v>
      </c>
      <c r="H1000">
        <v>0</v>
      </c>
      <c r="M1000" s="1" t="s">
        <v>579</v>
      </c>
      <c r="N1000" s="1">
        <v>245</v>
      </c>
      <c r="P1000" s="1" t="s">
        <v>579</v>
      </c>
      <c r="Q1000" s="42">
        <v>0</v>
      </c>
      <c r="R1000" s="42">
        <v>245</v>
      </c>
      <c r="S1000" s="42">
        <v>0</v>
      </c>
      <c r="T1000" s="10">
        <f>IFERROR(ROUND((Q1000/R1000),2),"NA")</f>
        <v>0</v>
      </c>
      <c r="U1000">
        <f t="shared" si="15"/>
        <v>0</v>
      </c>
    </row>
    <row r="1001" spans="7:21" x14ac:dyDescent="0.2">
      <c r="G1001" s="9" t="s">
        <v>2673</v>
      </c>
      <c r="H1001">
        <v>0</v>
      </c>
      <c r="M1001" s="1" t="s">
        <v>2673</v>
      </c>
      <c r="N1001" s="1">
        <v>74</v>
      </c>
      <c r="P1001" s="1" t="s">
        <v>2673</v>
      </c>
      <c r="Q1001" s="42">
        <v>0</v>
      </c>
      <c r="R1001" s="42">
        <v>74</v>
      </c>
      <c r="S1001" s="42">
        <v>0</v>
      </c>
      <c r="T1001" s="10">
        <f>IFERROR(ROUND((Q1001/R1001),2),"NA")</f>
        <v>0</v>
      </c>
      <c r="U1001">
        <f t="shared" si="15"/>
        <v>0</v>
      </c>
    </row>
    <row r="1002" spans="7:21" x14ac:dyDescent="0.2">
      <c r="G1002" s="9" t="s">
        <v>1090</v>
      </c>
      <c r="H1002">
        <v>160</v>
      </c>
      <c r="M1002" s="1" t="s">
        <v>1090</v>
      </c>
      <c r="N1002" s="1">
        <v>21</v>
      </c>
      <c r="P1002" s="1" t="s">
        <v>1090</v>
      </c>
      <c r="Q1002" s="42">
        <v>160</v>
      </c>
      <c r="R1002" s="42">
        <v>21</v>
      </c>
      <c r="S1002" s="42">
        <v>0.35</v>
      </c>
      <c r="T1002" s="10">
        <f>IFERROR(ROUND((Q1002/R1002),2),"NA")</f>
        <v>7.62</v>
      </c>
      <c r="U1002">
        <f t="shared" si="15"/>
        <v>56</v>
      </c>
    </row>
    <row r="1003" spans="7:21" x14ac:dyDescent="0.2">
      <c r="G1003" s="9" t="s">
        <v>1773</v>
      </c>
      <c r="H1003">
        <v>158</v>
      </c>
      <c r="M1003" s="1" t="s">
        <v>1773</v>
      </c>
      <c r="N1003" s="1">
        <v>191</v>
      </c>
      <c r="P1003" s="1" t="s">
        <v>1773</v>
      </c>
      <c r="Q1003" s="42">
        <v>158</v>
      </c>
      <c r="R1003" s="42">
        <v>191</v>
      </c>
      <c r="S1003" s="42">
        <v>0.34</v>
      </c>
      <c r="T1003" s="10">
        <f>IFERROR(ROUND((Q1003/R1003),2),"NA")</f>
        <v>0.83</v>
      </c>
      <c r="U1003">
        <f t="shared" si="15"/>
        <v>53.720000000000006</v>
      </c>
    </row>
    <row r="1004" spans="7:21" x14ac:dyDescent="0.2">
      <c r="G1004" s="9" t="s">
        <v>1670</v>
      </c>
      <c r="H1004">
        <v>60</v>
      </c>
      <c r="M1004" s="1" t="s">
        <v>1670</v>
      </c>
      <c r="N1004" s="1">
        <v>0</v>
      </c>
      <c r="P1004" s="1" t="s">
        <v>1670</v>
      </c>
      <c r="Q1004" s="42">
        <v>60</v>
      </c>
      <c r="R1004" s="42">
        <v>0</v>
      </c>
      <c r="S1004" s="42">
        <v>0.3</v>
      </c>
      <c r="T1004" s="10" t="str">
        <f>IFERROR(ROUND((Q1004/R1004),2),"NA")</f>
        <v>NA</v>
      </c>
      <c r="U1004">
        <f t="shared" si="15"/>
        <v>18</v>
      </c>
    </row>
    <row r="1005" spans="7:21" x14ac:dyDescent="0.2">
      <c r="G1005" s="9" t="s">
        <v>2167</v>
      </c>
      <c r="H1005">
        <v>58</v>
      </c>
      <c r="M1005" s="1" t="s">
        <v>2167</v>
      </c>
      <c r="N1005" s="1">
        <v>58</v>
      </c>
      <c r="P1005" s="1" t="s">
        <v>2167</v>
      </c>
      <c r="Q1005" s="42">
        <v>58</v>
      </c>
      <c r="R1005" s="42">
        <v>58</v>
      </c>
      <c r="S1005" s="42">
        <v>0.5</v>
      </c>
      <c r="T1005" s="10">
        <f>IFERROR(ROUND((Q1005/R1005),2),"NA")</f>
        <v>1</v>
      </c>
      <c r="U1005">
        <f t="shared" si="15"/>
        <v>29</v>
      </c>
    </row>
    <row r="1006" spans="7:21" x14ac:dyDescent="0.2">
      <c r="G1006" s="9" t="s">
        <v>1024</v>
      </c>
      <c r="H1006">
        <v>69</v>
      </c>
      <c r="M1006" s="1" t="s">
        <v>1024</v>
      </c>
      <c r="N1006" s="1">
        <v>698</v>
      </c>
      <c r="P1006" s="1" t="s">
        <v>1024</v>
      </c>
      <c r="Q1006" s="42">
        <v>69</v>
      </c>
      <c r="R1006" s="42">
        <v>698</v>
      </c>
      <c r="S1006" s="42">
        <v>0.08</v>
      </c>
      <c r="T1006" s="10">
        <f>IFERROR(ROUND((Q1006/R1006),2),"NA")</f>
        <v>0.1</v>
      </c>
      <c r="U1006">
        <f t="shared" si="15"/>
        <v>5.5200000000000005</v>
      </c>
    </row>
    <row r="1007" spans="7:21" x14ac:dyDescent="0.2">
      <c r="G1007" s="9" t="s">
        <v>2140</v>
      </c>
      <c r="H1007">
        <v>0</v>
      </c>
      <c r="M1007" s="1" t="s">
        <v>2140</v>
      </c>
      <c r="N1007" s="1">
        <v>7</v>
      </c>
      <c r="P1007" s="1" t="s">
        <v>2140</v>
      </c>
      <c r="Q1007" s="42">
        <v>0</v>
      </c>
      <c r="R1007" s="42">
        <v>7</v>
      </c>
      <c r="S1007" s="42">
        <v>1</v>
      </c>
      <c r="T1007" s="10">
        <f>IFERROR(ROUND((Q1007/R1007),2),"NA")</f>
        <v>0</v>
      </c>
      <c r="U1007">
        <f t="shared" si="15"/>
        <v>0</v>
      </c>
    </row>
    <row r="1008" spans="7:21" x14ac:dyDescent="0.2">
      <c r="G1008" s="9" t="s">
        <v>1039</v>
      </c>
      <c r="H1008">
        <v>280</v>
      </c>
      <c r="M1008" s="1" t="s">
        <v>1039</v>
      </c>
      <c r="N1008" s="1">
        <v>0</v>
      </c>
      <c r="P1008" s="1" t="s">
        <v>1039</v>
      </c>
      <c r="Q1008" s="42">
        <v>280</v>
      </c>
      <c r="R1008" s="42">
        <v>0</v>
      </c>
      <c r="S1008" s="42">
        <v>0.7</v>
      </c>
      <c r="T1008" s="10" t="str">
        <f>IFERROR(ROUND((Q1008/R1008),2),"NA")</f>
        <v>NA</v>
      </c>
      <c r="U1008">
        <f t="shared" si="15"/>
        <v>196</v>
      </c>
    </row>
    <row r="1009" spans="7:21" x14ac:dyDescent="0.2">
      <c r="G1009" s="9" t="s">
        <v>2579</v>
      </c>
      <c r="H1009">
        <v>5</v>
      </c>
      <c r="M1009" s="1" t="s">
        <v>2579</v>
      </c>
      <c r="N1009" s="1">
        <v>57.8</v>
      </c>
      <c r="P1009" s="1" t="s">
        <v>2579</v>
      </c>
      <c r="Q1009" s="42">
        <v>5</v>
      </c>
      <c r="R1009" s="42">
        <v>57.8</v>
      </c>
      <c r="S1009" s="42">
        <v>0</v>
      </c>
      <c r="T1009" s="10">
        <f>IFERROR(ROUND((Q1009/R1009),2),"NA")</f>
        <v>0.09</v>
      </c>
      <c r="U1009">
        <f t="shared" si="15"/>
        <v>0</v>
      </c>
    </row>
    <row r="1010" spans="7:21" x14ac:dyDescent="0.2">
      <c r="G1010" s="9" t="s">
        <v>947</v>
      </c>
      <c r="H1010">
        <v>231</v>
      </c>
      <c r="M1010" s="1" t="s">
        <v>947</v>
      </c>
      <c r="N1010" s="1">
        <v>431</v>
      </c>
      <c r="P1010" s="1" t="s">
        <v>947</v>
      </c>
      <c r="Q1010" s="42">
        <v>231</v>
      </c>
      <c r="R1010" s="42">
        <v>431</v>
      </c>
      <c r="S1010" s="42">
        <v>9.5000000000000001E-2</v>
      </c>
      <c r="T1010" s="10">
        <f>IFERROR(ROUND((Q1010/R1010),2),"NA")</f>
        <v>0.54</v>
      </c>
      <c r="U1010">
        <f t="shared" si="15"/>
        <v>21.945</v>
      </c>
    </row>
    <row r="1011" spans="7:21" x14ac:dyDescent="0.2">
      <c r="G1011" s="9" t="s">
        <v>1688</v>
      </c>
      <c r="H1011">
        <v>0</v>
      </c>
      <c r="M1011" s="1" t="s">
        <v>1688</v>
      </c>
      <c r="N1011" s="1">
        <v>136</v>
      </c>
      <c r="P1011" s="1" t="s">
        <v>1688</v>
      </c>
      <c r="Q1011" s="42">
        <v>0</v>
      </c>
      <c r="R1011" s="42">
        <v>136</v>
      </c>
      <c r="S1011" s="42">
        <v>0</v>
      </c>
      <c r="T1011" s="10">
        <f>IFERROR(ROUND((Q1011/R1011),2),"NA")</f>
        <v>0</v>
      </c>
      <c r="U1011">
        <f t="shared" si="15"/>
        <v>0</v>
      </c>
    </row>
    <row r="1012" spans="7:21" x14ac:dyDescent="0.2">
      <c r="G1012" s="9" t="s">
        <v>2155</v>
      </c>
      <c r="H1012">
        <v>149</v>
      </c>
      <c r="M1012" s="1" t="s">
        <v>2155</v>
      </c>
      <c r="N1012" s="1">
        <v>244</v>
      </c>
      <c r="P1012" s="1" t="s">
        <v>2155</v>
      </c>
      <c r="Q1012" s="42">
        <v>149</v>
      </c>
      <c r="R1012" s="42">
        <v>244</v>
      </c>
      <c r="S1012" s="42">
        <v>0</v>
      </c>
      <c r="T1012" s="10">
        <f>IFERROR(ROUND((Q1012/R1012),2),"NA")</f>
        <v>0.61</v>
      </c>
      <c r="U1012">
        <f t="shared" si="15"/>
        <v>0</v>
      </c>
    </row>
    <row r="1013" spans="7:21" x14ac:dyDescent="0.2">
      <c r="G1013" s="9" t="s">
        <v>133</v>
      </c>
      <c r="H1013">
        <v>300</v>
      </c>
      <c r="M1013" s="1" t="s">
        <v>133</v>
      </c>
      <c r="N1013" s="1">
        <v>230</v>
      </c>
      <c r="P1013" s="1" t="s">
        <v>133</v>
      </c>
      <c r="Q1013" s="42">
        <v>300</v>
      </c>
      <c r="R1013" s="42">
        <v>230</v>
      </c>
      <c r="S1013" s="42">
        <v>0.27</v>
      </c>
      <c r="T1013" s="10">
        <f>IFERROR(ROUND((Q1013/R1013),2),"NA")</f>
        <v>1.3</v>
      </c>
      <c r="U1013">
        <f t="shared" si="15"/>
        <v>81</v>
      </c>
    </row>
    <row r="1014" spans="7:21" x14ac:dyDescent="0.2">
      <c r="G1014" s="9" t="s">
        <v>2309</v>
      </c>
      <c r="H1014">
        <v>18</v>
      </c>
      <c r="M1014" s="1" t="s">
        <v>2309</v>
      </c>
      <c r="N1014" s="1">
        <v>20</v>
      </c>
      <c r="P1014" s="1" t="s">
        <v>2309</v>
      </c>
      <c r="Q1014" s="42">
        <v>18</v>
      </c>
      <c r="R1014" s="42">
        <v>20</v>
      </c>
      <c r="S1014" s="42">
        <v>0.5</v>
      </c>
      <c r="T1014" s="10">
        <f>IFERROR(ROUND((Q1014/R1014),2),"NA")</f>
        <v>0.9</v>
      </c>
      <c r="U1014">
        <f t="shared" si="15"/>
        <v>9</v>
      </c>
    </row>
    <row r="1015" spans="7:21" x14ac:dyDescent="0.2">
      <c r="G1015" s="9" t="s">
        <v>1121</v>
      </c>
      <c r="H1015">
        <v>70</v>
      </c>
      <c r="M1015" s="1" t="s">
        <v>1121</v>
      </c>
      <c r="N1015" s="1">
        <v>185</v>
      </c>
      <c r="P1015" s="1" t="s">
        <v>1121</v>
      </c>
      <c r="Q1015" s="42">
        <v>70</v>
      </c>
      <c r="R1015" s="42">
        <v>185</v>
      </c>
      <c r="S1015" s="42">
        <v>0.33</v>
      </c>
      <c r="T1015" s="10">
        <f>IFERROR(ROUND((Q1015/R1015),2),"NA")</f>
        <v>0.38</v>
      </c>
      <c r="U1015">
        <f t="shared" si="15"/>
        <v>23.1</v>
      </c>
    </row>
    <row r="1016" spans="7:21" x14ac:dyDescent="0.2">
      <c r="G1016" s="9" t="s">
        <v>2082</v>
      </c>
      <c r="H1016">
        <v>12</v>
      </c>
      <c r="M1016" s="1" t="s">
        <v>2082</v>
      </c>
      <c r="N1016" s="1">
        <v>67</v>
      </c>
      <c r="P1016" s="1" t="s">
        <v>2082</v>
      </c>
      <c r="Q1016" s="42">
        <v>12</v>
      </c>
      <c r="R1016" s="42">
        <v>67</v>
      </c>
      <c r="S1016" s="42">
        <v>0</v>
      </c>
      <c r="T1016" s="10">
        <f>IFERROR(ROUND((Q1016/R1016),2),"NA")</f>
        <v>0.18</v>
      </c>
      <c r="U1016">
        <f t="shared" si="15"/>
        <v>0</v>
      </c>
    </row>
    <row r="1017" spans="7:21" x14ac:dyDescent="0.2">
      <c r="G1017" s="9" t="s">
        <v>1996</v>
      </c>
      <c r="H1017">
        <v>611</v>
      </c>
      <c r="M1017" s="1" t="s">
        <v>1996</v>
      </c>
      <c r="N1017" s="1">
        <v>367</v>
      </c>
      <c r="P1017" s="1" t="s">
        <v>1996</v>
      </c>
      <c r="Q1017" s="42">
        <v>611</v>
      </c>
      <c r="R1017" s="42">
        <v>367</v>
      </c>
      <c r="S1017" s="42">
        <v>0</v>
      </c>
      <c r="T1017" s="10">
        <f>IFERROR(ROUND((Q1017/R1017),2),"NA")</f>
        <v>1.66</v>
      </c>
      <c r="U1017">
        <f t="shared" si="15"/>
        <v>0</v>
      </c>
    </row>
    <row r="1018" spans="7:21" x14ac:dyDescent="0.2">
      <c r="G1018" s="9" t="s">
        <v>1943</v>
      </c>
      <c r="H1018">
        <v>0</v>
      </c>
      <c r="M1018" s="1" t="s">
        <v>1943</v>
      </c>
      <c r="N1018" s="1">
        <v>28</v>
      </c>
      <c r="P1018" s="1" t="s">
        <v>1943</v>
      </c>
      <c r="Q1018" s="42">
        <v>0</v>
      </c>
      <c r="R1018" s="42">
        <v>28</v>
      </c>
      <c r="S1018" s="42">
        <v>0</v>
      </c>
      <c r="T1018" s="10">
        <f>IFERROR(ROUND((Q1018/R1018),2),"NA")</f>
        <v>0</v>
      </c>
      <c r="U1018">
        <f t="shared" si="15"/>
        <v>0</v>
      </c>
    </row>
    <row r="1019" spans="7:21" x14ac:dyDescent="0.2">
      <c r="G1019" s="9" t="s">
        <v>2951</v>
      </c>
      <c r="H1019">
        <v>16</v>
      </c>
      <c r="M1019" s="1" t="s">
        <v>2951</v>
      </c>
      <c r="N1019" s="1">
        <v>6</v>
      </c>
      <c r="P1019" s="1" t="s">
        <v>2951</v>
      </c>
      <c r="Q1019" s="42">
        <v>16</v>
      </c>
      <c r="R1019" s="42">
        <v>6</v>
      </c>
      <c r="S1019" s="42">
        <v>1</v>
      </c>
      <c r="T1019" s="10">
        <f>IFERROR(ROUND((Q1019/R1019),2),"NA")</f>
        <v>2.67</v>
      </c>
      <c r="U1019">
        <f t="shared" si="15"/>
        <v>16</v>
      </c>
    </row>
    <row r="1020" spans="7:21" x14ac:dyDescent="0.2">
      <c r="G1020" s="9" t="s">
        <v>2600</v>
      </c>
      <c r="H1020">
        <v>10</v>
      </c>
      <c r="M1020" s="1" t="s">
        <v>2600</v>
      </c>
      <c r="N1020" s="1">
        <v>0</v>
      </c>
      <c r="P1020" s="1" t="s">
        <v>2600</v>
      </c>
      <c r="Q1020" s="42">
        <v>10</v>
      </c>
      <c r="R1020" s="42">
        <v>0</v>
      </c>
      <c r="S1020" s="42">
        <v>0.18</v>
      </c>
      <c r="T1020" s="10" t="str">
        <f>IFERROR(ROUND((Q1020/R1020),2),"NA")</f>
        <v>NA</v>
      </c>
      <c r="U1020">
        <f t="shared" si="15"/>
        <v>1.7999999999999998</v>
      </c>
    </row>
    <row r="1021" spans="7:21" x14ac:dyDescent="0.2">
      <c r="G1021" s="9" t="s">
        <v>463</v>
      </c>
      <c r="H1021">
        <v>0</v>
      </c>
      <c r="M1021" s="1" t="s">
        <v>463</v>
      </c>
      <c r="N1021" s="1">
        <v>5</v>
      </c>
      <c r="P1021" s="1" t="s">
        <v>463</v>
      </c>
      <c r="Q1021" s="42">
        <v>0</v>
      </c>
      <c r="R1021" s="42">
        <v>5</v>
      </c>
      <c r="S1021" s="42">
        <v>1</v>
      </c>
      <c r="T1021" s="10">
        <f>IFERROR(ROUND((Q1021/R1021),2),"NA")</f>
        <v>0</v>
      </c>
      <c r="U1021">
        <f t="shared" si="15"/>
        <v>0</v>
      </c>
    </row>
    <row r="1022" spans="7:21" x14ac:dyDescent="0.2">
      <c r="G1022" s="9" t="s">
        <v>2227</v>
      </c>
      <c r="H1022">
        <v>24</v>
      </c>
      <c r="M1022" s="1" t="s">
        <v>2227</v>
      </c>
      <c r="N1022" s="1">
        <v>265</v>
      </c>
      <c r="P1022" s="1" t="s">
        <v>2227</v>
      </c>
      <c r="Q1022" s="42">
        <v>24</v>
      </c>
      <c r="R1022" s="42">
        <v>265</v>
      </c>
      <c r="S1022" s="42">
        <v>0.2</v>
      </c>
      <c r="T1022" s="10">
        <f>IFERROR(ROUND((Q1022/R1022),2),"NA")</f>
        <v>0.09</v>
      </c>
      <c r="U1022">
        <f t="shared" si="15"/>
        <v>4.8000000000000007</v>
      </c>
    </row>
    <row r="1023" spans="7:21" x14ac:dyDescent="0.2">
      <c r="G1023" s="9" t="s">
        <v>140</v>
      </c>
      <c r="H1023">
        <v>100</v>
      </c>
      <c r="M1023" s="1" t="s">
        <v>140</v>
      </c>
      <c r="N1023" s="1">
        <v>0</v>
      </c>
      <c r="P1023" s="1" t="s">
        <v>140</v>
      </c>
      <c r="Q1023" s="42">
        <v>100</v>
      </c>
      <c r="R1023" s="42">
        <v>0</v>
      </c>
      <c r="S1023" s="42">
        <v>0.16</v>
      </c>
      <c r="T1023" s="10" t="str">
        <f>IFERROR(ROUND((Q1023/R1023),2),"NA")</f>
        <v>NA</v>
      </c>
      <c r="U1023">
        <f t="shared" si="15"/>
        <v>16</v>
      </c>
    </row>
    <row r="1024" spans="7:21" x14ac:dyDescent="0.2">
      <c r="G1024" s="9" t="s">
        <v>1482</v>
      </c>
      <c r="H1024">
        <v>73</v>
      </c>
      <c r="M1024" s="1" t="s">
        <v>1482</v>
      </c>
      <c r="N1024" s="1">
        <v>0</v>
      </c>
      <c r="P1024" s="1" t="s">
        <v>1482</v>
      </c>
      <c r="Q1024" s="42">
        <v>73</v>
      </c>
      <c r="R1024" s="42">
        <v>0</v>
      </c>
      <c r="S1024" s="42">
        <v>0</v>
      </c>
      <c r="T1024" s="10" t="str">
        <f>IFERROR(ROUND((Q1024/R1024),2),"NA")</f>
        <v>NA</v>
      </c>
      <c r="U1024">
        <f t="shared" si="15"/>
        <v>0</v>
      </c>
    </row>
    <row r="1025" spans="7:21" x14ac:dyDescent="0.2">
      <c r="G1025" s="9" t="s">
        <v>1185</v>
      </c>
      <c r="H1025">
        <v>0</v>
      </c>
      <c r="M1025" s="1" t="s">
        <v>1185</v>
      </c>
      <c r="N1025" s="1">
        <v>20</v>
      </c>
      <c r="P1025" s="1" t="s">
        <v>1185</v>
      </c>
      <c r="Q1025" s="42">
        <v>0</v>
      </c>
      <c r="R1025" s="42">
        <v>20</v>
      </c>
      <c r="S1025" s="42">
        <v>1</v>
      </c>
      <c r="T1025" s="10">
        <f>IFERROR(ROUND((Q1025/R1025),2),"NA")</f>
        <v>0</v>
      </c>
      <c r="U1025">
        <f t="shared" si="15"/>
        <v>0</v>
      </c>
    </row>
    <row r="1026" spans="7:21" x14ac:dyDescent="0.2">
      <c r="G1026" s="9" t="s">
        <v>2883</v>
      </c>
      <c r="H1026">
        <v>70</v>
      </c>
      <c r="M1026" s="1" t="s">
        <v>2883</v>
      </c>
      <c r="N1026" s="1">
        <v>45</v>
      </c>
      <c r="P1026" s="1" t="s">
        <v>2883</v>
      </c>
      <c r="Q1026" s="42">
        <v>70</v>
      </c>
      <c r="R1026" s="42">
        <v>45</v>
      </c>
      <c r="S1026" s="42">
        <v>0.3</v>
      </c>
      <c r="T1026" s="10">
        <f>IFERROR(ROUND((Q1026/R1026),2),"NA")</f>
        <v>1.56</v>
      </c>
      <c r="U1026">
        <f t="shared" si="15"/>
        <v>21</v>
      </c>
    </row>
    <row r="1027" spans="7:21" x14ac:dyDescent="0.2">
      <c r="G1027" s="9" t="s">
        <v>1899</v>
      </c>
      <c r="H1027">
        <v>25</v>
      </c>
      <c r="M1027" s="1" t="s">
        <v>1899</v>
      </c>
      <c r="N1027" s="1">
        <v>475</v>
      </c>
      <c r="P1027" s="1" t="s">
        <v>1899</v>
      </c>
      <c r="Q1027" s="42">
        <v>25</v>
      </c>
      <c r="R1027" s="42">
        <v>475</v>
      </c>
      <c r="S1027" s="42">
        <v>0</v>
      </c>
      <c r="T1027" s="10">
        <f>IFERROR(ROUND((Q1027/R1027),2),"NA")</f>
        <v>0.05</v>
      </c>
      <c r="U1027">
        <f t="shared" si="15"/>
        <v>0</v>
      </c>
    </row>
    <row r="1028" spans="7:21" x14ac:dyDescent="0.2">
      <c r="G1028" s="9" t="s">
        <v>941</v>
      </c>
      <c r="H1028">
        <v>75</v>
      </c>
      <c r="M1028" s="1" t="s">
        <v>941</v>
      </c>
      <c r="N1028" s="1">
        <v>16.5</v>
      </c>
      <c r="P1028" s="1" t="s">
        <v>941</v>
      </c>
      <c r="Q1028" s="42">
        <v>75</v>
      </c>
      <c r="R1028" s="42">
        <v>16.5</v>
      </c>
      <c r="S1028" s="42">
        <v>0.17499999999999999</v>
      </c>
      <c r="T1028" s="10">
        <f>IFERROR(ROUND((Q1028/R1028),2),"NA")</f>
        <v>4.55</v>
      </c>
      <c r="U1028">
        <f t="shared" si="15"/>
        <v>13.125</v>
      </c>
    </row>
    <row r="1029" spans="7:21" x14ac:dyDescent="0.2">
      <c r="G1029" s="9" t="s">
        <v>1017</v>
      </c>
      <c r="H1029">
        <v>240</v>
      </c>
      <c r="M1029" s="1" t="s">
        <v>1017</v>
      </c>
      <c r="N1029" s="1">
        <v>1288</v>
      </c>
      <c r="P1029" s="1" t="s">
        <v>1017</v>
      </c>
      <c r="Q1029" s="42">
        <v>240</v>
      </c>
      <c r="R1029" s="42">
        <v>1288</v>
      </c>
      <c r="S1029" s="42">
        <v>0.125</v>
      </c>
      <c r="T1029" s="10">
        <f>IFERROR(ROUND((Q1029/R1029),2),"NA")</f>
        <v>0.19</v>
      </c>
      <c r="U1029">
        <f t="shared" ref="U1029:U1092" si="16">Q1029*S1029</f>
        <v>30</v>
      </c>
    </row>
    <row r="1030" spans="7:21" x14ac:dyDescent="0.2">
      <c r="G1030" s="9" t="s">
        <v>736</v>
      </c>
      <c r="H1030">
        <v>0</v>
      </c>
      <c r="M1030" s="1" t="s">
        <v>736</v>
      </c>
      <c r="N1030" s="1">
        <v>67</v>
      </c>
      <c r="P1030" s="1" t="s">
        <v>736</v>
      </c>
      <c r="Q1030" s="42">
        <v>0</v>
      </c>
      <c r="R1030" s="42">
        <v>67</v>
      </c>
      <c r="S1030" s="42">
        <v>0</v>
      </c>
      <c r="T1030" s="10">
        <f>IFERROR(ROUND((Q1030/R1030),2),"NA")</f>
        <v>0</v>
      </c>
      <c r="U1030">
        <f t="shared" si="16"/>
        <v>0</v>
      </c>
    </row>
    <row r="1031" spans="7:21" x14ac:dyDescent="0.2">
      <c r="G1031" s="9" t="s">
        <v>808</v>
      </c>
      <c r="H1031">
        <v>55</v>
      </c>
      <c r="M1031" s="1" t="s">
        <v>808</v>
      </c>
      <c r="N1031" s="1">
        <v>261</v>
      </c>
      <c r="P1031" s="1" t="s">
        <v>808</v>
      </c>
      <c r="Q1031" s="42">
        <v>55</v>
      </c>
      <c r="R1031" s="42">
        <v>261</v>
      </c>
      <c r="S1031" s="42">
        <v>0</v>
      </c>
      <c r="T1031" s="10">
        <f>IFERROR(ROUND((Q1031/R1031),2),"NA")</f>
        <v>0.21</v>
      </c>
      <c r="U1031">
        <f t="shared" si="16"/>
        <v>0</v>
      </c>
    </row>
    <row r="1032" spans="7:21" x14ac:dyDescent="0.2">
      <c r="G1032" s="9" t="s">
        <v>171</v>
      </c>
      <c r="H1032">
        <v>0</v>
      </c>
      <c r="M1032" s="1" t="s">
        <v>171</v>
      </c>
      <c r="N1032" s="1">
        <v>826</v>
      </c>
      <c r="P1032" s="1" t="s">
        <v>171</v>
      </c>
      <c r="Q1032" s="42">
        <v>0</v>
      </c>
      <c r="R1032" s="42">
        <v>826</v>
      </c>
      <c r="S1032" s="42">
        <v>0.1</v>
      </c>
      <c r="T1032" s="10">
        <f>IFERROR(ROUND((Q1032/R1032),2),"NA")</f>
        <v>0</v>
      </c>
      <c r="U1032">
        <f t="shared" si="16"/>
        <v>0</v>
      </c>
    </row>
    <row r="1033" spans="7:21" x14ac:dyDescent="0.2">
      <c r="G1033" s="9" t="s">
        <v>2733</v>
      </c>
      <c r="H1033">
        <v>0</v>
      </c>
      <c r="M1033" s="1" t="s">
        <v>2733</v>
      </c>
      <c r="N1033" s="1">
        <v>40.5</v>
      </c>
      <c r="P1033" s="1" t="s">
        <v>2733</v>
      </c>
      <c r="Q1033" s="42">
        <v>0</v>
      </c>
      <c r="R1033" s="42">
        <v>40.5</v>
      </c>
      <c r="S1033" s="42">
        <v>0.6</v>
      </c>
      <c r="T1033" s="10">
        <f>IFERROR(ROUND((Q1033/R1033),2),"NA")</f>
        <v>0</v>
      </c>
      <c r="U1033">
        <f t="shared" si="16"/>
        <v>0</v>
      </c>
    </row>
    <row r="1034" spans="7:21" x14ac:dyDescent="0.2">
      <c r="G1034" s="9" t="s">
        <v>615</v>
      </c>
      <c r="H1034">
        <v>190</v>
      </c>
      <c r="M1034" s="1" t="s">
        <v>615</v>
      </c>
      <c r="N1034" s="1">
        <v>2600</v>
      </c>
      <c r="P1034" s="1" t="s">
        <v>615</v>
      </c>
      <c r="Q1034" s="42">
        <v>190</v>
      </c>
      <c r="R1034" s="42">
        <v>2600</v>
      </c>
      <c r="S1034" s="42">
        <v>0.15000000000000002</v>
      </c>
      <c r="T1034" s="10">
        <f>IFERROR(ROUND((Q1034/R1034),2),"NA")</f>
        <v>7.0000000000000007E-2</v>
      </c>
      <c r="U1034">
        <f t="shared" si="16"/>
        <v>28.500000000000004</v>
      </c>
    </row>
    <row r="1035" spans="7:21" x14ac:dyDescent="0.2">
      <c r="G1035" s="9" t="s">
        <v>1794</v>
      </c>
      <c r="H1035">
        <v>200</v>
      </c>
      <c r="M1035" s="1" t="s">
        <v>1794</v>
      </c>
      <c r="N1035" s="1">
        <v>0</v>
      </c>
      <c r="P1035" s="1" t="s">
        <v>1794</v>
      </c>
      <c r="Q1035" s="42">
        <v>200</v>
      </c>
      <c r="R1035" s="42">
        <v>0</v>
      </c>
      <c r="S1035" s="42">
        <v>0.4</v>
      </c>
      <c r="T1035" s="10" t="str">
        <f>IFERROR(ROUND((Q1035/R1035),2),"NA")</f>
        <v>NA</v>
      </c>
      <c r="U1035">
        <f t="shared" si="16"/>
        <v>80</v>
      </c>
    </row>
    <row r="1036" spans="7:21" x14ac:dyDescent="0.2">
      <c r="G1036" s="9" t="s">
        <v>2581</v>
      </c>
      <c r="H1036">
        <v>0</v>
      </c>
      <c r="M1036" s="1" t="s">
        <v>2581</v>
      </c>
      <c r="N1036" s="1">
        <v>132</v>
      </c>
      <c r="P1036" s="1" t="s">
        <v>2581</v>
      </c>
      <c r="Q1036" s="42">
        <v>0</v>
      </c>
      <c r="R1036" s="42">
        <v>132</v>
      </c>
      <c r="S1036" s="42">
        <v>0</v>
      </c>
      <c r="T1036" s="10">
        <f>IFERROR(ROUND((Q1036/R1036),2),"NA")</f>
        <v>0</v>
      </c>
      <c r="U1036">
        <f t="shared" si="16"/>
        <v>0</v>
      </c>
    </row>
    <row r="1037" spans="7:21" x14ac:dyDescent="0.2">
      <c r="G1037" s="9" t="s">
        <v>2654</v>
      </c>
      <c r="H1037">
        <v>36</v>
      </c>
      <c r="M1037" s="1" t="s">
        <v>2654</v>
      </c>
      <c r="N1037" s="1">
        <v>52</v>
      </c>
      <c r="P1037" s="1" t="s">
        <v>2654</v>
      </c>
      <c r="Q1037" s="42">
        <v>36</v>
      </c>
      <c r="R1037" s="42">
        <v>52</v>
      </c>
      <c r="S1037" s="42">
        <v>0.17</v>
      </c>
      <c r="T1037" s="10">
        <f>IFERROR(ROUND((Q1037/R1037),2),"NA")</f>
        <v>0.69</v>
      </c>
      <c r="U1037">
        <f t="shared" si="16"/>
        <v>6.12</v>
      </c>
    </row>
    <row r="1038" spans="7:21" x14ac:dyDescent="0.2">
      <c r="G1038" s="9" t="s">
        <v>744</v>
      </c>
      <c r="H1038">
        <v>24</v>
      </c>
      <c r="M1038" s="1" t="s">
        <v>744</v>
      </c>
      <c r="N1038" s="1">
        <v>40</v>
      </c>
      <c r="P1038" s="1" t="s">
        <v>744</v>
      </c>
      <c r="Q1038" s="42">
        <v>24</v>
      </c>
      <c r="R1038" s="42">
        <v>40</v>
      </c>
      <c r="S1038" s="42">
        <v>0.2</v>
      </c>
      <c r="T1038" s="10">
        <f>IFERROR(ROUND((Q1038/R1038),2),"NA")</f>
        <v>0.6</v>
      </c>
      <c r="U1038">
        <f t="shared" si="16"/>
        <v>4.8000000000000007</v>
      </c>
    </row>
    <row r="1039" spans="7:21" x14ac:dyDescent="0.2">
      <c r="G1039" s="9" t="s">
        <v>2110</v>
      </c>
      <c r="H1039">
        <v>40</v>
      </c>
      <c r="M1039" s="1" t="s">
        <v>2110</v>
      </c>
      <c r="N1039" s="1">
        <v>0</v>
      </c>
      <c r="P1039" s="1" t="s">
        <v>2110</v>
      </c>
      <c r="Q1039" s="42">
        <v>40</v>
      </c>
      <c r="R1039" s="42">
        <v>0</v>
      </c>
      <c r="S1039" s="42">
        <v>0.8</v>
      </c>
      <c r="T1039" s="10" t="str">
        <f>IFERROR(ROUND((Q1039/R1039),2),"NA")</f>
        <v>NA</v>
      </c>
      <c r="U1039">
        <f t="shared" si="16"/>
        <v>32</v>
      </c>
    </row>
    <row r="1040" spans="7:21" x14ac:dyDescent="0.2">
      <c r="G1040" s="9" t="s">
        <v>422</v>
      </c>
      <c r="H1040">
        <v>80</v>
      </c>
      <c r="M1040" s="1" t="s">
        <v>422</v>
      </c>
      <c r="N1040" s="1">
        <v>164</v>
      </c>
      <c r="P1040" s="1" t="s">
        <v>422</v>
      </c>
      <c r="Q1040" s="42">
        <v>80</v>
      </c>
      <c r="R1040" s="42">
        <v>164</v>
      </c>
      <c r="S1040" s="42">
        <v>0.4</v>
      </c>
      <c r="T1040" s="10">
        <f>IFERROR(ROUND((Q1040/R1040),2),"NA")</f>
        <v>0.49</v>
      </c>
      <c r="U1040">
        <f t="shared" si="16"/>
        <v>32</v>
      </c>
    </row>
    <row r="1041" spans="7:21" x14ac:dyDescent="0.2">
      <c r="G1041" s="9" t="s">
        <v>1687</v>
      </c>
      <c r="H1041">
        <v>18</v>
      </c>
      <c r="M1041" s="1" t="s">
        <v>1687</v>
      </c>
      <c r="N1041" s="1">
        <v>4</v>
      </c>
      <c r="P1041" s="1" t="s">
        <v>1687</v>
      </c>
      <c r="Q1041" s="42">
        <v>18</v>
      </c>
      <c r="R1041" s="42">
        <v>4</v>
      </c>
      <c r="S1041" s="42">
        <v>0.13</v>
      </c>
      <c r="T1041" s="10">
        <f>IFERROR(ROUND((Q1041/R1041),2),"NA")</f>
        <v>4.5</v>
      </c>
      <c r="U1041">
        <f t="shared" si="16"/>
        <v>2.34</v>
      </c>
    </row>
    <row r="1042" spans="7:21" x14ac:dyDescent="0.2">
      <c r="G1042" s="9" t="s">
        <v>1760</v>
      </c>
      <c r="H1042">
        <v>0</v>
      </c>
      <c r="M1042" s="1" t="s">
        <v>1760</v>
      </c>
      <c r="N1042" s="1">
        <v>128</v>
      </c>
      <c r="P1042" s="1" t="s">
        <v>1760</v>
      </c>
      <c r="Q1042" s="42">
        <v>0</v>
      </c>
      <c r="R1042" s="42">
        <v>128</v>
      </c>
      <c r="S1042" s="42">
        <v>0</v>
      </c>
      <c r="T1042" s="10">
        <f>IFERROR(ROUND((Q1042/R1042),2),"NA")</f>
        <v>0</v>
      </c>
      <c r="U1042">
        <f t="shared" si="16"/>
        <v>0</v>
      </c>
    </row>
    <row r="1043" spans="7:21" x14ac:dyDescent="0.2">
      <c r="G1043" s="9" t="s">
        <v>724</v>
      </c>
      <c r="H1043">
        <v>40</v>
      </c>
      <c r="M1043" s="1" t="s">
        <v>724</v>
      </c>
      <c r="N1043" s="1">
        <v>71</v>
      </c>
      <c r="P1043" s="1" t="s">
        <v>724</v>
      </c>
      <c r="Q1043" s="42">
        <v>40</v>
      </c>
      <c r="R1043" s="42">
        <v>71</v>
      </c>
      <c r="S1043" s="42">
        <v>0.2</v>
      </c>
      <c r="T1043" s="10">
        <f>IFERROR(ROUND((Q1043/R1043),2),"NA")</f>
        <v>0.56000000000000005</v>
      </c>
      <c r="U1043">
        <f t="shared" si="16"/>
        <v>8</v>
      </c>
    </row>
    <row r="1044" spans="7:21" x14ac:dyDescent="0.2">
      <c r="G1044" s="9" t="s">
        <v>1298</v>
      </c>
      <c r="H1044">
        <v>30</v>
      </c>
      <c r="M1044" s="1" t="s">
        <v>1298</v>
      </c>
      <c r="N1044" s="1">
        <v>116</v>
      </c>
      <c r="P1044" s="1" t="s">
        <v>1298</v>
      </c>
      <c r="Q1044" s="42">
        <v>30</v>
      </c>
      <c r="R1044" s="42">
        <v>116</v>
      </c>
      <c r="S1044" s="42">
        <v>0</v>
      </c>
      <c r="T1044" s="10">
        <f>IFERROR(ROUND((Q1044/R1044),2),"NA")</f>
        <v>0.26</v>
      </c>
      <c r="U1044">
        <f t="shared" si="16"/>
        <v>0</v>
      </c>
    </row>
    <row r="1045" spans="7:21" x14ac:dyDescent="0.2">
      <c r="G1045" s="9" t="s">
        <v>2300</v>
      </c>
      <c r="H1045">
        <v>0</v>
      </c>
      <c r="M1045" s="1" t="s">
        <v>2300</v>
      </c>
      <c r="N1045" s="1">
        <v>743</v>
      </c>
      <c r="P1045" s="1" t="s">
        <v>2300</v>
      </c>
      <c r="Q1045" s="42">
        <v>0</v>
      </c>
      <c r="R1045" s="42">
        <v>743</v>
      </c>
      <c r="S1045" s="42">
        <v>0.19</v>
      </c>
      <c r="T1045" s="10">
        <f>IFERROR(ROUND((Q1045/R1045),2),"NA")</f>
        <v>0</v>
      </c>
      <c r="U1045">
        <f t="shared" si="16"/>
        <v>0</v>
      </c>
    </row>
    <row r="1046" spans="7:21" x14ac:dyDescent="0.2">
      <c r="G1046" s="9" t="s">
        <v>1839</v>
      </c>
      <c r="H1046">
        <v>113</v>
      </c>
      <c r="M1046" s="1" t="s">
        <v>1839</v>
      </c>
      <c r="N1046" s="1">
        <v>0</v>
      </c>
      <c r="P1046" s="1" t="s">
        <v>1839</v>
      </c>
      <c r="Q1046" s="42">
        <v>113</v>
      </c>
      <c r="R1046" s="42">
        <v>0</v>
      </c>
      <c r="S1046" s="42">
        <v>0</v>
      </c>
      <c r="T1046" s="10" t="str">
        <f>IFERROR(ROUND((Q1046/R1046),2),"NA")</f>
        <v>NA</v>
      </c>
      <c r="U1046">
        <f t="shared" si="16"/>
        <v>0</v>
      </c>
    </row>
    <row r="1047" spans="7:21" x14ac:dyDescent="0.2">
      <c r="G1047" s="9" t="s">
        <v>1274</v>
      </c>
      <c r="H1047">
        <v>0</v>
      </c>
      <c r="M1047" s="1" t="s">
        <v>1274</v>
      </c>
      <c r="N1047" s="1">
        <v>172</v>
      </c>
      <c r="P1047" s="1" t="s">
        <v>1274</v>
      </c>
      <c r="Q1047" s="42">
        <v>0</v>
      </c>
      <c r="R1047" s="42">
        <v>172</v>
      </c>
      <c r="S1047" s="42">
        <v>0</v>
      </c>
      <c r="T1047" s="10">
        <f>IFERROR(ROUND((Q1047/R1047),2),"NA")</f>
        <v>0</v>
      </c>
      <c r="U1047">
        <f t="shared" si="16"/>
        <v>0</v>
      </c>
    </row>
    <row r="1048" spans="7:21" x14ac:dyDescent="0.2">
      <c r="G1048" s="9" t="s">
        <v>1850</v>
      </c>
      <c r="H1048">
        <v>0</v>
      </c>
      <c r="M1048" s="1" t="s">
        <v>1850</v>
      </c>
      <c r="N1048" s="1">
        <v>661</v>
      </c>
      <c r="P1048" s="1" t="s">
        <v>1850</v>
      </c>
      <c r="Q1048" s="42">
        <v>0</v>
      </c>
      <c r="R1048" s="42">
        <v>661</v>
      </c>
      <c r="S1048" s="42">
        <v>0.22500000000000001</v>
      </c>
      <c r="T1048" s="10">
        <f>IFERROR(ROUND((Q1048/R1048),2),"NA")</f>
        <v>0</v>
      </c>
      <c r="U1048">
        <f t="shared" si="16"/>
        <v>0</v>
      </c>
    </row>
    <row r="1049" spans="7:21" x14ac:dyDescent="0.2">
      <c r="G1049" s="9" t="s">
        <v>146</v>
      </c>
      <c r="H1049">
        <v>159</v>
      </c>
      <c r="M1049" s="1" t="s">
        <v>146</v>
      </c>
      <c r="N1049" s="1">
        <v>140</v>
      </c>
      <c r="P1049" s="1" t="s">
        <v>146</v>
      </c>
      <c r="Q1049" s="42">
        <v>159</v>
      </c>
      <c r="R1049" s="42">
        <v>140</v>
      </c>
      <c r="S1049" s="42">
        <v>0.21</v>
      </c>
      <c r="T1049" s="10">
        <f>IFERROR(ROUND((Q1049/R1049),2),"NA")</f>
        <v>1.1399999999999999</v>
      </c>
      <c r="U1049">
        <f t="shared" si="16"/>
        <v>33.39</v>
      </c>
    </row>
    <row r="1050" spans="7:21" x14ac:dyDescent="0.2">
      <c r="G1050" s="9" t="s">
        <v>861</v>
      </c>
      <c r="H1050">
        <v>0</v>
      </c>
      <c r="M1050" s="1" t="s">
        <v>861</v>
      </c>
      <c r="N1050" s="1">
        <v>187</v>
      </c>
      <c r="P1050" s="1" t="s">
        <v>861</v>
      </c>
      <c r="Q1050" s="42">
        <v>0</v>
      </c>
      <c r="R1050" s="42">
        <v>187</v>
      </c>
      <c r="S1050" s="42">
        <v>0</v>
      </c>
      <c r="T1050" s="10">
        <f>IFERROR(ROUND((Q1050/R1050),2),"NA")</f>
        <v>0</v>
      </c>
      <c r="U1050">
        <f t="shared" si="16"/>
        <v>0</v>
      </c>
    </row>
    <row r="1051" spans="7:21" x14ac:dyDescent="0.2">
      <c r="G1051" s="9" t="s">
        <v>972</v>
      </c>
      <c r="H1051">
        <v>0</v>
      </c>
      <c r="M1051" s="1" t="s">
        <v>972</v>
      </c>
      <c r="N1051" s="1">
        <v>625</v>
      </c>
      <c r="P1051" s="1" t="s">
        <v>972</v>
      </c>
      <c r="Q1051" s="42">
        <v>0</v>
      </c>
      <c r="R1051" s="42">
        <v>625</v>
      </c>
      <c r="S1051" s="42">
        <v>0.15</v>
      </c>
      <c r="T1051" s="10">
        <f>IFERROR(ROUND((Q1051/R1051),2),"NA")</f>
        <v>0</v>
      </c>
      <c r="U1051">
        <f t="shared" si="16"/>
        <v>0</v>
      </c>
    </row>
    <row r="1052" spans="7:21" x14ac:dyDescent="0.2">
      <c r="G1052" s="9" t="s">
        <v>2895</v>
      </c>
      <c r="H1052">
        <v>250</v>
      </c>
      <c r="M1052" s="1" t="s">
        <v>2895</v>
      </c>
      <c r="N1052" s="1">
        <v>95</v>
      </c>
      <c r="P1052" s="1" t="s">
        <v>2895</v>
      </c>
      <c r="Q1052" s="42">
        <v>250</v>
      </c>
      <c r="R1052" s="42">
        <v>95</v>
      </c>
      <c r="S1052" s="42">
        <v>1</v>
      </c>
      <c r="T1052" s="10">
        <f>IFERROR(ROUND((Q1052/R1052),2),"NA")</f>
        <v>2.63</v>
      </c>
      <c r="U1052">
        <f t="shared" si="16"/>
        <v>250</v>
      </c>
    </row>
    <row r="1053" spans="7:21" x14ac:dyDescent="0.2">
      <c r="G1053" s="9" t="s">
        <v>713</v>
      </c>
      <c r="H1053">
        <v>0</v>
      </c>
      <c r="M1053" s="1" t="s">
        <v>713</v>
      </c>
      <c r="N1053" s="1">
        <v>7</v>
      </c>
      <c r="P1053" s="1" t="s">
        <v>713</v>
      </c>
      <c r="Q1053" s="42">
        <v>0</v>
      </c>
      <c r="R1053" s="42">
        <v>7</v>
      </c>
      <c r="S1053" s="42">
        <v>1</v>
      </c>
      <c r="T1053" s="10">
        <f>IFERROR(ROUND((Q1053/R1053),2),"NA")</f>
        <v>0</v>
      </c>
      <c r="U1053">
        <f t="shared" si="16"/>
        <v>0</v>
      </c>
    </row>
    <row r="1054" spans="7:21" x14ac:dyDescent="0.2">
      <c r="G1054" s="9" t="s">
        <v>1555</v>
      </c>
      <c r="H1054">
        <v>520</v>
      </c>
      <c r="M1054" s="1" t="s">
        <v>1555</v>
      </c>
      <c r="N1054" s="1">
        <v>900</v>
      </c>
      <c r="P1054" s="1" t="s">
        <v>1555</v>
      </c>
      <c r="Q1054" s="42">
        <v>520</v>
      </c>
      <c r="R1054" s="42">
        <v>900</v>
      </c>
      <c r="S1054" s="42">
        <v>0.13999999999999999</v>
      </c>
      <c r="T1054" s="10">
        <f>IFERROR(ROUND((Q1054/R1054),2),"NA")</f>
        <v>0.57999999999999996</v>
      </c>
      <c r="U1054">
        <f t="shared" si="16"/>
        <v>72.8</v>
      </c>
    </row>
    <row r="1055" spans="7:21" x14ac:dyDescent="0.2">
      <c r="G1055" s="9" t="s">
        <v>107</v>
      </c>
      <c r="H1055">
        <v>380</v>
      </c>
      <c r="M1055" s="1" t="s">
        <v>107</v>
      </c>
      <c r="N1055" s="1">
        <v>4000</v>
      </c>
      <c r="P1055" s="1" t="s">
        <v>107</v>
      </c>
      <c r="Q1055" s="42">
        <v>380</v>
      </c>
      <c r="R1055" s="42">
        <v>4000</v>
      </c>
      <c r="S1055" s="42">
        <v>0.19333333333333333</v>
      </c>
      <c r="T1055" s="10">
        <f>IFERROR(ROUND((Q1055/R1055),2),"NA")</f>
        <v>0.1</v>
      </c>
      <c r="U1055">
        <f t="shared" si="16"/>
        <v>73.466666666666669</v>
      </c>
    </row>
    <row r="1056" spans="7:21" x14ac:dyDescent="0.2">
      <c r="G1056" s="9" t="s">
        <v>679</v>
      </c>
      <c r="H1056">
        <v>250</v>
      </c>
      <c r="M1056" s="1" t="s">
        <v>679</v>
      </c>
      <c r="N1056" s="1">
        <v>913</v>
      </c>
      <c r="P1056" s="1" t="s">
        <v>679</v>
      </c>
      <c r="Q1056" s="42">
        <v>250</v>
      </c>
      <c r="R1056" s="42">
        <v>913</v>
      </c>
      <c r="S1056" s="42">
        <v>0.3</v>
      </c>
      <c r="T1056" s="10">
        <f>IFERROR(ROUND((Q1056/R1056),2),"NA")</f>
        <v>0.27</v>
      </c>
      <c r="U1056">
        <f t="shared" si="16"/>
        <v>75</v>
      </c>
    </row>
    <row r="1057" spans="7:21" x14ac:dyDescent="0.2">
      <c r="G1057" s="9" t="s">
        <v>2555</v>
      </c>
      <c r="H1057">
        <v>8</v>
      </c>
      <c r="M1057" s="1" t="s">
        <v>2555</v>
      </c>
      <c r="N1057" s="1">
        <v>90</v>
      </c>
      <c r="P1057" s="1" t="s">
        <v>2555</v>
      </c>
      <c r="Q1057" s="42">
        <v>8</v>
      </c>
      <c r="R1057" s="42">
        <v>90</v>
      </c>
      <c r="S1057" s="42">
        <v>0.1</v>
      </c>
      <c r="T1057" s="10">
        <f>IFERROR(ROUND((Q1057/R1057),2),"NA")</f>
        <v>0.09</v>
      </c>
      <c r="U1057">
        <f t="shared" si="16"/>
        <v>0.8</v>
      </c>
    </row>
    <row r="1058" spans="7:21" x14ac:dyDescent="0.2">
      <c r="G1058" s="9" t="s">
        <v>2713</v>
      </c>
      <c r="H1058">
        <v>15</v>
      </c>
      <c r="M1058" s="1" t="s">
        <v>2713</v>
      </c>
      <c r="N1058" s="1">
        <v>30</v>
      </c>
      <c r="P1058" s="1" t="s">
        <v>2713</v>
      </c>
      <c r="Q1058" s="42">
        <v>15</v>
      </c>
      <c r="R1058" s="42">
        <v>30</v>
      </c>
      <c r="S1058" s="42">
        <v>0.25</v>
      </c>
      <c r="T1058" s="10">
        <f>IFERROR(ROUND((Q1058/R1058),2),"NA")</f>
        <v>0.5</v>
      </c>
      <c r="U1058">
        <f t="shared" si="16"/>
        <v>3.75</v>
      </c>
    </row>
    <row r="1059" spans="7:21" x14ac:dyDescent="0.2">
      <c r="G1059" s="9" t="s">
        <v>1967</v>
      </c>
      <c r="H1059">
        <v>227</v>
      </c>
      <c r="M1059" s="1" t="s">
        <v>1967</v>
      </c>
      <c r="N1059" s="1">
        <v>127</v>
      </c>
      <c r="P1059" s="1" t="s">
        <v>1967</v>
      </c>
      <c r="Q1059" s="42">
        <v>227</v>
      </c>
      <c r="R1059" s="42">
        <v>127</v>
      </c>
      <c r="S1059" s="42">
        <v>0.12</v>
      </c>
      <c r="T1059" s="10">
        <f>IFERROR(ROUND((Q1059/R1059),2),"NA")</f>
        <v>1.79</v>
      </c>
      <c r="U1059">
        <f t="shared" si="16"/>
        <v>27.24</v>
      </c>
    </row>
    <row r="1060" spans="7:21" x14ac:dyDescent="0.2">
      <c r="G1060" s="9" t="s">
        <v>1736</v>
      </c>
      <c r="H1060">
        <v>250</v>
      </c>
      <c r="M1060" s="1" t="s">
        <v>1736</v>
      </c>
      <c r="N1060" s="1">
        <v>1226</v>
      </c>
      <c r="P1060" s="1" t="s">
        <v>1736</v>
      </c>
      <c r="Q1060" s="42">
        <v>250</v>
      </c>
      <c r="R1060" s="42">
        <v>1226</v>
      </c>
      <c r="S1060" s="42">
        <v>0.09</v>
      </c>
      <c r="T1060" s="10">
        <f>IFERROR(ROUND((Q1060/R1060),2),"NA")</f>
        <v>0.2</v>
      </c>
      <c r="U1060">
        <f t="shared" si="16"/>
        <v>22.5</v>
      </c>
    </row>
    <row r="1061" spans="7:21" x14ac:dyDescent="0.2">
      <c r="G1061" s="9" t="s">
        <v>1476</v>
      </c>
      <c r="H1061">
        <v>0</v>
      </c>
      <c r="M1061" s="1" t="s">
        <v>1476</v>
      </c>
      <c r="N1061" s="1">
        <v>43</v>
      </c>
      <c r="P1061" s="1" t="s">
        <v>1476</v>
      </c>
      <c r="Q1061" s="42">
        <v>0</v>
      </c>
      <c r="R1061" s="42">
        <v>43</v>
      </c>
      <c r="S1061" s="42">
        <v>0</v>
      </c>
      <c r="T1061" s="10">
        <f>IFERROR(ROUND((Q1061/R1061),2),"NA")</f>
        <v>0</v>
      </c>
      <c r="U1061">
        <f t="shared" si="16"/>
        <v>0</v>
      </c>
    </row>
    <row r="1062" spans="7:21" x14ac:dyDescent="0.2">
      <c r="G1062" s="9" t="s">
        <v>1359</v>
      </c>
      <c r="H1062">
        <v>100</v>
      </c>
      <c r="M1062" s="1" t="s">
        <v>1359</v>
      </c>
      <c r="N1062" s="1">
        <v>4200</v>
      </c>
      <c r="P1062" s="1" t="s">
        <v>1359</v>
      </c>
      <c r="Q1062" s="42">
        <v>100</v>
      </c>
      <c r="R1062" s="42">
        <v>4200</v>
      </c>
      <c r="S1062" s="42">
        <v>0</v>
      </c>
      <c r="T1062" s="10">
        <f>IFERROR(ROUND((Q1062/R1062),2),"NA")</f>
        <v>0.02</v>
      </c>
      <c r="U1062">
        <f t="shared" si="16"/>
        <v>0</v>
      </c>
    </row>
    <row r="1063" spans="7:21" x14ac:dyDescent="0.2">
      <c r="G1063" s="9" t="s">
        <v>1980</v>
      </c>
      <c r="H1063">
        <v>0</v>
      </c>
      <c r="M1063" s="1" t="s">
        <v>1980</v>
      </c>
      <c r="N1063" s="1">
        <v>0</v>
      </c>
      <c r="P1063" s="1" t="s">
        <v>1980</v>
      </c>
      <c r="Q1063" s="42">
        <v>0</v>
      </c>
      <c r="R1063" s="42">
        <v>0</v>
      </c>
      <c r="S1063" s="42">
        <v>0</v>
      </c>
      <c r="T1063" s="10" t="str">
        <f>IFERROR(ROUND((Q1063/R1063),2),"NA")</f>
        <v>NA</v>
      </c>
      <c r="U1063">
        <f t="shared" si="16"/>
        <v>0</v>
      </c>
    </row>
    <row r="1064" spans="7:21" x14ac:dyDescent="0.2">
      <c r="G1064" s="9" t="s">
        <v>2507</v>
      </c>
      <c r="H1064">
        <v>45</v>
      </c>
      <c r="M1064" s="1" t="s">
        <v>2507</v>
      </c>
      <c r="N1064" s="1">
        <v>61</v>
      </c>
      <c r="P1064" s="1" t="s">
        <v>2507</v>
      </c>
      <c r="Q1064" s="42">
        <v>45</v>
      </c>
      <c r="R1064" s="42">
        <v>61</v>
      </c>
      <c r="S1064" s="42">
        <v>1</v>
      </c>
      <c r="T1064" s="10">
        <f>IFERROR(ROUND((Q1064/R1064),2),"NA")</f>
        <v>0.74</v>
      </c>
      <c r="U1064">
        <f t="shared" si="16"/>
        <v>45</v>
      </c>
    </row>
    <row r="1065" spans="7:21" x14ac:dyDescent="0.2">
      <c r="G1065" s="9" t="s">
        <v>2540</v>
      </c>
      <c r="H1065">
        <v>0</v>
      </c>
      <c r="M1065" s="1" t="s">
        <v>2540</v>
      </c>
      <c r="N1065" s="1">
        <v>13.4</v>
      </c>
      <c r="P1065" s="1" t="s">
        <v>2540</v>
      </c>
      <c r="Q1065" s="42">
        <v>0</v>
      </c>
      <c r="R1065" s="42">
        <v>13.4</v>
      </c>
      <c r="S1065" s="42">
        <v>1</v>
      </c>
      <c r="T1065" s="10">
        <f>IFERROR(ROUND((Q1065/R1065),2),"NA")</f>
        <v>0</v>
      </c>
      <c r="U1065">
        <f t="shared" si="16"/>
        <v>0</v>
      </c>
    </row>
    <row r="1066" spans="7:21" x14ac:dyDescent="0.2">
      <c r="G1066" s="9" t="s">
        <v>613</v>
      </c>
      <c r="H1066">
        <v>210</v>
      </c>
      <c r="M1066" s="1" t="s">
        <v>613</v>
      </c>
      <c r="N1066" s="1">
        <v>459</v>
      </c>
      <c r="P1066" s="1" t="s">
        <v>613</v>
      </c>
      <c r="Q1066" s="42">
        <v>210</v>
      </c>
      <c r="R1066" s="42">
        <v>459</v>
      </c>
      <c r="S1066" s="42">
        <v>0.12</v>
      </c>
      <c r="T1066" s="10">
        <f>IFERROR(ROUND((Q1066/R1066),2),"NA")</f>
        <v>0.46</v>
      </c>
      <c r="U1066">
        <f t="shared" si="16"/>
        <v>25.2</v>
      </c>
    </row>
    <row r="1067" spans="7:21" x14ac:dyDescent="0.2">
      <c r="G1067" s="9" t="s">
        <v>384</v>
      </c>
      <c r="H1067">
        <v>500</v>
      </c>
      <c r="M1067" s="1" t="s">
        <v>384</v>
      </c>
      <c r="N1067" s="1">
        <v>200</v>
      </c>
      <c r="P1067" s="1" t="s">
        <v>384</v>
      </c>
      <c r="Q1067" s="42">
        <v>500</v>
      </c>
      <c r="R1067" s="42">
        <v>200</v>
      </c>
      <c r="S1067" s="42">
        <v>7.0000000000000007E-2</v>
      </c>
      <c r="T1067" s="10">
        <f>IFERROR(ROUND((Q1067/R1067),2),"NA")</f>
        <v>2.5</v>
      </c>
      <c r="U1067">
        <f t="shared" si="16"/>
        <v>35</v>
      </c>
    </row>
    <row r="1068" spans="7:21" x14ac:dyDescent="0.2">
      <c r="G1068" s="9" t="s">
        <v>2501</v>
      </c>
      <c r="H1068">
        <v>47</v>
      </c>
      <c r="M1068" s="1" t="s">
        <v>2501</v>
      </c>
      <c r="N1068" s="1">
        <v>37</v>
      </c>
      <c r="P1068" s="1" t="s">
        <v>2501</v>
      </c>
      <c r="Q1068" s="42">
        <v>47</v>
      </c>
      <c r="R1068" s="42">
        <v>37</v>
      </c>
      <c r="S1068" s="42">
        <v>0</v>
      </c>
      <c r="T1068" s="10">
        <f>IFERROR(ROUND((Q1068/R1068),2),"NA")</f>
        <v>1.27</v>
      </c>
      <c r="U1068">
        <f t="shared" si="16"/>
        <v>0</v>
      </c>
    </row>
    <row r="1069" spans="7:21" x14ac:dyDescent="0.2">
      <c r="G1069" s="9" t="s">
        <v>1215</v>
      </c>
      <c r="H1069">
        <v>200</v>
      </c>
      <c r="M1069" s="1" t="s">
        <v>1215</v>
      </c>
      <c r="N1069" s="1">
        <v>683</v>
      </c>
      <c r="P1069" s="1" t="s">
        <v>1215</v>
      </c>
      <c r="Q1069" s="42">
        <v>200</v>
      </c>
      <c r="R1069" s="42">
        <v>683</v>
      </c>
      <c r="S1069" s="42">
        <v>0</v>
      </c>
      <c r="T1069" s="10">
        <f>IFERROR(ROUND((Q1069/R1069),2),"NA")</f>
        <v>0.28999999999999998</v>
      </c>
      <c r="U1069">
        <f t="shared" si="16"/>
        <v>0</v>
      </c>
    </row>
    <row r="1070" spans="7:21" x14ac:dyDescent="0.2">
      <c r="G1070" s="9" t="s">
        <v>761</v>
      </c>
      <c r="H1070">
        <v>45</v>
      </c>
      <c r="M1070" s="1" t="s">
        <v>761</v>
      </c>
      <c r="N1070" s="1">
        <v>217</v>
      </c>
      <c r="P1070" s="1" t="s">
        <v>761</v>
      </c>
      <c r="Q1070" s="42">
        <v>45</v>
      </c>
      <c r="R1070" s="42">
        <v>217</v>
      </c>
      <c r="S1070" s="42">
        <v>0.1</v>
      </c>
      <c r="T1070" s="10">
        <f>IFERROR(ROUND((Q1070/R1070),2),"NA")</f>
        <v>0.21</v>
      </c>
      <c r="U1070">
        <f t="shared" si="16"/>
        <v>4.5</v>
      </c>
    </row>
    <row r="1071" spans="7:21" x14ac:dyDescent="0.2">
      <c r="G1071" s="9" t="s">
        <v>452</v>
      </c>
      <c r="H1071">
        <v>10</v>
      </c>
      <c r="M1071" s="1" t="s">
        <v>452</v>
      </c>
      <c r="N1071" s="1">
        <v>230</v>
      </c>
      <c r="P1071" s="1" t="s">
        <v>452</v>
      </c>
      <c r="Q1071" s="42">
        <v>10</v>
      </c>
      <c r="R1071" s="42">
        <v>230</v>
      </c>
      <c r="S1071" s="42">
        <v>0.04</v>
      </c>
      <c r="T1071" s="10">
        <f>IFERROR(ROUND((Q1071/R1071),2),"NA")</f>
        <v>0.04</v>
      </c>
      <c r="U1071">
        <f t="shared" si="16"/>
        <v>0.4</v>
      </c>
    </row>
    <row r="1072" spans="7:21" x14ac:dyDescent="0.2">
      <c r="G1072" s="9" t="s">
        <v>2535</v>
      </c>
      <c r="H1072">
        <v>0</v>
      </c>
      <c r="M1072" s="1" t="s">
        <v>2535</v>
      </c>
      <c r="N1072" s="1">
        <v>1.54</v>
      </c>
      <c r="P1072" s="1" t="s">
        <v>2535</v>
      </c>
      <c r="Q1072" s="42">
        <v>0</v>
      </c>
      <c r="R1072" s="42">
        <v>1.54</v>
      </c>
      <c r="S1072" s="42">
        <v>0</v>
      </c>
      <c r="T1072" s="10">
        <f>IFERROR(ROUND((Q1072/R1072),2),"NA")</f>
        <v>0</v>
      </c>
      <c r="U1072">
        <f t="shared" si="16"/>
        <v>0</v>
      </c>
    </row>
    <row r="1073" spans="7:21" x14ac:dyDescent="0.2">
      <c r="G1073" s="9" t="s">
        <v>2464</v>
      </c>
      <c r="H1073">
        <v>10</v>
      </c>
      <c r="M1073" s="1" t="s">
        <v>2464</v>
      </c>
      <c r="N1073" s="1">
        <v>4</v>
      </c>
      <c r="P1073" s="1" t="s">
        <v>2464</v>
      </c>
      <c r="Q1073" s="42">
        <v>10</v>
      </c>
      <c r="R1073" s="42">
        <v>4</v>
      </c>
      <c r="S1073" s="42">
        <v>0</v>
      </c>
      <c r="T1073" s="10">
        <f>IFERROR(ROUND((Q1073/R1073),2),"NA")</f>
        <v>2.5</v>
      </c>
      <c r="U1073">
        <f t="shared" si="16"/>
        <v>0</v>
      </c>
    </row>
    <row r="1074" spans="7:21" x14ac:dyDescent="0.2">
      <c r="G1074" s="9" t="s">
        <v>2837</v>
      </c>
      <c r="H1074">
        <v>26</v>
      </c>
      <c r="M1074" s="1" t="s">
        <v>2837</v>
      </c>
      <c r="N1074" s="1">
        <v>40</v>
      </c>
      <c r="P1074" s="1" t="s">
        <v>2837</v>
      </c>
      <c r="Q1074" s="42">
        <v>26</v>
      </c>
      <c r="R1074" s="42">
        <v>40</v>
      </c>
      <c r="S1074" s="42">
        <v>0</v>
      </c>
      <c r="T1074" s="10">
        <f>IFERROR(ROUND((Q1074/R1074),2),"NA")</f>
        <v>0.65</v>
      </c>
      <c r="U1074">
        <f t="shared" si="16"/>
        <v>0</v>
      </c>
    </row>
    <row r="1075" spans="7:21" x14ac:dyDescent="0.2">
      <c r="G1075" s="9" t="s">
        <v>2359</v>
      </c>
      <c r="H1075">
        <v>30</v>
      </c>
      <c r="M1075" s="1" t="s">
        <v>2359</v>
      </c>
      <c r="N1075" s="1">
        <v>6</v>
      </c>
      <c r="P1075" s="1" t="s">
        <v>2359</v>
      </c>
      <c r="Q1075" s="42">
        <v>30</v>
      </c>
      <c r="R1075" s="42">
        <v>6</v>
      </c>
      <c r="S1075" s="42">
        <v>0</v>
      </c>
      <c r="T1075" s="10">
        <f>IFERROR(ROUND((Q1075/R1075),2),"NA")</f>
        <v>5</v>
      </c>
      <c r="U1075">
        <f t="shared" si="16"/>
        <v>0</v>
      </c>
    </row>
    <row r="1076" spans="7:21" x14ac:dyDescent="0.2">
      <c r="G1076" s="9" t="s">
        <v>1644</v>
      </c>
      <c r="H1076">
        <v>575</v>
      </c>
      <c r="M1076" s="1" t="s">
        <v>1644</v>
      </c>
      <c r="N1076" s="1">
        <v>4</v>
      </c>
      <c r="P1076" s="1" t="s">
        <v>1644</v>
      </c>
      <c r="Q1076" s="42">
        <v>575</v>
      </c>
      <c r="R1076" s="42">
        <v>4</v>
      </c>
      <c r="S1076" s="42">
        <v>0.25</v>
      </c>
      <c r="T1076" s="10">
        <f>IFERROR(ROUND((Q1076/R1076),2),"NA")</f>
        <v>143.75</v>
      </c>
      <c r="U1076">
        <f t="shared" si="16"/>
        <v>143.75</v>
      </c>
    </row>
    <row r="1077" spans="7:21" x14ac:dyDescent="0.2">
      <c r="G1077" s="9" t="s">
        <v>1262</v>
      </c>
      <c r="H1077">
        <v>0</v>
      </c>
      <c r="M1077" s="1" t="s">
        <v>1262</v>
      </c>
      <c r="N1077" s="1">
        <v>57</v>
      </c>
      <c r="P1077" s="1" t="s">
        <v>1262</v>
      </c>
      <c r="Q1077" s="42">
        <v>0</v>
      </c>
      <c r="R1077" s="42">
        <v>57</v>
      </c>
      <c r="S1077" s="42">
        <v>0.1</v>
      </c>
      <c r="T1077" s="10">
        <f>IFERROR(ROUND((Q1077/R1077),2),"NA")</f>
        <v>0</v>
      </c>
      <c r="U1077">
        <f t="shared" si="16"/>
        <v>0</v>
      </c>
    </row>
    <row r="1078" spans="7:21" x14ac:dyDescent="0.2">
      <c r="G1078" s="9" t="s">
        <v>1535</v>
      </c>
      <c r="H1078">
        <v>30</v>
      </c>
      <c r="M1078" s="1" t="s">
        <v>1535</v>
      </c>
      <c r="N1078" s="1">
        <v>538</v>
      </c>
      <c r="P1078" s="1" t="s">
        <v>1535</v>
      </c>
      <c r="Q1078" s="42">
        <v>30</v>
      </c>
      <c r="R1078" s="42">
        <v>538</v>
      </c>
      <c r="S1078" s="42">
        <v>0</v>
      </c>
      <c r="T1078" s="10">
        <f>IFERROR(ROUND((Q1078/R1078),2),"NA")</f>
        <v>0.06</v>
      </c>
      <c r="U1078">
        <f t="shared" si="16"/>
        <v>0</v>
      </c>
    </row>
    <row r="1079" spans="7:21" x14ac:dyDescent="0.2">
      <c r="G1079" s="9" t="s">
        <v>1209</v>
      </c>
      <c r="H1079">
        <v>1000</v>
      </c>
      <c r="M1079" s="1" t="s">
        <v>1209</v>
      </c>
      <c r="N1079" s="1">
        <v>0</v>
      </c>
      <c r="P1079" s="1" t="s">
        <v>1209</v>
      </c>
      <c r="Q1079" s="42">
        <v>1000</v>
      </c>
      <c r="R1079" s="42">
        <v>0</v>
      </c>
      <c r="S1079" s="42">
        <v>0.2</v>
      </c>
      <c r="T1079" s="10" t="str">
        <f>IFERROR(ROUND((Q1079/R1079),2),"NA")</f>
        <v>NA</v>
      </c>
      <c r="U1079">
        <f t="shared" si="16"/>
        <v>200</v>
      </c>
    </row>
    <row r="1080" spans="7:21" x14ac:dyDescent="0.2">
      <c r="G1080" s="9" t="s">
        <v>784</v>
      </c>
      <c r="H1080">
        <v>0</v>
      </c>
      <c r="M1080" s="1" t="s">
        <v>784</v>
      </c>
      <c r="N1080" s="1">
        <v>33</v>
      </c>
      <c r="P1080" s="1" t="s">
        <v>784</v>
      </c>
      <c r="Q1080" s="42">
        <v>0</v>
      </c>
      <c r="R1080" s="42">
        <v>33</v>
      </c>
      <c r="S1080" s="42">
        <v>0.3</v>
      </c>
      <c r="T1080" s="10">
        <f>IFERROR(ROUND((Q1080/R1080),2),"NA")</f>
        <v>0</v>
      </c>
      <c r="U1080">
        <f t="shared" si="16"/>
        <v>0</v>
      </c>
    </row>
    <row r="1081" spans="7:21" x14ac:dyDescent="0.2">
      <c r="G1081" s="9" t="s">
        <v>482</v>
      </c>
      <c r="H1081">
        <v>0</v>
      </c>
      <c r="M1081" s="1" t="s">
        <v>482</v>
      </c>
      <c r="N1081" s="1">
        <v>368</v>
      </c>
      <c r="P1081" s="1" t="s">
        <v>482</v>
      </c>
      <c r="Q1081" s="42">
        <v>0</v>
      </c>
      <c r="R1081" s="42">
        <v>368</v>
      </c>
      <c r="S1081" s="42">
        <v>1</v>
      </c>
      <c r="T1081" s="10">
        <f>IFERROR(ROUND((Q1081/R1081),2),"NA")</f>
        <v>0</v>
      </c>
      <c r="U1081">
        <f t="shared" si="16"/>
        <v>0</v>
      </c>
    </row>
    <row r="1082" spans="7:21" x14ac:dyDescent="0.2">
      <c r="G1082" s="9" t="s">
        <v>2480</v>
      </c>
      <c r="H1082">
        <v>100</v>
      </c>
      <c r="M1082" s="1" t="s">
        <v>2480</v>
      </c>
      <c r="N1082" s="1">
        <v>289</v>
      </c>
      <c r="P1082" s="1" t="s">
        <v>2480</v>
      </c>
      <c r="Q1082" s="42">
        <v>100</v>
      </c>
      <c r="R1082" s="42">
        <v>289</v>
      </c>
      <c r="S1082" s="42">
        <v>0.25</v>
      </c>
      <c r="T1082" s="10">
        <f>IFERROR(ROUND((Q1082/R1082),2),"NA")</f>
        <v>0.35</v>
      </c>
      <c r="U1082">
        <f t="shared" si="16"/>
        <v>25</v>
      </c>
    </row>
    <row r="1083" spans="7:21" x14ac:dyDescent="0.2">
      <c r="G1083" s="9" t="s">
        <v>439</v>
      </c>
      <c r="H1083">
        <v>330</v>
      </c>
      <c r="M1083" s="1" t="s">
        <v>439</v>
      </c>
      <c r="N1083" s="1">
        <v>0</v>
      </c>
      <c r="P1083" s="1" t="s">
        <v>439</v>
      </c>
      <c r="Q1083" s="42">
        <v>330</v>
      </c>
      <c r="R1083" s="42">
        <v>0</v>
      </c>
      <c r="S1083" s="42">
        <v>0</v>
      </c>
      <c r="T1083" s="10" t="str">
        <f>IFERROR(ROUND((Q1083/R1083),2),"NA")</f>
        <v>NA</v>
      </c>
      <c r="U1083">
        <f t="shared" si="16"/>
        <v>0</v>
      </c>
    </row>
    <row r="1084" spans="7:21" x14ac:dyDescent="0.2">
      <c r="G1084" s="9" t="s">
        <v>1538</v>
      </c>
      <c r="H1084">
        <v>0</v>
      </c>
      <c r="M1084" s="1" t="s">
        <v>1538</v>
      </c>
      <c r="N1084" s="1">
        <v>21</v>
      </c>
      <c r="P1084" s="1" t="s">
        <v>1538</v>
      </c>
      <c r="Q1084" s="42">
        <v>0</v>
      </c>
      <c r="R1084" s="42">
        <v>21</v>
      </c>
      <c r="S1084" s="42">
        <v>0</v>
      </c>
      <c r="T1084" s="10">
        <f>IFERROR(ROUND((Q1084/R1084),2),"NA")</f>
        <v>0</v>
      </c>
      <c r="U1084">
        <f t="shared" si="16"/>
        <v>0</v>
      </c>
    </row>
    <row r="1085" spans="7:21" x14ac:dyDescent="0.2">
      <c r="G1085" s="9" t="s">
        <v>233</v>
      </c>
      <c r="H1085">
        <v>3900</v>
      </c>
      <c r="M1085" s="1" t="s">
        <v>233</v>
      </c>
      <c r="N1085" s="1">
        <v>0</v>
      </c>
      <c r="P1085" s="1" t="s">
        <v>233</v>
      </c>
      <c r="Q1085" s="42">
        <v>3900</v>
      </c>
      <c r="R1085" s="42">
        <v>0</v>
      </c>
      <c r="S1085" s="42">
        <v>0.02</v>
      </c>
      <c r="T1085" s="10" t="str">
        <f>IFERROR(ROUND((Q1085/R1085),2),"NA")</f>
        <v>NA</v>
      </c>
      <c r="U1085">
        <f t="shared" si="16"/>
        <v>78</v>
      </c>
    </row>
    <row r="1086" spans="7:21" x14ac:dyDescent="0.2">
      <c r="G1086" s="9" t="s">
        <v>2796</v>
      </c>
      <c r="H1086">
        <v>87</v>
      </c>
      <c r="M1086" s="1" t="s">
        <v>2796</v>
      </c>
      <c r="N1086" s="1">
        <v>85</v>
      </c>
      <c r="P1086" s="1" t="s">
        <v>2796</v>
      </c>
      <c r="Q1086" s="42">
        <v>87</v>
      </c>
      <c r="R1086" s="42">
        <v>85</v>
      </c>
      <c r="S1086" s="42">
        <v>0.15</v>
      </c>
      <c r="T1086" s="10">
        <f>IFERROR(ROUND((Q1086/R1086),2),"NA")</f>
        <v>1.02</v>
      </c>
      <c r="U1086">
        <f t="shared" si="16"/>
        <v>13.049999999999999</v>
      </c>
    </row>
    <row r="1087" spans="7:21" x14ac:dyDescent="0.2">
      <c r="G1087" s="9" t="s">
        <v>1229</v>
      </c>
      <c r="H1087">
        <v>23</v>
      </c>
      <c r="M1087" s="1" t="s">
        <v>1229</v>
      </c>
      <c r="N1087" s="1">
        <v>59</v>
      </c>
      <c r="P1087" s="1" t="s">
        <v>1229</v>
      </c>
      <c r="Q1087" s="42">
        <v>23</v>
      </c>
      <c r="R1087" s="42">
        <v>59</v>
      </c>
      <c r="S1087" s="42">
        <v>0.28000000000000003</v>
      </c>
      <c r="T1087" s="10">
        <f>IFERROR(ROUND((Q1087/R1087),2),"NA")</f>
        <v>0.39</v>
      </c>
      <c r="U1087">
        <f t="shared" si="16"/>
        <v>6.44</v>
      </c>
    </row>
    <row r="1088" spans="7:21" x14ac:dyDescent="0.2">
      <c r="G1088" s="9" t="s">
        <v>46</v>
      </c>
      <c r="H1088">
        <v>33</v>
      </c>
      <c r="M1088" s="1" t="s">
        <v>46</v>
      </c>
      <c r="N1088" s="1">
        <v>0</v>
      </c>
      <c r="P1088" s="1" t="s">
        <v>46</v>
      </c>
      <c r="Q1088" s="42">
        <v>33</v>
      </c>
      <c r="R1088" s="42">
        <v>0</v>
      </c>
      <c r="S1088" s="42">
        <v>7.0000000000000007E-2</v>
      </c>
      <c r="T1088" s="10" t="str">
        <f>IFERROR(ROUND((Q1088/R1088),2),"NA")</f>
        <v>NA</v>
      </c>
      <c r="U1088">
        <f t="shared" si="16"/>
        <v>2.31</v>
      </c>
    </row>
    <row r="1089" spans="7:21" x14ac:dyDescent="0.2">
      <c r="G1089" s="9" t="s">
        <v>1539</v>
      </c>
      <c r="H1089">
        <v>0</v>
      </c>
      <c r="M1089" s="1" t="s">
        <v>1539</v>
      </c>
      <c r="N1089" s="1">
        <v>521</v>
      </c>
      <c r="P1089" s="1" t="s">
        <v>1539</v>
      </c>
      <c r="Q1089" s="42">
        <v>0</v>
      </c>
      <c r="R1089" s="42">
        <v>521</v>
      </c>
      <c r="S1089" s="42">
        <v>0</v>
      </c>
      <c r="T1089" s="10">
        <f>IFERROR(ROUND((Q1089/R1089),2),"NA")</f>
        <v>0</v>
      </c>
      <c r="U1089">
        <f t="shared" si="16"/>
        <v>0</v>
      </c>
    </row>
    <row r="1090" spans="7:21" x14ac:dyDescent="0.2">
      <c r="G1090" s="9" t="s">
        <v>1513</v>
      </c>
      <c r="H1090">
        <v>0</v>
      </c>
      <c r="M1090" s="1" t="s">
        <v>1513</v>
      </c>
      <c r="N1090" s="1">
        <v>451</v>
      </c>
      <c r="P1090" s="1" t="s">
        <v>1513</v>
      </c>
      <c r="Q1090" s="42">
        <v>0</v>
      </c>
      <c r="R1090" s="42">
        <v>451</v>
      </c>
      <c r="S1090" s="42">
        <v>0</v>
      </c>
      <c r="T1090" s="10">
        <f>IFERROR(ROUND((Q1090/R1090),2),"NA")</f>
        <v>0</v>
      </c>
      <c r="U1090">
        <f t="shared" si="16"/>
        <v>0</v>
      </c>
    </row>
    <row r="1091" spans="7:21" x14ac:dyDescent="0.2">
      <c r="G1091" s="9" t="s">
        <v>2383</v>
      </c>
      <c r="H1091">
        <v>130</v>
      </c>
      <c r="M1091" s="1" t="s">
        <v>2383</v>
      </c>
      <c r="N1091" s="1">
        <v>275</v>
      </c>
      <c r="P1091" s="1" t="s">
        <v>2383</v>
      </c>
      <c r="Q1091" s="42">
        <v>130</v>
      </c>
      <c r="R1091" s="42">
        <v>275</v>
      </c>
      <c r="S1091" s="42">
        <v>0</v>
      </c>
      <c r="T1091" s="10">
        <f>IFERROR(ROUND((Q1091/R1091),2),"NA")</f>
        <v>0.47</v>
      </c>
      <c r="U1091">
        <f t="shared" si="16"/>
        <v>0</v>
      </c>
    </row>
    <row r="1092" spans="7:21" x14ac:dyDescent="0.2">
      <c r="G1092" s="9" t="s">
        <v>206</v>
      </c>
      <c r="H1092">
        <v>20</v>
      </c>
      <c r="M1092" s="1" t="s">
        <v>206</v>
      </c>
      <c r="N1092" s="1">
        <v>52</v>
      </c>
      <c r="P1092" s="1" t="s">
        <v>206</v>
      </c>
      <c r="Q1092" s="42">
        <v>20</v>
      </c>
      <c r="R1092" s="42">
        <v>52</v>
      </c>
      <c r="S1092" s="42">
        <v>0.44</v>
      </c>
      <c r="T1092" s="10">
        <f>IFERROR(ROUND((Q1092/R1092),2),"NA")</f>
        <v>0.38</v>
      </c>
      <c r="U1092">
        <f t="shared" si="16"/>
        <v>8.8000000000000007</v>
      </c>
    </row>
    <row r="1093" spans="7:21" x14ac:dyDescent="0.2">
      <c r="G1093" s="9" t="s">
        <v>2452</v>
      </c>
      <c r="H1093">
        <v>40</v>
      </c>
      <c r="M1093" s="1" t="s">
        <v>2452</v>
      </c>
      <c r="N1093" s="1">
        <v>7</v>
      </c>
      <c r="P1093" s="1" t="s">
        <v>2452</v>
      </c>
      <c r="Q1093" s="42">
        <v>40</v>
      </c>
      <c r="R1093" s="42">
        <v>7</v>
      </c>
      <c r="S1093" s="42">
        <v>0</v>
      </c>
      <c r="T1093" s="10">
        <f>IFERROR(ROUND((Q1093/R1093),2),"NA")</f>
        <v>5.71</v>
      </c>
      <c r="U1093">
        <f t="shared" ref="U1093:U1156" si="17">Q1093*S1093</f>
        <v>0</v>
      </c>
    </row>
    <row r="1094" spans="7:21" x14ac:dyDescent="0.2">
      <c r="G1094" s="9" t="s">
        <v>1873</v>
      </c>
      <c r="H1094">
        <v>300</v>
      </c>
      <c r="M1094" s="1" t="s">
        <v>1873</v>
      </c>
      <c r="N1094" s="1">
        <v>600</v>
      </c>
      <c r="P1094" s="1" t="s">
        <v>1873</v>
      </c>
      <c r="Q1094" s="42">
        <v>300</v>
      </c>
      <c r="R1094" s="42">
        <v>600</v>
      </c>
      <c r="S1094" s="42">
        <v>0.2</v>
      </c>
      <c r="T1094" s="10">
        <f>IFERROR(ROUND((Q1094/R1094),2),"NA")</f>
        <v>0.5</v>
      </c>
      <c r="U1094">
        <f t="shared" si="17"/>
        <v>60</v>
      </c>
    </row>
    <row r="1095" spans="7:21" x14ac:dyDescent="0.2">
      <c r="G1095" s="9" t="s">
        <v>2810</v>
      </c>
      <c r="H1095">
        <v>50</v>
      </c>
      <c r="M1095" s="1" t="s">
        <v>2810</v>
      </c>
      <c r="N1095" s="1">
        <v>348</v>
      </c>
      <c r="P1095" s="1" t="s">
        <v>2810</v>
      </c>
      <c r="Q1095" s="42">
        <v>50</v>
      </c>
      <c r="R1095" s="42">
        <v>348</v>
      </c>
      <c r="S1095" s="42">
        <v>0.12</v>
      </c>
      <c r="T1095" s="10">
        <f>IFERROR(ROUND((Q1095/R1095),2),"NA")</f>
        <v>0.14000000000000001</v>
      </c>
      <c r="U1095">
        <f t="shared" si="17"/>
        <v>6</v>
      </c>
    </row>
    <row r="1096" spans="7:21" x14ac:dyDescent="0.2">
      <c r="G1096" s="9" t="s">
        <v>1317</v>
      </c>
      <c r="H1096">
        <v>355</v>
      </c>
      <c r="M1096" s="1" t="s">
        <v>1317</v>
      </c>
      <c r="N1096" s="1">
        <v>2100</v>
      </c>
      <c r="P1096" s="1" t="s">
        <v>1317</v>
      </c>
      <c r="Q1096" s="42">
        <v>355</v>
      </c>
      <c r="R1096" s="42">
        <v>2100</v>
      </c>
      <c r="S1096" s="42">
        <v>0.06</v>
      </c>
      <c r="T1096" s="10">
        <f>IFERROR(ROUND((Q1096/R1096),2),"NA")</f>
        <v>0.17</v>
      </c>
      <c r="U1096">
        <f t="shared" si="17"/>
        <v>21.3</v>
      </c>
    </row>
    <row r="1097" spans="7:21" x14ac:dyDescent="0.2">
      <c r="G1097" s="9" t="s">
        <v>2521</v>
      </c>
      <c r="H1097">
        <v>0</v>
      </c>
      <c r="M1097" s="1" t="s">
        <v>2521</v>
      </c>
      <c r="N1097" s="1">
        <v>67</v>
      </c>
      <c r="P1097" s="1" t="s">
        <v>2521</v>
      </c>
      <c r="Q1097" s="42">
        <v>0</v>
      </c>
      <c r="R1097" s="42">
        <v>67</v>
      </c>
      <c r="S1097" s="42">
        <v>0</v>
      </c>
      <c r="T1097" s="10">
        <f>IFERROR(ROUND((Q1097/R1097),2),"NA")</f>
        <v>0</v>
      </c>
      <c r="U1097">
        <f t="shared" si="17"/>
        <v>0</v>
      </c>
    </row>
    <row r="1098" spans="7:21" x14ac:dyDescent="0.2">
      <c r="G1098" s="9" t="s">
        <v>2252</v>
      </c>
      <c r="H1098">
        <v>0</v>
      </c>
      <c r="M1098" s="1" t="s">
        <v>2252</v>
      </c>
      <c r="N1098" s="1">
        <v>9</v>
      </c>
      <c r="P1098" s="1" t="s">
        <v>2252</v>
      </c>
      <c r="Q1098" s="42">
        <v>0</v>
      </c>
      <c r="R1098" s="42">
        <v>9</v>
      </c>
      <c r="S1098" s="42">
        <v>0.5</v>
      </c>
      <c r="T1098" s="10">
        <f>IFERROR(ROUND((Q1098/R1098),2),"NA")</f>
        <v>0</v>
      </c>
      <c r="U1098">
        <f t="shared" si="17"/>
        <v>0</v>
      </c>
    </row>
    <row r="1099" spans="7:21" x14ac:dyDescent="0.2">
      <c r="G1099" s="9" t="s">
        <v>1592</v>
      </c>
      <c r="H1099">
        <v>0</v>
      </c>
      <c r="M1099" s="1" t="s">
        <v>1592</v>
      </c>
      <c r="N1099" s="1">
        <v>74</v>
      </c>
      <c r="P1099" s="1" t="s">
        <v>1592</v>
      </c>
      <c r="Q1099" s="42">
        <v>0</v>
      </c>
      <c r="R1099" s="42">
        <v>74</v>
      </c>
      <c r="S1099" s="42">
        <v>0.1</v>
      </c>
      <c r="T1099" s="10">
        <f>IFERROR(ROUND((Q1099/R1099),2),"NA")</f>
        <v>0</v>
      </c>
      <c r="U1099">
        <f t="shared" si="17"/>
        <v>0</v>
      </c>
    </row>
    <row r="1100" spans="7:21" x14ac:dyDescent="0.2">
      <c r="G1100" s="9" t="s">
        <v>2725</v>
      </c>
      <c r="H1100">
        <v>10</v>
      </c>
      <c r="M1100" s="1" t="s">
        <v>2725</v>
      </c>
      <c r="N1100" s="1">
        <v>52</v>
      </c>
      <c r="P1100" s="1" t="s">
        <v>2725</v>
      </c>
      <c r="Q1100" s="42">
        <v>10</v>
      </c>
      <c r="R1100" s="42">
        <v>52</v>
      </c>
      <c r="S1100" s="42">
        <v>0.14000000000000001</v>
      </c>
      <c r="T1100" s="10">
        <f>IFERROR(ROUND((Q1100/R1100),2),"NA")</f>
        <v>0.19</v>
      </c>
      <c r="U1100">
        <f t="shared" si="17"/>
        <v>1.4000000000000001</v>
      </c>
    </row>
    <row r="1101" spans="7:21" x14ac:dyDescent="0.2">
      <c r="G1101" s="9" t="s">
        <v>342</v>
      </c>
      <c r="H1101">
        <v>762</v>
      </c>
      <c r="M1101" s="1" t="s">
        <v>342</v>
      </c>
      <c r="N1101" s="1">
        <v>112</v>
      </c>
      <c r="P1101" s="1" t="s">
        <v>342</v>
      </c>
      <c r="Q1101" s="42">
        <v>762</v>
      </c>
      <c r="R1101" s="42">
        <v>112</v>
      </c>
      <c r="S1101" s="42">
        <v>0.05</v>
      </c>
      <c r="T1101" s="10">
        <f>IFERROR(ROUND((Q1101/R1101),2),"NA")</f>
        <v>6.8</v>
      </c>
      <c r="U1101">
        <f t="shared" si="17"/>
        <v>38.1</v>
      </c>
    </row>
    <row r="1102" spans="7:21" x14ac:dyDescent="0.2">
      <c r="G1102" s="9" t="s">
        <v>2090</v>
      </c>
      <c r="H1102">
        <v>38</v>
      </c>
      <c r="M1102" s="1" t="s">
        <v>2090</v>
      </c>
      <c r="N1102" s="1">
        <v>123</v>
      </c>
      <c r="P1102" s="1" t="s">
        <v>2090</v>
      </c>
      <c r="Q1102" s="42">
        <v>38</v>
      </c>
      <c r="R1102" s="42">
        <v>123</v>
      </c>
      <c r="S1102" s="42">
        <v>0.1</v>
      </c>
      <c r="T1102" s="10">
        <f>IFERROR(ROUND((Q1102/R1102),2),"NA")</f>
        <v>0.31</v>
      </c>
      <c r="U1102">
        <f t="shared" si="17"/>
        <v>3.8000000000000003</v>
      </c>
    </row>
    <row r="1103" spans="7:21" x14ac:dyDescent="0.2">
      <c r="G1103" s="9" t="s">
        <v>1348</v>
      </c>
      <c r="H1103">
        <v>20</v>
      </c>
      <c r="M1103" s="1" t="s">
        <v>1348</v>
      </c>
      <c r="N1103" s="1">
        <v>558</v>
      </c>
      <c r="P1103" s="1" t="s">
        <v>1348</v>
      </c>
      <c r="Q1103" s="42">
        <v>20</v>
      </c>
      <c r="R1103" s="42">
        <v>558</v>
      </c>
      <c r="S1103" s="42">
        <v>8.4999999999999992E-2</v>
      </c>
      <c r="T1103" s="10">
        <f>IFERROR(ROUND((Q1103/R1103),2),"NA")</f>
        <v>0.04</v>
      </c>
      <c r="U1103">
        <f t="shared" si="17"/>
        <v>1.6999999999999997</v>
      </c>
    </row>
    <row r="1104" spans="7:21" x14ac:dyDescent="0.2">
      <c r="G1104" s="9" t="s">
        <v>328</v>
      </c>
      <c r="H1104">
        <v>40</v>
      </c>
      <c r="M1104" s="1" t="s">
        <v>328</v>
      </c>
      <c r="N1104" s="1">
        <v>722</v>
      </c>
      <c r="P1104" s="1" t="s">
        <v>328</v>
      </c>
      <c r="Q1104" s="42">
        <v>40</v>
      </c>
      <c r="R1104" s="42">
        <v>722</v>
      </c>
      <c r="S1104" s="42">
        <v>6.5000000000000002E-2</v>
      </c>
      <c r="T1104" s="10">
        <f>IFERROR(ROUND((Q1104/R1104),2),"NA")</f>
        <v>0.06</v>
      </c>
      <c r="U1104">
        <f t="shared" si="17"/>
        <v>2.6</v>
      </c>
    </row>
    <row r="1105" spans="7:21" x14ac:dyDescent="0.2">
      <c r="G1105" s="9" t="s">
        <v>2410</v>
      </c>
      <c r="H1105">
        <v>30</v>
      </c>
      <c r="M1105" s="1" t="s">
        <v>2410</v>
      </c>
      <c r="N1105" s="1">
        <v>32</v>
      </c>
      <c r="P1105" s="1" t="s">
        <v>2410</v>
      </c>
      <c r="Q1105" s="42">
        <v>30</v>
      </c>
      <c r="R1105" s="42">
        <v>32</v>
      </c>
      <c r="S1105" s="42">
        <v>0</v>
      </c>
      <c r="T1105" s="10">
        <f>IFERROR(ROUND((Q1105/R1105),2),"NA")</f>
        <v>0.94</v>
      </c>
      <c r="U1105">
        <f t="shared" si="17"/>
        <v>0</v>
      </c>
    </row>
    <row r="1106" spans="7:21" x14ac:dyDescent="0.2">
      <c r="G1106" s="9" t="s">
        <v>2175</v>
      </c>
      <c r="H1106">
        <v>50</v>
      </c>
      <c r="M1106" s="1" t="s">
        <v>2175</v>
      </c>
      <c r="N1106" s="1">
        <v>458</v>
      </c>
      <c r="P1106" s="1" t="s">
        <v>2175</v>
      </c>
      <c r="Q1106" s="42">
        <v>50</v>
      </c>
      <c r="R1106" s="42">
        <v>458</v>
      </c>
      <c r="S1106" s="42">
        <v>0</v>
      </c>
      <c r="T1106" s="10">
        <f>IFERROR(ROUND((Q1106/R1106),2),"NA")</f>
        <v>0.11</v>
      </c>
      <c r="U1106">
        <f t="shared" si="17"/>
        <v>0</v>
      </c>
    </row>
    <row r="1107" spans="7:21" x14ac:dyDescent="0.2">
      <c r="G1107" s="9" t="s">
        <v>301</v>
      </c>
      <c r="H1107">
        <v>50</v>
      </c>
      <c r="M1107" s="1" t="s">
        <v>301</v>
      </c>
      <c r="N1107" s="1">
        <v>137</v>
      </c>
      <c r="P1107" s="1" t="s">
        <v>301</v>
      </c>
      <c r="Q1107" s="42">
        <v>50</v>
      </c>
      <c r="R1107" s="42">
        <v>137</v>
      </c>
      <c r="S1107" s="42">
        <v>0.1</v>
      </c>
      <c r="T1107" s="10">
        <f>IFERROR(ROUND((Q1107/R1107),2),"NA")</f>
        <v>0.36</v>
      </c>
      <c r="U1107">
        <f t="shared" si="17"/>
        <v>5</v>
      </c>
    </row>
    <row r="1108" spans="7:21" x14ac:dyDescent="0.2">
      <c r="G1108" s="9" t="s">
        <v>2002</v>
      </c>
      <c r="H1108">
        <v>50</v>
      </c>
      <c r="M1108" s="1" t="s">
        <v>2002</v>
      </c>
      <c r="N1108" s="1">
        <v>1900</v>
      </c>
      <c r="P1108" s="1" t="s">
        <v>2002</v>
      </c>
      <c r="Q1108" s="42">
        <v>50</v>
      </c>
      <c r="R1108" s="42">
        <v>1900</v>
      </c>
      <c r="S1108" s="42">
        <v>0.06</v>
      </c>
      <c r="T1108" s="10">
        <f>IFERROR(ROUND((Q1108/R1108),2),"NA")</f>
        <v>0.03</v>
      </c>
      <c r="U1108">
        <f t="shared" si="17"/>
        <v>3</v>
      </c>
    </row>
    <row r="1109" spans="7:21" x14ac:dyDescent="0.2">
      <c r="G1109" s="9" t="s">
        <v>1467</v>
      </c>
      <c r="H1109">
        <v>140</v>
      </c>
      <c r="M1109" s="1" t="s">
        <v>1467</v>
      </c>
      <c r="N1109" s="1">
        <v>1900</v>
      </c>
      <c r="P1109" s="1" t="s">
        <v>1467</v>
      </c>
      <c r="Q1109" s="42">
        <v>140</v>
      </c>
      <c r="R1109" s="42">
        <v>1900</v>
      </c>
      <c r="S1109" s="42">
        <v>0.2</v>
      </c>
      <c r="T1109" s="10">
        <f>IFERROR(ROUND((Q1109/R1109),2),"NA")</f>
        <v>7.0000000000000007E-2</v>
      </c>
      <c r="U1109">
        <f t="shared" si="17"/>
        <v>28</v>
      </c>
    </row>
    <row r="1110" spans="7:21" x14ac:dyDescent="0.2">
      <c r="G1110" s="9" t="s">
        <v>1694</v>
      </c>
      <c r="H1110">
        <v>0</v>
      </c>
      <c r="M1110" s="1" t="s">
        <v>1694</v>
      </c>
      <c r="N1110" s="1">
        <v>704</v>
      </c>
      <c r="P1110" s="1" t="s">
        <v>1694</v>
      </c>
      <c r="Q1110" s="42">
        <v>0</v>
      </c>
      <c r="R1110" s="42">
        <v>704</v>
      </c>
      <c r="S1110" s="42">
        <v>0.1</v>
      </c>
      <c r="T1110" s="10">
        <f>IFERROR(ROUND((Q1110/R1110),2),"NA")</f>
        <v>0</v>
      </c>
      <c r="U1110">
        <f t="shared" si="17"/>
        <v>0</v>
      </c>
    </row>
    <row r="1111" spans="7:21" x14ac:dyDescent="0.2">
      <c r="G1111" s="9" t="s">
        <v>2857</v>
      </c>
      <c r="H1111">
        <v>9</v>
      </c>
      <c r="M1111" s="1" t="s">
        <v>2857</v>
      </c>
      <c r="N1111" s="1">
        <v>15</v>
      </c>
      <c r="P1111" s="1" t="s">
        <v>2857</v>
      </c>
      <c r="Q1111" s="42">
        <v>9</v>
      </c>
      <c r="R1111" s="42">
        <v>15</v>
      </c>
      <c r="S1111" s="42">
        <v>0.4</v>
      </c>
      <c r="T1111" s="10">
        <f>IFERROR(ROUND((Q1111/R1111),2),"NA")</f>
        <v>0.6</v>
      </c>
      <c r="U1111">
        <f t="shared" si="17"/>
        <v>3.6</v>
      </c>
    </row>
    <row r="1112" spans="7:21" x14ac:dyDescent="0.2">
      <c r="G1112" s="9" t="s">
        <v>523</v>
      </c>
      <c r="H1112">
        <v>40</v>
      </c>
      <c r="M1112" s="1" t="s">
        <v>523</v>
      </c>
      <c r="N1112" s="1">
        <v>35</v>
      </c>
      <c r="P1112" s="1" t="s">
        <v>523</v>
      </c>
      <c r="Q1112" s="42">
        <v>40</v>
      </c>
      <c r="R1112" s="42">
        <v>35</v>
      </c>
      <c r="S1112" s="42">
        <v>0.2</v>
      </c>
      <c r="T1112" s="10">
        <f>IFERROR(ROUND((Q1112/R1112),2),"NA")</f>
        <v>1.1399999999999999</v>
      </c>
      <c r="U1112">
        <f t="shared" si="17"/>
        <v>8</v>
      </c>
    </row>
    <row r="1113" spans="7:21" x14ac:dyDescent="0.2">
      <c r="G1113" s="9" t="s">
        <v>850</v>
      </c>
      <c r="H1113">
        <v>0</v>
      </c>
      <c r="M1113" s="1" t="s">
        <v>850</v>
      </c>
      <c r="N1113" s="1">
        <v>17</v>
      </c>
      <c r="P1113" s="1" t="s">
        <v>850</v>
      </c>
      <c r="Q1113" s="42">
        <v>0</v>
      </c>
      <c r="R1113" s="42">
        <v>17</v>
      </c>
      <c r="S1113" s="42">
        <v>0.2</v>
      </c>
      <c r="T1113" s="10">
        <f>IFERROR(ROUND((Q1113/R1113),2),"NA")</f>
        <v>0</v>
      </c>
      <c r="U1113">
        <f t="shared" si="17"/>
        <v>0</v>
      </c>
    </row>
    <row r="1114" spans="7:21" x14ac:dyDescent="0.2">
      <c r="G1114" s="9" t="s">
        <v>2194</v>
      </c>
      <c r="H1114">
        <v>40</v>
      </c>
      <c r="M1114" s="1" t="s">
        <v>2194</v>
      </c>
      <c r="N1114" s="1">
        <v>41</v>
      </c>
      <c r="P1114" s="1" t="s">
        <v>2194</v>
      </c>
      <c r="Q1114" s="42">
        <v>40</v>
      </c>
      <c r="R1114" s="42">
        <v>41</v>
      </c>
      <c r="S1114" s="42">
        <v>0.17</v>
      </c>
      <c r="T1114" s="10">
        <f>IFERROR(ROUND((Q1114/R1114),2),"NA")</f>
        <v>0.98</v>
      </c>
      <c r="U1114">
        <f t="shared" si="17"/>
        <v>6.8000000000000007</v>
      </c>
    </row>
    <row r="1115" spans="7:21" x14ac:dyDescent="0.2">
      <c r="G1115" s="9" t="s">
        <v>90</v>
      </c>
      <c r="H1115">
        <v>3200</v>
      </c>
      <c r="M1115" s="1" t="s">
        <v>90</v>
      </c>
      <c r="N1115" s="1">
        <v>10</v>
      </c>
      <c r="P1115" s="1" t="s">
        <v>90</v>
      </c>
      <c r="Q1115" s="42">
        <v>3200</v>
      </c>
      <c r="R1115" s="42">
        <v>10</v>
      </c>
      <c r="S1115" s="42">
        <v>0.11499999999999999</v>
      </c>
      <c r="T1115" s="10">
        <f>IFERROR(ROUND((Q1115/R1115),2),"NA")</f>
        <v>320</v>
      </c>
      <c r="U1115">
        <f t="shared" si="17"/>
        <v>368</v>
      </c>
    </row>
    <row r="1116" spans="7:21" x14ac:dyDescent="0.2">
      <c r="G1116" s="9" t="s">
        <v>345</v>
      </c>
      <c r="H1116">
        <v>80</v>
      </c>
      <c r="M1116" s="1" t="s">
        <v>345</v>
      </c>
      <c r="N1116" s="1">
        <v>4800</v>
      </c>
      <c r="P1116" s="1" t="s">
        <v>345</v>
      </c>
      <c r="Q1116" s="42">
        <v>80</v>
      </c>
      <c r="R1116" s="42">
        <v>4800</v>
      </c>
      <c r="S1116" s="42">
        <v>0</v>
      </c>
      <c r="T1116" s="10">
        <f>IFERROR(ROUND((Q1116/R1116),2),"NA")</f>
        <v>0.02</v>
      </c>
      <c r="U1116">
        <f t="shared" si="17"/>
        <v>0</v>
      </c>
    </row>
    <row r="1117" spans="7:21" x14ac:dyDescent="0.2">
      <c r="G1117" s="9" t="s">
        <v>851</v>
      </c>
      <c r="H1117">
        <v>0</v>
      </c>
      <c r="M1117" s="1" t="s">
        <v>851</v>
      </c>
      <c r="N1117" s="1">
        <v>387</v>
      </c>
      <c r="P1117" s="1" t="s">
        <v>851</v>
      </c>
      <c r="Q1117" s="42">
        <v>0</v>
      </c>
      <c r="R1117" s="42">
        <v>387</v>
      </c>
      <c r="S1117" s="42">
        <v>0.1</v>
      </c>
      <c r="T1117" s="10">
        <f>IFERROR(ROUND((Q1117/R1117),2),"NA")</f>
        <v>0</v>
      </c>
      <c r="U1117">
        <f t="shared" si="17"/>
        <v>0</v>
      </c>
    </row>
    <row r="1118" spans="7:21" x14ac:dyDescent="0.2">
      <c r="G1118" s="9" t="s">
        <v>2829</v>
      </c>
      <c r="H1118">
        <v>90</v>
      </c>
      <c r="M1118" s="1" t="s">
        <v>2829</v>
      </c>
      <c r="N1118" s="1">
        <v>222</v>
      </c>
      <c r="P1118" s="1" t="s">
        <v>2829</v>
      </c>
      <c r="Q1118" s="42">
        <v>90</v>
      </c>
      <c r="R1118" s="42">
        <v>222</v>
      </c>
      <c r="S1118" s="42">
        <v>0.2</v>
      </c>
      <c r="T1118" s="10">
        <f>IFERROR(ROUND((Q1118/R1118),2),"NA")</f>
        <v>0.41</v>
      </c>
      <c r="U1118">
        <f t="shared" si="17"/>
        <v>18</v>
      </c>
    </row>
    <row r="1119" spans="7:21" x14ac:dyDescent="0.2">
      <c r="G1119" s="9" t="s">
        <v>1792</v>
      </c>
      <c r="H1119">
        <v>550</v>
      </c>
      <c r="M1119" s="1" t="s">
        <v>1792</v>
      </c>
      <c r="N1119" s="1">
        <v>1208</v>
      </c>
      <c r="P1119" s="1" t="s">
        <v>1792</v>
      </c>
      <c r="Q1119" s="42">
        <v>550</v>
      </c>
      <c r="R1119" s="42">
        <v>1208</v>
      </c>
      <c r="S1119" s="42">
        <v>0.27500000000000002</v>
      </c>
      <c r="T1119" s="10">
        <f>IFERROR(ROUND((Q1119/R1119),2),"NA")</f>
        <v>0.46</v>
      </c>
      <c r="U1119">
        <f t="shared" si="17"/>
        <v>151.25</v>
      </c>
    </row>
    <row r="1120" spans="7:21" x14ac:dyDescent="0.2">
      <c r="G1120" s="9" t="s">
        <v>2741</v>
      </c>
      <c r="H1120">
        <v>0</v>
      </c>
      <c r="M1120" s="1" t="s">
        <v>2741</v>
      </c>
      <c r="N1120" s="1">
        <v>59</v>
      </c>
      <c r="P1120" s="1" t="s">
        <v>2741</v>
      </c>
      <c r="Q1120" s="42">
        <v>0</v>
      </c>
      <c r="R1120" s="42">
        <v>59</v>
      </c>
      <c r="S1120" s="42">
        <v>0</v>
      </c>
      <c r="T1120" s="10">
        <f>IFERROR(ROUND((Q1120/R1120),2),"NA")</f>
        <v>0</v>
      </c>
      <c r="U1120">
        <f t="shared" si="17"/>
        <v>0</v>
      </c>
    </row>
    <row r="1121" spans="7:21" x14ac:dyDescent="0.2">
      <c r="G1121" s="9" t="s">
        <v>1887</v>
      </c>
      <c r="H1121">
        <v>65</v>
      </c>
      <c r="M1121" s="1" t="s">
        <v>1887</v>
      </c>
      <c r="N1121" s="1">
        <v>119</v>
      </c>
      <c r="P1121" s="1" t="s">
        <v>1887</v>
      </c>
      <c r="Q1121" s="42">
        <v>65</v>
      </c>
      <c r="R1121" s="42">
        <v>119</v>
      </c>
      <c r="S1121" s="42">
        <v>0.27</v>
      </c>
      <c r="T1121" s="10">
        <f>IFERROR(ROUND((Q1121/R1121),2),"NA")</f>
        <v>0.55000000000000004</v>
      </c>
      <c r="U1121">
        <f t="shared" si="17"/>
        <v>17.55</v>
      </c>
    </row>
    <row r="1122" spans="7:21" x14ac:dyDescent="0.2">
      <c r="G1122" s="9" t="s">
        <v>1851</v>
      </c>
      <c r="H1122">
        <v>0</v>
      </c>
      <c r="M1122" s="1" t="s">
        <v>1851</v>
      </c>
      <c r="N1122" s="1">
        <v>15</v>
      </c>
      <c r="P1122" s="1" t="s">
        <v>1851</v>
      </c>
      <c r="Q1122" s="42">
        <v>0</v>
      </c>
      <c r="R1122" s="42">
        <v>15</v>
      </c>
      <c r="S1122" s="42">
        <v>0</v>
      </c>
      <c r="T1122" s="10">
        <f>IFERROR(ROUND((Q1122/R1122),2),"NA")</f>
        <v>0</v>
      </c>
      <c r="U1122">
        <f t="shared" si="17"/>
        <v>0</v>
      </c>
    </row>
    <row r="1123" spans="7:21" x14ac:dyDescent="0.2">
      <c r="G1123" s="9" t="s">
        <v>607</v>
      </c>
      <c r="H1123">
        <v>995</v>
      </c>
      <c r="M1123" s="1" t="s">
        <v>607</v>
      </c>
      <c r="N1123" s="1">
        <v>0</v>
      </c>
      <c r="P1123" s="1" t="s">
        <v>607</v>
      </c>
      <c r="Q1123" s="42">
        <v>995</v>
      </c>
      <c r="R1123" s="42">
        <v>0</v>
      </c>
      <c r="S1123" s="42">
        <v>8.5000000000000006E-2</v>
      </c>
      <c r="T1123" s="10" t="str">
        <f>IFERROR(ROUND((Q1123/R1123),2),"NA")</f>
        <v>NA</v>
      </c>
      <c r="U1123">
        <f t="shared" si="17"/>
        <v>84.575000000000003</v>
      </c>
    </row>
    <row r="1124" spans="7:21" x14ac:dyDescent="0.2">
      <c r="G1124" s="9" t="s">
        <v>1971</v>
      </c>
      <c r="H1124">
        <v>20</v>
      </c>
      <c r="M1124" s="1" t="s">
        <v>1971</v>
      </c>
      <c r="N1124" s="1">
        <v>88</v>
      </c>
      <c r="P1124" s="1" t="s">
        <v>1971</v>
      </c>
      <c r="Q1124" s="42">
        <v>20</v>
      </c>
      <c r="R1124" s="42">
        <v>88</v>
      </c>
      <c r="S1124" s="42">
        <v>0.12</v>
      </c>
      <c r="T1124" s="10">
        <f>IFERROR(ROUND((Q1124/R1124),2),"NA")</f>
        <v>0.23</v>
      </c>
      <c r="U1124">
        <f t="shared" si="17"/>
        <v>2.4</v>
      </c>
    </row>
    <row r="1125" spans="7:21" x14ac:dyDescent="0.2">
      <c r="G1125" s="9" t="s">
        <v>428</v>
      </c>
      <c r="H1125">
        <v>175</v>
      </c>
      <c r="M1125" s="1" t="s">
        <v>428</v>
      </c>
      <c r="N1125" s="1">
        <v>640</v>
      </c>
      <c r="P1125" s="1" t="s">
        <v>428</v>
      </c>
      <c r="Q1125" s="42">
        <v>175</v>
      </c>
      <c r="R1125" s="42">
        <v>640</v>
      </c>
      <c r="S1125" s="42">
        <v>0.05</v>
      </c>
      <c r="T1125" s="10">
        <f>IFERROR(ROUND((Q1125/R1125),2),"NA")</f>
        <v>0.27</v>
      </c>
      <c r="U1125">
        <f t="shared" si="17"/>
        <v>8.75</v>
      </c>
    </row>
    <row r="1126" spans="7:21" x14ac:dyDescent="0.2">
      <c r="G1126" s="9" t="s">
        <v>1506</v>
      </c>
      <c r="H1126">
        <v>335</v>
      </c>
      <c r="M1126" s="1" t="s">
        <v>1506</v>
      </c>
      <c r="N1126" s="1">
        <v>758</v>
      </c>
      <c r="P1126" s="1" t="s">
        <v>1506</v>
      </c>
      <c r="Q1126" s="42">
        <v>335</v>
      </c>
      <c r="R1126" s="42">
        <v>758</v>
      </c>
      <c r="S1126" s="42">
        <v>0.11499999999999999</v>
      </c>
      <c r="T1126" s="10">
        <f>IFERROR(ROUND((Q1126/R1126),2),"NA")</f>
        <v>0.44</v>
      </c>
      <c r="U1126">
        <f t="shared" si="17"/>
        <v>38.524999999999999</v>
      </c>
    </row>
    <row r="1127" spans="7:21" x14ac:dyDescent="0.2">
      <c r="G1127" s="9" t="s">
        <v>1516</v>
      </c>
      <c r="H1127">
        <v>40</v>
      </c>
      <c r="M1127" s="1" t="s">
        <v>1516</v>
      </c>
      <c r="N1127" s="1">
        <v>295</v>
      </c>
      <c r="P1127" s="1" t="s">
        <v>1516</v>
      </c>
      <c r="Q1127" s="42">
        <v>40</v>
      </c>
      <c r="R1127" s="42">
        <v>295</v>
      </c>
      <c r="S1127" s="42">
        <v>0.1</v>
      </c>
      <c r="T1127" s="10">
        <f>IFERROR(ROUND((Q1127/R1127),2),"NA")</f>
        <v>0.14000000000000001</v>
      </c>
      <c r="U1127">
        <f t="shared" si="17"/>
        <v>4</v>
      </c>
    </row>
    <row r="1128" spans="7:21" x14ac:dyDescent="0.2">
      <c r="G1128" s="9" t="s">
        <v>350</v>
      </c>
      <c r="H1128">
        <v>60</v>
      </c>
      <c r="M1128" s="1" t="s">
        <v>350</v>
      </c>
      <c r="N1128" s="1">
        <v>547</v>
      </c>
      <c r="P1128" s="1" t="s">
        <v>350</v>
      </c>
      <c r="Q1128" s="42">
        <v>60</v>
      </c>
      <c r="R1128" s="42">
        <v>547</v>
      </c>
      <c r="S1128" s="42">
        <v>0.13</v>
      </c>
      <c r="T1128" s="10">
        <f>IFERROR(ROUND((Q1128/R1128),2),"NA")</f>
        <v>0.11</v>
      </c>
      <c r="U1128">
        <f t="shared" si="17"/>
        <v>7.8000000000000007</v>
      </c>
    </row>
    <row r="1129" spans="7:21" x14ac:dyDescent="0.2">
      <c r="G1129" s="9" t="s">
        <v>237</v>
      </c>
      <c r="H1129">
        <v>0</v>
      </c>
      <c r="M1129" s="1" t="s">
        <v>237</v>
      </c>
      <c r="N1129" s="1">
        <v>39</v>
      </c>
      <c r="P1129" s="1" t="s">
        <v>237</v>
      </c>
      <c r="Q1129" s="42">
        <v>0</v>
      </c>
      <c r="R1129" s="42">
        <v>39</v>
      </c>
      <c r="S1129" s="42">
        <v>0.4</v>
      </c>
      <c r="T1129" s="10">
        <f>IFERROR(ROUND((Q1129/R1129),2),"NA")</f>
        <v>0</v>
      </c>
      <c r="U1129">
        <f t="shared" si="17"/>
        <v>0</v>
      </c>
    </row>
    <row r="1130" spans="7:21" x14ac:dyDescent="0.2">
      <c r="G1130" s="9" t="s">
        <v>1725</v>
      </c>
      <c r="H1130">
        <v>43</v>
      </c>
      <c r="M1130" s="1" t="s">
        <v>1725</v>
      </c>
      <c r="N1130" s="1">
        <v>459</v>
      </c>
      <c r="P1130" s="1" t="s">
        <v>1725</v>
      </c>
      <c r="Q1130" s="42">
        <v>43</v>
      </c>
      <c r="R1130" s="42">
        <v>459</v>
      </c>
      <c r="S1130" s="42">
        <v>0</v>
      </c>
      <c r="T1130" s="10">
        <f>IFERROR(ROUND((Q1130/R1130),2),"NA")</f>
        <v>0.09</v>
      </c>
      <c r="U1130">
        <f t="shared" si="17"/>
        <v>0</v>
      </c>
    </row>
    <row r="1131" spans="7:21" x14ac:dyDescent="0.2">
      <c r="G1131" s="9" t="s">
        <v>1156</v>
      </c>
      <c r="H1131">
        <v>0</v>
      </c>
      <c r="M1131" s="1" t="s">
        <v>1156</v>
      </c>
      <c r="N1131" s="1">
        <v>0</v>
      </c>
      <c r="P1131" s="1" t="s">
        <v>1156</v>
      </c>
      <c r="Q1131" s="42">
        <v>0</v>
      </c>
      <c r="R1131" s="42">
        <v>0</v>
      </c>
      <c r="S1131" s="42">
        <v>0.1</v>
      </c>
      <c r="T1131" s="10" t="str">
        <f>IFERROR(ROUND((Q1131/R1131),2),"NA")</f>
        <v>NA</v>
      </c>
      <c r="U1131">
        <f t="shared" si="17"/>
        <v>0</v>
      </c>
    </row>
    <row r="1132" spans="7:21" x14ac:dyDescent="0.2">
      <c r="G1132" s="9" t="s">
        <v>953</v>
      </c>
      <c r="H1132">
        <v>20</v>
      </c>
      <c r="M1132" s="1" t="s">
        <v>953</v>
      </c>
      <c r="N1132" s="1">
        <v>0</v>
      </c>
      <c r="P1132" s="1" t="s">
        <v>953</v>
      </c>
      <c r="Q1132" s="42">
        <v>20</v>
      </c>
      <c r="R1132" s="42">
        <v>0</v>
      </c>
      <c r="S1132" s="42">
        <v>0</v>
      </c>
      <c r="T1132" s="10" t="str">
        <f>IFERROR(ROUND((Q1132/R1132),2),"NA")</f>
        <v>NA</v>
      </c>
      <c r="U1132">
        <f t="shared" si="17"/>
        <v>0</v>
      </c>
    </row>
    <row r="1133" spans="7:21" x14ac:dyDescent="0.2">
      <c r="G1133" s="9" t="s">
        <v>486</v>
      </c>
      <c r="H1133">
        <v>100</v>
      </c>
      <c r="M1133" s="1" t="s">
        <v>486</v>
      </c>
      <c r="N1133" s="1">
        <v>733</v>
      </c>
      <c r="P1133" s="1" t="s">
        <v>486</v>
      </c>
      <c r="Q1133" s="42">
        <v>100</v>
      </c>
      <c r="R1133" s="42">
        <v>733</v>
      </c>
      <c r="S1133" s="42">
        <v>0.2</v>
      </c>
      <c r="T1133" s="10">
        <f>IFERROR(ROUND((Q1133/R1133),2),"NA")</f>
        <v>0.14000000000000001</v>
      </c>
      <c r="U1133">
        <f t="shared" si="17"/>
        <v>20</v>
      </c>
    </row>
    <row r="1134" spans="7:21" x14ac:dyDescent="0.2">
      <c r="G1134" s="9" t="s">
        <v>1800</v>
      </c>
      <c r="H1134">
        <v>0</v>
      </c>
      <c r="M1134" s="1" t="s">
        <v>1800</v>
      </c>
      <c r="N1134" s="1">
        <v>11</v>
      </c>
      <c r="P1134" s="1" t="s">
        <v>1800</v>
      </c>
      <c r="Q1134" s="42">
        <v>0</v>
      </c>
      <c r="R1134" s="42">
        <v>11</v>
      </c>
      <c r="S1134" s="42">
        <v>0</v>
      </c>
      <c r="T1134" s="10">
        <f>IFERROR(ROUND((Q1134/R1134),2),"NA")</f>
        <v>0</v>
      </c>
      <c r="U1134">
        <f t="shared" si="17"/>
        <v>0</v>
      </c>
    </row>
    <row r="1135" spans="7:21" x14ac:dyDescent="0.2">
      <c r="G1135" s="9" t="s">
        <v>889</v>
      </c>
      <c r="H1135">
        <v>289</v>
      </c>
      <c r="M1135" s="1" t="s">
        <v>889</v>
      </c>
      <c r="N1135" s="1">
        <v>437</v>
      </c>
      <c r="P1135" s="1" t="s">
        <v>889</v>
      </c>
      <c r="Q1135" s="42">
        <v>289</v>
      </c>
      <c r="R1135" s="42">
        <v>437</v>
      </c>
      <c r="S1135" s="42">
        <v>0.13333333333333333</v>
      </c>
      <c r="T1135" s="10">
        <f>IFERROR(ROUND((Q1135/R1135),2),"NA")</f>
        <v>0.66</v>
      </c>
      <c r="U1135">
        <f t="shared" si="17"/>
        <v>38.533333333333331</v>
      </c>
    </row>
    <row r="1136" spans="7:21" x14ac:dyDescent="0.2">
      <c r="G1136" s="9" t="s">
        <v>299</v>
      </c>
      <c r="H1136">
        <v>2127</v>
      </c>
      <c r="M1136" s="1" t="s">
        <v>299</v>
      </c>
      <c r="N1136" s="1">
        <v>8200</v>
      </c>
      <c r="P1136" s="1" t="s">
        <v>299</v>
      </c>
      <c r="Q1136" s="42">
        <v>2127</v>
      </c>
      <c r="R1136" s="42">
        <v>8200</v>
      </c>
      <c r="S1136" s="42">
        <v>7.0000000000000007E-2</v>
      </c>
      <c r="T1136" s="10">
        <f>IFERROR(ROUND((Q1136/R1136),2),"NA")</f>
        <v>0.26</v>
      </c>
      <c r="U1136">
        <f t="shared" si="17"/>
        <v>148.89000000000001</v>
      </c>
    </row>
    <row r="1137" spans="7:21" x14ac:dyDescent="0.2">
      <c r="G1137" s="9" t="s">
        <v>442</v>
      </c>
      <c r="H1137">
        <v>60</v>
      </c>
      <c r="M1137" s="1" t="s">
        <v>442</v>
      </c>
      <c r="N1137" s="1">
        <v>57</v>
      </c>
      <c r="P1137" s="1" t="s">
        <v>442</v>
      </c>
      <c r="Q1137" s="42">
        <v>60</v>
      </c>
      <c r="R1137" s="42">
        <v>57</v>
      </c>
      <c r="S1137" s="42">
        <v>0</v>
      </c>
      <c r="T1137" s="10">
        <f>IFERROR(ROUND((Q1137/R1137),2),"NA")</f>
        <v>1.05</v>
      </c>
      <c r="U1137">
        <f t="shared" si="17"/>
        <v>0</v>
      </c>
    </row>
    <row r="1138" spans="7:21" x14ac:dyDescent="0.2">
      <c r="G1138" s="9" t="s">
        <v>2839</v>
      </c>
      <c r="H1138">
        <v>6</v>
      </c>
      <c r="M1138" s="1" t="s">
        <v>2839</v>
      </c>
      <c r="N1138" s="1">
        <v>8</v>
      </c>
      <c r="P1138" s="1" t="s">
        <v>2839</v>
      </c>
      <c r="Q1138" s="42">
        <v>6</v>
      </c>
      <c r="R1138" s="42">
        <v>8</v>
      </c>
      <c r="S1138" s="42">
        <v>0.06</v>
      </c>
      <c r="T1138" s="10">
        <f>IFERROR(ROUND((Q1138/R1138),2),"NA")</f>
        <v>0.75</v>
      </c>
      <c r="U1138">
        <f t="shared" si="17"/>
        <v>0.36</v>
      </c>
    </row>
    <row r="1139" spans="7:21" x14ac:dyDescent="0.2">
      <c r="G1139" s="9" t="s">
        <v>2616</v>
      </c>
      <c r="H1139">
        <v>150</v>
      </c>
      <c r="M1139" s="1" t="s">
        <v>2616</v>
      </c>
      <c r="N1139" s="1">
        <v>89</v>
      </c>
      <c r="P1139" s="1" t="s">
        <v>2616</v>
      </c>
      <c r="Q1139" s="42">
        <v>150</v>
      </c>
      <c r="R1139" s="42">
        <v>89</v>
      </c>
      <c r="S1139" s="42">
        <v>0.12</v>
      </c>
      <c r="T1139" s="10">
        <f>IFERROR(ROUND((Q1139/R1139),2),"NA")</f>
        <v>1.69</v>
      </c>
      <c r="U1139">
        <f t="shared" si="17"/>
        <v>18</v>
      </c>
    </row>
    <row r="1140" spans="7:21" x14ac:dyDescent="0.2">
      <c r="G1140" s="9" t="s">
        <v>2631</v>
      </c>
      <c r="H1140">
        <v>45</v>
      </c>
      <c r="M1140" s="1" t="s">
        <v>2631</v>
      </c>
      <c r="N1140" s="1">
        <v>0</v>
      </c>
      <c r="P1140" s="1" t="s">
        <v>2631</v>
      </c>
      <c r="Q1140" s="42">
        <v>45</v>
      </c>
      <c r="R1140" s="42">
        <v>0</v>
      </c>
      <c r="S1140" s="42">
        <v>0.05</v>
      </c>
      <c r="T1140" s="10" t="str">
        <f>IFERROR(ROUND((Q1140/R1140),2),"NA")</f>
        <v>NA</v>
      </c>
      <c r="U1140">
        <f t="shared" si="17"/>
        <v>2.25</v>
      </c>
    </row>
    <row r="1141" spans="7:21" x14ac:dyDescent="0.2">
      <c r="G1141" s="9" t="s">
        <v>1735</v>
      </c>
      <c r="H1141">
        <v>190</v>
      </c>
      <c r="M1141" s="1" t="s">
        <v>1735</v>
      </c>
      <c r="N1141" s="1">
        <v>232</v>
      </c>
      <c r="P1141" s="1" t="s">
        <v>1735</v>
      </c>
      <c r="Q1141" s="42">
        <v>190</v>
      </c>
      <c r="R1141" s="42">
        <v>232</v>
      </c>
      <c r="S1141" s="42">
        <v>0.115</v>
      </c>
      <c r="T1141" s="10">
        <f>IFERROR(ROUND((Q1141/R1141),2),"NA")</f>
        <v>0.82</v>
      </c>
      <c r="U1141">
        <f t="shared" si="17"/>
        <v>21.85</v>
      </c>
    </row>
    <row r="1142" spans="7:21" x14ac:dyDescent="0.2">
      <c r="G1142" s="9" t="s">
        <v>1643</v>
      </c>
      <c r="H1142">
        <v>0</v>
      </c>
      <c r="M1142" s="1" t="s">
        <v>1643</v>
      </c>
      <c r="N1142" s="1">
        <v>80</v>
      </c>
      <c r="P1142" s="1" t="s">
        <v>1643</v>
      </c>
      <c r="Q1142" s="42">
        <v>0</v>
      </c>
      <c r="R1142" s="42">
        <v>80</v>
      </c>
      <c r="S1142" s="42">
        <v>0</v>
      </c>
      <c r="T1142" s="10">
        <f>IFERROR(ROUND((Q1142/R1142),2),"NA")</f>
        <v>0</v>
      </c>
      <c r="U1142">
        <f t="shared" si="17"/>
        <v>0</v>
      </c>
    </row>
    <row r="1143" spans="7:21" x14ac:dyDescent="0.2">
      <c r="G1143" s="9" t="s">
        <v>2601</v>
      </c>
      <c r="H1143">
        <v>26</v>
      </c>
      <c r="M1143" s="1" t="s">
        <v>2601</v>
      </c>
      <c r="N1143" s="1">
        <v>39.6</v>
      </c>
      <c r="P1143" s="1" t="s">
        <v>2601</v>
      </c>
      <c r="Q1143" s="42">
        <v>26</v>
      </c>
      <c r="R1143" s="42">
        <v>39.6</v>
      </c>
      <c r="S1143" s="42">
        <v>0</v>
      </c>
      <c r="T1143" s="10">
        <f>IFERROR(ROUND((Q1143/R1143),2),"NA")</f>
        <v>0.66</v>
      </c>
      <c r="U1143">
        <f t="shared" si="17"/>
        <v>0</v>
      </c>
    </row>
    <row r="1144" spans="7:21" x14ac:dyDescent="0.2">
      <c r="G1144" s="9" t="s">
        <v>178</v>
      </c>
      <c r="H1144">
        <v>1057</v>
      </c>
      <c r="M1144" s="1" t="s">
        <v>178</v>
      </c>
      <c r="N1144" s="1">
        <v>60</v>
      </c>
      <c r="P1144" s="1" t="s">
        <v>178</v>
      </c>
      <c r="Q1144" s="42">
        <v>1057</v>
      </c>
      <c r="R1144" s="42">
        <v>60</v>
      </c>
      <c r="S1144" s="42">
        <v>0</v>
      </c>
      <c r="T1144" s="10">
        <f>IFERROR(ROUND((Q1144/R1144),2),"NA")</f>
        <v>17.62</v>
      </c>
      <c r="U1144">
        <f t="shared" si="17"/>
        <v>0</v>
      </c>
    </row>
    <row r="1145" spans="7:21" x14ac:dyDescent="0.2">
      <c r="G1145" s="9" t="s">
        <v>923</v>
      </c>
      <c r="H1145">
        <v>0</v>
      </c>
      <c r="M1145" s="1" t="s">
        <v>923</v>
      </c>
      <c r="N1145" s="1">
        <v>171</v>
      </c>
      <c r="P1145" s="1" t="s">
        <v>923</v>
      </c>
      <c r="Q1145" s="42">
        <v>0</v>
      </c>
      <c r="R1145" s="42">
        <v>171</v>
      </c>
      <c r="S1145" s="42">
        <v>0</v>
      </c>
      <c r="T1145" s="10">
        <f>IFERROR(ROUND((Q1145/R1145),2),"NA")</f>
        <v>0</v>
      </c>
      <c r="U1145">
        <f t="shared" si="17"/>
        <v>0</v>
      </c>
    </row>
    <row r="1146" spans="7:21" x14ac:dyDescent="0.2">
      <c r="G1146" s="9" t="s">
        <v>1876</v>
      </c>
      <c r="H1146">
        <v>212</v>
      </c>
      <c r="M1146" s="1" t="s">
        <v>1876</v>
      </c>
      <c r="N1146" s="1">
        <v>720</v>
      </c>
      <c r="P1146" s="1" t="s">
        <v>1876</v>
      </c>
      <c r="Q1146" s="42">
        <v>212</v>
      </c>
      <c r="R1146" s="42">
        <v>720</v>
      </c>
      <c r="S1146" s="42">
        <v>0.08</v>
      </c>
      <c r="T1146" s="10">
        <f>IFERROR(ROUND((Q1146/R1146),2),"NA")</f>
        <v>0.28999999999999998</v>
      </c>
      <c r="U1146">
        <f t="shared" si="17"/>
        <v>16.96</v>
      </c>
    </row>
    <row r="1147" spans="7:21" x14ac:dyDescent="0.2">
      <c r="G1147" s="9" t="s">
        <v>2647</v>
      </c>
      <c r="H1147">
        <v>19</v>
      </c>
      <c r="M1147" s="1" t="s">
        <v>2647</v>
      </c>
      <c r="N1147" s="1">
        <v>0</v>
      </c>
      <c r="P1147" s="1" t="s">
        <v>2647</v>
      </c>
      <c r="Q1147" s="42">
        <v>19</v>
      </c>
      <c r="R1147" s="42">
        <v>0</v>
      </c>
      <c r="S1147" s="42">
        <v>0.11</v>
      </c>
      <c r="T1147" s="10" t="str">
        <f>IFERROR(ROUND((Q1147/R1147),2),"NA")</f>
        <v>NA</v>
      </c>
      <c r="U1147">
        <f t="shared" si="17"/>
        <v>2.09</v>
      </c>
    </row>
    <row r="1148" spans="7:21" x14ac:dyDescent="0.2">
      <c r="G1148" s="9" t="s">
        <v>1621</v>
      </c>
      <c r="H1148">
        <v>40</v>
      </c>
      <c r="M1148" s="1" t="s">
        <v>1621</v>
      </c>
      <c r="N1148" s="1">
        <v>0</v>
      </c>
      <c r="P1148" s="1" t="s">
        <v>1621</v>
      </c>
      <c r="Q1148" s="42">
        <v>40</v>
      </c>
      <c r="R1148" s="42">
        <v>0</v>
      </c>
      <c r="S1148" s="42">
        <v>0.2</v>
      </c>
      <c r="T1148" s="10" t="str">
        <f>IFERROR(ROUND((Q1148/R1148),2),"NA")</f>
        <v>NA</v>
      </c>
      <c r="U1148">
        <f t="shared" si="17"/>
        <v>8</v>
      </c>
    </row>
    <row r="1149" spans="7:21" x14ac:dyDescent="0.2">
      <c r="G1149" s="9" t="s">
        <v>2214</v>
      </c>
      <c r="H1149">
        <v>57</v>
      </c>
      <c r="M1149" s="1" t="s">
        <v>2214</v>
      </c>
      <c r="N1149" s="1">
        <v>125</v>
      </c>
      <c r="P1149" s="1" t="s">
        <v>2214</v>
      </c>
      <c r="Q1149" s="42">
        <v>57</v>
      </c>
      <c r="R1149" s="42">
        <v>125</v>
      </c>
      <c r="S1149" s="42">
        <v>0.16</v>
      </c>
      <c r="T1149" s="10">
        <f>IFERROR(ROUND((Q1149/R1149),2),"NA")</f>
        <v>0.46</v>
      </c>
      <c r="U1149">
        <f t="shared" si="17"/>
        <v>9.120000000000001</v>
      </c>
    </row>
    <row r="1150" spans="7:21" x14ac:dyDescent="0.2">
      <c r="G1150" s="9" t="s">
        <v>2588</v>
      </c>
      <c r="H1150">
        <v>715</v>
      </c>
      <c r="M1150" s="1" t="s">
        <v>2588</v>
      </c>
      <c r="N1150" s="1">
        <v>18</v>
      </c>
      <c r="P1150" s="1" t="s">
        <v>2588</v>
      </c>
      <c r="Q1150" s="42">
        <v>715</v>
      </c>
      <c r="R1150" s="42">
        <v>18</v>
      </c>
      <c r="S1150" s="42">
        <v>7.0000000000000007E-2</v>
      </c>
      <c r="T1150" s="10">
        <f>IFERROR(ROUND((Q1150/R1150),2),"NA")</f>
        <v>39.72</v>
      </c>
      <c r="U1150">
        <f t="shared" si="17"/>
        <v>50.050000000000004</v>
      </c>
    </row>
    <row r="1151" spans="7:21" x14ac:dyDescent="0.2">
      <c r="G1151" s="9" t="s">
        <v>669</v>
      </c>
      <c r="H1151">
        <v>80</v>
      </c>
      <c r="M1151" s="1" t="s">
        <v>669</v>
      </c>
      <c r="N1151" s="1">
        <v>54</v>
      </c>
      <c r="P1151" s="1" t="s">
        <v>669</v>
      </c>
      <c r="Q1151" s="42">
        <v>80</v>
      </c>
      <c r="R1151" s="42">
        <v>54</v>
      </c>
      <c r="S1151" s="42">
        <v>0.05</v>
      </c>
      <c r="T1151" s="10">
        <f>IFERROR(ROUND((Q1151/R1151),2),"NA")</f>
        <v>1.48</v>
      </c>
      <c r="U1151">
        <f t="shared" si="17"/>
        <v>4</v>
      </c>
    </row>
    <row r="1152" spans="7:21" x14ac:dyDescent="0.2">
      <c r="G1152" s="9" t="s">
        <v>471</v>
      </c>
      <c r="H1152">
        <v>22</v>
      </c>
      <c r="M1152" s="1" t="s">
        <v>471</v>
      </c>
      <c r="N1152" s="1">
        <v>1418.2</v>
      </c>
      <c r="P1152" s="1" t="s">
        <v>471</v>
      </c>
      <c r="Q1152" s="42">
        <v>22</v>
      </c>
      <c r="R1152" s="42">
        <v>1418.2</v>
      </c>
      <c r="S1152" s="42">
        <v>0.75</v>
      </c>
      <c r="T1152" s="10">
        <f>IFERROR(ROUND((Q1152/R1152),2),"NA")</f>
        <v>0.02</v>
      </c>
      <c r="U1152">
        <f t="shared" si="17"/>
        <v>16.5</v>
      </c>
    </row>
    <row r="1153" spans="7:21" x14ac:dyDescent="0.2">
      <c r="G1153" s="9" t="s">
        <v>504</v>
      </c>
      <c r="H1153">
        <v>1235</v>
      </c>
      <c r="M1153" s="1" t="s">
        <v>504</v>
      </c>
      <c r="N1153" s="1">
        <v>4500</v>
      </c>
      <c r="P1153" s="1" t="s">
        <v>504</v>
      </c>
      <c r="Q1153" s="42">
        <v>1235</v>
      </c>
      <c r="R1153" s="42">
        <v>4500</v>
      </c>
      <c r="S1153" s="42">
        <v>0.15</v>
      </c>
      <c r="T1153" s="10">
        <f>IFERROR(ROUND((Q1153/R1153),2),"NA")</f>
        <v>0.27</v>
      </c>
      <c r="U1153">
        <f t="shared" si="17"/>
        <v>185.25</v>
      </c>
    </row>
    <row r="1154" spans="7:21" x14ac:dyDescent="0.2">
      <c r="G1154" s="9" t="s">
        <v>2240</v>
      </c>
      <c r="H1154">
        <v>70</v>
      </c>
      <c r="M1154" s="1" t="s">
        <v>2240</v>
      </c>
      <c r="N1154" s="1">
        <v>23</v>
      </c>
      <c r="P1154" s="1" t="s">
        <v>2240</v>
      </c>
      <c r="Q1154" s="42">
        <v>70</v>
      </c>
      <c r="R1154" s="42">
        <v>23</v>
      </c>
      <c r="S1154" s="42">
        <v>0.18</v>
      </c>
      <c r="T1154" s="10">
        <f>IFERROR(ROUND((Q1154/R1154),2),"NA")</f>
        <v>3.04</v>
      </c>
      <c r="U1154">
        <f t="shared" si="17"/>
        <v>12.6</v>
      </c>
    </row>
    <row r="1155" spans="7:21" x14ac:dyDescent="0.2">
      <c r="G1155" s="9" t="s">
        <v>2380</v>
      </c>
      <c r="H1155">
        <v>50</v>
      </c>
      <c r="M1155" s="1" t="s">
        <v>2380</v>
      </c>
      <c r="N1155" s="1">
        <v>26</v>
      </c>
      <c r="P1155" s="1" t="s">
        <v>2380</v>
      </c>
      <c r="Q1155" s="42">
        <v>50</v>
      </c>
      <c r="R1155" s="42">
        <v>26</v>
      </c>
      <c r="S1155" s="42">
        <v>0.2</v>
      </c>
      <c r="T1155" s="10">
        <f>IFERROR(ROUND((Q1155/R1155),2),"NA")</f>
        <v>1.92</v>
      </c>
      <c r="U1155">
        <f t="shared" si="17"/>
        <v>10</v>
      </c>
    </row>
    <row r="1156" spans="7:21" x14ac:dyDescent="0.2">
      <c r="G1156" s="9" t="s">
        <v>804</v>
      </c>
      <c r="H1156">
        <v>0</v>
      </c>
      <c r="M1156" s="1" t="s">
        <v>804</v>
      </c>
      <c r="N1156" s="1">
        <v>0</v>
      </c>
      <c r="P1156" s="1" t="s">
        <v>804</v>
      </c>
      <c r="Q1156" s="42">
        <v>0</v>
      </c>
      <c r="R1156" s="42">
        <v>0</v>
      </c>
      <c r="S1156" s="42">
        <v>0</v>
      </c>
      <c r="T1156" s="10" t="str">
        <f>IFERROR(ROUND((Q1156/R1156),2),"NA")</f>
        <v>NA</v>
      </c>
      <c r="U1156">
        <f t="shared" si="17"/>
        <v>0</v>
      </c>
    </row>
    <row r="1157" spans="7:21" x14ac:dyDescent="0.2">
      <c r="G1157" s="9" t="s">
        <v>1157</v>
      </c>
      <c r="H1157">
        <v>0</v>
      </c>
      <c r="M1157" s="1" t="s">
        <v>1157</v>
      </c>
      <c r="N1157" s="1">
        <v>0</v>
      </c>
      <c r="P1157" s="1" t="s">
        <v>1157</v>
      </c>
      <c r="Q1157" s="42">
        <v>0</v>
      </c>
      <c r="R1157" s="42">
        <v>0</v>
      </c>
      <c r="S1157" s="42">
        <v>0.1</v>
      </c>
      <c r="T1157" s="10" t="str">
        <f>IFERROR(ROUND((Q1157/R1157),2),"NA")</f>
        <v>NA</v>
      </c>
      <c r="U1157">
        <f t="shared" ref="U1157:U1220" si="18">Q1157*S1157</f>
        <v>0</v>
      </c>
    </row>
    <row r="1158" spans="7:21" x14ac:dyDescent="0.2">
      <c r="G1158" s="9" t="s">
        <v>2889</v>
      </c>
      <c r="H1158">
        <v>9</v>
      </c>
      <c r="M1158" s="1" t="s">
        <v>2889</v>
      </c>
      <c r="N1158" s="1">
        <v>15</v>
      </c>
      <c r="P1158" s="1" t="s">
        <v>2889</v>
      </c>
      <c r="Q1158" s="42">
        <v>9</v>
      </c>
      <c r="R1158" s="42">
        <v>15</v>
      </c>
      <c r="S1158" s="42">
        <v>0.5</v>
      </c>
      <c r="T1158" s="10">
        <f>IFERROR(ROUND((Q1158/R1158),2),"NA")</f>
        <v>0.6</v>
      </c>
      <c r="U1158">
        <f t="shared" si="18"/>
        <v>4.5</v>
      </c>
    </row>
    <row r="1159" spans="7:21" x14ac:dyDescent="0.2">
      <c r="G1159" s="9" t="s">
        <v>976</v>
      </c>
      <c r="H1159">
        <v>25</v>
      </c>
      <c r="M1159" s="1" t="s">
        <v>976</v>
      </c>
      <c r="N1159" s="1">
        <v>394</v>
      </c>
      <c r="P1159" s="1" t="s">
        <v>976</v>
      </c>
      <c r="Q1159" s="42">
        <v>25</v>
      </c>
      <c r="R1159" s="42">
        <v>394</v>
      </c>
      <c r="S1159" s="42">
        <v>0.625</v>
      </c>
      <c r="T1159" s="10">
        <f>IFERROR(ROUND((Q1159/R1159),2),"NA")</f>
        <v>0.06</v>
      </c>
      <c r="U1159">
        <f t="shared" si="18"/>
        <v>15.625</v>
      </c>
    </row>
    <row r="1160" spans="7:21" x14ac:dyDescent="0.2">
      <c r="G1160" s="9" t="s">
        <v>365</v>
      </c>
      <c r="H1160">
        <v>575</v>
      </c>
      <c r="M1160" s="1" t="s">
        <v>365</v>
      </c>
      <c r="N1160" s="1">
        <v>90</v>
      </c>
      <c r="P1160" s="1" t="s">
        <v>365</v>
      </c>
      <c r="Q1160" s="42">
        <v>575</v>
      </c>
      <c r="R1160" s="42">
        <v>90</v>
      </c>
      <c r="S1160" s="42">
        <v>0.16</v>
      </c>
      <c r="T1160" s="10">
        <f>IFERROR(ROUND((Q1160/R1160),2),"NA")</f>
        <v>6.39</v>
      </c>
      <c r="U1160">
        <f t="shared" si="18"/>
        <v>92</v>
      </c>
    </row>
    <row r="1161" spans="7:21" x14ac:dyDescent="0.2">
      <c r="G1161" s="9" t="s">
        <v>1933</v>
      </c>
      <c r="H1161">
        <v>50</v>
      </c>
      <c r="M1161" s="1" t="s">
        <v>1933</v>
      </c>
      <c r="N1161" s="1">
        <v>103</v>
      </c>
      <c r="P1161" s="1" t="s">
        <v>1933</v>
      </c>
      <c r="Q1161" s="42">
        <v>50</v>
      </c>
      <c r="R1161" s="42">
        <v>103</v>
      </c>
      <c r="S1161" s="42">
        <v>0.5</v>
      </c>
      <c r="T1161" s="10">
        <f>IFERROR(ROUND((Q1161/R1161),2),"NA")</f>
        <v>0.49</v>
      </c>
      <c r="U1161">
        <f t="shared" si="18"/>
        <v>25</v>
      </c>
    </row>
    <row r="1162" spans="7:21" x14ac:dyDescent="0.2">
      <c r="G1162" s="9" t="s">
        <v>686</v>
      </c>
      <c r="H1162">
        <v>145</v>
      </c>
      <c r="M1162" s="1" t="s">
        <v>686</v>
      </c>
      <c r="N1162" s="1">
        <v>1248</v>
      </c>
      <c r="P1162" s="1" t="s">
        <v>686</v>
      </c>
      <c r="Q1162" s="42">
        <v>145</v>
      </c>
      <c r="R1162" s="42">
        <v>1248</v>
      </c>
      <c r="S1162" s="42">
        <v>0.58499999999999996</v>
      </c>
      <c r="T1162" s="10">
        <f>IFERROR(ROUND((Q1162/R1162),2),"NA")</f>
        <v>0.12</v>
      </c>
      <c r="U1162">
        <f t="shared" si="18"/>
        <v>84.824999999999989</v>
      </c>
    </row>
    <row r="1163" spans="7:21" x14ac:dyDescent="0.2">
      <c r="G1163" s="9" t="s">
        <v>740</v>
      </c>
      <c r="H1163">
        <v>0</v>
      </c>
      <c r="M1163" s="1" t="s">
        <v>740</v>
      </c>
      <c r="N1163" s="1">
        <v>31</v>
      </c>
      <c r="P1163" s="1" t="s">
        <v>740</v>
      </c>
      <c r="Q1163" s="42">
        <v>0</v>
      </c>
      <c r="R1163" s="42">
        <v>31</v>
      </c>
      <c r="S1163" s="42">
        <v>0.2</v>
      </c>
      <c r="T1163" s="10">
        <f>IFERROR(ROUND((Q1163/R1163),2),"NA")</f>
        <v>0</v>
      </c>
      <c r="U1163">
        <f t="shared" si="18"/>
        <v>0</v>
      </c>
    </row>
    <row r="1164" spans="7:21" x14ac:dyDescent="0.2">
      <c r="G1164" s="9" t="s">
        <v>2149</v>
      </c>
      <c r="H1164">
        <v>200</v>
      </c>
      <c r="M1164" s="1" t="s">
        <v>2149</v>
      </c>
      <c r="N1164" s="1">
        <v>652</v>
      </c>
      <c r="P1164" s="1" t="s">
        <v>2149</v>
      </c>
      <c r="Q1164" s="42">
        <v>200</v>
      </c>
      <c r="R1164" s="42">
        <v>652</v>
      </c>
      <c r="S1164" s="42">
        <v>0.17</v>
      </c>
      <c r="T1164" s="10">
        <f>IFERROR(ROUND((Q1164/R1164),2),"NA")</f>
        <v>0.31</v>
      </c>
      <c r="U1164">
        <f t="shared" si="18"/>
        <v>34</v>
      </c>
    </row>
    <row r="1165" spans="7:21" x14ac:dyDescent="0.2">
      <c r="G1165" s="9" t="s">
        <v>2923</v>
      </c>
      <c r="H1165">
        <v>12</v>
      </c>
      <c r="M1165" s="1" t="s">
        <v>2923</v>
      </c>
      <c r="N1165" s="1">
        <v>233</v>
      </c>
      <c r="P1165" s="1" t="s">
        <v>2923</v>
      </c>
      <c r="Q1165" s="42">
        <v>12</v>
      </c>
      <c r="R1165" s="42">
        <v>233</v>
      </c>
      <c r="S1165" s="42">
        <v>0.05</v>
      </c>
      <c r="T1165" s="10">
        <f>IFERROR(ROUND((Q1165/R1165),2),"NA")</f>
        <v>0.05</v>
      </c>
      <c r="U1165">
        <f t="shared" si="18"/>
        <v>0.60000000000000009</v>
      </c>
    </row>
    <row r="1166" spans="7:21" x14ac:dyDescent="0.2">
      <c r="G1166" s="9" t="s">
        <v>377</v>
      </c>
      <c r="H1166">
        <v>0</v>
      </c>
      <c r="M1166" s="1" t="s">
        <v>377</v>
      </c>
      <c r="N1166" s="1">
        <v>332</v>
      </c>
      <c r="P1166" s="1" t="s">
        <v>377</v>
      </c>
      <c r="Q1166" s="42">
        <v>0</v>
      </c>
      <c r="R1166" s="42">
        <v>332</v>
      </c>
      <c r="S1166" s="42">
        <v>0.06</v>
      </c>
      <c r="T1166" s="10">
        <f>IFERROR(ROUND((Q1166/R1166),2),"NA")</f>
        <v>0</v>
      </c>
      <c r="U1166">
        <f t="shared" si="18"/>
        <v>0</v>
      </c>
    </row>
    <row r="1167" spans="7:21" x14ac:dyDescent="0.2">
      <c r="G1167" s="9" t="s">
        <v>563</v>
      </c>
      <c r="H1167">
        <v>0</v>
      </c>
      <c r="M1167" s="1" t="s">
        <v>563</v>
      </c>
      <c r="N1167" s="1">
        <v>40</v>
      </c>
      <c r="P1167" s="1" t="s">
        <v>563</v>
      </c>
      <c r="Q1167" s="42">
        <v>0</v>
      </c>
      <c r="R1167" s="42">
        <v>40</v>
      </c>
      <c r="S1167" s="42">
        <v>1</v>
      </c>
      <c r="T1167" s="10">
        <f>IFERROR(ROUND((Q1167/R1167),2),"NA")</f>
        <v>0</v>
      </c>
      <c r="U1167">
        <f t="shared" si="18"/>
        <v>0</v>
      </c>
    </row>
    <row r="1168" spans="7:21" x14ac:dyDescent="0.2">
      <c r="G1168" s="9" t="s">
        <v>921</v>
      </c>
      <c r="H1168">
        <v>0</v>
      </c>
      <c r="M1168" s="1" t="s">
        <v>921</v>
      </c>
      <c r="N1168" s="1">
        <v>131</v>
      </c>
      <c r="P1168" s="1" t="s">
        <v>921</v>
      </c>
      <c r="Q1168" s="42">
        <v>0</v>
      </c>
      <c r="R1168" s="42">
        <v>131</v>
      </c>
      <c r="S1168" s="42">
        <v>0</v>
      </c>
      <c r="T1168" s="10">
        <f>IFERROR(ROUND((Q1168/R1168),2),"NA")</f>
        <v>0</v>
      </c>
      <c r="U1168">
        <f t="shared" si="18"/>
        <v>0</v>
      </c>
    </row>
    <row r="1169" spans="7:21" x14ac:dyDescent="0.2">
      <c r="G1169" s="9" t="s">
        <v>39</v>
      </c>
      <c r="H1169">
        <v>0</v>
      </c>
      <c r="M1169" s="1" t="s">
        <v>39</v>
      </c>
      <c r="N1169" s="1">
        <v>32</v>
      </c>
      <c r="P1169" s="1" t="s">
        <v>39</v>
      </c>
      <c r="Q1169" s="42">
        <v>0</v>
      </c>
      <c r="R1169" s="42">
        <v>32</v>
      </c>
      <c r="S1169" s="42">
        <v>0</v>
      </c>
      <c r="T1169" s="10">
        <f>IFERROR(ROUND((Q1169/R1169),2),"NA")</f>
        <v>0</v>
      </c>
      <c r="U1169">
        <f t="shared" si="18"/>
        <v>0</v>
      </c>
    </row>
    <row r="1170" spans="7:21" x14ac:dyDescent="0.2">
      <c r="G1170" s="9" t="s">
        <v>1700</v>
      </c>
      <c r="H1170">
        <v>200</v>
      </c>
      <c r="M1170" s="1" t="s">
        <v>1700</v>
      </c>
      <c r="N1170" s="1">
        <v>5100</v>
      </c>
      <c r="P1170" s="1" t="s">
        <v>1700</v>
      </c>
      <c r="Q1170" s="42">
        <v>200</v>
      </c>
      <c r="R1170" s="42">
        <v>5100</v>
      </c>
      <c r="S1170" s="42">
        <v>0.3</v>
      </c>
      <c r="T1170" s="10">
        <f>IFERROR(ROUND((Q1170/R1170),2),"NA")</f>
        <v>0.04</v>
      </c>
      <c r="U1170">
        <f t="shared" si="18"/>
        <v>60</v>
      </c>
    </row>
    <row r="1171" spans="7:21" x14ac:dyDescent="0.2">
      <c r="G1171" s="9" t="s">
        <v>1605</v>
      </c>
      <c r="H1171">
        <v>0</v>
      </c>
      <c r="M1171" s="1" t="s">
        <v>1605</v>
      </c>
      <c r="N1171" s="1">
        <v>114</v>
      </c>
      <c r="P1171" s="1" t="s">
        <v>1605</v>
      </c>
      <c r="Q1171" s="42">
        <v>0</v>
      </c>
      <c r="R1171" s="42">
        <v>114</v>
      </c>
      <c r="S1171" s="42">
        <v>0.09</v>
      </c>
      <c r="T1171" s="10">
        <f>IFERROR(ROUND((Q1171/R1171),2),"NA")</f>
        <v>0</v>
      </c>
      <c r="U1171">
        <f t="shared" si="18"/>
        <v>0</v>
      </c>
    </row>
    <row r="1172" spans="7:21" x14ac:dyDescent="0.2">
      <c r="G1172" s="9" t="s">
        <v>495</v>
      </c>
      <c r="H1172">
        <v>221</v>
      </c>
      <c r="M1172" s="1" t="s">
        <v>495</v>
      </c>
      <c r="N1172" s="1">
        <v>88</v>
      </c>
      <c r="P1172" s="1" t="s">
        <v>495</v>
      </c>
      <c r="Q1172" s="42">
        <v>221</v>
      </c>
      <c r="R1172" s="42">
        <v>88</v>
      </c>
      <c r="S1172" s="42">
        <v>0.08</v>
      </c>
      <c r="T1172" s="10">
        <f>IFERROR(ROUND((Q1172/R1172),2),"NA")</f>
        <v>2.5099999999999998</v>
      </c>
      <c r="U1172">
        <f t="shared" si="18"/>
        <v>17.68</v>
      </c>
    </row>
    <row r="1173" spans="7:21" x14ac:dyDescent="0.2">
      <c r="G1173" s="9" t="s">
        <v>2356</v>
      </c>
      <c r="H1173">
        <v>20</v>
      </c>
      <c r="M1173" s="1" t="s">
        <v>2356</v>
      </c>
      <c r="N1173" s="1">
        <v>68</v>
      </c>
      <c r="P1173" s="1" t="s">
        <v>2356</v>
      </c>
      <c r="Q1173" s="42">
        <v>20</v>
      </c>
      <c r="R1173" s="42">
        <v>68</v>
      </c>
      <c r="S1173" s="42">
        <v>0.6</v>
      </c>
      <c r="T1173" s="10">
        <f>IFERROR(ROUND((Q1173/R1173),2),"NA")</f>
        <v>0.28999999999999998</v>
      </c>
      <c r="U1173">
        <f t="shared" si="18"/>
        <v>12</v>
      </c>
    </row>
    <row r="1174" spans="7:21" x14ac:dyDescent="0.2">
      <c r="G1174" s="9" t="s">
        <v>2815</v>
      </c>
      <c r="H1174">
        <v>35</v>
      </c>
      <c r="M1174" s="1" t="s">
        <v>2815</v>
      </c>
      <c r="N1174" s="1">
        <v>40</v>
      </c>
      <c r="P1174" s="1" t="s">
        <v>2815</v>
      </c>
      <c r="Q1174" s="42">
        <v>35</v>
      </c>
      <c r="R1174" s="42">
        <v>40</v>
      </c>
      <c r="S1174" s="42">
        <v>0.4</v>
      </c>
      <c r="T1174" s="10">
        <f>IFERROR(ROUND((Q1174/R1174),2),"NA")</f>
        <v>0.88</v>
      </c>
      <c r="U1174">
        <f t="shared" si="18"/>
        <v>14</v>
      </c>
    </row>
    <row r="1175" spans="7:21" x14ac:dyDescent="0.2">
      <c r="G1175" s="9" t="s">
        <v>1859</v>
      </c>
      <c r="H1175">
        <v>50</v>
      </c>
      <c r="M1175" s="1" t="s">
        <v>1859</v>
      </c>
      <c r="N1175" s="1">
        <v>28</v>
      </c>
      <c r="P1175" s="1" t="s">
        <v>1859</v>
      </c>
      <c r="Q1175" s="42">
        <v>50</v>
      </c>
      <c r="R1175" s="42">
        <v>28</v>
      </c>
      <c r="S1175" s="42">
        <v>0.16</v>
      </c>
      <c r="T1175" s="10">
        <f>IFERROR(ROUND((Q1175/R1175),2),"NA")</f>
        <v>1.79</v>
      </c>
      <c r="U1175">
        <f t="shared" si="18"/>
        <v>8</v>
      </c>
    </row>
    <row r="1176" spans="7:21" x14ac:dyDescent="0.2">
      <c r="G1176" s="9" t="s">
        <v>2715</v>
      </c>
      <c r="H1176">
        <v>6</v>
      </c>
      <c r="M1176" s="1" t="s">
        <v>2715</v>
      </c>
      <c r="N1176" s="1">
        <v>12</v>
      </c>
      <c r="P1176" s="1" t="s">
        <v>2715</v>
      </c>
      <c r="Q1176" s="42">
        <v>6</v>
      </c>
      <c r="R1176" s="42">
        <v>12</v>
      </c>
      <c r="S1176" s="42">
        <v>0.21</v>
      </c>
      <c r="T1176" s="10">
        <f>IFERROR(ROUND((Q1176/R1176),2),"NA")</f>
        <v>0.5</v>
      </c>
      <c r="U1176">
        <f t="shared" si="18"/>
        <v>1.26</v>
      </c>
    </row>
    <row r="1177" spans="7:21" x14ac:dyDescent="0.2">
      <c r="G1177" s="9" t="s">
        <v>2833</v>
      </c>
      <c r="H1177">
        <v>39</v>
      </c>
      <c r="M1177" s="1" t="s">
        <v>2833</v>
      </c>
      <c r="N1177" s="1">
        <v>118</v>
      </c>
      <c r="P1177" s="1" t="s">
        <v>2833</v>
      </c>
      <c r="Q1177" s="42">
        <v>39</v>
      </c>
      <c r="R1177" s="42">
        <v>118</v>
      </c>
      <c r="S1177" s="42">
        <v>0.2</v>
      </c>
      <c r="T1177" s="10">
        <f>IFERROR(ROUND((Q1177/R1177),2),"NA")</f>
        <v>0.33</v>
      </c>
      <c r="U1177">
        <f t="shared" si="18"/>
        <v>7.8000000000000007</v>
      </c>
    </row>
    <row r="1178" spans="7:21" x14ac:dyDescent="0.2">
      <c r="G1178" s="9" t="s">
        <v>555</v>
      </c>
      <c r="H1178">
        <v>100</v>
      </c>
      <c r="M1178" s="1" t="s">
        <v>555</v>
      </c>
      <c r="N1178" s="1">
        <v>19</v>
      </c>
      <c r="P1178" s="1" t="s">
        <v>555</v>
      </c>
      <c r="Q1178" s="42">
        <v>100</v>
      </c>
      <c r="R1178" s="42">
        <v>19</v>
      </c>
      <c r="S1178" s="42">
        <v>0</v>
      </c>
      <c r="T1178" s="10">
        <f>IFERROR(ROUND((Q1178/R1178),2),"NA")</f>
        <v>5.26</v>
      </c>
      <c r="U1178">
        <f t="shared" si="18"/>
        <v>0</v>
      </c>
    </row>
    <row r="1179" spans="7:21" x14ac:dyDescent="0.2">
      <c r="G1179" s="9" t="s">
        <v>781</v>
      </c>
      <c r="H1179">
        <v>0</v>
      </c>
      <c r="M1179" s="1" t="s">
        <v>781</v>
      </c>
      <c r="N1179" s="1">
        <v>0</v>
      </c>
      <c r="P1179" s="1" t="s">
        <v>781</v>
      </c>
      <c r="Q1179" s="42">
        <v>0</v>
      </c>
      <c r="R1179" s="42">
        <v>0</v>
      </c>
      <c r="S1179" s="42">
        <v>0</v>
      </c>
      <c r="T1179" s="10" t="str">
        <f>IFERROR(ROUND((Q1179/R1179),2),"NA")</f>
        <v>NA</v>
      </c>
      <c r="U1179">
        <f t="shared" si="18"/>
        <v>0</v>
      </c>
    </row>
    <row r="1180" spans="7:21" x14ac:dyDescent="0.2">
      <c r="G1180" s="9" t="s">
        <v>2342</v>
      </c>
      <c r="H1180">
        <v>50</v>
      </c>
      <c r="M1180" s="1" t="s">
        <v>2342</v>
      </c>
      <c r="N1180" s="1">
        <v>430</v>
      </c>
      <c r="P1180" s="1" t="s">
        <v>2342</v>
      </c>
      <c r="Q1180" s="42">
        <v>50</v>
      </c>
      <c r="R1180" s="42">
        <v>430</v>
      </c>
      <c r="S1180" s="42">
        <v>0.05</v>
      </c>
      <c r="T1180" s="10">
        <f>IFERROR(ROUND((Q1180/R1180),2),"NA")</f>
        <v>0.12</v>
      </c>
      <c r="U1180">
        <f t="shared" si="18"/>
        <v>2.5</v>
      </c>
    </row>
    <row r="1181" spans="7:21" x14ac:dyDescent="0.2">
      <c r="G1181" s="9" t="s">
        <v>67</v>
      </c>
      <c r="H1181">
        <v>0</v>
      </c>
      <c r="M1181" s="1" t="s">
        <v>67</v>
      </c>
      <c r="N1181" s="1">
        <v>76</v>
      </c>
      <c r="P1181" s="1" t="s">
        <v>67</v>
      </c>
      <c r="Q1181" s="42">
        <v>0</v>
      </c>
      <c r="R1181" s="42">
        <v>76</v>
      </c>
      <c r="S1181" s="42">
        <v>1</v>
      </c>
      <c r="T1181" s="10">
        <f>IFERROR(ROUND((Q1181/R1181),2),"NA")</f>
        <v>0</v>
      </c>
      <c r="U1181">
        <f t="shared" si="18"/>
        <v>0</v>
      </c>
    </row>
    <row r="1182" spans="7:21" x14ac:dyDescent="0.2">
      <c r="G1182" s="9" t="s">
        <v>1349</v>
      </c>
      <c r="H1182">
        <v>0</v>
      </c>
      <c r="M1182" s="1" t="s">
        <v>1349</v>
      </c>
      <c r="N1182" s="1">
        <v>194</v>
      </c>
      <c r="P1182" s="1" t="s">
        <v>1349</v>
      </c>
      <c r="Q1182" s="42">
        <v>0</v>
      </c>
      <c r="R1182" s="42">
        <v>194</v>
      </c>
      <c r="S1182" s="42">
        <v>0.56999999999999995</v>
      </c>
      <c r="T1182" s="10">
        <f>IFERROR(ROUND((Q1182/R1182),2),"NA")</f>
        <v>0</v>
      </c>
      <c r="U1182">
        <f t="shared" si="18"/>
        <v>0</v>
      </c>
    </row>
    <row r="1183" spans="7:21" x14ac:dyDescent="0.2">
      <c r="G1183" s="9" t="s">
        <v>313</v>
      </c>
      <c r="H1183">
        <v>0</v>
      </c>
      <c r="M1183" s="1" t="s">
        <v>313</v>
      </c>
      <c r="N1183" s="1">
        <v>31</v>
      </c>
      <c r="P1183" s="1" t="s">
        <v>313</v>
      </c>
      <c r="Q1183" s="42">
        <v>0</v>
      </c>
      <c r="R1183" s="42">
        <v>31</v>
      </c>
      <c r="S1183" s="42">
        <v>1</v>
      </c>
      <c r="T1183" s="10">
        <f>IFERROR(ROUND((Q1183/R1183),2),"NA")</f>
        <v>0</v>
      </c>
      <c r="U1183">
        <f t="shared" si="18"/>
        <v>0</v>
      </c>
    </row>
    <row r="1184" spans="7:21" x14ac:dyDescent="0.2">
      <c r="G1184" s="9" t="s">
        <v>1825</v>
      </c>
      <c r="H1184">
        <v>900</v>
      </c>
      <c r="M1184" s="1" t="s">
        <v>1825</v>
      </c>
      <c r="N1184" s="1">
        <v>1200</v>
      </c>
      <c r="P1184" s="1" t="s">
        <v>1825</v>
      </c>
      <c r="Q1184" s="42">
        <v>900</v>
      </c>
      <c r="R1184" s="42">
        <v>1200</v>
      </c>
      <c r="S1184" s="42">
        <v>0.2</v>
      </c>
      <c r="T1184" s="10">
        <f>IFERROR(ROUND((Q1184/R1184),2),"NA")</f>
        <v>0.75</v>
      </c>
      <c r="U1184">
        <f t="shared" si="18"/>
        <v>180</v>
      </c>
    </row>
    <row r="1185" spans="7:21" x14ac:dyDescent="0.2">
      <c r="G1185" s="9" t="s">
        <v>1620</v>
      </c>
      <c r="H1185">
        <v>100</v>
      </c>
      <c r="M1185" s="1" t="s">
        <v>1620</v>
      </c>
      <c r="N1185" s="1">
        <v>205</v>
      </c>
      <c r="P1185" s="1" t="s">
        <v>1620</v>
      </c>
      <c r="Q1185" s="42">
        <v>100</v>
      </c>
      <c r="R1185" s="42">
        <v>205</v>
      </c>
      <c r="S1185" s="42">
        <v>0.06</v>
      </c>
      <c r="T1185" s="10">
        <f>IFERROR(ROUND((Q1185/R1185),2),"NA")</f>
        <v>0.49</v>
      </c>
      <c r="U1185">
        <f t="shared" si="18"/>
        <v>6</v>
      </c>
    </row>
    <row r="1186" spans="7:21" x14ac:dyDescent="0.2">
      <c r="G1186" s="9" t="s">
        <v>2658</v>
      </c>
      <c r="H1186">
        <v>500</v>
      </c>
      <c r="M1186" s="1" t="s">
        <v>2658</v>
      </c>
      <c r="N1186" s="1">
        <v>11</v>
      </c>
      <c r="P1186" s="1" t="s">
        <v>2658</v>
      </c>
      <c r="Q1186" s="42">
        <v>500</v>
      </c>
      <c r="R1186" s="42">
        <v>11</v>
      </c>
      <c r="S1186" s="42">
        <v>1</v>
      </c>
      <c r="T1186" s="10">
        <f>IFERROR(ROUND((Q1186/R1186),2),"NA")</f>
        <v>45.45</v>
      </c>
      <c r="U1186">
        <f t="shared" si="18"/>
        <v>500</v>
      </c>
    </row>
    <row r="1187" spans="7:21" x14ac:dyDescent="0.2">
      <c r="G1187" s="9" t="s">
        <v>1551</v>
      </c>
      <c r="H1187">
        <v>100</v>
      </c>
      <c r="M1187" s="1" t="s">
        <v>1551</v>
      </c>
      <c r="N1187" s="1">
        <v>416</v>
      </c>
      <c r="P1187" s="1" t="s">
        <v>1551</v>
      </c>
      <c r="Q1187" s="42">
        <v>100</v>
      </c>
      <c r="R1187" s="42">
        <v>416</v>
      </c>
      <c r="S1187" s="42">
        <v>0.12</v>
      </c>
      <c r="T1187" s="10">
        <f>IFERROR(ROUND((Q1187/R1187),2),"NA")</f>
        <v>0.24</v>
      </c>
      <c r="U1187">
        <f t="shared" si="18"/>
        <v>12</v>
      </c>
    </row>
    <row r="1188" spans="7:21" x14ac:dyDescent="0.2">
      <c r="G1188" s="9" t="s">
        <v>513</v>
      </c>
      <c r="H1188">
        <v>0</v>
      </c>
      <c r="M1188" s="1" t="s">
        <v>513</v>
      </c>
      <c r="N1188" s="1">
        <v>110</v>
      </c>
      <c r="P1188" s="1" t="s">
        <v>513</v>
      </c>
      <c r="Q1188" s="42">
        <v>0</v>
      </c>
      <c r="R1188" s="42">
        <v>110</v>
      </c>
      <c r="S1188" s="42">
        <v>0</v>
      </c>
      <c r="T1188" s="10">
        <f>IFERROR(ROUND((Q1188/R1188),2),"NA")</f>
        <v>0</v>
      </c>
      <c r="U1188">
        <f t="shared" si="18"/>
        <v>0</v>
      </c>
    </row>
    <row r="1189" spans="7:21" x14ac:dyDescent="0.2">
      <c r="G1189" s="9" t="s">
        <v>1840</v>
      </c>
      <c r="H1189">
        <v>72</v>
      </c>
      <c r="M1189" s="1" t="s">
        <v>1840</v>
      </c>
      <c r="N1189" s="1">
        <v>281</v>
      </c>
      <c r="P1189" s="1" t="s">
        <v>1840</v>
      </c>
      <c r="Q1189" s="42">
        <v>72</v>
      </c>
      <c r="R1189" s="42">
        <v>281</v>
      </c>
      <c r="S1189" s="42">
        <v>0.33</v>
      </c>
      <c r="T1189" s="10">
        <f>IFERROR(ROUND((Q1189/R1189),2),"NA")</f>
        <v>0.26</v>
      </c>
      <c r="U1189">
        <f t="shared" si="18"/>
        <v>23.76</v>
      </c>
    </row>
    <row r="1190" spans="7:21" x14ac:dyDescent="0.2">
      <c r="G1190" s="9" t="s">
        <v>1884</v>
      </c>
      <c r="H1190">
        <v>0</v>
      </c>
      <c r="M1190" s="1" t="s">
        <v>1884</v>
      </c>
      <c r="N1190" s="1">
        <v>0</v>
      </c>
      <c r="P1190" s="1" t="s">
        <v>1884</v>
      </c>
      <c r="Q1190" s="42">
        <v>0</v>
      </c>
      <c r="R1190" s="42">
        <v>0</v>
      </c>
      <c r="S1190" s="42">
        <v>0</v>
      </c>
      <c r="T1190" s="10" t="str">
        <f>IFERROR(ROUND((Q1190/R1190),2),"NA")</f>
        <v>NA</v>
      </c>
      <c r="U1190">
        <f t="shared" si="18"/>
        <v>0</v>
      </c>
    </row>
    <row r="1191" spans="7:21" x14ac:dyDescent="0.2">
      <c r="G1191" s="9" t="s">
        <v>668</v>
      </c>
      <c r="H1191">
        <v>440</v>
      </c>
      <c r="M1191" s="1" t="s">
        <v>668</v>
      </c>
      <c r="N1191" s="1">
        <v>39</v>
      </c>
      <c r="P1191" s="1" t="s">
        <v>668</v>
      </c>
      <c r="Q1191" s="42">
        <v>440</v>
      </c>
      <c r="R1191" s="42">
        <v>39</v>
      </c>
      <c r="S1191" s="42">
        <v>0.04</v>
      </c>
      <c r="T1191" s="10">
        <f>IFERROR(ROUND((Q1191/R1191),2),"NA")</f>
        <v>11.28</v>
      </c>
      <c r="U1191">
        <f t="shared" si="18"/>
        <v>17.600000000000001</v>
      </c>
    </row>
    <row r="1192" spans="7:21" x14ac:dyDescent="0.2">
      <c r="G1192" s="9" t="s">
        <v>2076</v>
      </c>
      <c r="H1192">
        <v>0</v>
      </c>
      <c r="M1192" s="1" t="s">
        <v>2076</v>
      </c>
      <c r="N1192" s="1">
        <v>108</v>
      </c>
      <c r="P1192" s="1" t="s">
        <v>2076</v>
      </c>
      <c r="Q1192" s="42">
        <v>0</v>
      </c>
      <c r="R1192" s="42">
        <v>108</v>
      </c>
      <c r="S1192" s="42">
        <v>0.14000000000000001</v>
      </c>
      <c r="T1192" s="10">
        <f>IFERROR(ROUND((Q1192/R1192),2),"NA")</f>
        <v>0</v>
      </c>
      <c r="U1192">
        <f t="shared" si="18"/>
        <v>0</v>
      </c>
    </row>
    <row r="1193" spans="7:21" x14ac:dyDescent="0.2">
      <c r="G1193" s="9" t="s">
        <v>1005</v>
      </c>
      <c r="H1193">
        <v>8</v>
      </c>
      <c r="M1193" s="1" t="s">
        <v>1005</v>
      </c>
      <c r="N1193" s="1">
        <v>119</v>
      </c>
      <c r="P1193" s="1" t="s">
        <v>1005</v>
      </c>
      <c r="Q1193" s="42">
        <v>8</v>
      </c>
      <c r="R1193" s="42">
        <v>119</v>
      </c>
      <c r="S1193" s="42">
        <v>0</v>
      </c>
      <c r="T1193" s="10">
        <f>IFERROR(ROUND((Q1193/R1193),2),"NA")</f>
        <v>7.0000000000000007E-2</v>
      </c>
      <c r="U1193">
        <f t="shared" si="18"/>
        <v>0</v>
      </c>
    </row>
    <row r="1194" spans="7:21" x14ac:dyDescent="0.2">
      <c r="G1194" s="9" t="s">
        <v>1254</v>
      </c>
      <c r="H1194">
        <v>1700</v>
      </c>
      <c r="M1194" s="1" t="s">
        <v>1254</v>
      </c>
      <c r="N1194" s="1">
        <v>0</v>
      </c>
      <c r="P1194" s="1" t="s">
        <v>1254</v>
      </c>
      <c r="Q1194" s="42">
        <v>1700</v>
      </c>
      <c r="R1194" s="42">
        <v>0</v>
      </c>
      <c r="S1194" s="42">
        <v>0</v>
      </c>
      <c r="T1194" s="10" t="str">
        <f>IFERROR(ROUND((Q1194/R1194),2),"NA")</f>
        <v>NA</v>
      </c>
      <c r="U1194">
        <f t="shared" si="18"/>
        <v>0</v>
      </c>
    </row>
    <row r="1195" spans="7:21" x14ac:dyDescent="0.2">
      <c r="G1195" s="9" t="s">
        <v>2212</v>
      </c>
      <c r="H1195">
        <v>390</v>
      </c>
      <c r="M1195" s="1" t="s">
        <v>2212</v>
      </c>
      <c r="N1195" s="1">
        <v>2800</v>
      </c>
      <c r="P1195" s="1" t="s">
        <v>2212</v>
      </c>
      <c r="Q1195" s="42">
        <v>390</v>
      </c>
      <c r="R1195" s="42">
        <v>2800</v>
      </c>
      <c r="S1195" s="42">
        <v>0</v>
      </c>
      <c r="T1195" s="10">
        <f>IFERROR(ROUND((Q1195/R1195),2),"NA")</f>
        <v>0.14000000000000001</v>
      </c>
      <c r="U1195">
        <f t="shared" si="18"/>
        <v>0</v>
      </c>
    </row>
    <row r="1196" spans="7:21" x14ac:dyDescent="0.2">
      <c r="G1196" s="9" t="s">
        <v>1886</v>
      </c>
      <c r="H1196">
        <v>1300</v>
      </c>
      <c r="M1196" s="1" t="s">
        <v>1886</v>
      </c>
      <c r="N1196" s="1">
        <v>3000</v>
      </c>
      <c r="P1196" s="1" t="s">
        <v>1886</v>
      </c>
      <c r="Q1196" s="42">
        <v>1300</v>
      </c>
      <c r="R1196" s="42">
        <v>3000</v>
      </c>
      <c r="S1196" s="42">
        <v>0.3</v>
      </c>
      <c r="T1196" s="10">
        <f>IFERROR(ROUND((Q1196/R1196),2),"NA")</f>
        <v>0.43</v>
      </c>
      <c r="U1196">
        <f t="shared" si="18"/>
        <v>390</v>
      </c>
    </row>
    <row r="1197" spans="7:21" x14ac:dyDescent="0.2">
      <c r="G1197" s="9" t="s">
        <v>1059</v>
      </c>
      <c r="H1197">
        <v>35</v>
      </c>
      <c r="M1197" s="1" t="s">
        <v>1059</v>
      </c>
      <c r="N1197" s="1">
        <v>488</v>
      </c>
      <c r="P1197" s="1" t="s">
        <v>1059</v>
      </c>
      <c r="Q1197" s="42">
        <v>35</v>
      </c>
      <c r="R1197" s="42">
        <v>488</v>
      </c>
      <c r="S1197" s="42">
        <v>9.5000000000000001E-2</v>
      </c>
      <c r="T1197" s="10">
        <f>IFERROR(ROUND((Q1197/R1197),2),"NA")</f>
        <v>7.0000000000000007E-2</v>
      </c>
      <c r="U1197">
        <f t="shared" si="18"/>
        <v>3.3250000000000002</v>
      </c>
    </row>
    <row r="1198" spans="7:21" x14ac:dyDescent="0.2">
      <c r="G1198" s="9" t="s">
        <v>1281</v>
      </c>
      <c r="H1198">
        <v>15</v>
      </c>
      <c r="M1198" s="1" t="s">
        <v>1281</v>
      </c>
      <c r="N1198" s="1">
        <v>16</v>
      </c>
      <c r="P1198" s="1" t="s">
        <v>1281</v>
      </c>
      <c r="Q1198" s="42">
        <v>15</v>
      </c>
      <c r="R1198" s="42">
        <v>16</v>
      </c>
      <c r="S1198" s="42">
        <v>0.3</v>
      </c>
      <c r="T1198" s="10">
        <f>IFERROR(ROUND((Q1198/R1198),2),"NA")</f>
        <v>0.94</v>
      </c>
      <c r="U1198">
        <f t="shared" si="18"/>
        <v>4.5</v>
      </c>
    </row>
    <row r="1199" spans="7:21" x14ac:dyDescent="0.2">
      <c r="G1199" s="9" t="s">
        <v>1665</v>
      </c>
      <c r="H1199">
        <v>75</v>
      </c>
      <c r="M1199" s="1" t="s">
        <v>1665</v>
      </c>
      <c r="N1199" s="1">
        <v>332</v>
      </c>
      <c r="P1199" s="1" t="s">
        <v>1665</v>
      </c>
      <c r="Q1199" s="42">
        <v>75</v>
      </c>
      <c r="R1199" s="42">
        <v>332</v>
      </c>
      <c r="S1199" s="42">
        <v>0.10500000000000001</v>
      </c>
      <c r="T1199" s="10">
        <f>IFERROR(ROUND((Q1199/R1199),2),"NA")</f>
        <v>0.23</v>
      </c>
      <c r="U1199">
        <f t="shared" si="18"/>
        <v>7.8750000000000009</v>
      </c>
    </row>
    <row r="1200" spans="7:21" x14ac:dyDescent="0.2">
      <c r="G1200" s="9" t="s">
        <v>1315</v>
      </c>
      <c r="H1200">
        <v>0</v>
      </c>
      <c r="M1200" s="1" t="s">
        <v>1315</v>
      </c>
      <c r="N1200" s="1">
        <v>0</v>
      </c>
      <c r="P1200" s="1" t="s">
        <v>1315</v>
      </c>
      <c r="Q1200" s="42">
        <v>0</v>
      </c>
      <c r="R1200" s="42">
        <v>0</v>
      </c>
      <c r="S1200" s="42">
        <v>1</v>
      </c>
      <c r="T1200" s="10" t="str">
        <f>IFERROR(ROUND((Q1200/R1200),2),"NA")</f>
        <v>NA</v>
      </c>
      <c r="U1200">
        <f t="shared" si="18"/>
        <v>0</v>
      </c>
    </row>
    <row r="1201" spans="7:21" x14ac:dyDescent="0.2">
      <c r="G1201" s="9" t="s">
        <v>309</v>
      </c>
      <c r="H1201">
        <v>0</v>
      </c>
      <c r="M1201" s="1" t="s">
        <v>309</v>
      </c>
      <c r="N1201" s="1">
        <v>376</v>
      </c>
      <c r="P1201" s="1" t="s">
        <v>309</v>
      </c>
      <c r="Q1201" s="42">
        <v>0</v>
      </c>
      <c r="R1201" s="42">
        <v>376</v>
      </c>
      <c r="S1201" s="42">
        <v>0.17</v>
      </c>
      <c r="T1201" s="10">
        <f>IFERROR(ROUND((Q1201/R1201),2),"NA")</f>
        <v>0</v>
      </c>
      <c r="U1201">
        <f t="shared" si="18"/>
        <v>0</v>
      </c>
    </row>
    <row r="1202" spans="7:21" x14ac:dyDescent="0.2">
      <c r="G1202" s="9" t="s">
        <v>2403</v>
      </c>
      <c r="H1202">
        <v>0</v>
      </c>
      <c r="M1202" s="1" t="s">
        <v>2403</v>
      </c>
      <c r="N1202" s="1">
        <v>17</v>
      </c>
      <c r="P1202" s="1" t="s">
        <v>2403</v>
      </c>
      <c r="Q1202" s="42">
        <v>0</v>
      </c>
      <c r="R1202" s="42">
        <v>17</v>
      </c>
      <c r="S1202" s="42">
        <v>1</v>
      </c>
      <c r="T1202" s="10">
        <f>IFERROR(ROUND((Q1202/R1202),2),"NA")</f>
        <v>0</v>
      </c>
      <c r="U1202">
        <f t="shared" si="18"/>
        <v>0</v>
      </c>
    </row>
    <row r="1203" spans="7:21" x14ac:dyDescent="0.2">
      <c r="G1203" s="9" t="s">
        <v>860</v>
      </c>
      <c r="H1203">
        <v>180</v>
      </c>
      <c r="M1203" s="1" t="s">
        <v>860</v>
      </c>
      <c r="N1203" s="1">
        <v>188</v>
      </c>
      <c r="P1203" s="1" t="s">
        <v>860</v>
      </c>
      <c r="Q1203" s="42">
        <v>180</v>
      </c>
      <c r="R1203" s="42">
        <v>188</v>
      </c>
      <c r="S1203" s="42">
        <v>0</v>
      </c>
      <c r="T1203" s="10">
        <f>IFERROR(ROUND((Q1203/R1203),2),"NA")</f>
        <v>0.96</v>
      </c>
      <c r="U1203">
        <f t="shared" si="18"/>
        <v>0</v>
      </c>
    </row>
    <row r="1204" spans="7:21" x14ac:dyDescent="0.2">
      <c r="G1204" s="9" t="s">
        <v>856</v>
      </c>
      <c r="H1204">
        <v>200</v>
      </c>
      <c r="M1204" s="1" t="s">
        <v>856</v>
      </c>
      <c r="N1204" s="1">
        <v>188</v>
      </c>
      <c r="P1204" s="1" t="s">
        <v>856</v>
      </c>
      <c r="Q1204" s="42">
        <v>200</v>
      </c>
      <c r="R1204" s="42">
        <v>188</v>
      </c>
      <c r="S1204" s="42">
        <v>0.3</v>
      </c>
      <c r="T1204" s="10">
        <f>IFERROR(ROUND((Q1204/R1204),2),"NA")</f>
        <v>1.06</v>
      </c>
      <c r="U1204">
        <f t="shared" si="18"/>
        <v>60</v>
      </c>
    </row>
    <row r="1205" spans="7:21" x14ac:dyDescent="0.2">
      <c r="G1205" s="9" t="s">
        <v>2624</v>
      </c>
      <c r="H1205">
        <v>0</v>
      </c>
      <c r="M1205" s="1" t="s">
        <v>2624</v>
      </c>
      <c r="N1205" s="1">
        <v>100</v>
      </c>
      <c r="P1205" s="1" t="s">
        <v>2624</v>
      </c>
      <c r="Q1205" s="42">
        <v>0</v>
      </c>
      <c r="R1205" s="42">
        <v>100</v>
      </c>
      <c r="S1205" s="42">
        <v>0</v>
      </c>
      <c r="T1205" s="10">
        <f>IFERROR(ROUND((Q1205/R1205),2),"NA")</f>
        <v>0</v>
      </c>
      <c r="U1205">
        <f t="shared" si="18"/>
        <v>0</v>
      </c>
    </row>
    <row r="1206" spans="7:21" x14ac:dyDescent="0.2">
      <c r="G1206" s="9" t="s">
        <v>988</v>
      </c>
      <c r="H1206">
        <v>0</v>
      </c>
      <c r="M1206" s="1" t="s">
        <v>988</v>
      </c>
      <c r="N1206" s="1">
        <v>13</v>
      </c>
      <c r="P1206" s="1" t="s">
        <v>988</v>
      </c>
      <c r="Q1206" s="42">
        <v>0</v>
      </c>
      <c r="R1206" s="42">
        <v>13</v>
      </c>
      <c r="S1206" s="42">
        <v>1</v>
      </c>
      <c r="T1206" s="10">
        <f>IFERROR(ROUND((Q1206/R1206),2),"NA")</f>
        <v>0</v>
      </c>
      <c r="U1206">
        <f t="shared" si="18"/>
        <v>0</v>
      </c>
    </row>
    <row r="1207" spans="7:21" x14ac:dyDescent="0.2">
      <c r="G1207" s="9" t="s">
        <v>963</v>
      </c>
      <c r="H1207">
        <v>94</v>
      </c>
      <c r="M1207" s="1" t="s">
        <v>963</v>
      </c>
      <c r="N1207" s="1">
        <v>338</v>
      </c>
      <c r="P1207" s="1" t="s">
        <v>963</v>
      </c>
      <c r="Q1207" s="42">
        <v>94</v>
      </c>
      <c r="R1207" s="42">
        <v>338</v>
      </c>
      <c r="S1207" s="42">
        <v>0</v>
      </c>
      <c r="T1207" s="10">
        <f>IFERROR(ROUND((Q1207/R1207),2),"NA")</f>
        <v>0.28000000000000003</v>
      </c>
      <c r="U1207">
        <f t="shared" si="18"/>
        <v>0</v>
      </c>
    </row>
    <row r="1208" spans="7:21" x14ac:dyDescent="0.2">
      <c r="G1208" s="9" t="s">
        <v>614</v>
      </c>
      <c r="H1208">
        <v>0</v>
      </c>
      <c r="M1208" s="1" t="s">
        <v>614</v>
      </c>
      <c r="N1208" s="1">
        <v>116</v>
      </c>
      <c r="P1208" s="1" t="s">
        <v>614</v>
      </c>
      <c r="Q1208" s="42">
        <v>0</v>
      </c>
      <c r="R1208" s="42">
        <v>116</v>
      </c>
      <c r="S1208" s="42">
        <v>0</v>
      </c>
      <c r="T1208" s="10">
        <f>IFERROR(ROUND((Q1208/R1208),2),"NA")</f>
        <v>0</v>
      </c>
      <c r="U1208">
        <f t="shared" si="18"/>
        <v>0</v>
      </c>
    </row>
    <row r="1209" spans="7:21" x14ac:dyDescent="0.2">
      <c r="G1209" s="9" t="s">
        <v>2052</v>
      </c>
      <c r="H1209">
        <v>0</v>
      </c>
      <c r="M1209" s="1" t="s">
        <v>2052</v>
      </c>
      <c r="N1209" s="1">
        <v>91</v>
      </c>
      <c r="P1209" s="1" t="s">
        <v>2052</v>
      </c>
      <c r="Q1209" s="42">
        <v>0</v>
      </c>
      <c r="R1209" s="42">
        <v>91</v>
      </c>
      <c r="S1209" s="42">
        <v>0.23</v>
      </c>
      <c r="T1209" s="10">
        <f>IFERROR(ROUND((Q1209/R1209),2),"NA")</f>
        <v>0</v>
      </c>
      <c r="U1209">
        <f t="shared" si="18"/>
        <v>0</v>
      </c>
    </row>
    <row r="1210" spans="7:21" x14ac:dyDescent="0.2">
      <c r="G1210" s="9" t="s">
        <v>82</v>
      </c>
      <c r="H1210">
        <v>0</v>
      </c>
      <c r="M1210" s="1" t="s">
        <v>82</v>
      </c>
      <c r="N1210" s="1">
        <v>39</v>
      </c>
      <c r="P1210" s="1" t="s">
        <v>82</v>
      </c>
      <c r="Q1210" s="42">
        <v>0</v>
      </c>
      <c r="R1210" s="42">
        <v>39</v>
      </c>
      <c r="S1210" s="42">
        <v>1</v>
      </c>
      <c r="T1210" s="10">
        <f>IFERROR(ROUND((Q1210/R1210),2),"NA")</f>
        <v>0</v>
      </c>
      <c r="U1210">
        <f t="shared" si="18"/>
        <v>0</v>
      </c>
    </row>
    <row r="1211" spans="7:21" x14ac:dyDescent="0.2">
      <c r="G1211" s="9" t="s">
        <v>1116</v>
      </c>
      <c r="H1211">
        <v>20</v>
      </c>
      <c r="M1211" s="1" t="s">
        <v>1116</v>
      </c>
      <c r="N1211" s="1">
        <v>34</v>
      </c>
      <c r="P1211" s="1" t="s">
        <v>1116</v>
      </c>
      <c r="Q1211" s="42">
        <v>20</v>
      </c>
      <c r="R1211" s="42">
        <v>34</v>
      </c>
      <c r="S1211" s="42">
        <v>0.28000000000000003</v>
      </c>
      <c r="T1211" s="10">
        <f>IFERROR(ROUND((Q1211/R1211),2),"NA")</f>
        <v>0.59</v>
      </c>
      <c r="U1211">
        <f t="shared" si="18"/>
        <v>5.6000000000000005</v>
      </c>
    </row>
    <row r="1212" spans="7:21" x14ac:dyDescent="0.2">
      <c r="G1212" s="9" t="s">
        <v>994</v>
      </c>
      <c r="H1212">
        <v>0</v>
      </c>
      <c r="M1212" s="1" t="s">
        <v>994</v>
      </c>
      <c r="N1212" s="1">
        <v>4</v>
      </c>
      <c r="P1212" s="1" t="s">
        <v>994</v>
      </c>
      <c r="Q1212" s="42">
        <v>0</v>
      </c>
      <c r="R1212" s="42">
        <v>4</v>
      </c>
      <c r="S1212" s="42">
        <v>1</v>
      </c>
      <c r="T1212" s="10">
        <f>IFERROR(ROUND((Q1212/R1212),2),"NA")</f>
        <v>0</v>
      </c>
      <c r="U1212">
        <f t="shared" si="18"/>
        <v>0</v>
      </c>
    </row>
    <row r="1213" spans="7:21" x14ac:dyDescent="0.2">
      <c r="G1213" s="9" t="s">
        <v>193</v>
      </c>
      <c r="H1213">
        <v>0</v>
      </c>
      <c r="M1213" s="1" t="s">
        <v>193</v>
      </c>
      <c r="N1213" s="1">
        <v>547</v>
      </c>
      <c r="P1213" s="1" t="s">
        <v>193</v>
      </c>
      <c r="Q1213" s="42">
        <v>0</v>
      </c>
      <c r="R1213" s="42">
        <v>547</v>
      </c>
      <c r="S1213" s="42">
        <v>0</v>
      </c>
      <c r="T1213" s="10">
        <f>IFERROR(ROUND((Q1213/R1213),2),"NA")</f>
        <v>0</v>
      </c>
      <c r="U1213">
        <f t="shared" si="18"/>
        <v>0</v>
      </c>
    </row>
    <row r="1214" spans="7:21" x14ac:dyDescent="0.2">
      <c r="G1214" s="9" t="s">
        <v>488</v>
      </c>
      <c r="H1214">
        <v>0</v>
      </c>
      <c r="M1214" s="1" t="s">
        <v>488</v>
      </c>
      <c r="N1214" s="1">
        <v>52</v>
      </c>
      <c r="P1214" s="1" t="s">
        <v>488</v>
      </c>
      <c r="Q1214" s="42">
        <v>0</v>
      </c>
      <c r="R1214" s="42">
        <v>52</v>
      </c>
      <c r="S1214" s="42">
        <v>1</v>
      </c>
      <c r="T1214" s="10">
        <f>IFERROR(ROUND((Q1214/R1214),2),"NA")</f>
        <v>0</v>
      </c>
      <c r="U1214">
        <f t="shared" si="18"/>
        <v>0</v>
      </c>
    </row>
    <row r="1215" spans="7:21" x14ac:dyDescent="0.2">
      <c r="G1215" s="9" t="s">
        <v>2498</v>
      </c>
      <c r="H1215">
        <v>3074</v>
      </c>
      <c r="M1215" s="1" t="s">
        <v>2498</v>
      </c>
      <c r="N1215" s="1">
        <v>4100</v>
      </c>
      <c r="P1215" s="1" t="s">
        <v>2498</v>
      </c>
      <c r="Q1215" s="42">
        <v>3074</v>
      </c>
      <c r="R1215" s="42">
        <v>4100</v>
      </c>
      <c r="S1215" s="42">
        <v>0.3666666666666667</v>
      </c>
      <c r="T1215" s="10">
        <f>IFERROR(ROUND((Q1215/R1215),2),"NA")</f>
        <v>0.75</v>
      </c>
      <c r="U1215">
        <f t="shared" si="18"/>
        <v>1127.1333333333334</v>
      </c>
    </row>
    <row r="1216" spans="7:21" x14ac:dyDescent="0.2">
      <c r="G1216" s="9" t="s">
        <v>1834</v>
      </c>
      <c r="H1216">
        <v>150</v>
      </c>
      <c r="M1216" s="1" t="s">
        <v>1834</v>
      </c>
      <c r="N1216" s="1">
        <v>3200</v>
      </c>
      <c r="P1216" s="1" t="s">
        <v>1834</v>
      </c>
      <c r="Q1216" s="42">
        <v>150</v>
      </c>
      <c r="R1216" s="42">
        <v>3200</v>
      </c>
      <c r="S1216" s="42">
        <v>0</v>
      </c>
      <c r="T1216" s="10">
        <f>IFERROR(ROUND((Q1216/R1216),2),"NA")</f>
        <v>0.05</v>
      </c>
      <c r="U1216">
        <f t="shared" si="18"/>
        <v>0</v>
      </c>
    </row>
    <row r="1217" spans="7:21" x14ac:dyDescent="0.2">
      <c r="G1217" s="9" t="s">
        <v>646</v>
      </c>
      <c r="H1217">
        <v>240</v>
      </c>
      <c r="M1217" s="1" t="s">
        <v>646</v>
      </c>
      <c r="N1217" s="1">
        <v>458</v>
      </c>
      <c r="P1217" s="1" t="s">
        <v>646</v>
      </c>
      <c r="Q1217" s="42">
        <v>240</v>
      </c>
      <c r="R1217" s="42">
        <v>458</v>
      </c>
      <c r="S1217" s="42">
        <v>0.08</v>
      </c>
      <c r="T1217" s="10">
        <f>IFERROR(ROUND((Q1217/R1217),2),"NA")</f>
        <v>0.52</v>
      </c>
      <c r="U1217">
        <f t="shared" si="18"/>
        <v>19.2</v>
      </c>
    </row>
    <row r="1218" spans="7:21" x14ac:dyDescent="0.2">
      <c r="G1218" s="9" t="s">
        <v>2878</v>
      </c>
      <c r="H1218">
        <v>0</v>
      </c>
      <c r="M1218" s="1" t="s">
        <v>2878</v>
      </c>
      <c r="N1218" s="1">
        <v>8</v>
      </c>
      <c r="P1218" s="1" t="s">
        <v>2878</v>
      </c>
      <c r="Q1218" s="42">
        <v>0</v>
      </c>
      <c r="R1218" s="42">
        <v>8</v>
      </c>
      <c r="S1218" s="42">
        <v>0</v>
      </c>
      <c r="T1218" s="10">
        <f>IFERROR(ROUND((Q1218/R1218),2),"NA")</f>
        <v>0</v>
      </c>
      <c r="U1218">
        <f t="shared" si="18"/>
        <v>0</v>
      </c>
    </row>
    <row r="1219" spans="7:21" x14ac:dyDescent="0.2">
      <c r="G1219" s="9" t="s">
        <v>2368</v>
      </c>
      <c r="H1219">
        <v>0</v>
      </c>
      <c r="M1219" s="1" t="s">
        <v>2368</v>
      </c>
      <c r="N1219" s="1">
        <v>6</v>
      </c>
      <c r="P1219" s="1" t="s">
        <v>2368</v>
      </c>
      <c r="Q1219" s="42">
        <v>0</v>
      </c>
      <c r="R1219" s="42">
        <v>6</v>
      </c>
      <c r="S1219" s="42">
        <v>0</v>
      </c>
      <c r="T1219" s="10">
        <f>IFERROR(ROUND((Q1219/R1219),2),"NA")</f>
        <v>0</v>
      </c>
      <c r="U1219">
        <f t="shared" si="18"/>
        <v>0</v>
      </c>
    </row>
    <row r="1220" spans="7:21" x14ac:dyDescent="0.2">
      <c r="G1220" s="9" t="s">
        <v>2865</v>
      </c>
      <c r="H1220">
        <v>349</v>
      </c>
      <c r="M1220" s="1" t="s">
        <v>2865</v>
      </c>
      <c r="N1220" s="1">
        <v>227</v>
      </c>
      <c r="P1220" s="1" t="s">
        <v>2865</v>
      </c>
      <c r="Q1220" s="42">
        <v>349</v>
      </c>
      <c r="R1220" s="42">
        <v>227</v>
      </c>
      <c r="S1220" s="42">
        <v>0.18</v>
      </c>
      <c r="T1220" s="10">
        <f>IFERROR(ROUND((Q1220/R1220),2),"NA")</f>
        <v>1.54</v>
      </c>
      <c r="U1220">
        <f t="shared" si="18"/>
        <v>62.82</v>
      </c>
    </row>
    <row r="1221" spans="7:21" x14ac:dyDescent="0.2">
      <c r="G1221" s="9" t="s">
        <v>760</v>
      </c>
      <c r="H1221">
        <v>100</v>
      </c>
      <c r="M1221" s="1" t="s">
        <v>760</v>
      </c>
      <c r="N1221" s="1">
        <v>28</v>
      </c>
      <c r="P1221" s="1" t="s">
        <v>760</v>
      </c>
      <c r="Q1221" s="42">
        <v>100</v>
      </c>
      <c r="R1221" s="42">
        <v>28</v>
      </c>
      <c r="S1221" s="42">
        <v>0.2</v>
      </c>
      <c r="T1221" s="10">
        <f>IFERROR(ROUND((Q1221/R1221),2),"NA")</f>
        <v>3.57</v>
      </c>
      <c r="U1221">
        <f t="shared" ref="U1221:U1284" si="19">Q1221*S1221</f>
        <v>20</v>
      </c>
    </row>
    <row r="1222" spans="7:21" x14ac:dyDescent="0.2">
      <c r="G1222" s="9" t="s">
        <v>2783</v>
      </c>
      <c r="H1222">
        <v>18</v>
      </c>
      <c r="M1222" s="1" t="s">
        <v>2783</v>
      </c>
      <c r="N1222" s="1">
        <v>23</v>
      </c>
      <c r="P1222" s="1" t="s">
        <v>2783</v>
      </c>
      <c r="Q1222" s="42">
        <v>18</v>
      </c>
      <c r="R1222" s="42">
        <v>23</v>
      </c>
      <c r="S1222" s="42">
        <v>0.16</v>
      </c>
      <c r="T1222" s="10">
        <f>IFERROR(ROUND((Q1222/R1222),2),"NA")</f>
        <v>0.78</v>
      </c>
      <c r="U1222">
        <f t="shared" si="19"/>
        <v>2.88</v>
      </c>
    </row>
    <row r="1223" spans="7:21" x14ac:dyDescent="0.2">
      <c r="G1223" s="9" t="s">
        <v>257</v>
      </c>
      <c r="H1223">
        <v>0</v>
      </c>
      <c r="M1223" s="1" t="s">
        <v>257</v>
      </c>
      <c r="N1223" s="1">
        <v>79</v>
      </c>
      <c r="P1223" s="1" t="s">
        <v>257</v>
      </c>
      <c r="Q1223" s="42">
        <v>0</v>
      </c>
      <c r="R1223" s="42">
        <v>79</v>
      </c>
      <c r="S1223" s="42">
        <v>0.14000000000000001</v>
      </c>
      <c r="T1223" s="10">
        <f>IFERROR(ROUND((Q1223/R1223),2),"NA")</f>
        <v>0</v>
      </c>
      <c r="U1223">
        <f t="shared" si="19"/>
        <v>0</v>
      </c>
    </row>
    <row r="1224" spans="7:21" x14ac:dyDescent="0.2">
      <c r="G1224" s="9" t="s">
        <v>751</v>
      </c>
      <c r="H1224">
        <v>42</v>
      </c>
      <c r="M1224" s="1" t="s">
        <v>751</v>
      </c>
      <c r="N1224" s="1">
        <v>187</v>
      </c>
      <c r="P1224" s="1" t="s">
        <v>751</v>
      </c>
      <c r="Q1224" s="42">
        <v>42</v>
      </c>
      <c r="R1224" s="42">
        <v>187</v>
      </c>
      <c r="S1224" s="42">
        <v>0</v>
      </c>
      <c r="T1224" s="10">
        <f>IFERROR(ROUND((Q1224/R1224),2),"NA")</f>
        <v>0.22</v>
      </c>
      <c r="U1224">
        <f t="shared" si="19"/>
        <v>0</v>
      </c>
    </row>
    <row r="1225" spans="7:21" x14ac:dyDescent="0.2">
      <c r="G1225" s="9" t="s">
        <v>906</v>
      </c>
      <c r="H1225">
        <v>120</v>
      </c>
      <c r="M1225" s="1" t="s">
        <v>906</v>
      </c>
      <c r="N1225" s="1">
        <v>276</v>
      </c>
      <c r="P1225" s="1" t="s">
        <v>906</v>
      </c>
      <c r="Q1225" s="42">
        <v>120</v>
      </c>
      <c r="R1225" s="42">
        <v>276</v>
      </c>
      <c r="S1225" s="42">
        <v>7.5000000000000011E-2</v>
      </c>
      <c r="T1225" s="10">
        <f>IFERROR(ROUND((Q1225/R1225),2),"NA")</f>
        <v>0.43</v>
      </c>
      <c r="U1225">
        <f t="shared" si="19"/>
        <v>9.0000000000000018</v>
      </c>
    </row>
    <row r="1226" spans="7:21" x14ac:dyDescent="0.2">
      <c r="G1226" s="9" t="s">
        <v>2232</v>
      </c>
      <c r="H1226">
        <v>39</v>
      </c>
      <c r="M1226" s="1" t="s">
        <v>2232</v>
      </c>
      <c r="N1226" s="1">
        <v>240</v>
      </c>
      <c r="P1226" s="1" t="s">
        <v>2232</v>
      </c>
      <c r="Q1226" s="42">
        <v>39</v>
      </c>
      <c r="R1226" s="42">
        <v>240</v>
      </c>
      <c r="S1226" s="42">
        <v>7.0000000000000007E-2</v>
      </c>
      <c r="T1226" s="10">
        <f>IFERROR(ROUND((Q1226/R1226),2),"NA")</f>
        <v>0.16</v>
      </c>
      <c r="U1226">
        <f t="shared" si="19"/>
        <v>2.7300000000000004</v>
      </c>
    </row>
    <row r="1227" spans="7:21" x14ac:dyDescent="0.2">
      <c r="G1227" s="9" t="s">
        <v>2646</v>
      </c>
      <c r="H1227">
        <v>25</v>
      </c>
      <c r="M1227" s="1" t="s">
        <v>2646</v>
      </c>
      <c r="N1227" s="1">
        <v>10</v>
      </c>
      <c r="P1227" s="1" t="s">
        <v>2646</v>
      </c>
      <c r="Q1227" s="42">
        <v>25</v>
      </c>
      <c r="R1227" s="42">
        <v>10</v>
      </c>
      <c r="S1227" s="42">
        <v>0.18</v>
      </c>
      <c r="T1227" s="10">
        <f>IFERROR(ROUND((Q1227/R1227),2),"NA")</f>
        <v>2.5</v>
      </c>
      <c r="U1227">
        <f t="shared" si="19"/>
        <v>4.5</v>
      </c>
    </row>
    <row r="1228" spans="7:21" x14ac:dyDescent="0.2">
      <c r="G1228" s="9" t="s">
        <v>104</v>
      </c>
      <c r="H1228">
        <v>0</v>
      </c>
      <c r="M1228" s="1" t="s">
        <v>104</v>
      </c>
      <c r="N1228" s="1">
        <v>79</v>
      </c>
      <c r="P1228" s="1" t="s">
        <v>104</v>
      </c>
      <c r="Q1228" s="42">
        <v>0</v>
      </c>
      <c r="R1228" s="42">
        <v>79</v>
      </c>
      <c r="S1228" s="42">
        <v>0.06</v>
      </c>
      <c r="T1228" s="10">
        <f>IFERROR(ROUND((Q1228/R1228),2),"NA")</f>
        <v>0</v>
      </c>
      <c r="U1228">
        <f t="shared" si="19"/>
        <v>0</v>
      </c>
    </row>
    <row r="1229" spans="7:21" x14ac:dyDescent="0.2">
      <c r="G1229" s="9" t="s">
        <v>1357</v>
      </c>
      <c r="H1229">
        <v>8</v>
      </c>
      <c r="M1229" s="1" t="s">
        <v>1357</v>
      </c>
      <c r="N1229" s="1">
        <v>10</v>
      </c>
      <c r="P1229" s="1" t="s">
        <v>1357</v>
      </c>
      <c r="Q1229" s="42">
        <v>8</v>
      </c>
      <c r="R1229" s="42">
        <v>10</v>
      </c>
      <c r="S1229" s="42">
        <v>0.28000000000000003</v>
      </c>
      <c r="T1229" s="10">
        <f>IFERROR(ROUND((Q1229/R1229),2),"NA")</f>
        <v>0.8</v>
      </c>
      <c r="U1229">
        <f t="shared" si="19"/>
        <v>2.2400000000000002</v>
      </c>
    </row>
    <row r="1230" spans="7:21" x14ac:dyDescent="0.2">
      <c r="G1230" s="9" t="s">
        <v>1852</v>
      </c>
      <c r="H1230">
        <v>0</v>
      </c>
      <c r="M1230" s="1" t="s">
        <v>1852</v>
      </c>
      <c r="N1230" s="1">
        <v>21</v>
      </c>
      <c r="P1230" s="1" t="s">
        <v>1852</v>
      </c>
      <c r="Q1230" s="42">
        <v>0</v>
      </c>
      <c r="R1230" s="42">
        <v>21</v>
      </c>
      <c r="S1230" s="42">
        <v>1</v>
      </c>
      <c r="T1230" s="10">
        <f>IFERROR(ROUND((Q1230/R1230),2),"NA")</f>
        <v>0</v>
      </c>
      <c r="U1230">
        <f t="shared" si="19"/>
        <v>0</v>
      </c>
    </row>
    <row r="1231" spans="7:21" x14ac:dyDescent="0.2">
      <c r="G1231" s="9" t="s">
        <v>1826</v>
      </c>
      <c r="H1231">
        <v>217</v>
      </c>
      <c r="M1231" s="1" t="s">
        <v>1826</v>
      </c>
      <c r="N1231" s="1">
        <v>893</v>
      </c>
      <c r="P1231" s="1" t="s">
        <v>1826</v>
      </c>
      <c r="Q1231" s="42">
        <v>217</v>
      </c>
      <c r="R1231" s="42">
        <v>893</v>
      </c>
      <c r="S1231" s="42">
        <v>0.1</v>
      </c>
      <c r="T1231" s="10">
        <f>IFERROR(ROUND((Q1231/R1231),2),"NA")</f>
        <v>0.24</v>
      </c>
      <c r="U1231">
        <f t="shared" si="19"/>
        <v>21.700000000000003</v>
      </c>
    </row>
    <row r="1232" spans="7:21" x14ac:dyDescent="0.2">
      <c r="G1232" s="9" t="s">
        <v>2029</v>
      </c>
      <c r="H1232">
        <v>170</v>
      </c>
      <c r="M1232" s="1" t="s">
        <v>2029</v>
      </c>
      <c r="N1232" s="1">
        <v>2</v>
      </c>
      <c r="P1232" s="1" t="s">
        <v>2029</v>
      </c>
      <c r="Q1232" s="42">
        <v>170</v>
      </c>
      <c r="R1232" s="42">
        <v>2</v>
      </c>
      <c r="S1232" s="42">
        <v>1</v>
      </c>
      <c r="T1232" s="10">
        <f>IFERROR(ROUND((Q1232/R1232),2),"NA")</f>
        <v>85</v>
      </c>
      <c r="U1232">
        <f t="shared" si="19"/>
        <v>170</v>
      </c>
    </row>
    <row r="1233" spans="7:21" x14ac:dyDescent="0.2">
      <c r="G1233" s="9" t="s">
        <v>355</v>
      </c>
      <c r="H1233">
        <v>216</v>
      </c>
      <c r="M1233" s="1" t="s">
        <v>355</v>
      </c>
      <c r="N1233" s="1">
        <v>107</v>
      </c>
      <c r="P1233" s="1" t="s">
        <v>355</v>
      </c>
      <c r="Q1233" s="42">
        <v>216</v>
      </c>
      <c r="R1233" s="42">
        <v>107</v>
      </c>
      <c r="S1233" s="42">
        <v>0.18</v>
      </c>
      <c r="T1233" s="10">
        <f>IFERROR(ROUND((Q1233/R1233),2),"NA")</f>
        <v>2.02</v>
      </c>
      <c r="U1233">
        <f t="shared" si="19"/>
        <v>38.879999999999995</v>
      </c>
    </row>
    <row r="1234" spans="7:21" x14ac:dyDescent="0.2">
      <c r="G1234" s="9" t="s">
        <v>2384</v>
      </c>
      <c r="H1234">
        <v>40</v>
      </c>
      <c r="M1234" s="1" t="s">
        <v>2384</v>
      </c>
      <c r="N1234" s="1">
        <v>11</v>
      </c>
      <c r="P1234" s="1" t="s">
        <v>2384</v>
      </c>
      <c r="Q1234" s="42">
        <v>40</v>
      </c>
      <c r="R1234" s="42">
        <v>11</v>
      </c>
      <c r="S1234" s="42">
        <v>0</v>
      </c>
      <c r="T1234" s="10">
        <f>IFERROR(ROUND((Q1234/R1234),2),"NA")</f>
        <v>3.64</v>
      </c>
      <c r="U1234">
        <f t="shared" si="19"/>
        <v>0</v>
      </c>
    </row>
    <row r="1235" spans="7:21" x14ac:dyDescent="0.2">
      <c r="G1235" s="9" t="s">
        <v>2027</v>
      </c>
      <c r="H1235">
        <v>800</v>
      </c>
      <c r="M1235" s="1" t="s">
        <v>2027</v>
      </c>
      <c r="N1235" s="1">
        <v>7400</v>
      </c>
      <c r="P1235" s="1" t="s">
        <v>2027</v>
      </c>
      <c r="Q1235" s="42">
        <v>800</v>
      </c>
      <c r="R1235" s="42">
        <v>7400</v>
      </c>
      <c r="S1235" s="42">
        <v>0.1</v>
      </c>
      <c r="T1235" s="10">
        <f>IFERROR(ROUND((Q1235/R1235),2),"NA")</f>
        <v>0.11</v>
      </c>
      <c r="U1235">
        <f t="shared" si="19"/>
        <v>80</v>
      </c>
    </row>
    <row r="1236" spans="7:21" x14ac:dyDescent="0.2">
      <c r="G1236" s="9" t="s">
        <v>1271</v>
      </c>
      <c r="H1236">
        <v>140</v>
      </c>
      <c r="M1236" s="1" t="s">
        <v>1271</v>
      </c>
      <c r="N1236" s="1">
        <v>778</v>
      </c>
      <c r="P1236" s="1" t="s">
        <v>1271</v>
      </c>
      <c r="Q1236" s="42">
        <v>140</v>
      </c>
      <c r="R1236" s="42">
        <v>778</v>
      </c>
      <c r="S1236" s="42">
        <v>0</v>
      </c>
      <c r="T1236" s="10">
        <f>IFERROR(ROUND((Q1236/R1236),2),"NA")</f>
        <v>0.18</v>
      </c>
      <c r="U1236">
        <f t="shared" si="19"/>
        <v>0</v>
      </c>
    </row>
    <row r="1237" spans="7:21" x14ac:dyDescent="0.2">
      <c r="G1237" s="9" t="s">
        <v>872</v>
      </c>
      <c r="H1237">
        <v>0</v>
      </c>
      <c r="M1237" s="1" t="s">
        <v>872</v>
      </c>
      <c r="N1237" s="1">
        <v>17</v>
      </c>
      <c r="P1237" s="1" t="s">
        <v>872</v>
      </c>
      <c r="Q1237" s="42">
        <v>0</v>
      </c>
      <c r="R1237" s="42">
        <v>17</v>
      </c>
      <c r="S1237" s="42">
        <v>1</v>
      </c>
      <c r="T1237" s="10">
        <f>IFERROR(ROUND((Q1237/R1237),2),"NA")</f>
        <v>0</v>
      </c>
      <c r="U1237">
        <f t="shared" si="19"/>
        <v>0</v>
      </c>
    </row>
    <row r="1238" spans="7:21" x14ac:dyDescent="0.2">
      <c r="G1238" s="9" t="s">
        <v>2729</v>
      </c>
      <c r="H1238">
        <v>300</v>
      </c>
      <c r="M1238" s="1" t="s">
        <v>2729</v>
      </c>
      <c r="N1238" s="1">
        <v>521</v>
      </c>
      <c r="P1238" s="1" t="s">
        <v>2729</v>
      </c>
      <c r="Q1238" s="42">
        <v>300</v>
      </c>
      <c r="R1238" s="42">
        <v>521</v>
      </c>
      <c r="S1238" s="42">
        <v>0.15</v>
      </c>
      <c r="T1238" s="10">
        <f>IFERROR(ROUND((Q1238/R1238),2),"NA")</f>
        <v>0.57999999999999996</v>
      </c>
      <c r="U1238">
        <f t="shared" si="19"/>
        <v>45</v>
      </c>
    </row>
    <row r="1239" spans="7:21" x14ac:dyDescent="0.2">
      <c r="G1239" s="9" t="s">
        <v>2476</v>
      </c>
      <c r="H1239">
        <v>115</v>
      </c>
      <c r="M1239" s="1" t="s">
        <v>2476</v>
      </c>
      <c r="N1239" s="1">
        <v>654</v>
      </c>
      <c r="P1239" s="1" t="s">
        <v>2476</v>
      </c>
      <c r="Q1239" s="42">
        <v>115</v>
      </c>
      <c r="R1239" s="42">
        <v>654</v>
      </c>
      <c r="S1239" s="42">
        <v>0.46</v>
      </c>
      <c r="T1239" s="10">
        <f>IFERROR(ROUND((Q1239/R1239),2),"NA")</f>
        <v>0.18</v>
      </c>
      <c r="U1239">
        <f t="shared" si="19"/>
        <v>52.900000000000006</v>
      </c>
    </row>
    <row r="1240" spans="7:21" x14ac:dyDescent="0.2">
      <c r="G1240" s="9" t="s">
        <v>2527</v>
      </c>
      <c r="H1240">
        <v>147</v>
      </c>
      <c r="M1240" s="1" t="s">
        <v>2527</v>
      </c>
      <c r="N1240" s="1">
        <v>1120</v>
      </c>
      <c r="P1240" s="1" t="s">
        <v>2527</v>
      </c>
      <c r="Q1240" s="42">
        <v>147</v>
      </c>
      <c r="R1240" s="42">
        <v>1120</v>
      </c>
      <c r="S1240" s="42">
        <v>0.19</v>
      </c>
      <c r="T1240" s="10">
        <f>IFERROR(ROUND((Q1240/R1240),2),"NA")</f>
        <v>0.13</v>
      </c>
      <c r="U1240">
        <f t="shared" si="19"/>
        <v>27.93</v>
      </c>
    </row>
    <row r="1241" spans="7:21" x14ac:dyDescent="0.2">
      <c r="G1241" s="9" t="s">
        <v>281</v>
      </c>
      <c r="H1241">
        <v>0</v>
      </c>
      <c r="M1241" s="1" t="s">
        <v>281</v>
      </c>
      <c r="N1241" s="1">
        <v>3</v>
      </c>
      <c r="P1241" s="1" t="s">
        <v>281</v>
      </c>
      <c r="Q1241" s="42">
        <v>0</v>
      </c>
      <c r="R1241" s="42">
        <v>3</v>
      </c>
      <c r="S1241" s="42">
        <v>0.3</v>
      </c>
      <c r="T1241" s="10">
        <f>IFERROR(ROUND((Q1241/R1241),2),"NA")</f>
        <v>0</v>
      </c>
      <c r="U1241">
        <f t="shared" si="19"/>
        <v>0</v>
      </c>
    </row>
    <row r="1242" spans="7:21" x14ac:dyDescent="0.2">
      <c r="G1242" s="9" t="s">
        <v>2753</v>
      </c>
      <c r="H1242">
        <v>15</v>
      </c>
      <c r="M1242" s="1" t="s">
        <v>2753</v>
      </c>
      <c r="N1242" s="1">
        <v>40</v>
      </c>
      <c r="P1242" s="1" t="s">
        <v>2753</v>
      </c>
      <c r="Q1242" s="42">
        <v>15</v>
      </c>
      <c r="R1242" s="42">
        <v>40</v>
      </c>
      <c r="S1242" s="42">
        <v>0.2</v>
      </c>
      <c r="T1242" s="10">
        <f>IFERROR(ROUND((Q1242/R1242),2),"NA")</f>
        <v>0.38</v>
      </c>
      <c r="U1242">
        <f t="shared" si="19"/>
        <v>3</v>
      </c>
    </row>
    <row r="1243" spans="7:21" x14ac:dyDescent="0.2">
      <c r="G1243" s="9" t="s">
        <v>2104</v>
      </c>
      <c r="H1243">
        <v>0</v>
      </c>
      <c r="M1243" s="1" t="s">
        <v>2104</v>
      </c>
      <c r="N1243" s="1">
        <v>0</v>
      </c>
      <c r="P1243" s="1" t="s">
        <v>2104</v>
      </c>
      <c r="Q1243" s="42">
        <v>0</v>
      </c>
      <c r="R1243" s="42">
        <v>0</v>
      </c>
      <c r="S1243" s="42">
        <v>0</v>
      </c>
      <c r="T1243" s="10" t="str">
        <f>IFERROR(ROUND((Q1243/R1243),2),"NA")</f>
        <v>NA</v>
      </c>
      <c r="U1243">
        <f t="shared" si="19"/>
        <v>0</v>
      </c>
    </row>
    <row r="1244" spans="7:21" x14ac:dyDescent="0.2">
      <c r="G1244" s="9" t="s">
        <v>1413</v>
      </c>
      <c r="H1244">
        <v>15</v>
      </c>
      <c r="M1244" s="1" t="s">
        <v>1413</v>
      </c>
      <c r="N1244" s="1">
        <v>556</v>
      </c>
      <c r="P1244" s="1" t="s">
        <v>1413</v>
      </c>
      <c r="Q1244" s="42">
        <v>15</v>
      </c>
      <c r="R1244" s="42">
        <v>556</v>
      </c>
      <c r="S1244" s="42">
        <v>9.0000000000000011E-2</v>
      </c>
      <c r="T1244" s="10">
        <f>IFERROR(ROUND((Q1244/R1244),2),"NA")</f>
        <v>0.03</v>
      </c>
      <c r="U1244">
        <f t="shared" si="19"/>
        <v>1.35</v>
      </c>
    </row>
    <row r="1245" spans="7:21" x14ac:dyDescent="0.2">
      <c r="G1245" s="9" t="s">
        <v>1744</v>
      </c>
      <c r="H1245">
        <v>16</v>
      </c>
      <c r="M1245" s="1" t="s">
        <v>1744</v>
      </c>
      <c r="N1245" s="1">
        <v>0</v>
      </c>
      <c r="P1245" s="1" t="s">
        <v>1744</v>
      </c>
      <c r="Q1245" s="42">
        <v>16</v>
      </c>
      <c r="R1245" s="42">
        <v>0</v>
      </c>
      <c r="S1245" s="42">
        <v>0.14000000000000001</v>
      </c>
      <c r="T1245" s="10" t="str">
        <f>IFERROR(ROUND((Q1245/R1245),2),"NA")</f>
        <v>NA</v>
      </c>
      <c r="U1245">
        <f t="shared" si="19"/>
        <v>2.2400000000000002</v>
      </c>
    </row>
    <row r="1246" spans="7:21" x14ac:dyDescent="0.2">
      <c r="G1246" s="9" t="s">
        <v>1917</v>
      </c>
      <c r="H1246">
        <v>70</v>
      </c>
      <c r="M1246" s="1" t="s">
        <v>1917</v>
      </c>
      <c r="N1246" s="1">
        <v>180</v>
      </c>
      <c r="P1246" s="1" t="s">
        <v>1917</v>
      </c>
      <c r="Q1246" s="42">
        <v>70</v>
      </c>
      <c r="R1246" s="42">
        <v>180</v>
      </c>
      <c r="S1246" s="42">
        <v>0.08</v>
      </c>
      <c r="T1246" s="10">
        <f>IFERROR(ROUND((Q1246/R1246),2),"NA")</f>
        <v>0.39</v>
      </c>
      <c r="U1246">
        <f t="shared" si="19"/>
        <v>5.6000000000000005</v>
      </c>
    </row>
    <row r="1247" spans="7:21" x14ac:dyDescent="0.2">
      <c r="G1247" s="9" t="s">
        <v>1703</v>
      </c>
      <c r="H1247">
        <v>101</v>
      </c>
      <c r="M1247" s="1" t="s">
        <v>1703</v>
      </c>
      <c r="N1247" s="1">
        <v>564</v>
      </c>
      <c r="P1247" s="1" t="s">
        <v>1703</v>
      </c>
      <c r="Q1247" s="42">
        <v>101</v>
      </c>
      <c r="R1247" s="42">
        <v>564</v>
      </c>
      <c r="S1247" s="42">
        <v>0.09</v>
      </c>
      <c r="T1247" s="10">
        <f>IFERROR(ROUND((Q1247/R1247),2),"NA")</f>
        <v>0.18</v>
      </c>
      <c r="U1247">
        <f t="shared" si="19"/>
        <v>9.09</v>
      </c>
    </row>
    <row r="1248" spans="7:21" x14ac:dyDescent="0.2">
      <c r="G1248" s="9" t="s">
        <v>2022</v>
      </c>
      <c r="H1248">
        <v>180</v>
      </c>
      <c r="M1248" s="1" t="s">
        <v>2022</v>
      </c>
      <c r="N1248" s="1">
        <v>706</v>
      </c>
      <c r="P1248" s="1" t="s">
        <v>2022</v>
      </c>
      <c r="Q1248" s="42">
        <v>180</v>
      </c>
      <c r="R1248" s="42">
        <v>706</v>
      </c>
      <c r="S1248" s="42">
        <v>0</v>
      </c>
      <c r="T1248" s="10">
        <f>IFERROR(ROUND((Q1248/R1248),2),"NA")</f>
        <v>0.25</v>
      </c>
      <c r="U1248">
        <f t="shared" si="19"/>
        <v>0</v>
      </c>
    </row>
    <row r="1249" spans="7:21" x14ac:dyDescent="0.2">
      <c r="G1249" s="9" t="s">
        <v>2578</v>
      </c>
      <c r="H1249">
        <v>12</v>
      </c>
      <c r="M1249" s="1" t="s">
        <v>2578</v>
      </c>
      <c r="N1249" s="1">
        <v>19</v>
      </c>
      <c r="P1249" s="1" t="s">
        <v>2578</v>
      </c>
      <c r="Q1249" s="42">
        <v>12</v>
      </c>
      <c r="R1249" s="42">
        <v>19</v>
      </c>
      <c r="S1249" s="42">
        <v>0</v>
      </c>
      <c r="T1249" s="10">
        <f>IFERROR(ROUND((Q1249/R1249),2),"NA")</f>
        <v>0.63</v>
      </c>
      <c r="U1249">
        <f t="shared" si="19"/>
        <v>0</v>
      </c>
    </row>
    <row r="1250" spans="7:21" x14ac:dyDescent="0.2">
      <c r="G1250" s="9" t="s">
        <v>2427</v>
      </c>
      <c r="H1250">
        <v>50</v>
      </c>
      <c r="M1250" s="1" t="s">
        <v>2427</v>
      </c>
      <c r="N1250" s="1">
        <v>53</v>
      </c>
      <c r="P1250" s="1" t="s">
        <v>2427</v>
      </c>
      <c r="Q1250" s="42">
        <v>50</v>
      </c>
      <c r="R1250" s="42">
        <v>53</v>
      </c>
      <c r="S1250" s="42">
        <v>0.25</v>
      </c>
      <c r="T1250" s="10">
        <f>IFERROR(ROUND((Q1250/R1250),2),"NA")</f>
        <v>0.94</v>
      </c>
      <c r="U1250">
        <f t="shared" si="19"/>
        <v>12.5</v>
      </c>
    </row>
    <row r="1251" spans="7:21" x14ac:dyDescent="0.2">
      <c r="G1251" s="9" t="s">
        <v>1153</v>
      </c>
      <c r="H1251">
        <v>118</v>
      </c>
      <c r="M1251" s="1" t="s">
        <v>1153</v>
      </c>
      <c r="N1251" s="1">
        <v>94</v>
      </c>
      <c r="P1251" s="1" t="s">
        <v>1153</v>
      </c>
      <c r="Q1251" s="42">
        <v>118</v>
      </c>
      <c r="R1251" s="42">
        <v>94</v>
      </c>
      <c r="S1251" s="42">
        <v>0.3</v>
      </c>
      <c r="T1251" s="10">
        <f>IFERROR(ROUND((Q1251/R1251),2),"NA")</f>
        <v>1.26</v>
      </c>
      <c r="U1251">
        <f t="shared" si="19"/>
        <v>35.4</v>
      </c>
    </row>
    <row r="1252" spans="7:21" x14ac:dyDescent="0.2">
      <c r="G1252" s="9" t="s">
        <v>1772</v>
      </c>
      <c r="H1252">
        <v>1100</v>
      </c>
      <c r="M1252" s="1" t="s">
        <v>1772</v>
      </c>
      <c r="N1252" s="1">
        <v>134</v>
      </c>
      <c r="P1252" s="1" t="s">
        <v>1772</v>
      </c>
      <c r="Q1252" s="42">
        <v>1100</v>
      </c>
      <c r="R1252" s="42">
        <v>134</v>
      </c>
      <c r="S1252" s="42">
        <v>0.3</v>
      </c>
      <c r="T1252" s="10">
        <f>IFERROR(ROUND((Q1252/R1252),2),"NA")</f>
        <v>8.2100000000000009</v>
      </c>
      <c r="U1252">
        <f t="shared" si="19"/>
        <v>330</v>
      </c>
    </row>
    <row r="1253" spans="7:21" x14ac:dyDescent="0.2">
      <c r="G1253" s="9" t="s">
        <v>1944</v>
      </c>
      <c r="H1253">
        <v>400</v>
      </c>
      <c r="M1253" s="1" t="s">
        <v>1944</v>
      </c>
      <c r="N1253" s="1">
        <v>1136</v>
      </c>
      <c r="P1253" s="1" t="s">
        <v>1944</v>
      </c>
      <c r="Q1253" s="42">
        <v>400</v>
      </c>
      <c r="R1253" s="42">
        <v>1136</v>
      </c>
      <c r="S1253" s="42">
        <v>0.1</v>
      </c>
      <c r="T1253" s="10">
        <f>IFERROR(ROUND((Q1253/R1253),2),"NA")</f>
        <v>0.35</v>
      </c>
      <c r="U1253">
        <f t="shared" si="19"/>
        <v>40</v>
      </c>
    </row>
    <row r="1254" spans="7:21" x14ac:dyDescent="0.2">
      <c r="G1254" s="9" t="s">
        <v>2078</v>
      </c>
      <c r="H1254">
        <v>23</v>
      </c>
      <c r="M1254" s="1" t="s">
        <v>2078</v>
      </c>
      <c r="N1254" s="1">
        <v>91</v>
      </c>
      <c r="P1254" s="1" t="s">
        <v>2078</v>
      </c>
      <c r="Q1254" s="42">
        <v>23</v>
      </c>
      <c r="R1254" s="42">
        <v>91</v>
      </c>
      <c r="S1254" s="42">
        <v>0.05</v>
      </c>
      <c r="T1254" s="10">
        <f>IFERROR(ROUND((Q1254/R1254),2),"NA")</f>
        <v>0.25</v>
      </c>
      <c r="U1254">
        <f t="shared" si="19"/>
        <v>1.1500000000000001</v>
      </c>
    </row>
    <row r="1255" spans="7:21" x14ac:dyDescent="0.2">
      <c r="G1255" s="9" t="s">
        <v>2731</v>
      </c>
      <c r="H1255">
        <v>90</v>
      </c>
      <c r="M1255" s="1" t="s">
        <v>2731</v>
      </c>
      <c r="N1255" s="1">
        <v>38</v>
      </c>
      <c r="P1255" s="1" t="s">
        <v>2731</v>
      </c>
      <c r="Q1255" s="42">
        <v>90</v>
      </c>
      <c r="R1255" s="42">
        <v>38</v>
      </c>
      <c r="S1255" s="42">
        <v>0.3</v>
      </c>
      <c r="T1255" s="10">
        <f>IFERROR(ROUND((Q1255/R1255),2),"NA")</f>
        <v>2.37</v>
      </c>
      <c r="U1255">
        <f t="shared" si="19"/>
        <v>27</v>
      </c>
    </row>
    <row r="1256" spans="7:21" x14ac:dyDescent="0.2">
      <c r="G1256" s="9" t="s">
        <v>1170</v>
      </c>
      <c r="H1256">
        <v>0</v>
      </c>
      <c r="M1256" s="1" t="s">
        <v>1170</v>
      </c>
      <c r="N1256" s="1">
        <v>94</v>
      </c>
      <c r="P1256" s="1" t="s">
        <v>1170</v>
      </c>
      <c r="Q1256" s="42">
        <v>0</v>
      </c>
      <c r="R1256" s="42">
        <v>94</v>
      </c>
      <c r="S1256" s="42">
        <v>0</v>
      </c>
      <c r="T1256" s="10">
        <f>IFERROR(ROUND((Q1256/R1256),2),"NA")</f>
        <v>0</v>
      </c>
      <c r="U1256">
        <f t="shared" si="19"/>
        <v>0</v>
      </c>
    </row>
    <row r="1257" spans="7:21" x14ac:dyDescent="0.2">
      <c r="G1257" s="9" t="s">
        <v>2326</v>
      </c>
      <c r="H1257">
        <v>0</v>
      </c>
      <c r="M1257" s="1" t="s">
        <v>2326</v>
      </c>
      <c r="N1257" s="1">
        <v>1</v>
      </c>
      <c r="P1257" s="1" t="s">
        <v>2326</v>
      </c>
      <c r="Q1257" s="42">
        <v>0</v>
      </c>
      <c r="R1257" s="42">
        <v>1</v>
      </c>
      <c r="S1257" s="42">
        <v>1</v>
      </c>
      <c r="T1257" s="10">
        <f>IFERROR(ROUND((Q1257/R1257),2),"NA")</f>
        <v>0</v>
      </c>
      <c r="U1257">
        <f t="shared" si="19"/>
        <v>0</v>
      </c>
    </row>
    <row r="1258" spans="7:21" x14ac:dyDescent="0.2">
      <c r="G1258" s="9" t="s">
        <v>2548</v>
      </c>
      <c r="H1258">
        <v>0</v>
      </c>
      <c r="M1258" s="1" t="s">
        <v>2548</v>
      </c>
      <c r="N1258" s="1">
        <v>0</v>
      </c>
      <c r="P1258" s="1" t="s">
        <v>2548</v>
      </c>
      <c r="Q1258" s="42">
        <v>0</v>
      </c>
      <c r="R1258" s="42">
        <v>0</v>
      </c>
      <c r="S1258" s="42">
        <v>0</v>
      </c>
      <c r="T1258" s="10" t="str">
        <f>IFERROR(ROUND((Q1258/R1258),2),"NA")</f>
        <v>NA</v>
      </c>
      <c r="U1258">
        <f t="shared" si="19"/>
        <v>0</v>
      </c>
    </row>
    <row r="1259" spans="7:21" x14ac:dyDescent="0.2">
      <c r="G1259" s="9" t="s">
        <v>1223</v>
      </c>
      <c r="H1259">
        <v>0</v>
      </c>
      <c r="M1259" s="1" t="s">
        <v>1223</v>
      </c>
      <c r="N1259" s="1">
        <v>0</v>
      </c>
      <c r="P1259" s="1" t="s">
        <v>1223</v>
      </c>
      <c r="Q1259" s="42">
        <v>0</v>
      </c>
      <c r="R1259" s="42">
        <v>0</v>
      </c>
      <c r="S1259" s="42">
        <v>0</v>
      </c>
      <c r="T1259" s="10" t="str">
        <f>IFERROR(ROUND((Q1259/R1259),2),"NA")</f>
        <v>NA</v>
      </c>
      <c r="U1259">
        <f t="shared" si="19"/>
        <v>0</v>
      </c>
    </row>
    <row r="1260" spans="7:21" x14ac:dyDescent="0.2">
      <c r="G1260" s="9" t="s">
        <v>1426</v>
      </c>
      <c r="H1260">
        <v>70</v>
      </c>
      <c r="M1260" s="1" t="s">
        <v>1426</v>
      </c>
      <c r="N1260" s="1">
        <v>183</v>
      </c>
      <c r="P1260" s="1" t="s">
        <v>1426</v>
      </c>
      <c r="Q1260" s="42">
        <v>70</v>
      </c>
      <c r="R1260" s="42">
        <v>183</v>
      </c>
      <c r="S1260" s="42">
        <v>0</v>
      </c>
      <c r="T1260" s="10">
        <f>IFERROR(ROUND((Q1260/R1260),2),"NA")</f>
        <v>0.38</v>
      </c>
      <c r="U1260">
        <f t="shared" si="19"/>
        <v>0</v>
      </c>
    </row>
    <row r="1261" spans="7:21" x14ac:dyDescent="0.2">
      <c r="G1261" s="9" t="s">
        <v>1079</v>
      </c>
      <c r="H1261">
        <v>0</v>
      </c>
      <c r="M1261" s="1" t="s">
        <v>1079</v>
      </c>
      <c r="N1261" s="1">
        <v>15</v>
      </c>
      <c r="P1261" s="1" t="s">
        <v>1079</v>
      </c>
      <c r="Q1261" s="42">
        <v>0</v>
      </c>
      <c r="R1261" s="42">
        <v>15</v>
      </c>
      <c r="S1261" s="42">
        <v>1</v>
      </c>
      <c r="T1261" s="10">
        <f>IFERROR(ROUND((Q1261/R1261),2),"NA")</f>
        <v>0</v>
      </c>
      <c r="U1261">
        <f t="shared" si="19"/>
        <v>0</v>
      </c>
    </row>
    <row r="1262" spans="7:21" x14ac:dyDescent="0.2">
      <c r="G1262" s="9" t="s">
        <v>2143</v>
      </c>
      <c r="H1262">
        <v>36</v>
      </c>
      <c r="M1262" s="1" t="s">
        <v>2143</v>
      </c>
      <c r="N1262" s="1">
        <v>188</v>
      </c>
      <c r="P1262" s="1" t="s">
        <v>2143</v>
      </c>
      <c r="Q1262" s="42">
        <v>36</v>
      </c>
      <c r="R1262" s="42">
        <v>188</v>
      </c>
      <c r="S1262" s="42">
        <v>0</v>
      </c>
      <c r="T1262" s="10">
        <f>IFERROR(ROUND((Q1262/R1262),2),"NA")</f>
        <v>0.19</v>
      </c>
      <c r="U1262">
        <f t="shared" si="19"/>
        <v>0</v>
      </c>
    </row>
    <row r="1263" spans="7:21" x14ac:dyDescent="0.2">
      <c r="G1263" s="9" t="s">
        <v>2737</v>
      </c>
      <c r="H1263">
        <v>40</v>
      </c>
      <c r="M1263" s="1" t="s">
        <v>2737</v>
      </c>
      <c r="N1263" s="1">
        <v>34</v>
      </c>
      <c r="P1263" s="1" t="s">
        <v>2737</v>
      </c>
      <c r="Q1263" s="42">
        <v>40</v>
      </c>
      <c r="R1263" s="42">
        <v>34</v>
      </c>
      <c r="S1263" s="42">
        <v>0</v>
      </c>
      <c r="T1263" s="10">
        <f>IFERROR(ROUND((Q1263/R1263),2),"NA")</f>
        <v>1.18</v>
      </c>
      <c r="U1263">
        <f t="shared" si="19"/>
        <v>0</v>
      </c>
    </row>
    <row r="1264" spans="7:21" x14ac:dyDescent="0.2">
      <c r="G1264" s="9" t="s">
        <v>2426</v>
      </c>
      <c r="H1264">
        <v>300</v>
      </c>
      <c r="M1264" s="1" t="s">
        <v>2426</v>
      </c>
      <c r="N1264" s="1">
        <v>1900</v>
      </c>
      <c r="P1264" s="1" t="s">
        <v>2426</v>
      </c>
      <c r="Q1264" s="42">
        <v>300</v>
      </c>
      <c r="R1264" s="42">
        <v>1900</v>
      </c>
      <c r="S1264" s="42">
        <v>0.2</v>
      </c>
      <c r="T1264" s="10">
        <f>IFERROR(ROUND((Q1264/R1264),2),"NA")</f>
        <v>0.16</v>
      </c>
      <c r="U1264">
        <f t="shared" si="19"/>
        <v>60</v>
      </c>
    </row>
    <row r="1265" spans="7:21" x14ac:dyDescent="0.2">
      <c r="G1265" s="9" t="s">
        <v>2936</v>
      </c>
      <c r="H1265">
        <v>13</v>
      </c>
      <c r="M1265" s="1" t="s">
        <v>2936</v>
      </c>
      <c r="N1265" s="1">
        <v>94</v>
      </c>
      <c r="P1265" s="1" t="s">
        <v>2936</v>
      </c>
      <c r="Q1265" s="42">
        <v>13</v>
      </c>
      <c r="R1265" s="42">
        <v>94</v>
      </c>
      <c r="S1265" s="42">
        <v>0.25</v>
      </c>
      <c r="T1265" s="10">
        <f>IFERROR(ROUND((Q1265/R1265),2),"NA")</f>
        <v>0.14000000000000001</v>
      </c>
      <c r="U1265">
        <f t="shared" si="19"/>
        <v>3.25</v>
      </c>
    </row>
    <row r="1266" spans="7:21" x14ac:dyDescent="0.2">
      <c r="G1266" s="9" t="s">
        <v>1499</v>
      </c>
      <c r="H1266">
        <v>1300</v>
      </c>
      <c r="M1266" s="1" t="s">
        <v>1499</v>
      </c>
      <c r="N1266" s="1">
        <v>0</v>
      </c>
      <c r="P1266" s="1" t="s">
        <v>1499</v>
      </c>
      <c r="Q1266" s="42">
        <v>1300</v>
      </c>
      <c r="R1266" s="42">
        <v>0</v>
      </c>
      <c r="S1266" s="42">
        <v>7.0000000000000007E-2</v>
      </c>
      <c r="T1266" s="10" t="str">
        <f>IFERROR(ROUND((Q1266/R1266),2),"NA")</f>
        <v>NA</v>
      </c>
      <c r="U1266">
        <f t="shared" si="19"/>
        <v>91.000000000000014</v>
      </c>
    </row>
    <row r="1267" spans="7:21" x14ac:dyDescent="0.2">
      <c r="G1267" s="9" t="s">
        <v>2499</v>
      </c>
      <c r="H1267">
        <v>84</v>
      </c>
      <c r="M1267" s="1" t="s">
        <v>2499</v>
      </c>
      <c r="N1267" s="1">
        <v>170</v>
      </c>
      <c r="P1267" s="1" t="s">
        <v>2499</v>
      </c>
      <c r="Q1267" s="42">
        <v>84</v>
      </c>
      <c r="R1267" s="42">
        <v>170</v>
      </c>
      <c r="S1267" s="42">
        <v>0</v>
      </c>
      <c r="T1267" s="10">
        <f>IFERROR(ROUND((Q1267/R1267),2),"NA")</f>
        <v>0.49</v>
      </c>
      <c r="U1267">
        <f t="shared" si="19"/>
        <v>0</v>
      </c>
    </row>
    <row r="1268" spans="7:21" x14ac:dyDescent="0.2">
      <c r="G1268" s="9" t="s">
        <v>896</v>
      </c>
      <c r="H1268">
        <v>0</v>
      </c>
      <c r="M1268" s="1" t="s">
        <v>896</v>
      </c>
      <c r="N1268" s="1">
        <v>56</v>
      </c>
      <c r="P1268" s="1" t="s">
        <v>896</v>
      </c>
      <c r="Q1268" s="42">
        <v>0</v>
      </c>
      <c r="R1268" s="42">
        <v>56</v>
      </c>
      <c r="S1268" s="42">
        <v>0</v>
      </c>
      <c r="T1268" s="10">
        <f>IFERROR(ROUND((Q1268/R1268),2),"NA")</f>
        <v>0</v>
      </c>
      <c r="U1268">
        <f t="shared" si="19"/>
        <v>0</v>
      </c>
    </row>
    <row r="1269" spans="7:21" x14ac:dyDescent="0.2">
      <c r="G1269" s="9" t="s">
        <v>573</v>
      </c>
      <c r="H1269">
        <v>110</v>
      </c>
      <c r="M1269" s="1" t="s">
        <v>573</v>
      </c>
      <c r="N1269" s="1">
        <v>1041</v>
      </c>
      <c r="P1269" s="1" t="s">
        <v>573</v>
      </c>
      <c r="Q1269" s="42">
        <v>110</v>
      </c>
      <c r="R1269" s="42">
        <v>1041</v>
      </c>
      <c r="S1269" s="42">
        <v>0</v>
      </c>
      <c r="T1269" s="10">
        <f>IFERROR(ROUND((Q1269/R1269),2),"NA")</f>
        <v>0.11</v>
      </c>
      <c r="U1269">
        <f t="shared" si="19"/>
        <v>0</v>
      </c>
    </row>
    <row r="1270" spans="7:21" x14ac:dyDescent="0.2">
      <c r="G1270" s="9" t="s">
        <v>1648</v>
      </c>
      <c r="H1270">
        <v>0</v>
      </c>
      <c r="M1270" s="1" t="s">
        <v>1648</v>
      </c>
      <c r="N1270" s="1">
        <v>40</v>
      </c>
      <c r="P1270" s="1" t="s">
        <v>1648</v>
      </c>
      <c r="Q1270" s="42">
        <v>0</v>
      </c>
      <c r="R1270" s="42">
        <v>40</v>
      </c>
      <c r="S1270" s="42">
        <v>1</v>
      </c>
      <c r="T1270" s="10">
        <f>IFERROR(ROUND((Q1270/R1270),2),"NA")</f>
        <v>0</v>
      </c>
      <c r="U1270">
        <f t="shared" si="19"/>
        <v>0</v>
      </c>
    </row>
    <row r="1271" spans="7:21" x14ac:dyDescent="0.2">
      <c r="G1271" s="9" t="s">
        <v>2603</v>
      </c>
      <c r="H1271">
        <v>50</v>
      </c>
      <c r="M1271" s="1" t="s">
        <v>2603</v>
      </c>
      <c r="N1271" s="1">
        <v>52</v>
      </c>
      <c r="P1271" s="1" t="s">
        <v>2603</v>
      </c>
      <c r="Q1271" s="42">
        <v>50</v>
      </c>
      <c r="R1271" s="42">
        <v>52</v>
      </c>
      <c r="S1271" s="42">
        <v>0.4</v>
      </c>
      <c r="T1271" s="10">
        <f>IFERROR(ROUND((Q1271/R1271),2),"NA")</f>
        <v>0.96</v>
      </c>
      <c r="U1271">
        <f t="shared" si="19"/>
        <v>20</v>
      </c>
    </row>
    <row r="1272" spans="7:21" x14ac:dyDescent="0.2">
      <c r="G1272" s="9" t="s">
        <v>924</v>
      </c>
      <c r="H1272">
        <v>335</v>
      </c>
      <c r="M1272" s="1" t="s">
        <v>924</v>
      </c>
      <c r="N1272" s="1">
        <v>1520</v>
      </c>
      <c r="P1272" s="1" t="s">
        <v>924</v>
      </c>
      <c r="Q1272" s="42">
        <v>335</v>
      </c>
      <c r="R1272" s="42">
        <v>1520</v>
      </c>
      <c r="S1272" s="42">
        <v>0.32500000000000001</v>
      </c>
      <c r="T1272" s="10">
        <f>IFERROR(ROUND((Q1272/R1272),2),"NA")</f>
        <v>0.22</v>
      </c>
      <c r="U1272">
        <f t="shared" si="19"/>
        <v>108.875</v>
      </c>
    </row>
    <row r="1273" spans="7:21" x14ac:dyDescent="0.2">
      <c r="G1273" s="9" t="s">
        <v>1610</v>
      </c>
      <c r="H1273">
        <v>134</v>
      </c>
      <c r="M1273" s="1" t="s">
        <v>1610</v>
      </c>
      <c r="N1273" s="1">
        <v>705</v>
      </c>
      <c r="P1273" s="1" t="s">
        <v>1610</v>
      </c>
      <c r="Q1273" s="42">
        <v>134</v>
      </c>
      <c r="R1273" s="42">
        <v>705</v>
      </c>
      <c r="S1273" s="42">
        <v>0.125</v>
      </c>
      <c r="T1273" s="10">
        <f>IFERROR(ROUND((Q1273/R1273),2),"NA")</f>
        <v>0.19</v>
      </c>
      <c r="U1273">
        <f t="shared" si="19"/>
        <v>16.75</v>
      </c>
    </row>
    <row r="1274" spans="7:21" x14ac:dyDescent="0.2">
      <c r="G1274" s="9" t="s">
        <v>2075</v>
      </c>
      <c r="H1274">
        <v>30</v>
      </c>
      <c r="M1274" s="1" t="s">
        <v>2075</v>
      </c>
      <c r="N1274" s="1">
        <v>41</v>
      </c>
      <c r="P1274" s="1" t="s">
        <v>2075</v>
      </c>
      <c r="Q1274" s="42">
        <v>30</v>
      </c>
      <c r="R1274" s="42">
        <v>41</v>
      </c>
      <c r="S1274" s="42">
        <v>0.33</v>
      </c>
      <c r="T1274" s="10">
        <f>IFERROR(ROUND((Q1274/R1274),2),"NA")</f>
        <v>0.73</v>
      </c>
      <c r="U1274">
        <f t="shared" si="19"/>
        <v>9.9</v>
      </c>
    </row>
    <row r="1275" spans="7:21" x14ac:dyDescent="0.2">
      <c r="G1275" s="9" t="s">
        <v>1261</v>
      </c>
      <c r="H1275">
        <v>45</v>
      </c>
      <c r="M1275" s="1" t="s">
        <v>1261</v>
      </c>
      <c r="N1275" s="1">
        <v>260</v>
      </c>
      <c r="P1275" s="1" t="s">
        <v>1261</v>
      </c>
      <c r="Q1275" s="42">
        <v>45</v>
      </c>
      <c r="R1275" s="42">
        <v>260</v>
      </c>
      <c r="S1275" s="42">
        <v>0.1</v>
      </c>
      <c r="T1275" s="10">
        <f>IFERROR(ROUND((Q1275/R1275),2),"NA")</f>
        <v>0.17</v>
      </c>
      <c r="U1275">
        <f t="shared" si="19"/>
        <v>4.5</v>
      </c>
    </row>
    <row r="1276" spans="7:21" x14ac:dyDescent="0.2">
      <c r="G1276" s="9" t="s">
        <v>475</v>
      </c>
      <c r="H1276">
        <v>100</v>
      </c>
      <c r="M1276" s="1" t="s">
        <v>475</v>
      </c>
      <c r="N1276" s="1">
        <v>7200</v>
      </c>
      <c r="P1276" s="1" t="s">
        <v>475</v>
      </c>
      <c r="Q1276" s="42">
        <v>100</v>
      </c>
      <c r="R1276" s="42">
        <v>7200</v>
      </c>
      <c r="S1276" s="42">
        <v>0.3</v>
      </c>
      <c r="T1276" s="10">
        <f>IFERROR(ROUND((Q1276/R1276),2),"NA")</f>
        <v>0.01</v>
      </c>
      <c r="U1276">
        <f t="shared" si="19"/>
        <v>30</v>
      </c>
    </row>
    <row r="1277" spans="7:21" x14ac:dyDescent="0.2">
      <c r="G1277" s="9" t="s">
        <v>1186</v>
      </c>
      <c r="H1277">
        <v>0</v>
      </c>
      <c r="M1277" s="1" t="s">
        <v>1186</v>
      </c>
      <c r="N1277" s="1">
        <v>0</v>
      </c>
      <c r="P1277" s="1" t="s">
        <v>1186</v>
      </c>
      <c r="Q1277" s="42">
        <v>0</v>
      </c>
      <c r="R1277" s="42">
        <v>0</v>
      </c>
      <c r="S1277" s="42">
        <v>1</v>
      </c>
      <c r="T1277" s="10" t="str">
        <f>IFERROR(ROUND((Q1277/R1277),2),"NA")</f>
        <v>NA</v>
      </c>
      <c r="U1277">
        <f t="shared" si="19"/>
        <v>0</v>
      </c>
    </row>
    <row r="1278" spans="7:21" x14ac:dyDescent="0.2">
      <c r="G1278" s="9" t="s">
        <v>2860</v>
      </c>
      <c r="H1278">
        <v>0</v>
      </c>
      <c r="M1278" s="1" t="s">
        <v>2860</v>
      </c>
      <c r="N1278" s="1">
        <v>62</v>
      </c>
      <c r="P1278" s="1" t="s">
        <v>2860</v>
      </c>
      <c r="Q1278" s="42">
        <v>0</v>
      </c>
      <c r="R1278" s="42">
        <v>62</v>
      </c>
      <c r="S1278" s="42">
        <v>0.5</v>
      </c>
      <c r="T1278" s="10">
        <f>IFERROR(ROUND((Q1278/R1278),2),"NA")</f>
        <v>0</v>
      </c>
      <c r="U1278">
        <f t="shared" si="19"/>
        <v>0</v>
      </c>
    </row>
    <row r="1279" spans="7:21" x14ac:dyDescent="0.2">
      <c r="G1279" s="9" t="s">
        <v>1629</v>
      </c>
      <c r="H1279">
        <v>140</v>
      </c>
      <c r="M1279" s="1" t="s">
        <v>1629</v>
      </c>
      <c r="N1279" s="1">
        <v>356</v>
      </c>
      <c r="P1279" s="1" t="s">
        <v>1629</v>
      </c>
      <c r="Q1279" s="42">
        <v>140</v>
      </c>
      <c r="R1279" s="42">
        <v>356</v>
      </c>
      <c r="S1279" s="42">
        <v>0.04</v>
      </c>
      <c r="T1279" s="10">
        <f>IFERROR(ROUND((Q1279/R1279),2),"NA")</f>
        <v>0.39</v>
      </c>
      <c r="U1279">
        <f t="shared" si="19"/>
        <v>5.6000000000000005</v>
      </c>
    </row>
    <row r="1280" spans="7:21" x14ac:dyDescent="0.2">
      <c r="G1280" s="9" t="s">
        <v>1697</v>
      </c>
      <c r="H1280">
        <v>80</v>
      </c>
      <c r="M1280" s="1" t="s">
        <v>1697</v>
      </c>
      <c r="N1280" s="1">
        <v>379</v>
      </c>
      <c r="P1280" s="1" t="s">
        <v>1697</v>
      </c>
      <c r="Q1280" s="42">
        <v>80</v>
      </c>
      <c r="R1280" s="42">
        <v>379</v>
      </c>
      <c r="S1280" s="42">
        <v>0.31</v>
      </c>
      <c r="T1280" s="10">
        <f>IFERROR(ROUND((Q1280/R1280),2),"NA")</f>
        <v>0.21</v>
      </c>
      <c r="U1280">
        <f t="shared" si="19"/>
        <v>24.8</v>
      </c>
    </row>
    <row r="1281" spans="7:21" x14ac:dyDescent="0.2">
      <c r="G1281" s="9" t="s">
        <v>1269</v>
      </c>
      <c r="H1281">
        <v>187</v>
      </c>
      <c r="M1281" s="1" t="s">
        <v>1269</v>
      </c>
      <c r="N1281" s="1">
        <v>144</v>
      </c>
      <c r="P1281" s="1" t="s">
        <v>1269</v>
      </c>
      <c r="Q1281" s="42">
        <v>187</v>
      </c>
      <c r="R1281" s="42">
        <v>144</v>
      </c>
      <c r="S1281" s="42">
        <v>0.30666666666666664</v>
      </c>
      <c r="T1281" s="10">
        <f>IFERROR(ROUND((Q1281/R1281),2),"NA")</f>
        <v>1.3</v>
      </c>
      <c r="U1281">
        <f t="shared" si="19"/>
        <v>57.346666666666664</v>
      </c>
    </row>
    <row r="1282" spans="7:21" x14ac:dyDescent="0.2">
      <c r="G1282" s="9" t="s">
        <v>2674</v>
      </c>
      <c r="H1282">
        <v>0</v>
      </c>
      <c r="M1282" s="1" t="s">
        <v>2674</v>
      </c>
      <c r="N1282" s="1">
        <v>76</v>
      </c>
      <c r="P1282" s="1" t="s">
        <v>2674</v>
      </c>
      <c r="Q1282" s="42">
        <v>0</v>
      </c>
      <c r="R1282" s="42">
        <v>76</v>
      </c>
      <c r="S1282" s="42">
        <v>0</v>
      </c>
      <c r="T1282" s="10">
        <f>IFERROR(ROUND((Q1282/R1282),2),"NA")</f>
        <v>0</v>
      </c>
      <c r="U1282">
        <f t="shared" si="19"/>
        <v>0</v>
      </c>
    </row>
    <row r="1283" spans="7:21" x14ac:dyDescent="0.2">
      <c r="G1283" s="9" t="s">
        <v>1418</v>
      </c>
      <c r="H1283">
        <v>27</v>
      </c>
      <c r="M1283" s="1" t="s">
        <v>1418</v>
      </c>
      <c r="N1283" s="1">
        <v>56</v>
      </c>
      <c r="P1283" s="1" t="s">
        <v>1418</v>
      </c>
      <c r="Q1283" s="42">
        <v>27</v>
      </c>
      <c r="R1283" s="42">
        <v>56</v>
      </c>
      <c r="S1283" s="42">
        <v>0.09</v>
      </c>
      <c r="T1283" s="10">
        <f>IFERROR(ROUND((Q1283/R1283),2),"NA")</f>
        <v>0.48</v>
      </c>
      <c r="U1283">
        <f t="shared" si="19"/>
        <v>2.4299999999999997</v>
      </c>
    </row>
    <row r="1284" spans="7:21" x14ac:dyDescent="0.2">
      <c r="G1284" s="9" t="s">
        <v>677</v>
      </c>
      <c r="H1284">
        <v>0</v>
      </c>
      <c r="M1284" s="1" t="s">
        <v>677</v>
      </c>
      <c r="N1284" s="1">
        <v>577</v>
      </c>
      <c r="P1284" s="1" t="s">
        <v>677</v>
      </c>
      <c r="Q1284" s="42">
        <v>0</v>
      </c>
      <c r="R1284" s="42">
        <v>577</v>
      </c>
      <c r="S1284" s="42">
        <v>0.12</v>
      </c>
      <c r="T1284" s="10">
        <f>IFERROR(ROUND((Q1284/R1284),2),"NA")</f>
        <v>0</v>
      </c>
      <c r="U1284">
        <f t="shared" si="19"/>
        <v>0</v>
      </c>
    </row>
    <row r="1285" spans="7:21" x14ac:dyDescent="0.2">
      <c r="G1285" s="9" t="s">
        <v>464</v>
      </c>
      <c r="H1285">
        <v>0</v>
      </c>
      <c r="M1285" s="1" t="s">
        <v>464</v>
      </c>
      <c r="N1285" s="1">
        <v>91</v>
      </c>
      <c r="P1285" s="1" t="s">
        <v>464</v>
      </c>
      <c r="Q1285" s="42">
        <v>0</v>
      </c>
      <c r="R1285" s="42">
        <v>91</v>
      </c>
      <c r="S1285" s="42">
        <v>0.25</v>
      </c>
      <c r="T1285" s="10">
        <f>IFERROR(ROUND((Q1285/R1285),2),"NA")</f>
        <v>0</v>
      </c>
      <c r="U1285">
        <f t="shared" ref="U1285:U1348" si="20">Q1285*S1285</f>
        <v>0</v>
      </c>
    </row>
    <row r="1286" spans="7:21" x14ac:dyDescent="0.2">
      <c r="G1286" s="9" t="s">
        <v>1801</v>
      </c>
      <c r="H1286">
        <v>0</v>
      </c>
      <c r="M1286" s="1" t="s">
        <v>1801</v>
      </c>
      <c r="N1286" s="1">
        <v>103</v>
      </c>
      <c r="P1286" s="1" t="s">
        <v>1801</v>
      </c>
      <c r="Q1286" s="42">
        <v>0</v>
      </c>
      <c r="R1286" s="42">
        <v>103</v>
      </c>
      <c r="S1286" s="42">
        <v>0</v>
      </c>
      <c r="T1286" s="10">
        <f>IFERROR(ROUND((Q1286/R1286),2),"NA")</f>
        <v>0</v>
      </c>
      <c r="U1286">
        <f t="shared" si="20"/>
        <v>0</v>
      </c>
    </row>
    <row r="1287" spans="7:21" x14ac:dyDescent="0.2">
      <c r="G1287" s="9" t="s">
        <v>631</v>
      </c>
      <c r="H1287">
        <v>100</v>
      </c>
      <c r="M1287" s="1" t="s">
        <v>631</v>
      </c>
      <c r="N1287" s="1">
        <v>951</v>
      </c>
      <c r="P1287" s="1" t="s">
        <v>631</v>
      </c>
      <c r="Q1287" s="42">
        <v>100</v>
      </c>
      <c r="R1287" s="42">
        <v>951</v>
      </c>
      <c r="S1287" s="42">
        <v>0</v>
      </c>
      <c r="T1287" s="10">
        <f>IFERROR(ROUND((Q1287/R1287),2),"NA")</f>
        <v>0.11</v>
      </c>
      <c r="U1287">
        <f t="shared" si="20"/>
        <v>0</v>
      </c>
    </row>
    <row r="1288" spans="7:21" x14ac:dyDescent="0.2">
      <c r="G1288" s="9" t="s">
        <v>2470</v>
      </c>
      <c r="H1288">
        <v>23</v>
      </c>
      <c r="M1288" s="1" t="s">
        <v>2470</v>
      </c>
      <c r="N1288" s="1">
        <v>3</v>
      </c>
      <c r="P1288" s="1" t="s">
        <v>2470</v>
      </c>
      <c r="Q1288" s="42">
        <v>23</v>
      </c>
      <c r="R1288" s="42">
        <v>3</v>
      </c>
      <c r="S1288" s="42">
        <v>0.38</v>
      </c>
      <c r="T1288" s="10">
        <f>IFERROR(ROUND((Q1288/R1288),2),"NA")</f>
        <v>7.67</v>
      </c>
      <c r="U1288">
        <f t="shared" si="20"/>
        <v>8.74</v>
      </c>
    </row>
    <row r="1289" spans="7:21" x14ac:dyDescent="0.2">
      <c r="G1289" s="9" t="s">
        <v>1809</v>
      </c>
      <c r="H1289">
        <v>100</v>
      </c>
      <c r="M1289" s="1" t="s">
        <v>1809</v>
      </c>
      <c r="N1289" s="1">
        <v>17</v>
      </c>
      <c r="P1289" s="1" t="s">
        <v>1809</v>
      </c>
      <c r="Q1289" s="42">
        <v>100</v>
      </c>
      <c r="R1289" s="42">
        <v>17</v>
      </c>
      <c r="S1289" s="42">
        <v>0.38</v>
      </c>
      <c r="T1289" s="10">
        <f>IFERROR(ROUND((Q1289/R1289),2),"NA")</f>
        <v>5.88</v>
      </c>
      <c r="U1289">
        <f t="shared" si="20"/>
        <v>38</v>
      </c>
    </row>
    <row r="1290" spans="7:21" x14ac:dyDescent="0.2">
      <c r="G1290" s="9" t="s">
        <v>1082</v>
      </c>
      <c r="H1290">
        <v>97</v>
      </c>
      <c r="M1290" s="1" t="s">
        <v>1082</v>
      </c>
      <c r="N1290" s="1">
        <v>962</v>
      </c>
      <c r="P1290" s="1" t="s">
        <v>1082</v>
      </c>
      <c r="Q1290" s="42">
        <v>97</v>
      </c>
      <c r="R1290" s="42">
        <v>962</v>
      </c>
      <c r="S1290" s="42">
        <v>0.03</v>
      </c>
      <c r="T1290" s="10">
        <f>IFERROR(ROUND((Q1290/R1290),2),"NA")</f>
        <v>0.1</v>
      </c>
      <c r="U1290">
        <f t="shared" si="20"/>
        <v>2.9099999999999997</v>
      </c>
    </row>
    <row r="1291" spans="7:21" x14ac:dyDescent="0.2">
      <c r="G1291" s="9" t="s">
        <v>1304</v>
      </c>
      <c r="H1291">
        <v>100</v>
      </c>
      <c r="M1291" s="1" t="s">
        <v>1304</v>
      </c>
      <c r="N1291" s="1">
        <v>59</v>
      </c>
      <c r="P1291" s="1" t="s">
        <v>1304</v>
      </c>
      <c r="Q1291" s="42">
        <v>100</v>
      </c>
      <c r="R1291" s="42">
        <v>59</v>
      </c>
      <c r="S1291" s="42">
        <v>0</v>
      </c>
      <c r="T1291" s="10">
        <f>IFERROR(ROUND((Q1291/R1291),2),"NA")</f>
        <v>1.69</v>
      </c>
      <c r="U1291">
        <f t="shared" si="20"/>
        <v>0</v>
      </c>
    </row>
    <row r="1292" spans="7:21" x14ac:dyDescent="0.2">
      <c r="G1292" s="9" t="s">
        <v>655</v>
      </c>
      <c r="H1292">
        <v>857</v>
      </c>
      <c r="M1292" s="1" t="s">
        <v>655</v>
      </c>
      <c r="N1292" s="1">
        <v>1176</v>
      </c>
      <c r="P1292" s="1" t="s">
        <v>655</v>
      </c>
      <c r="Q1292" s="42">
        <v>857</v>
      </c>
      <c r="R1292" s="42">
        <v>1176</v>
      </c>
      <c r="S1292" s="42">
        <v>0.19333333333333336</v>
      </c>
      <c r="T1292" s="10">
        <f>IFERROR(ROUND((Q1292/R1292),2),"NA")</f>
        <v>0.73</v>
      </c>
      <c r="U1292">
        <f t="shared" si="20"/>
        <v>165.6866666666667</v>
      </c>
    </row>
    <row r="1293" spans="7:21" x14ac:dyDescent="0.2">
      <c r="G1293" s="9" t="s">
        <v>2634</v>
      </c>
      <c r="H1293">
        <v>500</v>
      </c>
      <c r="M1293" s="1" t="s">
        <v>2634</v>
      </c>
      <c r="N1293" s="1">
        <v>200</v>
      </c>
      <c r="P1293" s="1" t="s">
        <v>2634</v>
      </c>
      <c r="Q1293" s="42">
        <v>500</v>
      </c>
      <c r="R1293" s="42">
        <v>200</v>
      </c>
      <c r="S1293" s="42">
        <v>0.5</v>
      </c>
      <c r="T1293" s="10">
        <f>IFERROR(ROUND((Q1293/R1293),2),"NA")</f>
        <v>2.5</v>
      </c>
      <c r="U1293">
        <f t="shared" si="20"/>
        <v>250</v>
      </c>
    </row>
    <row r="1294" spans="7:21" x14ac:dyDescent="0.2">
      <c r="G1294" s="9" t="s">
        <v>1216</v>
      </c>
      <c r="H1294">
        <v>350</v>
      </c>
      <c r="M1294" s="1" t="s">
        <v>1216</v>
      </c>
      <c r="N1294" s="1">
        <v>0</v>
      </c>
      <c r="P1294" s="1" t="s">
        <v>1216</v>
      </c>
      <c r="Q1294" s="42">
        <v>350</v>
      </c>
      <c r="R1294" s="42">
        <v>0</v>
      </c>
      <c r="S1294" s="42">
        <v>0.13</v>
      </c>
      <c r="T1294" s="10" t="str">
        <f>IFERROR(ROUND((Q1294/R1294),2),"NA")</f>
        <v>NA</v>
      </c>
      <c r="U1294">
        <f t="shared" si="20"/>
        <v>45.5</v>
      </c>
    </row>
    <row r="1295" spans="7:21" x14ac:dyDescent="0.2">
      <c r="G1295" s="9" t="s">
        <v>465</v>
      </c>
      <c r="H1295">
        <v>0</v>
      </c>
      <c r="M1295" s="1" t="s">
        <v>465</v>
      </c>
      <c r="N1295" s="1">
        <v>108</v>
      </c>
      <c r="P1295" s="1" t="s">
        <v>465</v>
      </c>
      <c r="Q1295" s="42">
        <v>0</v>
      </c>
      <c r="R1295" s="42">
        <v>108</v>
      </c>
      <c r="S1295" s="42">
        <v>0</v>
      </c>
      <c r="T1295" s="10">
        <f>IFERROR(ROUND((Q1295/R1295),2),"NA")</f>
        <v>0</v>
      </c>
      <c r="U1295">
        <f t="shared" si="20"/>
        <v>0</v>
      </c>
    </row>
    <row r="1296" spans="7:21" x14ac:dyDescent="0.2">
      <c r="G1296" s="9" t="s">
        <v>1682</v>
      </c>
      <c r="H1296">
        <v>18</v>
      </c>
      <c r="M1296" s="1" t="s">
        <v>1682</v>
      </c>
      <c r="N1296" s="1">
        <v>180</v>
      </c>
      <c r="P1296" s="1" t="s">
        <v>1682</v>
      </c>
      <c r="Q1296" s="42">
        <v>18</v>
      </c>
      <c r="R1296" s="42">
        <v>180</v>
      </c>
      <c r="S1296" s="42">
        <v>0.32500000000000001</v>
      </c>
      <c r="T1296" s="10">
        <f>IFERROR(ROUND((Q1296/R1296),2),"NA")</f>
        <v>0.1</v>
      </c>
      <c r="U1296">
        <f t="shared" si="20"/>
        <v>5.8500000000000005</v>
      </c>
    </row>
    <row r="1297" spans="7:21" x14ac:dyDescent="0.2">
      <c r="G1297" s="9" t="s">
        <v>1158</v>
      </c>
      <c r="H1297">
        <v>0</v>
      </c>
      <c r="M1297" s="1" t="s">
        <v>1158</v>
      </c>
      <c r="N1297" s="1">
        <v>1700</v>
      </c>
      <c r="P1297" s="1" t="s">
        <v>1158</v>
      </c>
      <c r="Q1297" s="42">
        <v>0</v>
      </c>
      <c r="R1297" s="42">
        <v>1700</v>
      </c>
      <c r="S1297" s="42">
        <v>0</v>
      </c>
      <c r="T1297" s="10">
        <f>IFERROR(ROUND((Q1297/R1297),2),"NA")</f>
        <v>0</v>
      </c>
      <c r="U1297">
        <f t="shared" si="20"/>
        <v>0</v>
      </c>
    </row>
    <row r="1298" spans="7:21" x14ac:dyDescent="0.2">
      <c r="G1298" s="9" t="s">
        <v>200</v>
      </c>
      <c r="H1298">
        <v>0</v>
      </c>
      <c r="M1298" s="1" t="s">
        <v>200</v>
      </c>
      <c r="N1298" s="1">
        <v>104</v>
      </c>
      <c r="P1298" s="1" t="s">
        <v>200</v>
      </c>
      <c r="Q1298" s="42">
        <v>0</v>
      </c>
      <c r="R1298" s="42">
        <v>104</v>
      </c>
      <c r="S1298" s="42">
        <v>0</v>
      </c>
      <c r="T1298" s="10">
        <f>IFERROR(ROUND((Q1298/R1298),2),"NA")</f>
        <v>0</v>
      </c>
      <c r="U1298">
        <f t="shared" si="20"/>
        <v>0</v>
      </c>
    </row>
    <row r="1299" spans="7:21" x14ac:dyDescent="0.2">
      <c r="G1299" s="9" t="s">
        <v>2273</v>
      </c>
      <c r="H1299">
        <v>0</v>
      </c>
      <c r="M1299" s="1" t="s">
        <v>2273</v>
      </c>
      <c r="N1299" s="1">
        <v>263</v>
      </c>
      <c r="P1299" s="1" t="s">
        <v>2273</v>
      </c>
      <c r="Q1299" s="42">
        <v>0</v>
      </c>
      <c r="R1299" s="42">
        <v>263</v>
      </c>
      <c r="S1299" s="42">
        <v>0</v>
      </c>
      <c r="T1299" s="10">
        <f>IFERROR(ROUND((Q1299/R1299),2),"NA")</f>
        <v>0</v>
      </c>
      <c r="U1299">
        <f t="shared" si="20"/>
        <v>0</v>
      </c>
    </row>
    <row r="1300" spans="7:21" x14ac:dyDescent="0.2">
      <c r="G1300" s="9" t="s">
        <v>1128</v>
      </c>
      <c r="H1300">
        <v>64</v>
      </c>
      <c r="M1300" s="1" t="s">
        <v>1128</v>
      </c>
      <c r="N1300" s="1">
        <v>228</v>
      </c>
      <c r="P1300" s="1" t="s">
        <v>1128</v>
      </c>
      <c r="Q1300" s="42">
        <v>64</v>
      </c>
      <c r="R1300" s="42">
        <v>228</v>
      </c>
      <c r="S1300" s="42">
        <v>0.3</v>
      </c>
      <c r="T1300" s="10">
        <f>IFERROR(ROUND((Q1300/R1300),2),"NA")</f>
        <v>0.28000000000000003</v>
      </c>
      <c r="U1300">
        <f t="shared" si="20"/>
        <v>19.2</v>
      </c>
    </row>
    <row r="1301" spans="7:21" x14ac:dyDescent="0.2">
      <c r="G1301" s="9" t="s">
        <v>2861</v>
      </c>
      <c r="H1301">
        <v>0</v>
      </c>
      <c r="M1301" s="1" t="s">
        <v>2861</v>
      </c>
      <c r="N1301" s="1">
        <v>46</v>
      </c>
      <c r="P1301" s="1" t="s">
        <v>2861</v>
      </c>
      <c r="Q1301" s="42">
        <v>0</v>
      </c>
      <c r="R1301" s="42">
        <v>46</v>
      </c>
      <c r="S1301" s="42">
        <v>0</v>
      </c>
      <c r="T1301" s="10">
        <f>IFERROR(ROUND((Q1301/R1301),2),"NA")</f>
        <v>0</v>
      </c>
      <c r="U1301">
        <f t="shared" si="20"/>
        <v>0</v>
      </c>
    </row>
    <row r="1302" spans="7:21" x14ac:dyDescent="0.2">
      <c r="G1302" s="9" t="s">
        <v>469</v>
      </c>
      <c r="H1302">
        <v>86</v>
      </c>
      <c r="M1302" s="1" t="s">
        <v>469</v>
      </c>
      <c r="N1302" s="1">
        <v>195</v>
      </c>
      <c r="P1302" s="1" t="s">
        <v>469</v>
      </c>
      <c r="Q1302" s="42">
        <v>86</v>
      </c>
      <c r="R1302" s="42">
        <v>195</v>
      </c>
      <c r="S1302" s="42">
        <v>0.4</v>
      </c>
      <c r="T1302" s="10">
        <f>IFERROR(ROUND((Q1302/R1302),2),"NA")</f>
        <v>0.44</v>
      </c>
      <c r="U1302">
        <f t="shared" si="20"/>
        <v>34.4</v>
      </c>
    </row>
    <row r="1303" spans="7:21" x14ac:dyDescent="0.2">
      <c r="G1303" s="9" t="s">
        <v>307</v>
      </c>
      <c r="H1303">
        <v>80</v>
      </c>
      <c r="M1303" s="1" t="s">
        <v>307</v>
      </c>
      <c r="N1303" s="1">
        <v>490</v>
      </c>
      <c r="P1303" s="1" t="s">
        <v>307</v>
      </c>
      <c r="Q1303" s="42">
        <v>80</v>
      </c>
      <c r="R1303" s="42">
        <v>490</v>
      </c>
      <c r="S1303" s="42">
        <v>0.03</v>
      </c>
      <c r="T1303" s="10">
        <f>IFERROR(ROUND((Q1303/R1303),2),"NA")</f>
        <v>0.16</v>
      </c>
      <c r="U1303">
        <f t="shared" si="20"/>
        <v>2.4</v>
      </c>
    </row>
    <row r="1304" spans="7:21" x14ac:dyDescent="0.2">
      <c r="G1304" s="9" t="s">
        <v>2483</v>
      </c>
      <c r="H1304">
        <v>150</v>
      </c>
      <c r="M1304" s="1" t="s">
        <v>2483</v>
      </c>
      <c r="N1304" s="1">
        <v>24</v>
      </c>
      <c r="P1304" s="1" t="s">
        <v>2483</v>
      </c>
      <c r="Q1304" s="42">
        <v>150</v>
      </c>
      <c r="R1304" s="42">
        <v>24</v>
      </c>
      <c r="S1304" s="42">
        <v>0</v>
      </c>
      <c r="T1304" s="10">
        <f>IFERROR(ROUND((Q1304/R1304),2),"NA")</f>
        <v>6.25</v>
      </c>
      <c r="U1304">
        <f t="shared" si="20"/>
        <v>0</v>
      </c>
    </row>
    <row r="1305" spans="7:21" x14ac:dyDescent="0.2">
      <c r="G1305" s="9" t="s">
        <v>2062</v>
      </c>
      <c r="H1305">
        <v>0</v>
      </c>
      <c r="M1305" s="1" t="s">
        <v>2062</v>
      </c>
      <c r="N1305" s="1">
        <v>20</v>
      </c>
      <c r="P1305" s="1" t="s">
        <v>2062</v>
      </c>
      <c r="Q1305" s="42">
        <v>0</v>
      </c>
      <c r="R1305" s="42">
        <v>20</v>
      </c>
      <c r="S1305" s="42">
        <v>1</v>
      </c>
      <c r="T1305" s="10">
        <f>IFERROR(ROUND((Q1305/R1305),2),"NA")</f>
        <v>0</v>
      </c>
      <c r="U1305">
        <f t="shared" si="20"/>
        <v>0</v>
      </c>
    </row>
    <row r="1306" spans="7:21" x14ac:dyDescent="0.2">
      <c r="G1306" s="9" t="s">
        <v>1617</v>
      </c>
      <c r="H1306">
        <v>0</v>
      </c>
      <c r="M1306" s="1" t="s">
        <v>1617</v>
      </c>
      <c r="N1306" s="1">
        <v>158</v>
      </c>
      <c r="P1306" s="1" t="s">
        <v>1617</v>
      </c>
      <c r="Q1306" s="42">
        <v>0</v>
      </c>
      <c r="R1306" s="42">
        <v>158</v>
      </c>
      <c r="S1306" s="42">
        <v>0.14000000000000001</v>
      </c>
      <c r="T1306" s="10">
        <f>IFERROR(ROUND((Q1306/R1306),2),"NA")</f>
        <v>0</v>
      </c>
      <c r="U1306">
        <f t="shared" si="20"/>
        <v>0</v>
      </c>
    </row>
    <row r="1307" spans="7:21" x14ac:dyDescent="0.2">
      <c r="G1307" s="9" t="s">
        <v>1897</v>
      </c>
      <c r="H1307">
        <v>130</v>
      </c>
      <c r="M1307" s="1" t="s">
        <v>1897</v>
      </c>
      <c r="N1307" s="1">
        <v>6</v>
      </c>
      <c r="P1307" s="1" t="s">
        <v>1897</v>
      </c>
      <c r="Q1307" s="42">
        <v>130</v>
      </c>
      <c r="R1307" s="42">
        <v>6</v>
      </c>
      <c r="S1307" s="42">
        <v>0.15</v>
      </c>
      <c r="T1307" s="10">
        <f>IFERROR(ROUND((Q1307/R1307),2),"NA")</f>
        <v>21.67</v>
      </c>
      <c r="U1307">
        <f t="shared" si="20"/>
        <v>19.5</v>
      </c>
    </row>
    <row r="1308" spans="7:21" x14ac:dyDescent="0.2">
      <c r="G1308" s="9" t="s">
        <v>2568</v>
      </c>
      <c r="H1308">
        <v>40</v>
      </c>
      <c r="M1308" s="1" t="s">
        <v>2568</v>
      </c>
      <c r="N1308" s="1">
        <v>30</v>
      </c>
      <c r="P1308" s="1" t="s">
        <v>2568</v>
      </c>
      <c r="Q1308" s="42">
        <v>40</v>
      </c>
      <c r="R1308" s="42">
        <v>30</v>
      </c>
      <c r="S1308" s="42">
        <v>0.35499999999999998</v>
      </c>
      <c r="T1308" s="10">
        <f>IFERROR(ROUND((Q1308/R1308),2),"NA")</f>
        <v>1.33</v>
      </c>
      <c r="U1308">
        <f t="shared" si="20"/>
        <v>14.2</v>
      </c>
    </row>
    <row r="1309" spans="7:21" x14ac:dyDescent="0.2">
      <c r="G1309" s="9" t="s">
        <v>2773</v>
      </c>
      <c r="H1309">
        <v>14</v>
      </c>
      <c r="M1309" s="1" t="s">
        <v>2773</v>
      </c>
      <c r="N1309" s="1">
        <v>0</v>
      </c>
      <c r="P1309" s="1" t="s">
        <v>2773</v>
      </c>
      <c r="Q1309" s="42">
        <v>14</v>
      </c>
      <c r="R1309" s="42">
        <v>0</v>
      </c>
      <c r="S1309" s="42">
        <v>7.0000000000000007E-2</v>
      </c>
      <c r="T1309" s="10" t="str">
        <f>IFERROR(ROUND((Q1309/R1309),2),"NA")</f>
        <v>NA</v>
      </c>
      <c r="U1309">
        <f t="shared" si="20"/>
        <v>0.98000000000000009</v>
      </c>
    </row>
    <row r="1310" spans="7:21" x14ac:dyDescent="0.2">
      <c r="G1310" s="9" t="s">
        <v>1427</v>
      </c>
      <c r="H1310">
        <v>40</v>
      </c>
      <c r="M1310" s="1" t="s">
        <v>1427</v>
      </c>
      <c r="N1310" s="1">
        <v>84</v>
      </c>
      <c r="P1310" s="1" t="s">
        <v>1427</v>
      </c>
      <c r="Q1310" s="42">
        <v>40</v>
      </c>
      <c r="R1310" s="42">
        <v>84</v>
      </c>
      <c r="S1310" s="42">
        <v>0.25</v>
      </c>
      <c r="T1310" s="10">
        <f>IFERROR(ROUND((Q1310/R1310),2),"NA")</f>
        <v>0.48</v>
      </c>
      <c r="U1310">
        <f t="shared" si="20"/>
        <v>10</v>
      </c>
    </row>
    <row r="1311" spans="7:21" x14ac:dyDescent="0.2">
      <c r="G1311" s="9" t="s">
        <v>2268</v>
      </c>
      <c r="H1311">
        <v>80</v>
      </c>
      <c r="M1311" s="1" t="s">
        <v>2268</v>
      </c>
      <c r="N1311" s="1">
        <v>335</v>
      </c>
      <c r="P1311" s="1" t="s">
        <v>2268</v>
      </c>
      <c r="Q1311" s="42">
        <v>80</v>
      </c>
      <c r="R1311" s="42">
        <v>335</v>
      </c>
      <c r="S1311" s="42">
        <v>0.12</v>
      </c>
      <c r="T1311" s="10">
        <f>IFERROR(ROUND((Q1311/R1311),2),"NA")</f>
        <v>0.24</v>
      </c>
      <c r="U1311">
        <f t="shared" si="20"/>
        <v>9.6</v>
      </c>
    </row>
    <row r="1312" spans="7:21" x14ac:dyDescent="0.2">
      <c r="G1312" s="9" t="s">
        <v>187</v>
      </c>
      <c r="H1312">
        <v>580</v>
      </c>
      <c r="M1312" s="1" t="s">
        <v>187</v>
      </c>
      <c r="N1312" s="1">
        <v>2400</v>
      </c>
      <c r="P1312" s="1" t="s">
        <v>187</v>
      </c>
      <c r="Q1312" s="42">
        <v>580</v>
      </c>
      <c r="R1312" s="42">
        <v>2400</v>
      </c>
      <c r="S1312" s="42">
        <v>0.1</v>
      </c>
      <c r="T1312" s="10">
        <f>IFERROR(ROUND((Q1312/R1312),2),"NA")</f>
        <v>0.24</v>
      </c>
      <c r="U1312">
        <f t="shared" si="20"/>
        <v>58</v>
      </c>
    </row>
    <row r="1313" spans="7:21" x14ac:dyDescent="0.2">
      <c r="G1313" s="9" t="s">
        <v>2694</v>
      </c>
      <c r="H1313">
        <v>80</v>
      </c>
      <c r="M1313" s="1" t="s">
        <v>2694</v>
      </c>
      <c r="N1313" s="1">
        <v>765</v>
      </c>
      <c r="P1313" s="1" t="s">
        <v>2694</v>
      </c>
      <c r="Q1313" s="42">
        <v>80</v>
      </c>
      <c r="R1313" s="42">
        <v>765</v>
      </c>
      <c r="S1313" s="42">
        <v>0.13</v>
      </c>
      <c r="T1313" s="10">
        <f>IFERROR(ROUND((Q1313/R1313),2),"NA")</f>
        <v>0.1</v>
      </c>
      <c r="U1313">
        <f t="shared" si="20"/>
        <v>10.4</v>
      </c>
    </row>
    <row r="1314" spans="7:21" x14ac:dyDescent="0.2">
      <c r="G1314" s="9" t="s">
        <v>1623</v>
      </c>
      <c r="H1314">
        <v>0</v>
      </c>
      <c r="M1314" s="1" t="s">
        <v>1623</v>
      </c>
      <c r="N1314" s="1">
        <v>33</v>
      </c>
      <c r="P1314" s="1" t="s">
        <v>1623</v>
      </c>
      <c r="Q1314" s="42">
        <v>0</v>
      </c>
      <c r="R1314" s="42">
        <v>33</v>
      </c>
      <c r="S1314" s="42">
        <v>0.15</v>
      </c>
      <c r="T1314" s="10">
        <f>IFERROR(ROUND((Q1314/R1314),2),"NA")</f>
        <v>0</v>
      </c>
      <c r="U1314">
        <f t="shared" si="20"/>
        <v>0</v>
      </c>
    </row>
    <row r="1315" spans="7:21" x14ac:dyDescent="0.2">
      <c r="G1315" s="9" t="s">
        <v>2505</v>
      </c>
      <c r="H1315">
        <v>13</v>
      </c>
      <c r="M1315" s="1" t="s">
        <v>2505</v>
      </c>
      <c r="N1315" s="1">
        <v>0</v>
      </c>
      <c r="P1315" s="1" t="s">
        <v>2505</v>
      </c>
      <c r="Q1315" s="42">
        <v>13</v>
      </c>
      <c r="R1315" s="42">
        <v>0</v>
      </c>
      <c r="S1315" s="42">
        <v>1</v>
      </c>
      <c r="T1315" s="10" t="str">
        <f>IFERROR(ROUND((Q1315/R1315),2),"NA")</f>
        <v>NA</v>
      </c>
      <c r="U1315">
        <f t="shared" si="20"/>
        <v>13</v>
      </c>
    </row>
    <row r="1316" spans="7:21" x14ac:dyDescent="0.2">
      <c r="G1316" s="9" t="s">
        <v>805</v>
      </c>
      <c r="H1316">
        <v>0</v>
      </c>
      <c r="M1316" s="1" t="s">
        <v>805</v>
      </c>
      <c r="N1316" s="1">
        <v>180</v>
      </c>
      <c r="P1316" s="1" t="s">
        <v>805</v>
      </c>
      <c r="Q1316" s="42">
        <v>0</v>
      </c>
      <c r="R1316" s="42">
        <v>180</v>
      </c>
      <c r="S1316" s="42">
        <v>0</v>
      </c>
      <c r="T1316" s="10">
        <f>IFERROR(ROUND((Q1316/R1316),2),"NA")</f>
        <v>0</v>
      </c>
      <c r="U1316">
        <f t="shared" si="20"/>
        <v>0</v>
      </c>
    </row>
    <row r="1317" spans="7:21" x14ac:dyDescent="0.2">
      <c r="G1317" s="9" t="s">
        <v>642</v>
      </c>
      <c r="H1317">
        <v>2336</v>
      </c>
      <c r="M1317" s="1" t="s">
        <v>642</v>
      </c>
      <c r="N1317" s="1">
        <v>616</v>
      </c>
      <c r="P1317" s="1" t="s">
        <v>642</v>
      </c>
      <c r="Q1317" s="42">
        <v>2336</v>
      </c>
      <c r="R1317" s="42">
        <v>616</v>
      </c>
      <c r="S1317" s="42">
        <v>4.3333333333333335E-2</v>
      </c>
      <c r="T1317" s="10">
        <f>IFERROR(ROUND((Q1317/R1317),2),"NA")</f>
        <v>3.79</v>
      </c>
      <c r="U1317">
        <f t="shared" si="20"/>
        <v>101.22666666666667</v>
      </c>
    </row>
    <row r="1318" spans="7:21" x14ac:dyDescent="0.2">
      <c r="G1318" s="9" t="s">
        <v>1992</v>
      </c>
      <c r="H1318">
        <v>35</v>
      </c>
      <c r="M1318" s="1" t="s">
        <v>1992</v>
      </c>
      <c r="N1318" s="1">
        <v>2</v>
      </c>
      <c r="P1318" s="1" t="s">
        <v>1992</v>
      </c>
      <c r="Q1318" s="42">
        <v>35</v>
      </c>
      <c r="R1318" s="42">
        <v>2</v>
      </c>
      <c r="S1318" s="42">
        <v>0</v>
      </c>
      <c r="T1318" s="10">
        <f>IFERROR(ROUND((Q1318/R1318),2),"NA")</f>
        <v>17.5</v>
      </c>
      <c r="U1318">
        <f t="shared" si="20"/>
        <v>0</v>
      </c>
    </row>
    <row r="1319" spans="7:21" x14ac:dyDescent="0.2">
      <c r="G1319" s="9" t="s">
        <v>1028</v>
      </c>
      <c r="H1319">
        <v>110</v>
      </c>
      <c r="M1319" s="1" t="s">
        <v>1028</v>
      </c>
      <c r="N1319" s="1">
        <v>330</v>
      </c>
      <c r="P1319" s="1" t="s">
        <v>1028</v>
      </c>
      <c r="Q1319" s="42">
        <v>110</v>
      </c>
      <c r="R1319" s="42">
        <v>330</v>
      </c>
      <c r="S1319" s="42">
        <v>0.22000000000000003</v>
      </c>
      <c r="T1319" s="10">
        <f>IFERROR(ROUND((Q1319/R1319),2),"NA")</f>
        <v>0.33</v>
      </c>
      <c r="U1319">
        <f t="shared" si="20"/>
        <v>24.200000000000003</v>
      </c>
    </row>
    <row r="1320" spans="7:21" x14ac:dyDescent="0.2">
      <c r="G1320" s="9" t="s">
        <v>2369</v>
      </c>
      <c r="H1320">
        <v>0</v>
      </c>
      <c r="M1320" s="1" t="s">
        <v>2369</v>
      </c>
      <c r="N1320" s="1">
        <v>22</v>
      </c>
      <c r="P1320" s="1" t="s">
        <v>2369</v>
      </c>
      <c r="Q1320" s="42">
        <v>0</v>
      </c>
      <c r="R1320" s="42">
        <v>22</v>
      </c>
      <c r="S1320" s="42">
        <v>0</v>
      </c>
      <c r="T1320" s="10">
        <f>IFERROR(ROUND((Q1320/R1320),2),"NA")</f>
        <v>0</v>
      </c>
      <c r="U1320">
        <f t="shared" si="20"/>
        <v>0</v>
      </c>
    </row>
    <row r="1321" spans="7:21" x14ac:dyDescent="0.2">
      <c r="G1321" s="9" t="s">
        <v>1738</v>
      </c>
      <c r="H1321">
        <v>27</v>
      </c>
      <c r="M1321" s="1" t="s">
        <v>1738</v>
      </c>
      <c r="N1321" s="1">
        <v>115</v>
      </c>
      <c r="P1321" s="1" t="s">
        <v>1738</v>
      </c>
      <c r="Q1321" s="42">
        <v>27</v>
      </c>
      <c r="R1321" s="42">
        <v>115</v>
      </c>
      <c r="S1321" s="42">
        <v>0.18</v>
      </c>
      <c r="T1321" s="10">
        <f>IFERROR(ROUND((Q1321/R1321),2),"NA")</f>
        <v>0.23</v>
      </c>
      <c r="U1321">
        <f t="shared" si="20"/>
        <v>4.8599999999999994</v>
      </c>
    </row>
    <row r="1322" spans="7:21" x14ac:dyDescent="0.2">
      <c r="G1322" s="9" t="s">
        <v>2486</v>
      </c>
      <c r="H1322">
        <v>100</v>
      </c>
      <c r="M1322" s="1" t="s">
        <v>2486</v>
      </c>
      <c r="N1322" s="1">
        <v>118</v>
      </c>
      <c r="P1322" s="1" t="s">
        <v>2486</v>
      </c>
      <c r="Q1322" s="42">
        <v>100</v>
      </c>
      <c r="R1322" s="42">
        <v>118</v>
      </c>
      <c r="S1322" s="42">
        <v>0.15</v>
      </c>
      <c r="T1322" s="10">
        <f>IFERROR(ROUND((Q1322/R1322),2),"NA")</f>
        <v>0.85</v>
      </c>
      <c r="U1322">
        <f t="shared" si="20"/>
        <v>15</v>
      </c>
    </row>
    <row r="1323" spans="7:21" x14ac:dyDescent="0.2">
      <c r="G1323" s="9" t="s">
        <v>2036</v>
      </c>
      <c r="H1323">
        <v>223</v>
      </c>
      <c r="M1323" s="1" t="s">
        <v>2036</v>
      </c>
      <c r="N1323" s="1">
        <v>84</v>
      </c>
      <c r="P1323" s="1" t="s">
        <v>2036</v>
      </c>
      <c r="Q1323" s="42">
        <v>223</v>
      </c>
      <c r="R1323" s="42">
        <v>84</v>
      </c>
      <c r="S1323" s="42">
        <v>0.11</v>
      </c>
      <c r="T1323" s="10">
        <f>IFERROR(ROUND((Q1323/R1323),2),"NA")</f>
        <v>2.65</v>
      </c>
      <c r="U1323">
        <f t="shared" si="20"/>
        <v>24.53</v>
      </c>
    </row>
    <row r="1324" spans="7:21" x14ac:dyDescent="0.2">
      <c r="G1324" s="9" t="s">
        <v>1924</v>
      </c>
      <c r="H1324">
        <v>0</v>
      </c>
      <c r="M1324" s="1" t="s">
        <v>1924</v>
      </c>
      <c r="N1324" s="1">
        <v>16</v>
      </c>
      <c r="P1324" s="1" t="s">
        <v>1924</v>
      </c>
      <c r="Q1324" s="42">
        <v>0</v>
      </c>
      <c r="R1324" s="42">
        <v>16</v>
      </c>
      <c r="S1324" s="42">
        <v>0.1</v>
      </c>
      <c r="T1324" s="10">
        <f>IFERROR(ROUND((Q1324/R1324),2),"NA")</f>
        <v>0</v>
      </c>
      <c r="U1324">
        <f t="shared" si="20"/>
        <v>0</v>
      </c>
    </row>
    <row r="1325" spans="7:21" x14ac:dyDescent="0.2">
      <c r="G1325" s="9" t="s">
        <v>2682</v>
      </c>
      <c r="H1325">
        <v>50</v>
      </c>
      <c r="M1325" s="1" t="s">
        <v>2682</v>
      </c>
      <c r="N1325" s="1">
        <v>46</v>
      </c>
      <c r="P1325" s="1" t="s">
        <v>2682</v>
      </c>
      <c r="Q1325" s="42">
        <v>50</v>
      </c>
      <c r="R1325" s="42">
        <v>46</v>
      </c>
      <c r="S1325" s="42">
        <v>0</v>
      </c>
      <c r="T1325" s="10">
        <f>IFERROR(ROUND((Q1325/R1325),2),"NA")</f>
        <v>1.0900000000000001</v>
      </c>
      <c r="U1325">
        <f t="shared" si="20"/>
        <v>0</v>
      </c>
    </row>
    <row r="1326" spans="7:21" x14ac:dyDescent="0.2">
      <c r="G1326" s="9" t="s">
        <v>467</v>
      </c>
      <c r="H1326">
        <v>0</v>
      </c>
      <c r="M1326" s="1" t="s">
        <v>467</v>
      </c>
      <c r="N1326" s="1">
        <v>24</v>
      </c>
      <c r="P1326" s="1" t="s">
        <v>467</v>
      </c>
      <c r="Q1326" s="42">
        <v>0</v>
      </c>
      <c r="R1326" s="42">
        <v>24</v>
      </c>
      <c r="S1326" s="42">
        <v>0.16</v>
      </c>
      <c r="T1326" s="10">
        <f>IFERROR(ROUND((Q1326/R1326),2),"NA")</f>
        <v>0</v>
      </c>
      <c r="U1326">
        <f t="shared" si="20"/>
        <v>0</v>
      </c>
    </row>
    <row r="1327" spans="7:21" x14ac:dyDescent="0.2">
      <c r="G1327" s="9" t="s">
        <v>1264</v>
      </c>
      <c r="H1327">
        <v>550</v>
      </c>
      <c r="M1327" s="1" t="s">
        <v>1264</v>
      </c>
      <c r="N1327" s="1">
        <v>588</v>
      </c>
      <c r="P1327" s="1" t="s">
        <v>1264</v>
      </c>
      <c r="Q1327" s="42">
        <v>550</v>
      </c>
      <c r="R1327" s="42">
        <v>588</v>
      </c>
      <c r="S1327" s="42">
        <v>8.4999999999999992E-2</v>
      </c>
      <c r="T1327" s="10">
        <f>IFERROR(ROUND((Q1327/R1327),2),"NA")</f>
        <v>0.94</v>
      </c>
      <c r="U1327">
        <f t="shared" si="20"/>
        <v>46.749999999999993</v>
      </c>
    </row>
    <row r="1328" spans="7:21" x14ac:dyDescent="0.2">
      <c r="G1328" s="9" t="s">
        <v>537</v>
      </c>
      <c r="H1328">
        <v>40</v>
      </c>
      <c r="M1328" s="1" t="s">
        <v>537</v>
      </c>
      <c r="N1328" s="1">
        <v>52</v>
      </c>
      <c r="P1328" s="1" t="s">
        <v>537</v>
      </c>
      <c r="Q1328" s="42">
        <v>40</v>
      </c>
      <c r="R1328" s="42">
        <v>52</v>
      </c>
      <c r="S1328" s="42">
        <v>0.36</v>
      </c>
      <c r="T1328" s="10">
        <f>IFERROR(ROUND((Q1328/R1328),2),"NA")</f>
        <v>0.77</v>
      </c>
      <c r="U1328">
        <f t="shared" si="20"/>
        <v>14.399999999999999</v>
      </c>
    </row>
    <row r="1329" spans="7:21" x14ac:dyDescent="0.2">
      <c r="G1329" s="9" t="s">
        <v>1350</v>
      </c>
      <c r="H1329">
        <v>0</v>
      </c>
      <c r="M1329" s="1" t="s">
        <v>1350</v>
      </c>
      <c r="N1329" s="1">
        <v>57</v>
      </c>
      <c r="P1329" s="1" t="s">
        <v>1350</v>
      </c>
      <c r="Q1329" s="42">
        <v>0</v>
      </c>
      <c r="R1329" s="42">
        <v>57</v>
      </c>
      <c r="S1329" s="42">
        <v>1</v>
      </c>
      <c r="T1329" s="10">
        <f>IFERROR(ROUND((Q1329/R1329),2),"NA")</f>
        <v>0</v>
      </c>
      <c r="U1329">
        <f t="shared" si="20"/>
        <v>0</v>
      </c>
    </row>
    <row r="1330" spans="7:21" x14ac:dyDescent="0.2">
      <c r="G1330" s="9" t="s">
        <v>1302</v>
      </c>
      <c r="H1330">
        <v>1289</v>
      </c>
      <c r="M1330" s="1" t="s">
        <v>1302</v>
      </c>
      <c r="N1330" s="1">
        <v>3678</v>
      </c>
      <c r="P1330" s="1" t="s">
        <v>1302</v>
      </c>
      <c r="Q1330" s="42">
        <v>1289</v>
      </c>
      <c r="R1330" s="42">
        <v>3678</v>
      </c>
      <c r="S1330" s="42">
        <v>0.1225</v>
      </c>
      <c r="T1330" s="10">
        <f>IFERROR(ROUND((Q1330/R1330),2),"NA")</f>
        <v>0.35</v>
      </c>
      <c r="U1330">
        <f t="shared" si="20"/>
        <v>157.9025</v>
      </c>
    </row>
    <row r="1331" spans="7:21" x14ac:dyDescent="0.2">
      <c r="G1331" s="9" t="s">
        <v>2613</v>
      </c>
      <c r="H1331">
        <v>32</v>
      </c>
      <c r="M1331" s="1" t="s">
        <v>2613</v>
      </c>
      <c r="N1331" s="1">
        <v>17</v>
      </c>
      <c r="P1331" s="1" t="s">
        <v>2613</v>
      </c>
      <c r="Q1331" s="42">
        <v>32</v>
      </c>
      <c r="R1331" s="42">
        <v>17</v>
      </c>
      <c r="S1331" s="42">
        <v>0.6</v>
      </c>
      <c r="T1331" s="10">
        <f>IFERROR(ROUND((Q1331/R1331),2),"NA")</f>
        <v>1.88</v>
      </c>
      <c r="U1331">
        <f t="shared" si="20"/>
        <v>19.2</v>
      </c>
    </row>
    <row r="1332" spans="7:21" x14ac:dyDescent="0.2">
      <c r="G1332" s="9" t="s">
        <v>2888</v>
      </c>
      <c r="H1332">
        <v>25</v>
      </c>
      <c r="M1332" s="1" t="s">
        <v>2888</v>
      </c>
      <c r="N1332" s="1">
        <v>18</v>
      </c>
      <c r="P1332" s="1" t="s">
        <v>2888</v>
      </c>
      <c r="Q1332" s="42">
        <v>25</v>
      </c>
      <c r="R1332" s="42">
        <v>18</v>
      </c>
      <c r="S1332" s="42">
        <v>0.75</v>
      </c>
      <c r="T1332" s="10">
        <f>IFERROR(ROUND((Q1332/R1332),2),"NA")</f>
        <v>1.39</v>
      </c>
      <c r="U1332">
        <f t="shared" si="20"/>
        <v>18.75</v>
      </c>
    </row>
    <row r="1333" spans="7:21" x14ac:dyDescent="0.2">
      <c r="G1333" s="9" t="s">
        <v>1419</v>
      </c>
      <c r="H1333">
        <v>800</v>
      </c>
      <c r="M1333" s="1" t="s">
        <v>1419</v>
      </c>
      <c r="N1333" s="1">
        <v>1014</v>
      </c>
      <c r="P1333" s="1" t="s">
        <v>1419</v>
      </c>
      <c r="Q1333" s="42">
        <v>800</v>
      </c>
      <c r="R1333" s="42">
        <v>1014</v>
      </c>
      <c r="S1333" s="42">
        <v>0.11</v>
      </c>
      <c r="T1333" s="10">
        <f>IFERROR(ROUND((Q1333/R1333),2),"NA")</f>
        <v>0.79</v>
      </c>
      <c r="U1333">
        <f t="shared" si="20"/>
        <v>88</v>
      </c>
    </row>
    <row r="1334" spans="7:21" x14ac:dyDescent="0.2">
      <c r="G1334" s="9" t="s">
        <v>1246</v>
      </c>
      <c r="H1334">
        <v>300</v>
      </c>
      <c r="M1334" s="1" t="s">
        <v>1246</v>
      </c>
      <c r="N1334" s="1">
        <v>0</v>
      </c>
      <c r="P1334" s="1" t="s">
        <v>1246</v>
      </c>
      <c r="Q1334" s="42">
        <v>300</v>
      </c>
      <c r="R1334" s="42">
        <v>0</v>
      </c>
      <c r="S1334" s="42">
        <v>0</v>
      </c>
      <c r="T1334" s="10" t="str">
        <f>IFERROR(ROUND((Q1334/R1334),2),"NA")</f>
        <v>NA</v>
      </c>
      <c r="U1334">
        <f t="shared" si="20"/>
        <v>0</v>
      </c>
    </row>
    <row r="1335" spans="7:21" x14ac:dyDescent="0.2">
      <c r="G1335" s="9" t="s">
        <v>2095</v>
      </c>
      <c r="H1335">
        <v>25</v>
      </c>
      <c r="M1335" s="1" t="s">
        <v>2095</v>
      </c>
      <c r="N1335" s="1">
        <v>0</v>
      </c>
      <c r="P1335" s="1" t="s">
        <v>2095</v>
      </c>
      <c r="Q1335" s="42">
        <v>25</v>
      </c>
      <c r="R1335" s="42">
        <v>0</v>
      </c>
      <c r="S1335" s="42">
        <v>0.1</v>
      </c>
      <c r="T1335" s="10" t="str">
        <f>IFERROR(ROUND((Q1335/R1335),2),"NA")</f>
        <v>NA</v>
      </c>
      <c r="U1335">
        <f t="shared" si="20"/>
        <v>2.5</v>
      </c>
    </row>
    <row r="1336" spans="7:21" x14ac:dyDescent="0.2">
      <c r="G1336" s="9" t="s">
        <v>1846</v>
      </c>
      <c r="H1336">
        <v>76</v>
      </c>
      <c r="M1336" s="1" t="s">
        <v>1846</v>
      </c>
      <c r="N1336" s="1">
        <v>56</v>
      </c>
      <c r="P1336" s="1" t="s">
        <v>1846</v>
      </c>
      <c r="Q1336" s="42">
        <v>76</v>
      </c>
      <c r="R1336" s="42">
        <v>56</v>
      </c>
      <c r="S1336" s="42">
        <v>0.23</v>
      </c>
      <c r="T1336" s="10">
        <f>IFERROR(ROUND((Q1336/R1336),2),"NA")</f>
        <v>1.36</v>
      </c>
      <c r="U1336">
        <f t="shared" si="20"/>
        <v>17.48</v>
      </c>
    </row>
    <row r="1337" spans="7:21" x14ac:dyDescent="0.2">
      <c r="G1337" s="9" t="s">
        <v>2946</v>
      </c>
      <c r="H1337">
        <v>34</v>
      </c>
      <c r="M1337" s="1" t="s">
        <v>2946</v>
      </c>
      <c r="N1337" s="1">
        <v>81</v>
      </c>
      <c r="P1337" s="1" t="s">
        <v>2946</v>
      </c>
      <c r="Q1337" s="42">
        <v>34</v>
      </c>
      <c r="R1337" s="42">
        <v>81</v>
      </c>
      <c r="S1337" s="42">
        <v>0</v>
      </c>
      <c r="T1337" s="10">
        <f>IFERROR(ROUND((Q1337/R1337),2),"NA")</f>
        <v>0.42</v>
      </c>
      <c r="U1337">
        <f t="shared" si="20"/>
        <v>0</v>
      </c>
    </row>
    <row r="1338" spans="7:21" x14ac:dyDescent="0.2">
      <c r="G1338" s="9" t="s">
        <v>222</v>
      </c>
      <c r="H1338">
        <v>0</v>
      </c>
      <c r="M1338" s="1" t="s">
        <v>222</v>
      </c>
      <c r="N1338" s="1">
        <v>0</v>
      </c>
      <c r="P1338" s="1" t="s">
        <v>222</v>
      </c>
      <c r="Q1338" s="42">
        <v>0</v>
      </c>
      <c r="R1338" s="42">
        <v>0</v>
      </c>
      <c r="S1338" s="42">
        <v>0.05</v>
      </c>
      <c r="T1338" s="10" t="str">
        <f>IFERROR(ROUND((Q1338/R1338),2),"NA")</f>
        <v>NA</v>
      </c>
      <c r="U1338">
        <f t="shared" si="20"/>
        <v>0</v>
      </c>
    </row>
    <row r="1339" spans="7:21" x14ac:dyDescent="0.2">
      <c r="G1339" s="9" t="s">
        <v>1968</v>
      </c>
      <c r="H1339">
        <v>57</v>
      </c>
      <c r="M1339" s="1" t="s">
        <v>1968</v>
      </c>
      <c r="N1339" s="1">
        <v>406</v>
      </c>
      <c r="P1339" s="1" t="s">
        <v>1968</v>
      </c>
      <c r="Q1339" s="42">
        <v>57</v>
      </c>
      <c r="R1339" s="42">
        <v>406</v>
      </c>
      <c r="S1339" s="42">
        <v>0.125</v>
      </c>
      <c r="T1339" s="10">
        <f>IFERROR(ROUND((Q1339/R1339),2),"NA")</f>
        <v>0.14000000000000001</v>
      </c>
      <c r="U1339">
        <f t="shared" si="20"/>
        <v>7.125</v>
      </c>
    </row>
    <row r="1340" spans="7:21" x14ac:dyDescent="0.2">
      <c r="G1340" s="9" t="s">
        <v>1218</v>
      </c>
      <c r="H1340">
        <v>34</v>
      </c>
      <c r="M1340" s="1" t="s">
        <v>1218</v>
      </c>
      <c r="N1340" s="1">
        <v>48</v>
      </c>
      <c r="P1340" s="1" t="s">
        <v>1218</v>
      </c>
      <c r="Q1340" s="42">
        <v>34</v>
      </c>
      <c r="R1340" s="42">
        <v>48</v>
      </c>
      <c r="S1340" s="42">
        <v>0.22500000000000001</v>
      </c>
      <c r="T1340" s="10">
        <f>IFERROR(ROUND((Q1340/R1340),2),"NA")</f>
        <v>0.71</v>
      </c>
      <c r="U1340">
        <f t="shared" si="20"/>
        <v>7.65</v>
      </c>
    </row>
    <row r="1341" spans="7:21" x14ac:dyDescent="0.2">
      <c r="G1341" s="9" t="s">
        <v>367</v>
      </c>
      <c r="H1341">
        <v>11</v>
      </c>
      <c r="M1341" s="1" t="s">
        <v>367</v>
      </c>
      <c r="N1341" s="1">
        <v>537</v>
      </c>
      <c r="P1341" s="1" t="s">
        <v>367</v>
      </c>
      <c r="Q1341" s="42">
        <v>11</v>
      </c>
      <c r="R1341" s="42">
        <v>537</v>
      </c>
      <c r="S1341" s="42">
        <v>7.6666666666666661E-2</v>
      </c>
      <c r="T1341" s="10">
        <f>IFERROR(ROUND((Q1341/R1341),2),"NA")</f>
        <v>0.02</v>
      </c>
      <c r="U1341">
        <f t="shared" si="20"/>
        <v>0.84333333333333327</v>
      </c>
    </row>
    <row r="1342" spans="7:21" x14ac:dyDescent="0.2">
      <c r="G1342" s="9" t="s">
        <v>2774</v>
      </c>
      <c r="H1342">
        <v>8</v>
      </c>
      <c r="M1342" s="1" t="s">
        <v>2774</v>
      </c>
      <c r="N1342" s="1">
        <v>32</v>
      </c>
      <c r="P1342" s="1" t="s">
        <v>2774</v>
      </c>
      <c r="Q1342" s="42">
        <v>8</v>
      </c>
      <c r="R1342" s="42">
        <v>32</v>
      </c>
      <c r="S1342" s="42">
        <v>0.04</v>
      </c>
      <c r="T1342" s="10">
        <f>IFERROR(ROUND((Q1342/R1342),2),"NA")</f>
        <v>0.25</v>
      </c>
      <c r="U1342">
        <f t="shared" si="20"/>
        <v>0.32</v>
      </c>
    </row>
    <row r="1343" spans="7:21" x14ac:dyDescent="0.2">
      <c r="G1343" s="9" t="s">
        <v>1761</v>
      </c>
      <c r="H1343">
        <v>0</v>
      </c>
      <c r="M1343" s="1" t="s">
        <v>1761</v>
      </c>
      <c r="N1343" s="1">
        <v>9</v>
      </c>
      <c r="P1343" s="1" t="s">
        <v>1761</v>
      </c>
      <c r="Q1343" s="42">
        <v>0</v>
      </c>
      <c r="R1343" s="42">
        <v>9</v>
      </c>
      <c r="S1343" s="42">
        <v>1</v>
      </c>
      <c r="T1343" s="10">
        <f>IFERROR(ROUND((Q1343/R1343),2),"NA")</f>
        <v>0</v>
      </c>
      <c r="U1343">
        <f t="shared" si="20"/>
        <v>0</v>
      </c>
    </row>
    <row r="1344" spans="7:21" x14ac:dyDescent="0.2">
      <c r="G1344" s="9" t="s">
        <v>973</v>
      </c>
      <c r="H1344">
        <v>0</v>
      </c>
      <c r="M1344" s="1" t="s">
        <v>973</v>
      </c>
      <c r="N1344" s="1">
        <v>1100</v>
      </c>
      <c r="P1344" s="1" t="s">
        <v>973</v>
      </c>
      <c r="Q1344" s="42">
        <v>0</v>
      </c>
      <c r="R1344" s="42">
        <v>1100</v>
      </c>
      <c r="S1344" s="42">
        <v>1</v>
      </c>
      <c r="T1344" s="10">
        <f>IFERROR(ROUND((Q1344/R1344),2),"NA")</f>
        <v>0</v>
      </c>
      <c r="U1344">
        <f t="shared" si="20"/>
        <v>0</v>
      </c>
    </row>
    <row r="1345" spans="7:21" x14ac:dyDescent="0.2">
      <c r="G1345" s="9" t="s">
        <v>1566</v>
      </c>
      <c r="H1345">
        <v>0</v>
      </c>
      <c r="M1345" s="1" t="s">
        <v>1566</v>
      </c>
      <c r="N1345" s="1">
        <v>0</v>
      </c>
      <c r="P1345" s="1" t="s">
        <v>1566</v>
      </c>
      <c r="Q1345" s="42">
        <v>0</v>
      </c>
      <c r="R1345" s="42">
        <v>0</v>
      </c>
      <c r="S1345" s="42">
        <v>0.2</v>
      </c>
      <c r="T1345" s="10" t="str">
        <f>IFERROR(ROUND((Q1345/R1345),2),"NA")</f>
        <v>NA</v>
      </c>
      <c r="U1345">
        <f t="shared" si="20"/>
        <v>0</v>
      </c>
    </row>
    <row r="1346" spans="7:21" x14ac:dyDescent="0.2">
      <c r="G1346" s="9" t="s">
        <v>56</v>
      </c>
      <c r="H1346">
        <v>1700</v>
      </c>
      <c r="M1346" s="1" t="s">
        <v>56</v>
      </c>
      <c r="N1346" s="1">
        <v>16600</v>
      </c>
      <c r="P1346" s="1" t="s">
        <v>56</v>
      </c>
      <c r="Q1346" s="42">
        <v>1700</v>
      </c>
      <c r="R1346" s="42">
        <v>16600</v>
      </c>
      <c r="S1346" s="42">
        <v>0.12</v>
      </c>
      <c r="T1346" s="10">
        <f>IFERROR(ROUND((Q1346/R1346),2),"NA")</f>
        <v>0.1</v>
      </c>
      <c r="U1346">
        <f t="shared" si="20"/>
        <v>204</v>
      </c>
    </row>
    <row r="1347" spans="7:21" x14ac:dyDescent="0.2">
      <c r="G1347" s="9" t="s">
        <v>699</v>
      </c>
      <c r="H1347">
        <v>75</v>
      </c>
      <c r="M1347" s="1" t="s">
        <v>699</v>
      </c>
      <c r="N1347" s="1">
        <v>170</v>
      </c>
      <c r="P1347" s="1" t="s">
        <v>699</v>
      </c>
      <c r="Q1347" s="42">
        <v>75</v>
      </c>
      <c r="R1347" s="42">
        <v>170</v>
      </c>
      <c r="S1347" s="42">
        <v>7.0000000000000007E-2</v>
      </c>
      <c r="T1347" s="10">
        <f>IFERROR(ROUND((Q1347/R1347),2),"NA")</f>
        <v>0.44</v>
      </c>
      <c r="U1347">
        <f t="shared" si="20"/>
        <v>5.2500000000000009</v>
      </c>
    </row>
    <row r="1348" spans="7:21" x14ac:dyDescent="0.2">
      <c r="G1348" s="9" t="s">
        <v>1335</v>
      </c>
      <c r="H1348">
        <v>26</v>
      </c>
      <c r="M1348" s="1" t="s">
        <v>1335</v>
      </c>
      <c r="N1348" s="1">
        <v>132</v>
      </c>
      <c r="P1348" s="1" t="s">
        <v>1335</v>
      </c>
      <c r="Q1348" s="42">
        <v>26</v>
      </c>
      <c r="R1348" s="42">
        <v>132</v>
      </c>
      <c r="S1348" s="42">
        <v>0</v>
      </c>
      <c r="T1348" s="10">
        <f>IFERROR(ROUND((Q1348/R1348),2),"NA")</f>
        <v>0.2</v>
      </c>
      <c r="U1348">
        <f t="shared" si="20"/>
        <v>0</v>
      </c>
    </row>
    <row r="1349" spans="7:21" x14ac:dyDescent="0.2">
      <c r="G1349" s="9" t="s">
        <v>962</v>
      </c>
      <c r="H1349">
        <v>55</v>
      </c>
      <c r="M1349" s="1" t="s">
        <v>962</v>
      </c>
      <c r="N1349" s="1">
        <v>1</v>
      </c>
      <c r="P1349" s="1" t="s">
        <v>962</v>
      </c>
      <c r="Q1349" s="42">
        <v>55</v>
      </c>
      <c r="R1349" s="42">
        <v>1</v>
      </c>
      <c r="S1349" s="42">
        <v>0</v>
      </c>
      <c r="T1349" s="10">
        <f>IFERROR(ROUND((Q1349/R1349),2),"NA")</f>
        <v>55</v>
      </c>
      <c r="U1349">
        <f t="shared" ref="U1349:U1412" si="21">Q1349*S1349</f>
        <v>0</v>
      </c>
    </row>
    <row r="1350" spans="7:21" x14ac:dyDescent="0.2">
      <c r="G1350" s="9" t="s">
        <v>694</v>
      </c>
      <c r="H1350">
        <v>120</v>
      </c>
      <c r="M1350" s="1" t="s">
        <v>694</v>
      </c>
      <c r="N1350" s="1">
        <v>75</v>
      </c>
      <c r="P1350" s="1" t="s">
        <v>694</v>
      </c>
      <c r="Q1350" s="42">
        <v>120</v>
      </c>
      <c r="R1350" s="42">
        <v>75</v>
      </c>
      <c r="S1350" s="42">
        <v>0</v>
      </c>
      <c r="T1350" s="10">
        <f>IFERROR(ROUND((Q1350/R1350),2),"NA")</f>
        <v>1.6</v>
      </c>
      <c r="U1350">
        <f t="shared" si="21"/>
        <v>0</v>
      </c>
    </row>
    <row r="1351" spans="7:21" x14ac:dyDescent="0.2">
      <c r="G1351" s="9" t="s">
        <v>2747</v>
      </c>
      <c r="H1351">
        <v>0</v>
      </c>
      <c r="M1351" s="1" t="s">
        <v>2747</v>
      </c>
      <c r="N1351" s="1">
        <v>0</v>
      </c>
      <c r="P1351" s="1" t="s">
        <v>2747</v>
      </c>
      <c r="Q1351" s="42">
        <v>0</v>
      </c>
      <c r="R1351" s="42">
        <v>0</v>
      </c>
      <c r="S1351" s="42">
        <v>0</v>
      </c>
      <c r="T1351" s="10" t="str">
        <f>IFERROR(ROUND((Q1351/R1351),2),"NA")</f>
        <v>NA</v>
      </c>
      <c r="U1351">
        <f t="shared" si="21"/>
        <v>0</v>
      </c>
    </row>
    <row r="1352" spans="7:21" x14ac:dyDescent="0.2">
      <c r="G1352" s="9" t="s">
        <v>2554</v>
      </c>
      <c r="H1352">
        <v>0</v>
      </c>
      <c r="M1352" s="1" t="s">
        <v>2554</v>
      </c>
      <c r="N1352" s="1">
        <v>10</v>
      </c>
      <c r="P1352" s="1" t="s">
        <v>2554</v>
      </c>
      <c r="Q1352" s="42">
        <v>0</v>
      </c>
      <c r="R1352" s="42">
        <v>10</v>
      </c>
      <c r="S1352" s="42">
        <v>1</v>
      </c>
      <c r="T1352" s="10">
        <f>IFERROR(ROUND((Q1352/R1352),2),"NA")</f>
        <v>0</v>
      </c>
      <c r="U1352">
        <f t="shared" si="21"/>
        <v>0</v>
      </c>
    </row>
    <row r="1353" spans="7:21" x14ac:dyDescent="0.2">
      <c r="G1353" s="9" t="s">
        <v>110</v>
      </c>
      <c r="H1353">
        <v>140</v>
      </c>
      <c r="M1353" s="1" t="s">
        <v>110</v>
      </c>
      <c r="N1353" s="1">
        <v>780</v>
      </c>
      <c r="P1353" s="1" t="s">
        <v>110</v>
      </c>
      <c r="Q1353" s="42">
        <v>140</v>
      </c>
      <c r="R1353" s="42">
        <v>780</v>
      </c>
      <c r="S1353" s="42">
        <v>0.2</v>
      </c>
      <c r="T1353" s="10">
        <f>IFERROR(ROUND((Q1353/R1353),2),"NA")</f>
        <v>0.18</v>
      </c>
      <c r="U1353">
        <f t="shared" si="21"/>
        <v>28</v>
      </c>
    </row>
    <row r="1354" spans="7:21" x14ac:dyDescent="0.2">
      <c r="G1354" s="9" t="s">
        <v>2382</v>
      </c>
      <c r="H1354">
        <v>150</v>
      </c>
      <c r="M1354" s="1" t="s">
        <v>2382</v>
      </c>
      <c r="N1354" s="1">
        <v>149</v>
      </c>
      <c r="P1354" s="1" t="s">
        <v>2382</v>
      </c>
      <c r="Q1354" s="42">
        <v>150</v>
      </c>
      <c r="R1354" s="42">
        <v>149</v>
      </c>
      <c r="S1354" s="42">
        <v>0</v>
      </c>
      <c r="T1354" s="10">
        <f>IFERROR(ROUND((Q1354/R1354),2),"NA")</f>
        <v>1.01</v>
      </c>
      <c r="U1354">
        <f t="shared" si="21"/>
        <v>0</v>
      </c>
    </row>
    <row r="1355" spans="7:21" x14ac:dyDescent="0.2">
      <c r="G1355" s="9" t="s">
        <v>2208</v>
      </c>
      <c r="H1355">
        <v>60</v>
      </c>
      <c r="M1355" s="1" t="s">
        <v>2208</v>
      </c>
      <c r="N1355" s="1">
        <v>72</v>
      </c>
      <c r="P1355" s="1" t="s">
        <v>2208</v>
      </c>
      <c r="Q1355" s="42">
        <v>60</v>
      </c>
      <c r="R1355" s="42">
        <v>72</v>
      </c>
      <c r="S1355" s="42">
        <v>0.33</v>
      </c>
      <c r="T1355" s="10">
        <f>IFERROR(ROUND((Q1355/R1355),2),"NA")</f>
        <v>0.83</v>
      </c>
      <c r="U1355">
        <f t="shared" si="21"/>
        <v>19.8</v>
      </c>
    </row>
    <row r="1356" spans="7:21" x14ac:dyDescent="0.2">
      <c r="G1356" s="9" t="s">
        <v>754</v>
      </c>
      <c r="H1356">
        <v>0</v>
      </c>
      <c r="M1356" s="1" t="s">
        <v>754</v>
      </c>
      <c r="N1356" s="1">
        <v>0</v>
      </c>
      <c r="P1356" s="1" t="s">
        <v>754</v>
      </c>
      <c r="Q1356" s="42">
        <v>0</v>
      </c>
      <c r="R1356" s="42">
        <v>0</v>
      </c>
      <c r="S1356" s="42">
        <v>1</v>
      </c>
      <c r="T1356" s="10" t="str">
        <f>IFERROR(ROUND((Q1356/R1356),2),"NA")</f>
        <v>NA</v>
      </c>
      <c r="U1356">
        <f t="shared" si="21"/>
        <v>0</v>
      </c>
    </row>
    <row r="1357" spans="7:21" x14ac:dyDescent="0.2">
      <c r="G1357" s="9" t="s">
        <v>1500</v>
      </c>
      <c r="H1357">
        <v>330</v>
      </c>
      <c r="M1357" s="1" t="s">
        <v>1500</v>
      </c>
      <c r="N1357" s="1">
        <v>13</v>
      </c>
      <c r="P1357" s="1" t="s">
        <v>1500</v>
      </c>
      <c r="Q1357" s="42">
        <v>330</v>
      </c>
      <c r="R1357" s="42">
        <v>13</v>
      </c>
      <c r="S1357" s="42">
        <v>0</v>
      </c>
      <c r="T1357" s="10">
        <f>IFERROR(ROUND((Q1357/R1357),2),"NA")</f>
        <v>25.38</v>
      </c>
      <c r="U1357">
        <f t="shared" si="21"/>
        <v>0</v>
      </c>
    </row>
    <row r="1358" spans="7:21" x14ac:dyDescent="0.2">
      <c r="G1358" s="9" t="s">
        <v>944</v>
      </c>
      <c r="H1358">
        <v>0</v>
      </c>
      <c r="M1358" s="1" t="s">
        <v>944</v>
      </c>
      <c r="N1358" s="1">
        <v>0</v>
      </c>
      <c r="P1358" s="1" t="s">
        <v>944</v>
      </c>
      <c r="Q1358" s="42">
        <v>0</v>
      </c>
      <c r="R1358" s="42">
        <v>0</v>
      </c>
      <c r="S1358" s="42">
        <v>1</v>
      </c>
      <c r="T1358" s="10" t="str">
        <f>IFERROR(ROUND((Q1358/R1358),2),"NA")</f>
        <v>NA</v>
      </c>
      <c r="U1358">
        <f t="shared" si="21"/>
        <v>0</v>
      </c>
    </row>
    <row r="1359" spans="7:21" x14ac:dyDescent="0.2">
      <c r="G1359" s="9" t="s">
        <v>2225</v>
      </c>
      <c r="H1359">
        <v>30</v>
      </c>
      <c r="M1359" s="1" t="s">
        <v>2225</v>
      </c>
      <c r="N1359" s="1">
        <v>245</v>
      </c>
      <c r="P1359" s="1" t="s">
        <v>2225</v>
      </c>
      <c r="Q1359" s="42">
        <v>30</v>
      </c>
      <c r="R1359" s="42">
        <v>245</v>
      </c>
      <c r="S1359" s="42">
        <v>0.1</v>
      </c>
      <c r="T1359" s="10">
        <f>IFERROR(ROUND((Q1359/R1359),2),"NA")</f>
        <v>0.12</v>
      </c>
      <c r="U1359">
        <f t="shared" si="21"/>
        <v>3</v>
      </c>
    </row>
    <row r="1360" spans="7:21" x14ac:dyDescent="0.2">
      <c r="G1360" s="9" t="s">
        <v>1576</v>
      </c>
      <c r="H1360">
        <v>44</v>
      </c>
      <c r="M1360" s="1" t="s">
        <v>1576</v>
      </c>
      <c r="N1360" s="1">
        <v>31</v>
      </c>
      <c r="P1360" s="1" t="s">
        <v>1576</v>
      </c>
      <c r="Q1360" s="42">
        <v>44</v>
      </c>
      <c r="R1360" s="42">
        <v>31</v>
      </c>
      <c r="S1360" s="42">
        <v>0</v>
      </c>
      <c r="T1360" s="10">
        <f>IFERROR(ROUND((Q1360/R1360),2),"NA")</f>
        <v>1.42</v>
      </c>
      <c r="U1360">
        <f t="shared" si="21"/>
        <v>0</v>
      </c>
    </row>
    <row r="1361" spans="7:21" x14ac:dyDescent="0.2">
      <c r="G1361" s="9" t="s">
        <v>1151</v>
      </c>
      <c r="H1361">
        <v>2814</v>
      </c>
      <c r="M1361" s="1" t="s">
        <v>1151</v>
      </c>
      <c r="N1361" s="1">
        <v>19600</v>
      </c>
      <c r="P1361" s="1" t="s">
        <v>1151</v>
      </c>
      <c r="Q1361" s="42">
        <v>2814</v>
      </c>
      <c r="R1361" s="42">
        <v>19600</v>
      </c>
      <c r="S1361" s="42">
        <v>0.14500000000000002</v>
      </c>
      <c r="T1361" s="10">
        <f>IFERROR(ROUND((Q1361/R1361),2),"NA")</f>
        <v>0.14000000000000001</v>
      </c>
      <c r="U1361">
        <f t="shared" si="21"/>
        <v>408.03000000000003</v>
      </c>
    </row>
    <row r="1362" spans="7:21" x14ac:dyDescent="0.2">
      <c r="G1362" s="9" t="s">
        <v>2918</v>
      </c>
      <c r="H1362">
        <v>100</v>
      </c>
      <c r="M1362" s="1" t="s">
        <v>2918</v>
      </c>
      <c r="N1362" s="1">
        <v>179.1</v>
      </c>
      <c r="P1362" s="1" t="s">
        <v>2918</v>
      </c>
      <c r="Q1362" s="42">
        <v>100</v>
      </c>
      <c r="R1362" s="42">
        <v>179.1</v>
      </c>
      <c r="S1362" s="42">
        <v>0</v>
      </c>
      <c r="T1362" s="10">
        <f>IFERROR(ROUND((Q1362/R1362),2),"NA")</f>
        <v>0.56000000000000005</v>
      </c>
      <c r="U1362">
        <f t="shared" si="21"/>
        <v>0</v>
      </c>
    </row>
    <row r="1363" spans="7:21" x14ac:dyDescent="0.2">
      <c r="G1363" s="9" t="s">
        <v>1784</v>
      </c>
      <c r="H1363">
        <v>50</v>
      </c>
      <c r="M1363" s="1" t="s">
        <v>1784</v>
      </c>
      <c r="N1363" s="1">
        <v>144</v>
      </c>
      <c r="P1363" s="1" t="s">
        <v>1784</v>
      </c>
      <c r="Q1363" s="42">
        <v>50</v>
      </c>
      <c r="R1363" s="42">
        <v>144</v>
      </c>
      <c r="S1363" s="42">
        <v>0.25</v>
      </c>
      <c r="T1363" s="10">
        <f>IFERROR(ROUND((Q1363/R1363),2),"NA")</f>
        <v>0.35</v>
      </c>
      <c r="U1363">
        <f t="shared" si="21"/>
        <v>12.5</v>
      </c>
    </row>
    <row r="1364" spans="7:21" x14ac:dyDescent="0.2">
      <c r="G1364" s="9" t="s">
        <v>2788</v>
      </c>
      <c r="H1364">
        <v>0</v>
      </c>
      <c r="M1364" s="1" t="s">
        <v>2788</v>
      </c>
      <c r="N1364" s="1">
        <v>58</v>
      </c>
      <c r="P1364" s="1" t="s">
        <v>2788</v>
      </c>
      <c r="Q1364" s="42">
        <v>0</v>
      </c>
      <c r="R1364" s="42">
        <v>58</v>
      </c>
      <c r="S1364" s="42">
        <v>0</v>
      </c>
      <c r="T1364" s="10">
        <f>IFERROR(ROUND((Q1364/R1364),2),"NA")</f>
        <v>0</v>
      </c>
      <c r="U1364">
        <f t="shared" si="21"/>
        <v>0</v>
      </c>
    </row>
    <row r="1365" spans="7:21" x14ac:dyDescent="0.2">
      <c r="G1365" s="9" t="s">
        <v>2220</v>
      </c>
      <c r="H1365">
        <v>38</v>
      </c>
      <c r="M1365" s="1" t="s">
        <v>2220</v>
      </c>
      <c r="N1365" s="1">
        <v>323</v>
      </c>
      <c r="P1365" s="1" t="s">
        <v>2220</v>
      </c>
      <c r="Q1365" s="42">
        <v>38</v>
      </c>
      <c r="R1365" s="42">
        <v>323</v>
      </c>
      <c r="S1365" s="42">
        <v>0</v>
      </c>
      <c r="T1365" s="10">
        <f>IFERROR(ROUND((Q1365/R1365),2),"NA")</f>
        <v>0.12</v>
      </c>
      <c r="U1365">
        <f t="shared" si="21"/>
        <v>0</v>
      </c>
    </row>
    <row r="1366" spans="7:21" x14ac:dyDescent="0.2">
      <c r="G1366" s="9" t="s">
        <v>639</v>
      </c>
      <c r="H1366">
        <v>0</v>
      </c>
      <c r="M1366" s="1" t="s">
        <v>639</v>
      </c>
      <c r="N1366" s="1">
        <v>9</v>
      </c>
      <c r="P1366" s="1" t="s">
        <v>639</v>
      </c>
      <c r="Q1366" s="42">
        <v>0</v>
      </c>
      <c r="R1366" s="42">
        <v>9</v>
      </c>
      <c r="S1366" s="42">
        <v>1</v>
      </c>
      <c r="T1366" s="10">
        <f>IFERROR(ROUND((Q1366/R1366),2),"NA")</f>
        <v>0</v>
      </c>
      <c r="U1366">
        <f t="shared" si="21"/>
        <v>0</v>
      </c>
    </row>
    <row r="1367" spans="7:21" x14ac:dyDescent="0.2">
      <c r="G1367" s="9" t="s">
        <v>2028</v>
      </c>
      <c r="H1367">
        <v>0</v>
      </c>
      <c r="M1367" s="1" t="s">
        <v>2028</v>
      </c>
      <c r="N1367" s="1">
        <v>136</v>
      </c>
      <c r="P1367" s="1" t="s">
        <v>2028</v>
      </c>
      <c r="Q1367" s="42">
        <v>0</v>
      </c>
      <c r="R1367" s="42">
        <v>136</v>
      </c>
      <c r="S1367" s="42">
        <v>0</v>
      </c>
      <c r="T1367" s="10">
        <f>IFERROR(ROUND((Q1367/R1367),2),"NA")</f>
        <v>0</v>
      </c>
      <c r="U1367">
        <f t="shared" si="21"/>
        <v>0</v>
      </c>
    </row>
    <row r="1368" spans="7:21" x14ac:dyDescent="0.2">
      <c r="G1368" s="9" t="s">
        <v>2500</v>
      </c>
      <c r="H1368">
        <v>0</v>
      </c>
      <c r="M1368" s="1" t="s">
        <v>2500</v>
      </c>
      <c r="N1368" s="1">
        <v>16</v>
      </c>
      <c r="P1368" s="1" t="s">
        <v>2500</v>
      </c>
      <c r="Q1368" s="42">
        <v>0</v>
      </c>
      <c r="R1368" s="42">
        <v>16</v>
      </c>
      <c r="S1368" s="42">
        <v>1</v>
      </c>
      <c r="T1368" s="10">
        <f>IFERROR(ROUND((Q1368/R1368),2),"NA")</f>
        <v>0</v>
      </c>
      <c r="U1368">
        <f t="shared" si="21"/>
        <v>0</v>
      </c>
    </row>
    <row r="1369" spans="7:21" x14ac:dyDescent="0.2">
      <c r="G1369" s="9" t="s">
        <v>2135</v>
      </c>
      <c r="H1369">
        <v>60</v>
      </c>
      <c r="M1369" s="1" t="s">
        <v>2135</v>
      </c>
      <c r="N1369" s="1">
        <v>338</v>
      </c>
      <c r="P1369" s="1" t="s">
        <v>2135</v>
      </c>
      <c r="Q1369" s="42">
        <v>60</v>
      </c>
      <c r="R1369" s="42">
        <v>338</v>
      </c>
      <c r="S1369" s="42">
        <v>0.03</v>
      </c>
      <c r="T1369" s="10">
        <f>IFERROR(ROUND((Q1369/R1369),2),"NA")</f>
        <v>0.18</v>
      </c>
      <c r="U1369">
        <f t="shared" si="21"/>
        <v>1.7999999999999998</v>
      </c>
    </row>
    <row r="1370" spans="7:21" x14ac:dyDescent="0.2">
      <c r="G1370" s="9" t="s">
        <v>1387</v>
      </c>
      <c r="H1370">
        <v>22</v>
      </c>
      <c r="M1370" s="1" t="s">
        <v>1387</v>
      </c>
      <c r="N1370" s="1">
        <v>170</v>
      </c>
      <c r="P1370" s="1" t="s">
        <v>1387</v>
      </c>
      <c r="Q1370" s="42">
        <v>22</v>
      </c>
      <c r="R1370" s="42">
        <v>170</v>
      </c>
      <c r="S1370" s="42">
        <v>0</v>
      </c>
      <c r="T1370" s="10">
        <f>IFERROR(ROUND((Q1370/R1370),2),"NA")</f>
        <v>0.13</v>
      </c>
      <c r="U1370">
        <f t="shared" si="21"/>
        <v>0</v>
      </c>
    </row>
    <row r="1371" spans="7:21" x14ac:dyDescent="0.2">
      <c r="G1371" s="9" t="s">
        <v>2723</v>
      </c>
      <c r="H1371">
        <v>1000</v>
      </c>
      <c r="M1371" s="1" t="s">
        <v>2723</v>
      </c>
      <c r="N1371" s="1">
        <v>2600</v>
      </c>
      <c r="P1371" s="1" t="s">
        <v>2723</v>
      </c>
      <c r="Q1371" s="42">
        <v>1000</v>
      </c>
      <c r="R1371" s="42">
        <v>2600</v>
      </c>
      <c r="S1371" s="42">
        <v>0.5</v>
      </c>
      <c r="T1371" s="10">
        <f>IFERROR(ROUND((Q1371/R1371),2),"NA")</f>
        <v>0.38</v>
      </c>
      <c r="U1371">
        <f t="shared" si="21"/>
        <v>500</v>
      </c>
    </row>
    <row r="1372" spans="7:21" x14ac:dyDescent="0.2">
      <c r="G1372" s="9" t="s">
        <v>2633</v>
      </c>
      <c r="H1372">
        <v>250</v>
      </c>
      <c r="M1372" s="1" t="s">
        <v>2633</v>
      </c>
      <c r="N1372" s="1">
        <v>300</v>
      </c>
      <c r="P1372" s="1" t="s">
        <v>2633</v>
      </c>
      <c r="Q1372" s="42">
        <v>250</v>
      </c>
      <c r="R1372" s="42">
        <v>300</v>
      </c>
      <c r="S1372" s="42">
        <v>0</v>
      </c>
      <c r="T1372" s="10">
        <f>IFERROR(ROUND((Q1372/R1372),2),"NA")</f>
        <v>0.83</v>
      </c>
      <c r="U1372">
        <f t="shared" si="21"/>
        <v>0</v>
      </c>
    </row>
    <row r="1373" spans="7:21" x14ac:dyDescent="0.2">
      <c r="G1373" s="9" t="s">
        <v>1540</v>
      </c>
      <c r="H1373">
        <v>0</v>
      </c>
      <c r="M1373" s="1" t="s">
        <v>1540</v>
      </c>
      <c r="N1373" s="1">
        <v>400</v>
      </c>
      <c r="P1373" s="1" t="s">
        <v>1540</v>
      </c>
      <c r="Q1373" s="42">
        <v>0</v>
      </c>
      <c r="R1373" s="42">
        <v>400</v>
      </c>
      <c r="S1373" s="42">
        <v>0.06</v>
      </c>
      <c r="T1373" s="10">
        <f>IFERROR(ROUND((Q1373/R1373),2),"NA")</f>
        <v>0</v>
      </c>
      <c r="U1373">
        <f t="shared" si="21"/>
        <v>0</v>
      </c>
    </row>
    <row r="1374" spans="7:21" x14ac:dyDescent="0.2">
      <c r="G1374" s="9" t="s">
        <v>2451</v>
      </c>
      <c r="H1374">
        <v>45</v>
      </c>
      <c r="M1374" s="1" t="s">
        <v>2451</v>
      </c>
      <c r="N1374" s="1">
        <v>64</v>
      </c>
      <c r="P1374" s="1" t="s">
        <v>2451</v>
      </c>
      <c r="Q1374" s="42">
        <v>45</v>
      </c>
      <c r="R1374" s="42">
        <v>64</v>
      </c>
      <c r="S1374" s="42">
        <v>0.3</v>
      </c>
      <c r="T1374" s="10">
        <f>IFERROR(ROUND((Q1374/R1374),2),"NA")</f>
        <v>0.7</v>
      </c>
      <c r="U1374">
        <f t="shared" si="21"/>
        <v>13.5</v>
      </c>
    </row>
    <row r="1375" spans="7:21" x14ac:dyDescent="0.2">
      <c r="G1375" s="9" t="s">
        <v>88</v>
      </c>
      <c r="H1375">
        <v>0</v>
      </c>
      <c r="M1375" s="1" t="s">
        <v>88</v>
      </c>
      <c r="N1375" s="1">
        <v>3</v>
      </c>
      <c r="P1375" s="1" t="s">
        <v>88</v>
      </c>
      <c r="Q1375" s="42">
        <v>0</v>
      </c>
      <c r="R1375" s="42">
        <v>3</v>
      </c>
      <c r="S1375" s="42">
        <v>1</v>
      </c>
      <c r="T1375" s="10">
        <f>IFERROR(ROUND((Q1375/R1375),2),"NA")</f>
        <v>0</v>
      </c>
      <c r="U1375">
        <f t="shared" si="21"/>
        <v>0</v>
      </c>
    </row>
    <row r="1376" spans="7:21" x14ac:dyDescent="0.2">
      <c r="G1376" s="9" t="s">
        <v>2907</v>
      </c>
      <c r="H1376">
        <v>0</v>
      </c>
      <c r="M1376" s="1" t="s">
        <v>2907</v>
      </c>
      <c r="N1376" s="1">
        <v>0</v>
      </c>
      <c r="P1376" s="1" t="s">
        <v>2907</v>
      </c>
      <c r="Q1376" s="42">
        <v>0</v>
      </c>
      <c r="R1376" s="42">
        <v>0</v>
      </c>
      <c r="S1376" s="42">
        <v>0</v>
      </c>
      <c r="T1376" s="10" t="str">
        <f>IFERROR(ROUND((Q1376/R1376),2),"NA")</f>
        <v>NA</v>
      </c>
      <c r="U1376">
        <f t="shared" si="21"/>
        <v>0</v>
      </c>
    </row>
    <row r="1377" spans="7:21" x14ac:dyDescent="0.2">
      <c r="G1377" s="9" t="s">
        <v>2546</v>
      </c>
      <c r="H1377">
        <v>700</v>
      </c>
      <c r="M1377" s="1" t="s">
        <v>2546</v>
      </c>
      <c r="N1377" s="1">
        <v>1096</v>
      </c>
      <c r="P1377" s="1" t="s">
        <v>2546</v>
      </c>
      <c r="Q1377" s="42">
        <v>700</v>
      </c>
      <c r="R1377" s="42">
        <v>1096</v>
      </c>
      <c r="S1377" s="42">
        <v>0.1</v>
      </c>
      <c r="T1377" s="10">
        <f>IFERROR(ROUND((Q1377/R1377),2),"NA")</f>
        <v>0.64</v>
      </c>
      <c r="U1377">
        <f t="shared" si="21"/>
        <v>70</v>
      </c>
    </row>
    <row r="1378" spans="7:21" x14ac:dyDescent="0.2">
      <c r="G1378" s="9" t="s">
        <v>2611</v>
      </c>
      <c r="H1378">
        <v>12</v>
      </c>
      <c r="M1378" s="1" t="s">
        <v>2611</v>
      </c>
      <c r="N1378" s="1">
        <v>10</v>
      </c>
      <c r="P1378" s="1" t="s">
        <v>2611</v>
      </c>
      <c r="Q1378" s="42">
        <v>12</v>
      </c>
      <c r="R1378" s="42">
        <v>10</v>
      </c>
      <c r="S1378" s="42">
        <v>0</v>
      </c>
      <c r="T1378" s="10">
        <f>IFERROR(ROUND((Q1378/R1378),2),"NA")</f>
        <v>1.2</v>
      </c>
      <c r="U1378">
        <f t="shared" si="21"/>
        <v>0</v>
      </c>
    </row>
    <row r="1379" spans="7:21" x14ac:dyDescent="0.2">
      <c r="G1379" s="9" t="s">
        <v>757</v>
      </c>
      <c r="H1379">
        <v>225</v>
      </c>
      <c r="M1379" s="1" t="s">
        <v>757</v>
      </c>
      <c r="N1379" s="1">
        <v>160</v>
      </c>
      <c r="P1379" s="1" t="s">
        <v>757</v>
      </c>
      <c r="Q1379" s="42">
        <v>225</v>
      </c>
      <c r="R1379" s="42">
        <v>160</v>
      </c>
      <c r="S1379" s="42">
        <v>0.14000000000000001</v>
      </c>
      <c r="T1379" s="10">
        <f>IFERROR(ROUND((Q1379/R1379),2),"NA")</f>
        <v>1.41</v>
      </c>
      <c r="U1379">
        <f t="shared" si="21"/>
        <v>31.500000000000004</v>
      </c>
    </row>
    <row r="1380" spans="7:21" x14ac:dyDescent="0.2">
      <c r="G1380" s="9" t="s">
        <v>1003</v>
      </c>
      <c r="H1380">
        <v>80</v>
      </c>
      <c r="M1380" s="1" t="s">
        <v>1003</v>
      </c>
      <c r="N1380" s="1">
        <v>111</v>
      </c>
      <c r="P1380" s="1" t="s">
        <v>1003</v>
      </c>
      <c r="Q1380" s="42">
        <v>80</v>
      </c>
      <c r="R1380" s="42">
        <v>111</v>
      </c>
      <c r="S1380" s="42">
        <v>0</v>
      </c>
      <c r="T1380" s="10">
        <f>IFERROR(ROUND((Q1380/R1380),2),"NA")</f>
        <v>0.72</v>
      </c>
      <c r="U1380">
        <f t="shared" si="21"/>
        <v>0</v>
      </c>
    </row>
    <row r="1381" spans="7:21" x14ac:dyDescent="0.2">
      <c r="G1381" s="9" t="s">
        <v>635</v>
      </c>
      <c r="H1381">
        <v>230</v>
      </c>
      <c r="M1381" s="1" t="s">
        <v>635</v>
      </c>
      <c r="N1381" s="1">
        <v>705</v>
      </c>
      <c r="P1381" s="1" t="s">
        <v>635</v>
      </c>
      <c r="Q1381" s="42">
        <v>230</v>
      </c>
      <c r="R1381" s="42">
        <v>705</v>
      </c>
      <c r="S1381" s="42">
        <v>0.25</v>
      </c>
      <c r="T1381" s="10">
        <f>IFERROR(ROUND((Q1381/R1381),2),"NA")</f>
        <v>0.33</v>
      </c>
      <c r="U1381">
        <f t="shared" si="21"/>
        <v>57.5</v>
      </c>
    </row>
    <row r="1382" spans="7:21" x14ac:dyDescent="0.2">
      <c r="G1382" s="9" t="s">
        <v>1613</v>
      </c>
      <c r="H1382">
        <v>64</v>
      </c>
      <c r="M1382" s="1" t="s">
        <v>1613</v>
      </c>
      <c r="N1382" s="1">
        <v>561</v>
      </c>
      <c r="P1382" s="1" t="s">
        <v>1613</v>
      </c>
      <c r="Q1382" s="42">
        <v>64</v>
      </c>
      <c r="R1382" s="42">
        <v>561</v>
      </c>
      <c r="S1382" s="42">
        <v>0</v>
      </c>
      <c r="T1382" s="10">
        <f>IFERROR(ROUND((Q1382/R1382),2),"NA")</f>
        <v>0.11</v>
      </c>
      <c r="U1382">
        <f t="shared" si="21"/>
        <v>0</v>
      </c>
    </row>
    <row r="1383" spans="7:21" x14ac:dyDescent="0.2">
      <c r="G1383" s="9" t="s">
        <v>2553</v>
      </c>
      <c r="H1383">
        <v>0</v>
      </c>
      <c r="M1383" s="1" t="s">
        <v>2553</v>
      </c>
      <c r="N1383" s="1">
        <v>1.3</v>
      </c>
      <c r="P1383" s="1" t="s">
        <v>2553</v>
      </c>
      <c r="Q1383" s="42">
        <v>0</v>
      </c>
      <c r="R1383" s="42">
        <v>1.3</v>
      </c>
      <c r="S1383" s="42">
        <v>0</v>
      </c>
      <c r="T1383" s="10">
        <f>IFERROR(ROUND((Q1383/R1383),2),"NA")</f>
        <v>0</v>
      </c>
      <c r="U1383">
        <f t="shared" si="21"/>
        <v>0</v>
      </c>
    </row>
    <row r="1384" spans="7:21" x14ac:dyDescent="0.2">
      <c r="G1384" s="9" t="s">
        <v>1030</v>
      </c>
      <c r="H1384">
        <v>6</v>
      </c>
      <c r="M1384" s="1" t="s">
        <v>1030</v>
      </c>
      <c r="N1384" s="1">
        <v>46</v>
      </c>
      <c r="P1384" s="1" t="s">
        <v>1030</v>
      </c>
      <c r="Q1384" s="42">
        <v>6</v>
      </c>
      <c r="R1384" s="42">
        <v>46</v>
      </c>
      <c r="S1384" s="42">
        <v>0</v>
      </c>
      <c r="T1384" s="10">
        <f>IFERROR(ROUND((Q1384/R1384),2),"NA")</f>
        <v>0.13</v>
      </c>
      <c r="U1384">
        <f t="shared" si="21"/>
        <v>0</v>
      </c>
    </row>
    <row r="1385" spans="7:21" x14ac:dyDescent="0.2">
      <c r="G1385" s="9" t="s">
        <v>656</v>
      </c>
      <c r="H1385">
        <v>84</v>
      </c>
      <c r="M1385" s="1" t="s">
        <v>656</v>
      </c>
      <c r="N1385" s="1">
        <v>517</v>
      </c>
      <c r="P1385" s="1" t="s">
        <v>656</v>
      </c>
      <c r="Q1385" s="42">
        <v>84</v>
      </c>
      <c r="R1385" s="42">
        <v>517</v>
      </c>
      <c r="S1385" s="42">
        <v>0.18000000000000002</v>
      </c>
      <c r="T1385" s="10">
        <f>IFERROR(ROUND((Q1385/R1385),2),"NA")</f>
        <v>0.16</v>
      </c>
      <c r="U1385">
        <f t="shared" si="21"/>
        <v>15.120000000000001</v>
      </c>
    </row>
    <row r="1386" spans="7:21" x14ac:dyDescent="0.2">
      <c r="G1386" s="9" t="s">
        <v>2327</v>
      </c>
      <c r="H1386">
        <v>0</v>
      </c>
      <c r="M1386" s="1" t="s">
        <v>2327</v>
      </c>
      <c r="N1386" s="1">
        <v>229</v>
      </c>
      <c r="P1386" s="1" t="s">
        <v>2327</v>
      </c>
      <c r="Q1386" s="42">
        <v>0</v>
      </c>
      <c r="R1386" s="42">
        <v>229</v>
      </c>
      <c r="S1386" s="42">
        <v>0</v>
      </c>
      <c r="T1386" s="10">
        <f>IFERROR(ROUND((Q1386/R1386),2),"NA")</f>
        <v>0</v>
      </c>
      <c r="U1386">
        <f t="shared" si="21"/>
        <v>0</v>
      </c>
    </row>
    <row r="1387" spans="7:21" x14ac:dyDescent="0.2">
      <c r="G1387" s="9" t="s">
        <v>2127</v>
      </c>
      <c r="H1387">
        <v>54</v>
      </c>
      <c r="M1387" s="1" t="s">
        <v>2127</v>
      </c>
      <c r="N1387" s="1">
        <v>42</v>
      </c>
      <c r="P1387" s="1" t="s">
        <v>2127</v>
      </c>
      <c r="Q1387" s="42">
        <v>54</v>
      </c>
      <c r="R1387" s="42">
        <v>42</v>
      </c>
      <c r="S1387" s="42">
        <v>0.09</v>
      </c>
      <c r="T1387" s="10">
        <f>IFERROR(ROUND((Q1387/R1387),2),"NA")</f>
        <v>1.29</v>
      </c>
      <c r="U1387">
        <f t="shared" si="21"/>
        <v>4.8599999999999994</v>
      </c>
    </row>
    <row r="1388" spans="7:21" x14ac:dyDescent="0.2">
      <c r="G1388" s="9" t="s">
        <v>580</v>
      </c>
      <c r="H1388">
        <v>0</v>
      </c>
      <c r="M1388" s="1" t="s">
        <v>580</v>
      </c>
      <c r="N1388" s="1">
        <v>347</v>
      </c>
      <c r="P1388" s="1" t="s">
        <v>580</v>
      </c>
      <c r="Q1388" s="42">
        <v>0</v>
      </c>
      <c r="R1388" s="42">
        <v>347</v>
      </c>
      <c r="S1388" s="42">
        <v>0</v>
      </c>
      <c r="T1388" s="10">
        <f>IFERROR(ROUND((Q1388/R1388),2),"NA")</f>
        <v>0</v>
      </c>
      <c r="U1388">
        <f t="shared" si="21"/>
        <v>0</v>
      </c>
    </row>
    <row r="1389" spans="7:21" x14ac:dyDescent="0.2">
      <c r="G1389" s="9" t="s">
        <v>1102</v>
      </c>
      <c r="H1389">
        <v>0</v>
      </c>
      <c r="M1389" s="1" t="s">
        <v>1102</v>
      </c>
      <c r="N1389" s="1">
        <v>530</v>
      </c>
      <c r="P1389" s="1" t="s">
        <v>1102</v>
      </c>
      <c r="Q1389" s="42">
        <v>0</v>
      </c>
      <c r="R1389" s="42">
        <v>530</v>
      </c>
      <c r="S1389" s="42">
        <v>0.15</v>
      </c>
      <c r="T1389" s="10">
        <f>IFERROR(ROUND((Q1389/R1389),2),"NA")</f>
        <v>0</v>
      </c>
      <c r="U1389">
        <f t="shared" si="21"/>
        <v>0</v>
      </c>
    </row>
    <row r="1390" spans="7:21" x14ac:dyDescent="0.2">
      <c r="G1390" s="9" t="s">
        <v>1255</v>
      </c>
      <c r="H1390">
        <v>320</v>
      </c>
      <c r="M1390" s="1" t="s">
        <v>1255</v>
      </c>
      <c r="N1390" s="1">
        <v>0</v>
      </c>
      <c r="P1390" s="1" t="s">
        <v>1255</v>
      </c>
      <c r="Q1390" s="42">
        <v>320</v>
      </c>
      <c r="R1390" s="42">
        <v>0</v>
      </c>
      <c r="S1390" s="42">
        <v>0.04</v>
      </c>
      <c r="T1390" s="10" t="str">
        <f>IFERROR(ROUND((Q1390/R1390),2),"NA")</f>
        <v>NA</v>
      </c>
      <c r="U1390">
        <f t="shared" si="21"/>
        <v>12.8</v>
      </c>
    </row>
    <row r="1391" spans="7:21" x14ac:dyDescent="0.2">
      <c r="G1391" s="9" t="s">
        <v>2636</v>
      </c>
      <c r="H1391">
        <v>0</v>
      </c>
      <c r="M1391" s="1" t="s">
        <v>2636</v>
      </c>
      <c r="N1391" s="1">
        <v>3</v>
      </c>
      <c r="P1391" s="1" t="s">
        <v>2636</v>
      </c>
      <c r="Q1391" s="42">
        <v>0</v>
      </c>
      <c r="R1391" s="42">
        <v>3</v>
      </c>
      <c r="S1391" s="42">
        <v>1</v>
      </c>
      <c r="T1391" s="10">
        <f>IFERROR(ROUND((Q1391/R1391),2),"NA")</f>
        <v>0</v>
      </c>
      <c r="U1391">
        <f t="shared" si="21"/>
        <v>0</v>
      </c>
    </row>
    <row r="1392" spans="7:21" x14ac:dyDescent="0.2">
      <c r="G1392" s="9" t="s">
        <v>1309</v>
      </c>
      <c r="H1392">
        <v>199</v>
      </c>
      <c r="M1392" s="1" t="s">
        <v>1309</v>
      </c>
      <c r="N1392" s="1">
        <v>922</v>
      </c>
      <c r="P1392" s="1" t="s">
        <v>1309</v>
      </c>
      <c r="Q1392" s="42">
        <v>199</v>
      </c>
      <c r="R1392" s="42">
        <v>922</v>
      </c>
      <c r="S1392" s="42">
        <v>0.2</v>
      </c>
      <c r="T1392" s="10">
        <f>IFERROR(ROUND((Q1392/R1392),2),"NA")</f>
        <v>0.22</v>
      </c>
      <c r="U1392">
        <f t="shared" si="21"/>
        <v>39.800000000000004</v>
      </c>
    </row>
    <row r="1393" spans="7:21" x14ac:dyDescent="0.2">
      <c r="G1393" s="9" t="s">
        <v>1451</v>
      </c>
      <c r="H1393">
        <v>0</v>
      </c>
      <c r="M1393" s="1" t="s">
        <v>1451</v>
      </c>
      <c r="N1393" s="1">
        <v>0</v>
      </c>
      <c r="P1393" s="1" t="s">
        <v>1451</v>
      </c>
      <c r="Q1393" s="42">
        <v>0</v>
      </c>
      <c r="R1393" s="42">
        <v>0</v>
      </c>
      <c r="S1393" s="42">
        <v>0.08</v>
      </c>
      <c r="T1393" s="10" t="str">
        <f>IFERROR(ROUND((Q1393/R1393),2),"NA")</f>
        <v>NA</v>
      </c>
      <c r="U1393">
        <f t="shared" si="21"/>
        <v>0</v>
      </c>
    </row>
    <row r="1394" spans="7:21" x14ac:dyDescent="0.2">
      <c r="G1394" s="9" t="s">
        <v>1483</v>
      </c>
      <c r="H1394">
        <v>29</v>
      </c>
      <c r="M1394" s="1" t="s">
        <v>1483</v>
      </c>
      <c r="N1394" s="1">
        <v>100</v>
      </c>
      <c r="P1394" s="1" t="s">
        <v>1483</v>
      </c>
      <c r="Q1394" s="42">
        <v>29</v>
      </c>
      <c r="R1394" s="42">
        <v>100</v>
      </c>
      <c r="S1394" s="42">
        <v>0.1</v>
      </c>
      <c r="T1394" s="10">
        <f>IFERROR(ROUND((Q1394/R1394),2),"NA")</f>
        <v>0.28999999999999998</v>
      </c>
      <c r="U1394">
        <f t="shared" si="21"/>
        <v>2.9000000000000004</v>
      </c>
    </row>
    <row r="1395" spans="7:21" x14ac:dyDescent="0.2">
      <c r="G1395" s="9" t="s">
        <v>915</v>
      </c>
      <c r="H1395">
        <v>260</v>
      </c>
      <c r="M1395" s="1" t="s">
        <v>915</v>
      </c>
      <c r="N1395" s="1">
        <v>523</v>
      </c>
      <c r="P1395" s="1" t="s">
        <v>915</v>
      </c>
      <c r="Q1395" s="42">
        <v>260</v>
      </c>
      <c r="R1395" s="42">
        <v>523</v>
      </c>
      <c r="S1395" s="42">
        <v>0.32</v>
      </c>
      <c r="T1395" s="10">
        <f>IFERROR(ROUND((Q1395/R1395),2),"NA")</f>
        <v>0.5</v>
      </c>
      <c r="U1395">
        <f t="shared" si="21"/>
        <v>83.2</v>
      </c>
    </row>
    <row r="1396" spans="7:21" x14ac:dyDescent="0.2">
      <c r="G1396" s="9" t="s">
        <v>2884</v>
      </c>
      <c r="H1396">
        <v>31</v>
      </c>
      <c r="M1396" s="1" t="s">
        <v>2884</v>
      </c>
      <c r="N1396" s="1">
        <v>77</v>
      </c>
      <c r="P1396" s="1" t="s">
        <v>2884</v>
      </c>
      <c r="Q1396" s="42">
        <v>31</v>
      </c>
      <c r="R1396" s="42">
        <v>77</v>
      </c>
      <c r="S1396" s="42">
        <v>0.09</v>
      </c>
      <c r="T1396" s="10">
        <f>IFERROR(ROUND((Q1396/R1396),2),"NA")</f>
        <v>0.4</v>
      </c>
      <c r="U1396">
        <f t="shared" si="21"/>
        <v>2.79</v>
      </c>
    </row>
    <row r="1397" spans="7:21" x14ac:dyDescent="0.2">
      <c r="G1397" s="9" t="s">
        <v>1567</v>
      </c>
      <c r="H1397">
        <v>0</v>
      </c>
      <c r="M1397" s="1" t="s">
        <v>1567</v>
      </c>
      <c r="N1397" s="1">
        <v>854</v>
      </c>
      <c r="P1397" s="1" t="s">
        <v>1567</v>
      </c>
      <c r="Q1397" s="42">
        <v>0</v>
      </c>
      <c r="R1397" s="42">
        <v>854</v>
      </c>
      <c r="S1397" s="42">
        <v>0</v>
      </c>
      <c r="T1397" s="10">
        <f>IFERROR(ROUND((Q1397/R1397),2),"NA")</f>
        <v>0</v>
      </c>
      <c r="U1397">
        <f t="shared" si="21"/>
        <v>0</v>
      </c>
    </row>
    <row r="1398" spans="7:21" x14ac:dyDescent="0.2">
      <c r="G1398" s="9" t="s">
        <v>741</v>
      </c>
      <c r="H1398">
        <v>249</v>
      </c>
      <c r="M1398" s="1" t="s">
        <v>741</v>
      </c>
      <c r="N1398" s="1">
        <v>0</v>
      </c>
      <c r="P1398" s="1" t="s">
        <v>741</v>
      </c>
      <c r="Q1398" s="42">
        <v>249</v>
      </c>
      <c r="R1398" s="42">
        <v>0</v>
      </c>
      <c r="S1398" s="42">
        <v>0.3</v>
      </c>
      <c r="T1398" s="10" t="str">
        <f>IFERROR(ROUND((Q1398/R1398),2),"NA")</f>
        <v>NA</v>
      </c>
      <c r="U1398">
        <f t="shared" si="21"/>
        <v>74.7</v>
      </c>
    </row>
    <row r="1399" spans="7:21" x14ac:dyDescent="0.2">
      <c r="G1399" s="9" t="s">
        <v>293</v>
      </c>
      <c r="H1399">
        <v>0</v>
      </c>
      <c r="M1399" s="1" t="s">
        <v>293</v>
      </c>
      <c r="N1399" s="1">
        <v>303</v>
      </c>
      <c r="P1399" s="1" t="s">
        <v>293</v>
      </c>
      <c r="Q1399" s="42">
        <v>0</v>
      </c>
      <c r="R1399" s="42">
        <v>303</v>
      </c>
      <c r="S1399" s="42">
        <v>0.13</v>
      </c>
      <c r="T1399" s="10">
        <f>IFERROR(ROUND((Q1399/R1399),2),"NA")</f>
        <v>0</v>
      </c>
      <c r="U1399">
        <f t="shared" si="21"/>
        <v>0</v>
      </c>
    </row>
    <row r="1400" spans="7:21" x14ac:dyDescent="0.2">
      <c r="G1400" s="9" t="s">
        <v>553</v>
      </c>
      <c r="H1400">
        <v>310</v>
      </c>
      <c r="M1400" s="1" t="s">
        <v>553</v>
      </c>
      <c r="N1400" s="1">
        <v>856</v>
      </c>
      <c r="P1400" s="1" t="s">
        <v>553</v>
      </c>
      <c r="Q1400" s="42">
        <v>310</v>
      </c>
      <c r="R1400" s="42">
        <v>856</v>
      </c>
      <c r="S1400" s="42">
        <v>0</v>
      </c>
      <c r="T1400" s="10">
        <f>IFERROR(ROUND((Q1400/R1400),2),"NA")</f>
        <v>0.36</v>
      </c>
      <c r="U1400">
        <f t="shared" si="21"/>
        <v>0</v>
      </c>
    </row>
    <row r="1401" spans="7:21" x14ac:dyDescent="0.2">
      <c r="G1401" s="9" t="s">
        <v>1477</v>
      </c>
      <c r="H1401">
        <v>60</v>
      </c>
      <c r="M1401" s="1" t="s">
        <v>1477</v>
      </c>
      <c r="N1401" s="1">
        <v>0</v>
      </c>
      <c r="P1401" s="1" t="s">
        <v>1477</v>
      </c>
      <c r="Q1401" s="42">
        <v>60</v>
      </c>
      <c r="R1401" s="42">
        <v>0</v>
      </c>
      <c r="S1401" s="42">
        <v>0.5</v>
      </c>
      <c r="T1401" s="10" t="str">
        <f>IFERROR(ROUND((Q1401/R1401),2),"NA")</f>
        <v>NA</v>
      </c>
      <c r="U1401">
        <f t="shared" si="21"/>
        <v>30</v>
      </c>
    </row>
    <row r="1402" spans="7:21" x14ac:dyDescent="0.2">
      <c r="G1402" s="9" t="s">
        <v>283</v>
      </c>
      <c r="H1402">
        <v>0</v>
      </c>
      <c r="M1402" s="1" t="s">
        <v>283</v>
      </c>
      <c r="N1402" s="1">
        <v>274</v>
      </c>
      <c r="P1402" s="1" t="s">
        <v>283</v>
      </c>
      <c r="Q1402" s="42">
        <v>0</v>
      </c>
      <c r="R1402" s="42">
        <v>274</v>
      </c>
      <c r="S1402" s="42">
        <v>0.3</v>
      </c>
      <c r="T1402" s="10">
        <f>IFERROR(ROUND((Q1402/R1402),2),"NA")</f>
        <v>0</v>
      </c>
      <c r="U1402">
        <f t="shared" si="21"/>
        <v>0</v>
      </c>
    </row>
    <row r="1403" spans="7:21" x14ac:dyDescent="0.2">
      <c r="G1403" s="9" t="s">
        <v>1034</v>
      </c>
      <c r="H1403">
        <v>0</v>
      </c>
      <c r="M1403" s="1" t="s">
        <v>1034</v>
      </c>
      <c r="N1403" s="1">
        <v>274</v>
      </c>
      <c r="P1403" s="1" t="s">
        <v>1034</v>
      </c>
      <c r="Q1403" s="42">
        <v>0</v>
      </c>
      <c r="R1403" s="42">
        <v>274</v>
      </c>
      <c r="S1403" s="42">
        <v>0.05</v>
      </c>
      <c r="T1403" s="10">
        <f>IFERROR(ROUND((Q1403/R1403),2),"NA")</f>
        <v>0</v>
      </c>
      <c r="U1403">
        <f t="shared" si="21"/>
        <v>0</v>
      </c>
    </row>
    <row r="1404" spans="7:21" x14ac:dyDescent="0.2">
      <c r="G1404" s="9" t="s">
        <v>1334</v>
      </c>
      <c r="H1404">
        <v>59</v>
      </c>
      <c r="M1404" s="1" t="s">
        <v>1334</v>
      </c>
      <c r="N1404" s="1">
        <v>325</v>
      </c>
      <c r="P1404" s="1" t="s">
        <v>1334</v>
      </c>
      <c r="Q1404" s="42">
        <v>59</v>
      </c>
      <c r="R1404" s="42">
        <v>325</v>
      </c>
      <c r="S1404" s="42">
        <v>0</v>
      </c>
      <c r="T1404" s="10">
        <f>IFERROR(ROUND((Q1404/R1404),2),"NA")</f>
        <v>0.18</v>
      </c>
      <c r="U1404">
        <f t="shared" si="21"/>
        <v>0</v>
      </c>
    </row>
    <row r="1405" spans="7:21" x14ac:dyDescent="0.2">
      <c r="G1405" s="9" t="s">
        <v>1187</v>
      </c>
      <c r="H1405">
        <v>0</v>
      </c>
      <c r="M1405" s="1" t="s">
        <v>1187</v>
      </c>
      <c r="N1405" s="1">
        <v>59</v>
      </c>
      <c r="P1405" s="1" t="s">
        <v>1187</v>
      </c>
      <c r="Q1405" s="42">
        <v>0</v>
      </c>
      <c r="R1405" s="42">
        <v>59</v>
      </c>
      <c r="S1405" s="42">
        <v>0</v>
      </c>
      <c r="T1405" s="10">
        <f>IFERROR(ROUND((Q1405/R1405),2),"NA")</f>
        <v>0</v>
      </c>
      <c r="U1405">
        <f t="shared" si="21"/>
        <v>0</v>
      </c>
    </row>
    <row r="1406" spans="7:21" x14ac:dyDescent="0.2">
      <c r="G1406" s="9" t="s">
        <v>945</v>
      </c>
      <c r="H1406">
        <v>53</v>
      </c>
      <c r="M1406" s="1" t="s">
        <v>945</v>
      </c>
      <c r="N1406" s="1">
        <v>1214</v>
      </c>
      <c r="P1406" s="1" t="s">
        <v>945</v>
      </c>
      <c r="Q1406" s="42">
        <v>53</v>
      </c>
      <c r="R1406" s="42">
        <v>1214</v>
      </c>
      <c r="S1406" s="42">
        <v>0.54</v>
      </c>
      <c r="T1406" s="10">
        <f>IFERROR(ROUND((Q1406/R1406),2),"NA")</f>
        <v>0.04</v>
      </c>
      <c r="U1406">
        <f t="shared" si="21"/>
        <v>28.62</v>
      </c>
    </row>
    <row r="1407" spans="7:21" x14ac:dyDescent="0.2">
      <c r="G1407" s="9" t="s">
        <v>1523</v>
      </c>
      <c r="H1407">
        <v>200</v>
      </c>
      <c r="M1407" s="1" t="s">
        <v>1523</v>
      </c>
      <c r="N1407" s="1">
        <v>192</v>
      </c>
      <c r="P1407" s="1" t="s">
        <v>1523</v>
      </c>
      <c r="Q1407" s="42">
        <v>200</v>
      </c>
      <c r="R1407" s="42">
        <v>192</v>
      </c>
      <c r="S1407" s="42">
        <v>0.08</v>
      </c>
      <c r="T1407" s="10">
        <f>IFERROR(ROUND((Q1407/R1407),2),"NA")</f>
        <v>1.04</v>
      </c>
      <c r="U1407">
        <f t="shared" si="21"/>
        <v>16</v>
      </c>
    </row>
    <row r="1408" spans="7:21" x14ac:dyDescent="0.2">
      <c r="G1408" s="9" t="s">
        <v>2077</v>
      </c>
      <c r="H1408">
        <v>0</v>
      </c>
      <c r="M1408" s="1" t="s">
        <v>2077</v>
      </c>
      <c r="N1408" s="1">
        <v>295</v>
      </c>
      <c r="P1408" s="1" t="s">
        <v>2077</v>
      </c>
      <c r="Q1408" s="42">
        <v>0</v>
      </c>
      <c r="R1408" s="42">
        <v>295</v>
      </c>
      <c r="S1408" s="42">
        <v>0.25</v>
      </c>
      <c r="T1408" s="10">
        <f>IFERROR(ROUND((Q1408/R1408),2),"NA")</f>
        <v>0</v>
      </c>
      <c r="U1408">
        <f t="shared" si="21"/>
        <v>0</v>
      </c>
    </row>
    <row r="1409" spans="7:21" x14ac:dyDescent="0.2">
      <c r="G1409" s="9" t="s">
        <v>1414</v>
      </c>
      <c r="H1409">
        <v>0</v>
      </c>
      <c r="M1409" s="1" t="s">
        <v>1414</v>
      </c>
      <c r="N1409" s="1">
        <v>300</v>
      </c>
      <c r="P1409" s="1" t="s">
        <v>1414</v>
      </c>
      <c r="Q1409" s="42">
        <v>0</v>
      </c>
      <c r="R1409" s="42">
        <v>300</v>
      </c>
      <c r="S1409" s="42">
        <v>0.55333333333333334</v>
      </c>
      <c r="T1409" s="10">
        <f>IFERROR(ROUND((Q1409/R1409),2),"NA")</f>
        <v>0</v>
      </c>
      <c r="U1409">
        <f t="shared" si="21"/>
        <v>0</v>
      </c>
    </row>
    <row r="1410" spans="7:21" x14ac:dyDescent="0.2">
      <c r="G1410" s="9" t="s">
        <v>926</v>
      </c>
      <c r="H1410">
        <v>30</v>
      </c>
      <c r="M1410" s="1" t="s">
        <v>926</v>
      </c>
      <c r="N1410" s="1">
        <v>0</v>
      </c>
      <c r="P1410" s="1" t="s">
        <v>926</v>
      </c>
      <c r="Q1410" s="42">
        <v>30</v>
      </c>
      <c r="R1410" s="42">
        <v>0</v>
      </c>
      <c r="S1410" s="42">
        <v>1</v>
      </c>
      <c r="T1410" s="10" t="str">
        <f>IFERROR(ROUND((Q1410/R1410),2),"NA")</f>
        <v>NA</v>
      </c>
      <c r="U1410">
        <f t="shared" si="21"/>
        <v>30</v>
      </c>
    </row>
    <row r="1411" spans="7:21" x14ac:dyDescent="0.2">
      <c r="G1411" s="9" t="s">
        <v>1189</v>
      </c>
      <c r="H1411">
        <v>59</v>
      </c>
      <c r="M1411" s="1" t="s">
        <v>1189</v>
      </c>
      <c r="N1411" s="1">
        <v>5900</v>
      </c>
      <c r="P1411" s="1" t="s">
        <v>1189</v>
      </c>
      <c r="Q1411" s="42">
        <v>59</v>
      </c>
      <c r="R1411" s="42">
        <v>5900</v>
      </c>
      <c r="S1411" s="42">
        <v>0</v>
      </c>
      <c r="T1411" s="10">
        <f>IFERROR(ROUND((Q1411/R1411),2),"NA")</f>
        <v>0.01</v>
      </c>
      <c r="U1411">
        <f t="shared" si="21"/>
        <v>0</v>
      </c>
    </row>
    <row r="1412" spans="7:21" x14ac:dyDescent="0.2">
      <c r="G1412" s="9" t="s">
        <v>2444</v>
      </c>
      <c r="H1412">
        <v>350</v>
      </c>
      <c r="M1412" s="1" t="s">
        <v>2444</v>
      </c>
      <c r="N1412" s="1">
        <v>293</v>
      </c>
      <c r="P1412" s="1" t="s">
        <v>2444</v>
      </c>
      <c r="Q1412" s="42">
        <v>350</v>
      </c>
      <c r="R1412" s="42">
        <v>293</v>
      </c>
      <c r="S1412" s="42">
        <v>0.5</v>
      </c>
      <c r="T1412" s="10">
        <f>IFERROR(ROUND((Q1412/R1412),2),"NA")</f>
        <v>1.19</v>
      </c>
      <c r="U1412">
        <f t="shared" si="21"/>
        <v>175</v>
      </c>
    </row>
    <row r="1413" spans="7:21" x14ac:dyDescent="0.2">
      <c r="G1413" s="9" t="s">
        <v>1108</v>
      </c>
      <c r="H1413">
        <v>901</v>
      </c>
      <c r="M1413" s="1" t="s">
        <v>1108</v>
      </c>
      <c r="N1413" s="1">
        <v>3515</v>
      </c>
      <c r="P1413" s="1" t="s">
        <v>1108</v>
      </c>
      <c r="Q1413" s="42">
        <v>901</v>
      </c>
      <c r="R1413" s="42">
        <v>3515</v>
      </c>
      <c r="S1413" s="42">
        <v>0.21500000000000002</v>
      </c>
      <c r="T1413" s="10">
        <f>IFERROR(ROUND((Q1413/R1413),2),"NA")</f>
        <v>0.26</v>
      </c>
      <c r="U1413">
        <f t="shared" ref="U1413:U1476" si="22">Q1413*S1413</f>
        <v>193.71500000000003</v>
      </c>
    </row>
    <row r="1414" spans="7:21" x14ac:dyDescent="0.2">
      <c r="G1414" s="9" t="s">
        <v>330</v>
      </c>
      <c r="H1414">
        <v>0</v>
      </c>
      <c r="M1414" s="1" t="s">
        <v>330</v>
      </c>
      <c r="N1414" s="1">
        <v>18</v>
      </c>
      <c r="P1414" s="1" t="s">
        <v>330</v>
      </c>
      <c r="Q1414" s="42">
        <v>0</v>
      </c>
      <c r="R1414" s="42">
        <v>18</v>
      </c>
      <c r="S1414" s="42">
        <v>0</v>
      </c>
      <c r="T1414" s="10">
        <f>IFERROR(ROUND((Q1414/R1414),2),"NA")</f>
        <v>0</v>
      </c>
      <c r="U1414">
        <f t="shared" si="22"/>
        <v>0</v>
      </c>
    </row>
    <row r="1415" spans="7:21" x14ac:dyDescent="0.2">
      <c r="G1415" s="9" t="s">
        <v>1140</v>
      </c>
      <c r="H1415">
        <v>50</v>
      </c>
      <c r="M1415" s="1" t="s">
        <v>1140</v>
      </c>
      <c r="N1415" s="1">
        <v>196</v>
      </c>
      <c r="P1415" s="1" t="s">
        <v>1140</v>
      </c>
      <c r="Q1415" s="42">
        <v>50</v>
      </c>
      <c r="R1415" s="42">
        <v>196</v>
      </c>
      <c r="S1415" s="42">
        <v>0.16</v>
      </c>
      <c r="T1415" s="10">
        <f>IFERROR(ROUND((Q1415/R1415),2),"NA")</f>
        <v>0.26</v>
      </c>
      <c r="U1415">
        <f t="shared" si="22"/>
        <v>8</v>
      </c>
    </row>
    <row r="1416" spans="7:21" x14ac:dyDescent="0.2">
      <c r="G1416" s="9" t="s">
        <v>2146</v>
      </c>
      <c r="H1416">
        <v>86</v>
      </c>
      <c r="M1416" s="1" t="s">
        <v>2146</v>
      </c>
      <c r="N1416" s="1">
        <v>56</v>
      </c>
      <c r="P1416" s="1" t="s">
        <v>2146</v>
      </c>
      <c r="Q1416" s="42">
        <v>86</v>
      </c>
      <c r="R1416" s="42">
        <v>56</v>
      </c>
      <c r="S1416" s="42">
        <v>0.125</v>
      </c>
      <c r="T1416" s="10">
        <f>IFERROR(ROUND((Q1416/R1416),2),"NA")</f>
        <v>1.54</v>
      </c>
      <c r="U1416">
        <f t="shared" si="22"/>
        <v>10.75</v>
      </c>
    </row>
    <row r="1417" spans="7:21" x14ac:dyDescent="0.2">
      <c r="G1417" s="9" t="s">
        <v>251</v>
      </c>
      <c r="H1417">
        <v>100</v>
      </c>
      <c r="M1417" s="1" t="s">
        <v>251</v>
      </c>
      <c r="N1417" s="1">
        <v>1008</v>
      </c>
      <c r="P1417" s="1" t="s">
        <v>251</v>
      </c>
      <c r="Q1417" s="42">
        <v>100</v>
      </c>
      <c r="R1417" s="42">
        <v>1008</v>
      </c>
      <c r="S1417" s="42">
        <v>7.0000000000000007E-2</v>
      </c>
      <c r="T1417" s="10">
        <f>IFERROR(ROUND((Q1417/R1417),2),"NA")</f>
        <v>0.1</v>
      </c>
      <c r="U1417">
        <f t="shared" si="22"/>
        <v>7.0000000000000009</v>
      </c>
    </row>
    <row r="1418" spans="7:21" x14ac:dyDescent="0.2">
      <c r="G1418" s="9" t="s">
        <v>2381</v>
      </c>
      <c r="H1418">
        <v>0</v>
      </c>
      <c r="M1418" s="1" t="s">
        <v>2381</v>
      </c>
      <c r="N1418" s="1">
        <v>24</v>
      </c>
      <c r="P1418" s="1" t="s">
        <v>2381</v>
      </c>
      <c r="Q1418" s="42">
        <v>0</v>
      </c>
      <c r="R1418" s="42">
        <v>24</v>
      </c>
      <c r="S1418" s="42">
        <v>0.4</v>
      </c>
      <c r="T1418" s="10">
        <f>IFERROR(ROUND((Q1418/R1418),2),"NA")</f>
        <v>0</v>
      </c>
      <c r="U1418">
        <f t="shared" si="22"/>
        <v>0</v>
      </c>
    </row>
    <row r="1419" spans="7:21" x14ac:dyDescent="0.2">
      <c r="G1419" s="9" t="s">
        <v>1052</v>
      </c>
      <c r="H1419">
        <v>30</v>
      </c>
      <c r="M1419" s="1" t="s">
        <v>1052</v>
      </c>
      <c r="N1419" s="1">
        <v>254</v>
      </c>
      <c r="P1419" s="1" t="s">
        <v>1052</v>
      </c>
      <c r="Q1419" s="42">
        <v>30</v>
      </c>
      <c r="R1419" s="42">
        <v>254</v>
      </c>
      <c r="S1419" s="42">
        <v>0</v>
      </c>
      <c r="T1419" s="10">
        <f>IFERROR(ROUND((Q1419/R1419),2),"NA")</f>
        <v>0.12</v>
      </c>
      <c r="U1419">
        <f t="shared" si="22"/>
        <v>0</v>
      </c>
    </row>
    <row r="1420" spans="7:21" x14ac:dyDescent="0.2">
      <c r="G1420" s="9" t="s">
        <v>1811</v>
      </c>
      <c r="H1420">
        <v>0</v>
      </c>
      <c r="M1420" s="1" t="s">
        <v>1811</v>
      </c>
      <c r="N1420" s="1">
        <v>0</v>
      </c>
      <c r="P1420" s="1" t="s">
        <v>1811</v>
      </c>
      <c r="Q1420" s="42">
        <v>0</v>
      </c>
      <c r="R1420" s="42">
        <v>0</v>
      </c>
      <c r="S1420" s="42">
        <v>0</v>
      </c>
      <c r="T1420" s="10" t="str">
        <f>IFERROR(ROUND((Q1420/R1420),2),"NA")</f>
        <v>NA</v>
      </c>
      <c r="U1420">
        <f t="shared" si="22"/>
        <v>0</v>
      </c>
    </row>
    <row r="1421" spans="7:21" x14ac:dyDescent="0.2">
      <c r="G1421" s="9" t="s">
        <v>532</v>
      </c>
      <c r="H1421">
        <v>209</v>
      </c>
      <c r="M1421" s="1" t="s">
        <v>532</v>
      </c>
      <c r="N1421" s="1">
        <v>370</v>
      </c>
      <c r="P1421" s="1" t="s">
        <v>532</v>
      </c>
      <c r="Q1421" s="42">
        <v>209</v>
      </c>
      <c r="R1421" s="42">
        <v>370</v>
      </c>
      <c r="S1421" s="42">
        <v>0</v>
      </c>
      <c r="T1421" s="10">
        <f>IFERROR(ROUND((Q1421/R1421),2),"NA")</f>
        <v>0.56000000000000005</v>
      </c>
      <c r="U1421">
        <f t="shared" si="22"/>
        <v>0</v>
      </c>
    </row>
    <row r="1422" spans="7:21" x14ac:dyDescent="0.2">
      <c r="G1422" s="9" t="s">
        <v>954</v>
      </c>
      <c r="H1422">
        <v>0</v>
      </c>
      <c r="M1422" s="1" t="s">
        <v>954</v>
      </c>
      <c r="N1422" s="1">
        <v>445</v>
      </c>
      <c r="P1422" s="1" t="s">
        <v>954</v>
      </c>
      <c r="Q1422" s="42">
        <v>0</v>
      </c>
      <c r="R1422" s="42">
        <v>445</v>
      </c>
      <c r="S1422" s="42">
        <v>0.1</v>
      </c>
      <c r="T1422" s="10">
        <f>IFERROR(ROUND((Q1422/R1422),2),"NA")</f>
        <v>0</v>
      </c>
      <c r="U1422">
        <f t="shared" si="22"/>
        <v>0</v>
      </c>
    </row>
    <row r="1423" spans="7:21" x14ac:dyDescent="0.2">
      <c r="G1423" s="9" t="s">
        <v>707</v>
      </c>
      <c r="H1423">
        <v>300</v>
      </c>
      <c r="M1423" s="1" t="s">
        <v>707</v>
      </c>
      <c r="N1423" s="1">
        <v>0</v>
      </c>
      <c r="P1423" s="1" t="s">
        <v>707</v>
      </c>
      <c r="Q1423" s="42">
        <v>300</v>
      </c>
      <c r="R1423" s="42">
        <v>0</v>
      </c>
      <c r="S1423" s="42">
        <v>0.1</v>
      </c>
      <c r="T1423" s="10" t="str">
        <f>IFERROR(ROUND((Q1423/R1423),2),"NA")</f>
        <v>NA</v>
      </c>
      <c r="U1423">
        <f t="shared" si="22"/>
        <v>30</v>
      </c>
    </row>
    <row r="1424" spans="7:21" x14ac:dyDescent="0.2">
      <c r="G1424" s="9" t="s">
        <v>2644</v>
      </c>
      <c r="H1424">
        <v>51</v>
      </c>
      <c r="M1424" s="1" t="s">
        <v>2644</v>
      </c>
      <c r="N1424" s="1">
        <v>2</v>
      </c>
      <c r="P1424" s="1" t="s">
        <v>2644</v>
      </c>
      <c r="Q1424" s="42">
        <v>51</v>
      </c>
      <c r="R1424" s="42">
        <v>2</v>
      </c>
      <c r="S1424" s="42">
        <v>0.4</v>
      </c>
      <c r="T1424" s="10">
        <f>IFERROR(ROUND((Q1424/R1424),2),"NA")</f>
        <v>25.5</v>
      </c>
      <c r="U1424">
        <f t="shared" si="22"/>
        <v>20.400000000000002</v>
      </c>
    </row>
    <row r="1425" spans="7:21" x14ac:dyDescent="0.2">
      <c r="G1425" s="9" t="s">
        <v>466</v>
      </c>
      <c r="H1425">
        <v>0</v>
      </c>
      <c r="M1425" s="1" t="s">
        <v>466</v>
      </c>
      <c r="N1425" s="1">
        <v>970</v>
      </c>
      <c r="P1425" s="1" t="s">
        <v>466</v>
      </c>
      <c r="Q1425" s="42">
        <v>0</v>
      </c>
      <c r="R1425" s="42">
        <v>970</v>
      </c>
      <c r="S1425" s="42">
        <v>0.09</v>
      </c>
      <c r="T1425" s="10">
        <f>IFERROR(ROUND((Q1425/R1425),2),"NA")</f>
        <v>0</v>
      </c>
      <c r="U1425">
        <f t="shared" si="22"/>
        <v>0</v>
      </c>
    </row>
    <row r="1426" spans="7:21" x14ac:dyDescent="0.2">
      <c r="G1426" s="9" t="s">
        <v>244</v>
      </c>
      <c r="H1426">
        <v>90</v>
      </c>
      <c r="M1426" s="1" t="s">
        <v>244</v>
      </c>
      <c r="N1426" s="1">
        <v>2200</v>
      </c>
      <c r="P1426" s="1" t="s">
        <v>244</v>
      </c>
      <c r="Q1426" s="42">
        <v>90</v>
      </c>
      <c r="R1426" s="42">
        <v>2200</v>
      </c>
      <c r="S1426" s="42">
        <v>0.255</v>
      </c>
      <c r="T1426" s="10">
        <f>IFERROR(ROUND((Q1426/R1426),2),"NA")</f>
        <v>0.04</v>
      </c>
      <c r="U1426">
        <f t="shared" si="22"/>
        <v>22.95</v>
      </c>
    </row>
    <row r="1427" spans="7:21" x14ac:dyDescent="0.2">
      <c r="G1427" s="9" t="s">
        <v>1343</v>
      </c>
      <c r="H1427">
        <v>0</v>
      </c>
      <c r="M1427" s="1" t="s">
        <v>1343</v>
      </c>
      <c r="N1427" s="1">
        <v>61</v>
      </c>
      <c r="P1427" s="1" t="s">
        <v>1343</v>
      </c>
      <c r="Q1427" s="42">
        <v>0</v>
      </c>
      <c r="R1427" s="42">
        <v>61</v>
      </c>
      <c r="S1427" s="42">
        <v>0.15</v>
      </c>
      <c r="T1427" s="10">
        <f>IFERROR(ROUND((Q1427/R1427),2),"NA")</f>
        <v>0</v>
      </c>
      <c r="U1427">
        <f t="shared" si="22"/>
        <v>0</v>
      </c>
    </row>
    <row r="1428" spans="7:21" x14ac:dyDescent="0.2">
      <c r="G1428" s="9" t="s">
        <v>241</v>
      </c>
      <c r="H1428">
        <v>21000</v>
      </c>
      <c r="M1428" s="1" t="s">
        <v>241</v>
      </c>
      <c r="N1428" s="1">
        <v>104000</v>
      </c>
      <c r="P1428" s="1" t="s">
        <v>241</v>
      </c>
      <c r="Q1428" s="42">
        <v>21000</v>
      </c>
      <c r="R1428" s="42">
        <v>104000</v>
      </c>
      <c r="S1428" s="42">
        <v>0.13</v>
      </c>
      <c r="T1428" s="10">
        <f>IFERROR(ROUND((Q1428/R1428),2),"NA")</f>
        <v>0.2</v>
      </c>
      <c r="U1428">
        <f t="shared" si="22"/>
        <v>2730</v>
      </c>
    </row>
    <row r="1429" spans="7:21" x14ac:dyDescent="0.2">
      <c r="G1429" s="9" t="s">
        <v>1835</v>
      </c>
      <c r="H1429">
        <v>0</v>
      </c>
      <c r="M1429" s="1" t="s">
        <v>1835</v>
      </c>
      <c r="N1429" s="1">
        <v>0</v>
      </c>
      <c r="P1429" s="1" t="s">
        <v>1835</v>
      </c>
      <c r="Q1429" s="42">
        <v>0</v>
      </c>
      <c r="R1429" s="42">
        <v>0</v>
      </c>
      <c r="S1429" s="42">
        <v>0</v>
      </c>
      <c r="T1429" s="10" t="str">
        <f>IFERROR(ROUND((Q1429/R1429),2),"NA")</f>
        <v>NA</v>
      </c>
      <c r="U1429">
        <f t="shared" si="22"/>
        <v>0</v>
      </c>
    </row>
    <row r="1430" spans="7:21" x14ac:dyDescent="0.2">
      <c r="G1430" s="9" t="s">
        <v>2172</v>
      </c>
      <c r="H1430">
        <v>75</v>
      </c>
      <c r="M1430" s="1" t="s">
        <v>2172</v>
      </c>
      <c r="N1430" s="1">
        <v>18</v>
      </c>
      <c r="P1430" s="1" t="s">
        <v>2172</v>
      </c>
      <c r="Q1430" s="42">
        <v>75</v>
      </c>
      <c r="R1430" s="42">
        <v>18</v>
      </c>
      <c r="S1430" s="42">
        <v>1</v>
      </c>
      <c r="T1430" s="10">
        <f>IFERROR(ROUND((Q1430/R1430),2),"NA")</f>
        <v>4.17</v>
      </c>
      <c r="U1430">
        <f t="shared" si="22"/>
        <v>75</v>
      </c>
    </row>
    <row r="1431" spans="7:21" x14ac:dyDescent="0.2">
      <c r="G1431" s="9" t="s">
        <v>2183</v>
      </c>
      <c r="H1431">
        <v>160</v>
      </c>
      <c r="M1431" s="1" t="s">
        <v>2183</v>
      </c>
      <c r="N1431" s="1">
        <v>803</v>
      </c>
      <c r="P1431" s="1" t="s">
        <v>2183</v>
      </c>
      <c r="Q1431" s="42">
        <v>160</v>
      </c>
      <c r="R1431" s="42">
        <v>803</v>
      </c>
      <c r="S1431" s="42">
        <v>0.26500000000000001</v>
      </c>
      <c r="T1431" s="10">
        <f>IFERROR(ROUND((Q1431/R1431),2),"NA")</f>
        <v>0.2</v>
      </c>
      <c r="U1431">
        <f t="shared" si="22"/>
        <v>42.400000000000006</v>
      </c>
    </row>
    <row r="1432" spans="7:21" x14ac:dyDescent="0.2">
      <c r="G1432" s="9" t="s">
        <v>2824</v>
      </c>
      <c r="H1432">
        <v>0</v>
      </c>
      <c r="M1432" s="1" t="s">
        <v>2824</v>
      </c>
      <c r="N1432" s="1">
        <v>41</v>
      </c>
      <c r="P1432" s="1" t="s">
        <v>2824</v>
      </c>
      <c r="Q1432" s="42">
        <v>0</v>
      </c>
      <c r="R1432" s="42">
        <v>41</v>
      </c>
      <c r="S1432" s="42">
        <v>0</v>
      </c>
      <c r="T1432" s="10">
        <f>IFERROR(ROUND((Q1432/R1432),2),"NA")</f>
        <v>0</v>
      </c>
      <c r="U1432">
        <f t="shared" si="22"/>
        <v>0</v>
      </c>
    </row>
    <row r="1433" spans="7:21" x14ac:dyDescent="0.2">
      <c r="G1433" s="9" t="s">
        <v>2435</v>
      </c>
      <c r="H1433">
        <v>600</v>
      </c>
      <c r="M1433" s="1" t="s">
        <v>2435</v>
      </c>
      <c r="N1433" s="1">
        <v>97</v>
      </c>
      <c r="P1433" s="1" t="s">
        <v>2435</v>
      </c>
      <c r="Q1433" s="42">
        <v>600</v>
      </c>
      <c r="R1433" s="42">
        <v>97</v>
      </c>
      <c r="S1433" s="42">
        <v>0.75</v>
      </c>
      <c r="T1433" s="10">
        <f>IFERROR(ROUND((Q1433/R1433),2),"NA")</f>
        <v>6.19</v>
      </c>
      <c r="U1433">
        <f t="shared" si="22"/>
        <v>450</v>
      </c>
    </row>
    <row r="1434" spans="7:21" x14ac:dyDescent="0.2">
      <c r="G1434" s="9" t="s">
        <v>1360</v>
      </c>
      <c r="H1434">
        <v>7200</v>
      </c>
      <c r="M1434" s="1" t="s">
        <v>1360</v>
      </c>
      <c r="N1434" s="1">
        <v>100</v>
      </c>
      <c r="P1434" s="1" t="s">
        <v>1360</v>
      </c>
      <c r="Q1434" s="42">
        <v>7200</v>
      </c>
      <c r="R1434" s="42">
        <v>100</v>
      </c>
      <c r="S1434" s="42">
        <v>7.5000000000000011E-2</v>
      </c>
      <c r="T1434" s="10">
        <f>IFERROR(ROUND((Q1434/R1434),2),"NA")</f>
        <v>72</v>
      </c>
      <c r="U1434">
        <f t="shared" si="22"/>
        <v>540.00000000000011</v>
      </c>
    </row>
    <row r="1435" spans="7:21" x14ac:dyDescent="0.2">
      <c r="G1435" s="9" t="s">
        <v>27</v>
      </c>
      <c r="H1435">
        <v>14058</v>
      </c>
      <c r="M1435" s="1" t="s">
        <v>27</v>
      </c>
      <c r="N1435" s="1">
        <v>7</v>
      </c>
      <c r="P1435" s="1" t="s">
        <v>27</v>
      </c>
      <c r="Q1435" s="42">
        <v>14058</v>
      </c>
      <c r="R1435" s="42">
        <v>7</v>
      </c>
      <c r="S1435" s="42">
        <v>0.05</v>
      </c>
      <c r="T1435" s="10">
        <f>IFERROR(ROUND((Q1435/R1435),2),"NA")</f>
        <v>2008.29</v>
      </c>
      <c r="U1435">
        <f t="shared" si="22"/>
        <v>702.90000000000009</v>
      </c>
    </row>
    <row r="1436" spans="7:21" x14ac:dyDescent="0.2">
      <c r="G1436" s="9" t="s">
        <v>2704</v>
      </c>
      <c r="H1436">
        <v>0</v>
      </c>
      <c r="M1436" s="1" t="s">
        <v>2704</v>
      </c>
      <c r="N1436" s="1">
        <v>37</v>
      </c>
      <c r="P1436" s="1" t="s">
        <v>2704</v>
      </c>
      <c r="Q1436" s="42">
        <v>0</v>
      </c>
      <c r="R1436" s="42">
        <v>37</v>
      </c>
      <c r="S1436" s="42">
        <v>0.25</v>
      </c>
      <c r="T1436" s="10">
        <f>IFERROR(ROUND((Q1436/R1436),2),"NA")</f>
        <v>0</v>
      </c>
      <c r="U1436">
        <f t="shared" si="22"/>
        <v>0</v>
      </c>
    </row>
    <row r="1437" spans="7:21" x14ac:dyDescent="0.2">
      <c r="G1437" s="9" t="s">
        <v>862</v>
      </c>
      <c r="H1437">
        <v>400</v>
      </c>
      <c r="M1437" s="1" t="s">
        <v>862</v>
      </c>
      <c r="N1437" s="1">
        <v>39</v>
      </c>
      <c r="P1437" s="1" t="s">
        <v>862</v>
      </c>
      <c r="Q1437" s="42">
        <v>400</v>
      </c>
      <c r="R1437" s="42">
        <v>39</v>
      </c>
      <c r="S1437" s="42">
        <v>0.67</v>
      </c>
      <c r="T1437" s="10">
        <f>IFERROR(ROUND((Q1437/R1437),2),"NA")</f>
        <v>10.26</v>
      </c>
      <c r="U1437">
        <f t="shared" si="22"/>
        <v>268</v>
      </c>
    </row>
    <row r="1438" spans="7:21" x14ac:dyDescent="0.2">
      <c r="G1438" s="9" t="s">
        <v>1190</v>
      </c>
      <c r="H1438">
        <v>400</v>
      </c>
      <c r="M1438" s="1" t="s">
        <v>1190</v>
      </c>
      <c r="N1438" s="1">
        <v>172</v>
      </c>
      <c r="P1438" s="1" t="s">
        <v>1190</v>
      </c>
      <c r="Q1438" s="42">
        <v>400</v>
      </c>
      <c r="R1438" s="42">
        <v>172</v>
      </c>
      <c r="S1438" s="42">
        <v>0.6</v>
      </c>
      <c r="T1438" s="10">
        <f>IFERROR(ROUND((Q1438/R1438),2),"NA")</f>
        <v>2.33</v>
      </c>
      <c r="U1438">
        <f t="shared" si="22"/>
        <v>240</v>
      </c>
    </row>
    <row r="1439" spans="7:21" x14ac:dyDescent="0.2">
      <c r="G1439" s="9" t="s">
        <v>1955</v>
      </c>
      <c r="H1439">
        <v>1100</v>
      </c>
      <c r="M1439" s="1" t="s">
        <v>1955</v>
      </c>
      <c r="N1439" s="1">
        <v>228</v>
      </c>
      <c r="P1439" s="1" t="s">
        <v>1955</v>
      </c>
      <c r="Q1439" s="42">
        <v>1100</v>
      </c>
      <c r="R1439" s="42">
        <v>228</v>
      </c>
      <c r="S1439" s="42">
        <v>0.15</v>
      </c>
      <c r="T1439" s="10">
        <f>IFERROR(ROUND((Q1439/R1439),2),"NA")</f>
        <v>4.82</v>
      </c>
      <c r="U1439">
        <f t="shared" si="22"/>
        <v>165</v>
      </c>
    </row>
    <row r="1440" spans="7:21" x14ac:dyDescent="0.2">
      <c r="G1440" s="9" t="s">
        <v>2330</v>
      </c>
      <c r="H1440">
        <v>0</v>
      </c>
      <c r="M1440" s="1" t="s">
        <v>2330</v>
      </c>
      <c r="N1440" s="1">
        <v>0</v>
      </c>
      <c r="P1440" s="1" t="s">
        <v>2330</v>
      </c>
      <c r="Q1440" s="42">
        <v>0</v>
      </c>
      <c r="R1440" s="42">
        <v>0</v>
      </c>
      <c r="S1440" s="42">
        <v>0</v>
      </c>
      <c r="T1440" s="10" t="str">
        <f>IFERROR(ROUND((Q1440/R1440),2),"NA")</f>
        <v>NA</v>
      </c>
      <c r="U1440">
        <f t="shared" si="22"/>
        <v>0</v>
      </c>
    </row>
    <row r="1441" spans="7:21" x14ac:dyDescent="0.2">
      <c r="G1441" s="9" t="s">
        <v>1433</v>
      </c>
      <c r="H1441">
        <v>127</v>
      </c>
      <c r="M1441" s="1" t="s">
        <v>1433</v>
      </c>
      <c r="N1441" s="1">
        <v>160</v>
      </c>
      <c r="P1441" s="1" t="s">
        <v>1433</v>
      </c>
      <c r="Q1441" s="42">
        <v>127</v>
      </c>
      <c r="R1441" s="42">
        <v>160</v>
      </c>
      <c r="S1441" s="42">
        <v>0</v>
      </c>
      <c r="T1441" s="10">
        <f>IFERROR(ROUND((Q1441/R1441),2),"NA")</f>
        <v>0.79</v>
      </c>
      <c r="U1441">
        <f t="shared" si="22"/>
        <v>0</v>
      </c>
    </row>
    <row r="1442" spans="7:21" x14ac:dyDescent="0.2">
      <c r="G1442" s="9" t="s">
        <v>2812</v>
      </c>
      <c r="H1442">
        <v>147</v>
      </c>
      <c r="M1442" s="1" t="s">
        <v>2812</v>
      </c>
      <c r="N1442" s="1">
        <v>297</v>
      </c>
      <c r="P1442" s="1" t="s">
        <v>2812</v>
      </c>
      <c r="Q1442" s="42">
        <v>147</v>
      </c>
      <c r="R1442" s="42">
        <v>297</v>
      </c>
      <c r="S1442" s="42">
        <v>0.37</v>
      </c>
      <c r="T1442" s="10">
        <f>IFERROR(ROUND((Q1442/R1442),2),"NA")</f>
        <v>0.49</v>
      </c>
      <c r="U1442">
        <f t="shared" si="22"/>
        <v>54.39</v>
      </c>
    </row>
    <row r="1443" spans="7:21" x14ac:dyDescent="0.2">
      <c r="G1443" s="9" t="s">
        <v>1642</v>
      </c>
      <c r="H1443">
        <v>50</v>
      </c>
      <c r="M1443" s="1" t="s">
        <v>1642</v>
      </c>
      <c r="N1443" s="1">
        <v>160</v>
      </c>
      <c r="P1443" s="1" t="s">
        <v>1642</v>
      </c>
      <c r="Q1443" s="42">
        <v>50</v>
      </c>
      <c r="R1443" s="42">
        <v>160</v>
      </c>
      <c r="S1443" s="42">
        <v>0.1</v>
      </c>
      <c r="T1443" s="10">
        <f>IFERROR(ROUND((Q1443/R1443),2),"NA")</f>
        <v>0.31</v>
      </c>
      <c r="U1443">
        <f t="shared" si="22"/>
        <v>5</v>
      </c>
    </row>
    <row r="1444" spans="7:21" x14ac:dyDescent="0.2">
      <c r="G1444" s="9" t="s">
        <v>885</v>
      </c>
      <c r="H1444">
        <v>0</v>
      </c>
      <c r="M1444" s="1" t="s">
        <v>885</v>
      </c>
      <c r="N1444" s="1">
        <v>0</v>
      </c>
      <c r="P1444" s="1" t="s">
        <v>885</v>
      </c>
      <c r="Q1444" s="42">
        <v>0</v>
      </c>
      <c r="R1444" s="42">
        <v>0</v>
      </c>
      <c r="S1444" s="42">
        <v>0</v>
      </c>
      <c r="T1444" s="10" t="str">
        <f>IFERROR(ROUND((Q1444/R1444),2),"NA")</f>
        <v>NA</v>
      </c>
      <c r="U1444">
        <f t="shared" si="22"/>
        <v>0</v>
      </c>
    </row>
    <row r="1445" spans="7:21" x14ac:dyDescent="0.2">
      <c r="G1445" s="9" t="s">
        <v>1434</v>
      </c>
      <c r="H1445">
        <v>119</v>
      </c>
      <c r="M1445" s="1" t="s">
        <v>1434</v>
      </c>
      <c r="N1445" s="1">
        <v>476</v>
      </c>
      <c r="P1445" s="1" t="s">
        <v>1434</v>
      </c>
      <c r="Q1445" s="42">
        <v>119</v>
      </c>
      <c r="R1445" s="42">
        <v>476</v>
      </c>
      <c r="S1445" s="42">
        <v>7.0000000000000007E-2</v>
      </c>
      <c r="T1445" s="10">
        <f>IFERROR(ROUND((Q1445/R1445),2),"NA")</f>
        <v>0.25</v>
      </c>
      <c r="U1445">
        <f t="shared" si="22"/>
        <v>8.33</v>
      </c>
    </row>
    <row r="1446" spans="7:21" x14ac:dyDescent="0.2">
      <c r="G1446" s="9" t="s">
        <v>1399</v>
      </c>
      <c r="H1446">
        <v>649</v>
      </c>
      <c r="M1446" s="1" t="s">
        <v>1399</v>
      </c>
      <c r="N1446" s="1">
        <v>526</v>
      </c>
      <c r="P1446" s="1" t="s">
        <v>1399</v>
      </c>
      <c r="Q1446" s="42">
        <v>649</v>
      </c>
      <c r="R1446" s="42">
        <v>526</v>
      </c>
      <c r="S1446" s="42">
        <v>0.33</v>
      </c>
      <c r="T1446" s="10">
        <f>IFERROR(ROUND((Q1446/R1446),2),"NA")</f>
        <v>1.23</v>
      </c>
      <c r="U1446">
        <f t="shared" si="22"/>
        <v>214.17000000000002</v>
      </c>
    </row>
    <row r="1447" spans="7:21" x14ac:dyDescent="0.2">
      <c r="G1447" s="9" t="s">
        <v>2181</v>
      </c>
      <c r="H1447">
        <v>0</v>
      </c>
      <c r="M1447" s="1" t="s">
        <v>2181</v>
      </c>
      <c r="N1447" s="1">
        <v>1700</v>
      </c>
      <c r="P1447" s="1" t="s">
        <v>2181</v>
      </c>
      <c r="Q1447" s="42">
        <v>0</v>
      </c>
      <c r="R1447" s="42">
        <v>1700</v>
      </c>
      <c r="S1447" s="42">
        <v>0</v>
      </c>
      <c r="T1447" s="10">
        <f>IFERROR(ROUND((Q1447/R1447),2),"NA")</f>
        <v>0</v>
      </c>
      <c r="U1447">
        <f t="shared" si="22"/>
        <v>0</v>
      </c>
    </row>
    <row r="1448" spans="7:21" x14ac:dyDescent="0.2">
      <c r="G1448" s="9" t="s">
        <v>2653</v>
      </c>
      <c r="H1448">
        <v>65</v>
      </c>
      <c r="M1448" s="1" t="s">
        <v>2653</v>
      </c>
      <c r="N1448" s="1">
        <v>77</v>
      </c>
      <c r="P1448" s="1" t="s">
        <v>2653</v>
      </c>
      <c r="Q1448" s="42">
        <v>65</v>
      </c>
      <c r="R1448" s="42">
        <v>77</v>
      </c>
      <c r="S1448" s="42">
        <v>0.19</v>
      </c>
      <c r="T1448" s="10">
        <f>IFERROR(ROUND((Q1448/R1448),2),"NA")</f>
        <v>0.84</v>
      </c>
      <c r="U1448">
        <f t="shared" si="22"/>
        <v>12.35</v>
      </c>
    </row>
    <row r="1449" spans="7:21" x14ac:dyDescent="0.2">
      <c r="G1449" s="9" t="s">
        <v>2417</v>
      </c>
      <c r="H1449">
        <v>100</v>
      </c>
      <c r="M1449" s="1" t="s">
        <v>2417</v>
      </c>
      <c r="N1449" s="1">
        <v>375</v>
      </c>
      <c r="P1449" s="1" t="s">
        <v>2417</v>
      </c>
      <c r="Q1449" s="42">
        <v>100</v>
      </c>
      <c r="R1449" s="42">
        <v>375</v>
      </c>
      <c r="S1449" s="42">
        <v>0.1</v>
      </c>
      <c r="T1449" s="10">
        <f>IFERROR(ROUND((Q1449/R1449),2),"NA")</f>
        <v>0.27</v>
      </c>
      <c r="U1449">
        <f t="shared" si="22"/>
        <v>10</v>
      </c>
    </row>
    <row r="1450" spans="7:21" x14ac:dyDescent="0.2">
      <c r="G1450" s="9" t="s">
        <v>2050</v>
      </c>
      <c r="H1450">
        <v>42</v>
      </c>
      <c r="M1450" s="1" t="s">
        <v>2050</v>
      </c>
      <c r="N1450" s="1">
        <v>127</v>
      </c>
      <c r="P1450" s="1" t="s">
        <v>2050</v>
      </c>
      <c r="Q1450" s="42">
        <v>42</v>
      </c>
      <c r="R1450" s="42">
        <v>127</v>
      </c>
      <c r="S1450" s="42">
        <v>0</v>
      </c>
      <c r="T1450" s="10">
        <f>IFERROR(ROUND((Q1450/R1450),2),"NA")</f>
        <v>0.33</v>
      </c>
      <c r="U1450">
        <f t="shared" si="22"/>
        <v>0</v>
      </c>
    </row>
    <row r="1451" spans="7:21" x14ac:dyDescent="0.2">
      <c r="G1451" s="9" t="s">
        <v>1496</v>
      </c>
      <c r="H1451">
        <v>0</v>
      </c>
      <c r="M1451" s="1" t="s">
        <v>1496</v>
      </c>
      <c r="N1451" s="1">
        <v>0</v>
      </c>
      <c r="P1451" s="1" t="s">
        <v>1496</v>
      </c>
      <c r="Q1451" s="42">
        <v>0</v>
      </c>
      <c r="R1451" s="42">
        <v>0</v>
      </c>
      <c r="S1451" s="42">
        <v>1</v>
      </c>
      <c r="T1451" s="10" t="str">
        <f>IFERROR(ROUND((Q1451/R1451),2),"NA")</f>
        <v>NA</v>
      </c>
      <c r="U1451">
        <f t="shared" si="22"/>
        <v>0</v>
      </c>
    </row>
    <row r="1452" spans="7:21" x14ac:dyDescent="0.2">
      <c r="G1452" s="9" t="s">
        <v>1695</v>
      </c>
      <c r="H1452">
        <v>0</v>
      </c>
      <c r="M1452" s="1" t="s">
        <v>1695</v>
      </c>
      <c r="N1452" s="1">
        <v>183</v>
      </c>
      <c r="P1452" s="1" t="s">
        <v>1695</v>
      </c>
      <c r="Q1452" s="42">
        <v>0</v>
      </c>
      <c r="R1452" s="42">
        <v>183</v>
      </c>
      <c r="S1452" s="42">
        <v>0.18</v>
      </c>
      <c r="T1452" s="10">
        <f>IFERROR(ROUND((Q1452/R1452),2),"NA")</f>
        <v>0</v>
      </c>
      <c r="U1452">
        <f t="shared" si="22"/>
        <v>0</v>
      </c>
    </row>
    <row r="1453" spans="7:21" x14ac:dyDescent="0.2">
      <c r="G1453" s="9" t="s">
        <v>2301</v>
      </c>
      <c r="H1453">
        <v>0</v>
      </c>
      <c r="M1453" s="1" t="s">
        <v>2301</v>
      </c>
      <c r="N1453" s="1">
        <v>142</v>
      </c>
      <c r="P1453" s="1" t="s">
        <v>2301</v>
      </c>
      <c r="Q1453" s="42">
        <v>0</v>
      </c>
      <c r="R1453" s="42">
        <v>142</v>
      </c>
      <c r="S1453" s="42">
        <v>0</v>
      </c>
      <c r="T1453" s="10">
        <f>IFERROR(ROUND((Q1453/R1453),2),"NA")</f>
        <v>0</v>
      </c>
      <c r="U1453">
        <f t="shared" si="22"/>
        <v>0</v>
      </c>
    </row>
    <row r="1454" spans="7:21" x14ac:dyDescent="0.2">
      <c r="G1454" s="9" t="s">
        <v>1656</v>
      </c>
      <c r="H1454">
        <v>40</v>
      </c>
      <c r="M1454" s="1" t="s">
        <v>1656</v>
      </c>
      <c r="N1454" s="1">
        <v>472</v>
      </c>
      <c r="P1454" s="1" t="s">
        <v>1656</v>
      </c>
      <c r="Q1454" s="42">
        <v>40</v>
      </c>
      <c r="R1454" s="42">
        <v>472</v>
      </c>
      <c r="S1454" s="42">
        <v>0.02</v>
      </c>
      <c r="T1454" s="10">
        <f>IFERROR(ROUND((Q1454/R1454),2),"NA")</f>
        <v>0.08</v>
      </c>
      <c r="U1454">
        <f t="shared" si="22"/>
        <v>0.8</v>
      </c>
    </row>
    <row r="1455" spans="7:21" x14ac:dyDescent="0.2">
      <c r="G1455" s="9" t="s">
        <v>2899</v>
      </c>
      <c r="H1455">
        <v>78</v>
      </c>
      <c r="M1455" s="1" t="s">
        <v>2899</v>
      </c>
      <c r="N1455" s="1">
        <v>201</v>
      </c>
      <c r="P1455" s="1" t="s">
        <v>2899</v>
      </c>
      <c r="Q1455" s="42">
        <v>78</v>
      </c>
      <c r="R1455" s="42">
        <v>201</v>
      </c>
      <c r="S1455" s="42">
        <v>0.3</v>
      </c>
      <c r="T1455" s="10">
        <f>IFERROR(ROUND((Q1455/R1455),2),"NA")</f>
        <v>0.39</v>
      </c>
      <c r="U1455">
        <f t="shared" si="22"/>
        <v>23.4</v>
      </c>
    </row>
    <row r="1456" spans="7:21" x14ac:dyDescent="0.2">
      <c r="G1456" s="9" t="s">
        <v>541</v>
      </c>
      <c r="H1456">
        <v>0</v>
      </c>
      <c r="M1456" s="1" t="s">
        <v>541</v>
      </c>
      <c r="N1456" s="1">
        <v>100</v>
      </c>
      <c r="P1456" s="1" t="s">
        <v>541</v>
      </c>
      <c r="Q1456" s="42">
        <v>0</v>
      </c>
      <c r="R1456" s="42">
        <v>100</v>
      </c>
      <c r="S1456" s="42">
        <v>0</v>
      </c>
      <c r="T1456" s="10">
        <f>IFERROR(ROUND((Q1456/R1456),2),"NA")</f>
        <v>0</v>
      </c>
      <c r="U1456">
        <f t="shared" si="22"/>
        <v>0</v>
      </c>
    </row>
    <row r="1457" spans="7:21" x14ac:dyDescent="0.2">
      <c r="G1457" s="9" t="s">
        <v>1650</v>
      </c>
      <c r="H1457">
        <v>0</v>
      </c>
      <c r="M1457" s="1" t="s">
        <v>1650</v>
      </c>
      <c r="N1457" s="1">
        <v>204</v>
      </c>
      <c r="P1457" s="1" t="s">
        <v>1650</v>
      </c>
      <c r="Q1457" s="42">
        <v>0</v>
      </c>
      <c r="R1457" s="42">
        <v>204</v>
      </c>
      <c r="S1457" s="42">
        <v>0.75</v>
      </c>
      <c r="T1457" s="10">
        <f>IFERROR(ROUND((Q1457/R1457),2),"NA")</f>
        <v>0</v>
      </c>
      <c r="U1457">
        <f t="shared" si="22"/>
        <v>0</v>
      </c>
    </row>
    <row r="1458" spans="7:21" x14ac:dyDescent="0.2">
      <c r="G1458" s="9" t="s">
        <v>991</v>
      </c>
      <c r="H1458">
        <v>170</v>
      </c>
      <c r="M1458" s="1" t="s">
        <v>991</v>
      </c>
      <c r="N1458" s="1">
        <v>24</v>
      </c>
      <c r="P1458" s="1" t="s">
        <v>991</v>
      </c>
      <c r="Q1458" s="42">
        <v>170</v>
      </c>
      <c r="R1458" s="42">
        <v>24</v>
      </c>
      <c r="S1458" s="42">
        <v>0.8</v>
      </c>
      <c r="T1458" s="10">
        <f>IFERROR(ROUND((Q1458/R1458),2),"NA")</f>
        <v>7.08</v>
      </c>
      <c r="U1458">
        <f t="shared" si="22"/>
        <v>136</v>
      </c>
    </row>
    <row r="1459" spans="7:21" x14ac:dyDescent="0.2">
      <c r="G1459" s="9" t="s">
        <v>1391</v>
      </c>
      <c r="H1459">
        <v>360</v>
      </c>
      <c r="M1459" s="1" t="s">
        <v>1391</v>
      </c>
      <c r="N1459" s="1">
        <v>138</v>
      </c>
      <c r="P1459" s="1" t="s">
        <v>1391</v>
      </c>
      <c r="Q1459" s="42">
        <v>360</v>
      </c>
      <c r="R1459" s="42">
        <v>138</v>
      </c>
      <c r="S1459" s="42">
        <v>0.11</v>
      </c>
      <c r="T1459" s="10">
        <f>IFERROR(ROUND((Q1459/R1459),2),"NA")</f>
        <v>2.61</v>
      </c>
      <c r="U1459">
        <f t="shared" si="22"/>
        <v>39.6</v>
      </c>
    </row>
    <row r="1460" spans="7:21" x14ac:dyDescent="0.2">
      <c r="G1460" s="9" t="s">
        <v>731</v>
      </c>
      <c r="H1460">
        <v>0</v>
      </c>
      <c r="M1460" s="1" t="s">
        <v>731</v>
      </c>
      <c r="N1460" s="1">
        <v>928</v>
      </c>
      <c r="P1460" s="1" t="s">
        <v>731</v>
      </c>
      <c r="Q1460" s="42">
        <v>0</v>
      </c>
      <c r="R1460" s="42">
        <v>928</v>
      </c>
      <c r="S1460" s="42">
        <v>0</v>
      </c>
      <c r="T1460" s="10">
        <f>IFERROR(ROUND((Q1460/R1460),2),"NA")</f>
        <v>0</v>
      </c>
      <c r="U1460">
        <f t="shared" si="22"/>
        <v>0</v>
      </c>
    </row>
    <row r="1461" spans="7:21" x14ac:dyDescent="0.2">
      <c r="G1461" s="9" t="s">
        <v>1103</v>
      </c>
      <c r="H1461">
        <v>70</v>
      </c>
      <c r="M1461" s="1" t="s">
        <v>1103</v>
      </c>
      <c r="N1461" s="1">
        <v>0</v>
      </c>
      <c r="P1461" s="1" t="s">
        <v>1103</v>
      </c>
      <c r="Q1461" s="42">
        <v>70</v>
      </c>
      <c r="R1461" s="42">
        <v>0</v>
      </c>
      <c r="S1461" s="42">
        <v>0.6</v>
      </c>
      <c r="T1461" s="10" t="str">
        <f>IFERROR(ROUND((Q1461/R1461),2),"NA")</f>
        <v>NA</v>
      </c>
      <c r="U1461">
        <f t="shared" si="22"/>
        <v>42</v>
      </c>
    </row>
    <row r="1462" spans="7:21" x14ac:dyDescent="0.2">
      <c r="G1462" s="9" t="s">
        <v>1370</v>
      </c>
      <c r="H1462">
        <v>180</v>
      </c>
      <c r="M1462" s="1" t="s">
        <v>1370</v>
      </c>
      <c r="N1462" s="1">
        <v>2200</v>
      </c>
      <c r="P1462" s="1" t="s">
        <v>1370</v>
      </c>
      <c r="Q1462" s="42">
        <v>180</v>
      </c>
      <c r="R1462" s="42">
        <v>2200</v>
      </c>
      <c r="S1462" s="42">
        <v>0.125</v>
      </c>
      <c r="T1462" s="10">
        <f>IFERROR(ROUND((Q1462/R1462),2),"NA")</f>
        <v>0.08</v>
      </c>
      <c r="U1462">
        <f t="shared" si="22"/>
        <v>22.5</v>
      </c>
    </row>
    <row r="1463" spans="7:21" x14ac:dyDescent="0.2">
      <c r="G1463" s="9" t="s">
        <v>2687</v>
      </c>
      <c r="H1463">
        <v>35</v>
      </c>
      <c r="M1463" s="1" t="s">
        <v>2687</v>
      </c>
      <c r="N1463" s="1">
        <v>80</v>
      </c>
      <c r="P1463" s="1" t="s">
        <v>2687</v>
      </c>
      <c r="Q1463" s="42">
        <v>35</v>
      </c>
      <c r="R1463" s="42">
        <v>80</v>
      </c>
      <c r="S1463" s="42">
        <v>0</v>
      </c>
      <c r="T1463" s="10">
        <f>IFERROR(ROUND((Q1463/R1463),2),"NA")</f>
        <v>0.44</v>
      </c>
      <c r="U1463">
        <f t="shared" si="22"/>
        <v>0</v>
      </c>
    </row>
    <row r="1464" spans="7:21" x14ac:dyDescent="0.2">
      <c r="G1464" s="9" t="s">
        <v>2606</v>
      </c>
      <c r="H1464">
        <v>285</v>
      </c>
      <c r="M1464" s="1" t="s">
        <v>2606</v>
      </c>
      <c r="N1464" s="1">
        <v>648</v>
      </c>
      <c r="P1464" s="1" t="s">
        <v>2606</v>
      </c>
      <c r="Q1464" s="42">
        <v>285</v>
      </c>
      <c r="R1464" s="42">
        <v>648</v>
      </c>
      <c r="S1464" s="42">
        <v>0.08</v>
      </c>
      <c r="T1464" s="10">
        <f>IFERROR(ROUND((Q1464/R1464),2),"NA")</f>
        <v>0.44</v>
      </c>
      <c r="U1464">
        <f t="shared" si="22"/>
        <v>22.8</v>
      </c>
    </row>
    <row r="1465" spans="7:21" x14ac:dyDescent="0.2">
      <c r="G1465" s="9" t="s">
        <v>20</v>
      </c>
      <c r="H1465">
        <v>30</v>
      </c>
      <c r="M1465" s="1" t="s">
        <v>20</v>
      </c>
      <c r="N1465" s="1">
        <v>651</v>
      </c>
      <c r="P1465" s="1" t="s">
        <v>20</v>
      </c>
      <c r="Q1465" s="42">
        <v>30</v>
      </c>
      <c r="R1465" s="42">
        <v>651</v>
      </c>
      <c r="S1465" s="42">
        <v>0.1</v>
      </c>
      <c r="T1465" s="10">
        <f>IFERROR(ROUND((Q1465/R1465),2),"NA")</f>
        <v>0.05</v>
      </c>
      <c r="U1465">
        <f t="shared" si="22"/>
        <v>3</v>
      </c>
    </row>
    <row r="1466" spans="7:21" x14ac:dyDescent="0.2">
      <c r="G1466" s="9" t="s">
        <v>594</v>
      </c>
      <c r="H1466">
        <v>0</v>
      </c>
      <c r="M1466" s="1" t="s">
        <v>594</v>
      </c>
      <c r="N1466" s="1">
        <v>0</v>
      </c>
      <c r="P1466" s="1" t="s">
        <v>594</v>
      </c>
      <c r="Q1466" s="42">
        <v>0</v>
      </c>
      <c r="R1466" s="42">
        <v>0</v>
      </c>
      <c r="S1466" s="42">
        <v>0</v>
      </c>
      <c r="T1466" s="10" t="str">
        <f>IFERROR(ROUND((Q1466/R1466),2),"NA")</f>
        <v>NA</v>
      </c>
      <c r="U1466">
        <f t="shared" si="22"/>
        <v>0</v>
      </c>
    </row>
    <row r="1467" spans="7:21" x14ac:dyDescent="0.2">
      <c r="G1467" s="9" t="s">
        <v>1747</v>
      </c>
      <c r="H1467">
        <v>0</v>
      </c>
      <c r="M1467" s="1" t="s">
        <v>1747</v>
      </c>
      <c r="N1467" s="1">
        <v>630</v>
      </c>
      <c r="P1467" s="1" t="s">
        <v>1747</v>
      </c>
      <c r="Q1467" s="42">
        <v>0</v>
      </c>
      <c r="R1467" s="42">
        <v>630</v>
      </c>
      <c r="S1467" s="42">
        <v>0</v>
      </c>
      <c r="T1467" s="10">
        <f>IFERROR(ROUND((Q1467/R1467),2),"NA")</f>
        <v>0</v>
      </c>
      <c r="U1467">
        <f t="shared" si="22"/>
        <v>0</v>
      </c>
    </row>
    <row r="1468" spans="7:21" x14ac:dyDescent="0.2">
      <c r="G1468" s="9" t="s">
        <v>2852</v>
      </c>
      <c r="H1468">
        <v>28</v>
      </c>
      <c r="M1468" s="1" t="s">
        <v>2852</v>
      </c>
      <c r="N1468" s="1">
        <v>0</v>
      </c>
      <c r="P1468" s="1" t="s">
        <v>2852</v>
      </c>
      <c r="Q1468" s="42">
        <v>28</v>
      </c>
      <c r="R1468" s="42">
        <v>0</v>
      </c>
      <c r="S1468" s="42">
        <v>0.37</v>
      </c>
      <c r="T1468" s="10" t="str">
        <f>IFERROR(ROUND((Q1468/R1468),2),"NA")</f>
        <v>NA</v>
      </c>
      <c r="U1468">
        <f t="shared" si="22"/>
        <v>10.36</v>
      </c>
    </row>
    <row r="1469" spans="7:21" x14ac:dyDescent="0.2">
      <c r="G1469" s="9" t="s">
        <v>1288</v>
      </c>
      <c r="H1469">
        <v>40</v>
      </c>
      <c r="M1469" s="1" t="s">
        <v>1288</v>
      </c>
      <c r="N1469" s="1">
        <v>0</v>
      </c>
      <c r="P1469" s="1" t="s">
        <v>1288</v>
      </c>
      <c r="Q1469" s="42">
        <v>40</v>
      </c>
      <c r="R1469" s="42">
        <v>0</v>
      </c>
      <c r="S1469" s="42">
        <v>0.14000000000000001</v>
      </c>
      <c r="T1469" s="10" t="str">
        <f>IFERROR(ROUND((Q1469/R1469),2),"NA")</f>
        <v>NA</v>
      </c>
      <c r="U1469">
        <f t="shared" si="22"/>
        <v>5.6000000000000005</v>
      </c>
    </row>
    <row r="1470" spans="7:21" x14ac:dyDescent="0.2">
      <c r="G1470" s="9" t="s">
        <v>454</v>
      </c>
      <c r="H1470">
        <v>0</v>
      </c>
      <c r="M1470" s="1" t="s">
        <v>454</v>
      </c>
      <c r="N1470" s="1">
        <v>182</v>
      </c>
      <c r="P1470" s="1" t="s">
        <v>454</v>
      </c>
      <c r="Q1470" s="42">
        <v>0</v>
      </c>
      <c r="R1470" s="42">
        <v>182</v>
      </c>
      <c r="S1470" s="42">
        <v>0</v>
      </c>
      <c r="T1470" s="10">
        <f>IFERROR(ROUND((Q1470/R1470),2),"NA")</f>
        <v>0</v>
      </c>
      <c r="U1470">
        <f t="shared" si="22"/>
        <v>0</v>
      </c>
    </row>
    <row r="1471" spans="7:21" x14ac:dyDescent="0.2">
      <c r="G1471" s="9" t="s">
        <v>1075</v>
      </c>
      <c r="H1471">
        <v>100</v>
      </c>
      <c r="M1471" s="1" t="s">
        <v>1075</v>
      </c>
      <c r="N1471" s="1">
        <v>300</v>
      </c>
      <c r="P1471" s="1" t="s">
        <v>1075</v>
      </c>
      <c r="Q1471" s="42">
        <v>100</v>
      </c>
      <c r="R1471" s="42">
        <v>300</v>
      </c>
      <c r="S1471" s="42">
        <v>0.15</v>
      </c>
      <c r="T1471" s="10">
        <f>IFERROR(ROUND((Q1471/R1471),2),"NA")</f>
        <v>0.33</v>
      </c>
      <c r="U1471">
        <f t="shared" si="22"/>
        <v>15</v>
      </c>
    </row>
    <row r="1472" spans="7:21" x14ac:dyDescent="0.2">
      <c r="G1472" s="9" t="s">
        <v>2262</v>
      </c>
      <c r="H1472">
        <v>0</v>
      </c>
      <c r="M1472" s="1" t="s">
        <v>2262</v>
      </c>
      <c r="N1472" s="1">
        <v>344</v>
      </c>
      <c r="P1472" s="1" t="s">
        <v>2262</v>
      </c>
      <c r="Q1472" s="42">
        <v>0</v>
      </c>
      <c r="R1472" s="42">
        <v>344</v>
      </c>
      <c r="S1472" s="42">
        <v>0</v>
      </c>
      <c r="T1472" s="10">
        <f>IFERROR(ROUND((Q1472/R1472),2),"NA")</f>
        <v>0</v>
      </c>
      <c r="U1472">
        <f t="shared" si="22"/>
        <v>0</v>
      </c>
    </row>
    <row r="1473" spans="7:21" x14ac:dyDescent="0.2">
      <c r="G1473" s="9" t="s">
        <v>2734</v>
      </c>
      <c r="H1473">
        <v>0</v>
      </c>
      <c r="M1473" s="1" t="s">
        <v>2734</v>
      </c>
      <c r="N1473" s="1">
        <v>126</v>
      </c>
      <c r="P1473" s="1" t="s">
        <v>2734</v>
      </c>
      <c r="Q1473" s="42">
        <v>0</v>
      </c>
      <c r="R1473" s="42">
        <v>126</v>
      </c>
      <c r="S1473" s="42">
        <v>1</v>
      </c>
      <c r="T1473" s="10">
        <f>IFERROR(ROUND((Q1473/R1473),2),"NA")</f>
        <v>0</v>
      </c>
      <c r="U1473">
        <f t="shared" si="22"/>
        <v>0</v>
      </c>
    </row>
    <row r="1474" spans="7:21" x14ac:dyDescent="0.2">
      <c r="G1474" s="9" t="s">
        <v>91</v>
      </c>
      <c r="H1474">
        <v>550</v>
      </c>
      <c r="M1474" s="1" t="s">
        <v>91</v>
      </c>
      <c r="N1474" s="1">
        <v>0</v>
      </c>
      <c r="P1474" s="1" t="s">
        <v>91</v>
      </c>
      <c r="Q1474" s="42">
        <v>550</v>
      </c>
      <c r="R1474" s="42">
        <v>0</v>
      </c>
      <c r="S1474" s="42">
        <v>0.22500000000000001</v>
      </c>
      <c r="T1474" s="10" t="str">
        <f>IFERROR(ROUND((Q1474/R1474),2),"NA")</f>
        <v>NA</v>
      </c>
      <c r="U1474">
        <f t="shared" si="22"/>
        <v>123.75</v>
      </c>
    </row>
    <row r="1475" spans="7:21" x14ac:dyDescent="0.2">
      <c r="G1475" s="9" t="s">
        <v>925</v>
      </c>
      <c r="H1475">
        <v>237</v>
      </c>
      <c r="M1475" s="1" t="s">
        <v>925</v>
      </c>
      <c r="N1475" s="1">
        <v>1134</v>
      </c>
      <c r="P1475" s="1" t="s">
        <v>925</v>
      </c>
      <c r="Q1475" s="42">
        <v>237</v>
      </c>
      <c r="R1475" s="42">
        <v>1134</v>
      </c>
      <c r="S1475" s="42">
        <v>5.5E-2</v>
      </c>
      <c r="T1475" s="10">
        <f>IFERROR(ROUND((Q1475/R1475),2),"NA")</f>
        <v>0.21</v>
      </c>
      <c r="U1475">
        <f t="shared" si="22"/>
        <v>13.035</v>
      </c>
    </row>
    <row r="1476" spans="7:21" x14ac:dyDescent="0.2">
      <c r="G1476" s="9" t="s">
        <v>1819</v>
      </c>
      <c r="H1476">
        <v>151</v>
      </c>
      <c r="M1476" s="1" t="s">
        <v>1819</v>
      </c>
      <c r="N1476" s="1">
        <v>12</v>
      </c>
      <c r="P1476" s="1" t="s">
        <v>1819</v>
      </c>
      <c r="Q1476" s="42">
        <v>151</v>
      </c>
      <c r="R1476" s="42">
        <v>12</v>
      </c>
      <c r="S1476" s="42">
        <v>0.25</v>
      </c>
      <c r="T1476" s="10">
        <f>IFERROR(ROUND((Q1476/R1476),2),"NA")</f>
        <v>12.58</v>
      </c>
      <c r="U1476">
        <f t="shared" si="22"/>
        <v>37.75</v>
      </c>
    </row>
    <row r="1477" spans="7:21" x14ac:dyDescent="0.2">
      <c r="G1477" s="9" t="s">
        <v>300</v>
      </c>
      <c r="H1477">
        <v>310</v>
      </c>
      <c r="M1477" s="1" t="s">
        <v>300</v>
      </c>
      <c r="N1477" s="1">
        <v>4.5999999999999996</v>
      </c>
      <c r="P1477" s="1" t="s">
        <v>300</v>
      </c>
      <c r="Q1477" s="42">
        <v>310</v>
      </c>
      <c r="R1477" s="42">
        <v>4.5999999999999996</v>
      </c>
      <c r="S1477" s="42">
        <v>0.15</v>
      </c>
      <c r="T1477" s="10">
        <f>IFERROR(ROUND((Q1477/R1477),2),"NA")</f>
        <v>67.39</v>
      </c>
      <c r="U1477">
        <f t="shared" ref="U1477:U1540" si="23">Q1477*S1477</f>
        <v>46.5</v>
      </c>
    </row>
    <row r="1478" spans="7:21" x14ac:dyDescent="0.2">
      <c r="G1478" s="9" t="s">
        <v>746</v>
      </c>
      <c r="H1478">
        <v>150</v>
      </c>
      <c r="M1478" s="1" t="s">
        <v>746</v>
      </c>
      <c r="N1478" s="1">
        <v>90</v>
      </c>
      <c r="P1478" s="1" t="s">
        <v>746</v>
      </c>
      <c r="Q1478" s="42">
        <v>150</v>
      </c>
      <c r="R1478" s="42">
        <v>90</v>
      </c>
      <c r="S1478" s="42">
        <v>0</v>
      </c>
      <c r="T1478" s="10">
        <f>IFERROR(ROUND((Q1478/R1478),2),"NA")</f>
        <v>1.67</v>
      </c>
      <c r="U1478">
        <f t="shared" si="23"/>
        <v>0</v>
      </c>
    </row>
    <row r="1479" spans="7:21" x14ac:dyDescent="0.2">
      <c r="G1479" s="9" t="s">
        <v>820</v>
      </c>
      <c r="H1479">
        <v>350</v>
      </c>
      <c r="M1479" s="1" t="s">
        <v>820</v>
      </c>
      <c r="N1479" s="1">
        <v>375</v>
      </c>
      <c r="P1479" s="1" t="s">
        <v>820</v>
      </c>
      <c r="Q1479" s="42">
        <v>350</v>
      </c>
      <c r="R1479" s="42">
        <v>375</v>
      </c>
      <c r="S1479" s="42">
        <v>0</v>
      </c>
      <c r="T1479" s="10">
        <f>IFERROR(ROUND((Q1479/R1479),2),"NA")</f>
        <v>0.93</v>
      </c>
      <c r="U1479">
        <f t="shared" si="23"/>
        <v>0</v>
      </c>
    </row>
    <row r="1480" spans="7:21" x14ac:dyDescent="0.2">
      <c r="G1480" s="9" t="s">
        <v>1258</v>
      </c>
      <c r="H1480">
        <v>40</v>
      </c>
      <c r="M1480" s="1" t="s">
        <v>1258</v>
      </c>
      <c r="N1480" s="1">
        <v>101</v>
      </c>
      <c r="P1480" s="1" t="s">
        <v>1258</v>
      </c>
      <c r="Q1480" s="42">
        <v>40</v>
      </c>
      <c r="R1480" s="42">
        <v>101</v>
      </c>
      <c r="S1480" s="42">
        <v>0</v>
      </c>
      <c r="T1480" s="10">
        <f>IFERROR(ROUND((Q1480/R1480),2),"NA")</f>
        <v>0.4</v>
      </c>
      <c r="U1480">
        <f t="shared" si="23"/>
        <v>0</v>
      </c>
    </row>
    <row r="1481" spans="7:21" x14ac:dyDescent="0.2">
      <c r="G1481" s="9" t="s">
        <v>2106</v>
      </c>
      <c r="H1481">
        <v>0</v>
      </c>
      <c r="M1481" s="1" t="s">
        <v>2106</v>
      </c>
      <c r="N1481" s="1">
        <v>73</v>
      </c>
      <c r="P1481" s="1" t="s">
        <v>2106</v>
      </c>
      <c r="Q1481" s="42">
        <v>0</v>
      </c>
      <c r="R1481" s="42">
        <v>73</v>
      </c>
      <c r="S1481" s="42">
        <v>0.17</v>
      </c>
      <c r="T1481" s="10">
        <f>IFERROR(ROUND((Q1481/R1481),2),"NA")</f>
        <v>0</v>
      </c>
      <c r="U1481">
        <f t="shared" si="23"/>
        <v>0</v>
      </c>
    </row>
    <row r="1482" spans="7:21" x14ac:dyDescent="0.2">
      <c r="G1482" s="9" t="s">
        <v>1541</v>
      </c>
      <c r="H1482">
        <v>0</v>
      </c>
      <c r="M1482" s="1" t="s">
        <v>1541</v>
      </c>
      <c r="N1482" s="1">
        <v>13</v>
      </c>
      <c r="P1482" s="1" t="s">
        <v>1541</v>
      </c>
      <c r="Q1482" s="42">
        <v>0</v>
      </c>
      <c r="R1482" s="42">
        <v>13</v>
      </c>
      <c r="S1482" s="42">
        <v>0</v>
      </c>
      <c r="T1482" s="10">
        <f>IFERROR(ROUND((Q1482/R1482),2),"NA")</f>
        <v>0</v>
      </c>
      <c r="U1482">
        <f t="shared" si="23"/>
        <v>0</v>
      </c>
    </row>
    <row r="1483" spans="7:21" x14ac:dyDescent="0.2">
      <c r="G1483" s="9" t="s">
        <v>545</v>
      </c>
      <c r="H1483">
        <v>0</v>
      </c>
      <c r="M1483" s="1" t="s">
        <v>545</v>
      </c>
      <c r="N1483" s="1">
        <v>828</v>
      </c>
      <c r="P1483" s="1" t="s">
        <v>545</v>
      </c>
      <c r="Q1483" s="42">
        <v>0</v>
      </c>
      <c r="R1483" s="42">
        <v>828</v>
      </c>
      <c r="S1483" s="42">
        <v>0.05</v>
      </c>
      <c r="T1483" s="10">
        <f>IFERROR(ROUND((Q1483/R1483),2),"NA")</f>
        <v>0</v>
      </c>
      <c r="U1483">
        <f t="shared" si="23"/>
        <v>0</v>
      </c>
    </row>
    <row r="1484" spans="7:21" x14ac:dyDescent="0.2">
      <c r="G1484" s="9" t="s">
        <v>1814</v>
      </c>
      <c r="H1484">
        <v>0</v>
      </c>
      <c r="M1484" s="1" t="s">
        <v>1814</v>
      </c>
      <c r="N1484" s="1">
        <v>20</v>
      </c>
      <c r="P1484" s="1" t="s">
        <v>1814</v>
      </c>
      <c r="Q1484" s="42">
        <v>0</v>
      </c>
      <c r="R1484" s="42">
        <v>20</v>
      </c>
      <c r="S1484" s="42">
        <v>1</v>
      </c>
      <c r="T1484" s="10">
        <f>IFERROR(ROUND((Q1484/R1484),2),"NA")</f>
        <v>0</v>
      </c>
      <c r="U1484">
        <f t="shared" si="23"/>
        <v>0</v>
      </c>
    </row>
    <row r="1485" spans="7:21" x14ac:dyDescent="0.2">
      <c r="G1485" s="9" t="s">
        <v>1040</v>
      </c>
      <c r="H1485">
        <v>260</v>
      </c>
      <c r="M1485" s="1" t="s">
        <v>1040</v>
      </c>
      <c r="N1485" s="1">
        <v>576</v>
      </c>
      <c r="P1485" s="1" t="s">
        <v>1040</v>
      </c>
      <c r="Q1485" s="42">
        <v>260</v>
      </c>
      <c r="R1485" s="42">
        <v>576</v>
      </c>
      <c r="S1485" s="42">
        <v>0.1</v>
      </c>
      <c r="T1485" s="10">
        <f>IFERROR(ROUND((Q1485/R1485),2),"NA")</f>
        <v>0.45</v>
      </c>
      <c r="U1485">
        <f t="shared" si="23"/>
        <v>26</v>
      </c>
    </row>
    <row r="1486" spans="7:21" x14ac:dyDescent="0.2">
      <c r="G1486" s="9" t="s">
        <v>984</v>
      </c>
      <c r="H1486">
        <v>0</v>
      </c>
      <c r="M1486" s="1" t="s">
        <v>984</v>
      </c>
      <c r="N1486" s="1">
        <v>69</v>
      </c>
      <c r="P1486" s="1" t="s">
        <v>984</v>
      </c>
      <c r="Q1486" s="42">
        <v>0</v>
      </c>
      <c r="R1486" s="42">
        <v>69</v>
      </c>
      <c r="S1486" s="42">
        <v>0.3</v>
      </c>
      <c r="T1486" s="10">
        <f>IFERROR(ROUND((Q1486/R1486),2),"NA")</f>
        <v>0</v>
      </c>
      <c r="U1486">
        <f t="shared" si="23"/>
        <v>0</v>
      </c>
    </row>
    <row r="1487" spans="7:21" x14ac:dyDescent="0.2">
      <c r="G1487" s="9" t="s">
        <v>331</v>
      </c>
      <c r="H1487">
        <v>0</v>
      </c>
      <c r="M1487" s="1" t="s">
        <v>331</v>
      </c>
      <c r="N1487" s="1">
        <v>4</v>
      </c>
      <c r="P1487" s="1" t="s">
        <v>331</v>
      </c>
      <c r="Q1487" s="42">
        <v>0</v>
      </c>
      <c r="R1487" s="42">
        <v>4</v>
      </c>
      <c r="S1487" s="42">
        <v>1</v>
      </c>
      <c r="T1487" s="10">
        <f>IFERROR(ROUND((Q1487/R1487),2),"NA")</f>
        <v>0</v>
      </c>
      <c r="U1487">
        <f t="shared" si="23"/>
        <v>0</v>
      </c>
    </row>
    <row r="1488" spans="7:21" x14ac:dyDescent="0.2">
      <c r="G1488" s="9" t="s">
        <v>1050</v>
      </c>
      <c r="H1488">
        <v>80</v>
      </c>
      <c r="M1488" s="1" t="s">
        <v>1050</v>
      </c>
      <c r="N1488" s="1">
        <v>346</v>
      </c>
      <c r="P1488" s="1" t="s">
        <v>1050</v>
      </c>
      <c r="Q1488" s="42">
        <v>80</v>
      </c>
      <c r="R1488" s="42">
        <v>346</v>
      </c>
      <c r="S1488" s="42">
        <v>0.25</v>
      </c>
      <c r="T1488" s="10">
        <f>IFERROR(ROUND((Q1488/R1488),2),"NA")</f>
        <v>0.23</v>
      </c>
      <c r="U1488">
        <f t="shared" si="23"/>
        <v>20</v>
      </c>
    </row>
    <row r="1489" spans="7:21" x14ac:dyDescent="0.2">
      <c r="G1489" s="9" t="s">
        <v>374</v>
      </c>
      <c r="H1489">
        <v>12</v>
      </c>
      <c r="M1489" s="1" t="s">
        <v>374</v>
      </c>
      <c r="N1489" s="1">
        <v>27</v>
      </c>
      <c r="P1489" s="1" t="s">
        <v>374</v>
      </c>
      <c r="Q1489" s="42">
        <v>12</v>
      </c>
      <c r="R1489" s="42">
        <v>27</v>
      </c>
      <c r="S1489" s="42">
        <v>0.3</v>
      </c>
      <c r="T1489" s="10">
        <f>IFERROR(ROUND((Q1489/R1489),2),"NA")</f>
        <v>0.44</v>
      </c>
      <c r="U1489">
        <f t="shared" si="23"/>
        <v>3.5999999999999996</v>
      </c>
    </row>
    <row r="1490" spans="7:21" x14ac:dyDescent="0.2">
      <c r="G1490" s="9" t="s">
        <v>1987</v>
      </c>
      <c r="H1490">
        <v>200</v>
      </c>
      <c r="M1490" s="1" t="s">
        <v>1987</v>
      </c>
      <c r="N1490" s="1">
        <v>450</v>
      </c>
      <c r="P1490" s="1" t="s">
        <v>1987</v>
      </c>
      <c r="Q1490" s="42">
        <v>200</v>
      </c>
      <c r="R1490" s="42">
        <v>450</v>
      </c>
      <c r="S1490" s="42">
        <v>0</v>
      </c>
      <c r="T1490" s="10">
        <f>IFERROR(ROUND((Q1490/R1490),2),"NA")</f>
        <v>0.44</v>
      </c>
      <c r="U1490">
        <f t="shared" si="23"/>
        <v>0</v>
      </c>
    </row>
    <row r="1491" spans="7:21" x14ac:dyDescent="0.2">
      <c r="G1491" s="9" t="s">
        <v>1356</v>
      </c>
      <c r="H1491">
        <v>200</v>
      </c>
      <c r="M1491" s="1" t="s">
        <v>1356</v>
      </c>
      <c r="N1491" s="1">
        <v>79</v>
      </c>
      <c r="P1491" s="1" t="s">
        <v>1356</v>
      </c>
      <c r="Q1491" s="42">
        <v>200</v>
      </c>
      <c r="R1491" s="42">
        <v>79</v>
      </c>
      <c r="S1491" s="42">
        <v>0.3</v>
      </c>
      <c r="T1491" s="10">
        <f>IFERROR(ROUND((Q1491/R1491),2),"NA")</f>
        <v>2.5299999999999998</v>
      </c>
      <c r="U1491">
        <f t="shared" si="23"/>
        <v>60</v>
      </c>
    </row>
    <row r="1492" spans="7:21" x14ac:dyDescent="0.2">
      <c r="G1492" s="9" t="s">
        <v>871</v>
      </c>
      <c r="H1492">
        <v>50</v>
      </c>
      <c r="M1492" s="1" t="s">
        <v>871</v>
      </c>
      <c r="N1492" s="1">
        <v>516</v>
      </c>
      <c r="P1492" s="1" t="s">
        <v>871</v>
      </c>
      <c r="Q1492" s="42">
        <v>50</v>
      </c>
      <c r="R1492" s="42">
        <v>516</v>
      </c>
      <c r="S1492" s="42">
        <v>0</v>
      </c>
      <c r="T1492" s="10">
        <f>IFERROR(ROUND((Q1492/R1492),2),"NA")</f>
        <v>0.1</v>
      </c>
      <c r="U1492">
        <f t="shared" si="23"/>
        <v>0</v>
      </c>
    </row>
    <row r="1493" spans="7:21" x14ac:dyDescent="0.2">
      <c r="G1493" s="9" t="s">
        <v>1921</v>
      </c>
      <c r="H1493">
        <v>0</v>
      </c>
      <c r="M1493" s="1" t="s">
        <v>1921</v>
      </c>
      <c r="N1493" s="1">
        <v>260</v>
      </c>
      <c r="P1493" s="1" t="s">
        <v>1921</v>
      </c>
      <c r="Q1493" s="42">
        <v>0</v>
      </c>
      <c r="R1493" s="42">
        <v>260</v>
      </c>
      <c r="S1493" s="42">
        <v>0.1</v>
      </c>
      <c r="T1493" s="10">
        <f>IFERROR(ROUND((Q1493/R1493),2),"NA")</f>
        <v>0</v>
      </c>
      <c r="U1493">
        <f t="shared" si="23"/>
        <v>0</v>
      </c>
    </row>
    <row r="1494" spans="7:21" x14ac:dyDescent="0.2">
      <c r="G1494" s="9" t="s">
        <v>1719</v>
      </c>
      <c r="H1494">
        <v>0</v>
      </c>
      <c r="M1494" s="1" t="s">
        <v>1719</v>
      </c>
      <c r="N1494" s="1">
        <v>225</v>
      </c>
      <c r="P1494" s="1" t="s">
        <v>1719</v>
      </c>
      <c r="Q1494" s="42">
        <v>0</v>
      </c>
      <c r="R1494" s="42">
        <v>225</v>
      </c>
      <c r="S1494" s="42">
        <v>0</v>
      </c>
      <c r="T1494" s="10">
        <f>IFERROR(ROUND((Q1494/R1494),2),"NA")</f>
        <v>0</v>
      </c>
      <c r="U1494">
        <f t="shared" si="23"/>
        <v>0</v>
      </c>
    </row>
    <row r="1495" spans="7:21" x14ac:dyDescent="0.2">
      <c r="G1495" s="9" t="s">
        <v>689</v>
      </c>
      <c r="H1495">
        <v>94</v>
      </c>
      <c r="M1495" s="1" t="s">
        <v>689</v>
      </c>
      <c r="N1495" s="1">
        <v>4182</v>
      </c>
      <c r="P1495" s="1" t="s">
        <v>689</v>
      </c>
      <c r="Q1495" s="42">
        <v>94</v>
      </c>
      <c r="R1495" s="42">
        <v>4182</v>
      </c>
      <c r="S1495" s="42">
        <v>2.5000000000000001E-2</v>
      </c>
      <c r="T1495" s="10">
        <f>IFERROR(ROUND((Q1495/R1495),2),"NA")</f>
        <v>0.02</v>
      </c>
      <c r="U1495">
        <f t="shared" si="23"/>
        <v>2.35</v>
      </c>
    </row>
    <row r="1496" spans="7:21" x14ac:dyDescent="0.2">
      <c r="G1496" s="9" t="s">
        <v>2683</v>
      </c>
      <c r="H1496">
        <v>110</v>
      </c>
      <c r="M1496" s="1" t="s">
        <v>2683</v>
      </c>
      <c r="N1496" s="1">
        <v>217</v>
      </c>
      <c r="P1496" s="1" t="s">
        <v>2683</v>
      </c>
      <c r="Q1496" s="42">
        <v>110</v>
      </c>
      <c r="R1496" s="42">
        <v>217</v>
      </c>
      <c r="S1496" s="42">
        <v>0.4</v>
      </c>
      <c r="T1496" s="10">
        <f>IFERROR(ROUND((Q1496/R1496),2),"NA")</f>
        <v>0.51</v>
      </c>
      <c r="U1496">
        <f t="shared" si="23"/>
        <v>44</v>
      </c>
    </row>
    <row r="1497" spans="7:21" x14ac:dyDescent="0.2">
      <c r="G1497" s="9" t="s">
        <v>1519</v>
      </c>
      <c r="H1497">
        <v>45</v>
      </c>
      <c r="M1497" s="1" t="s">
        <v>1519</v>
      </c>
      <c r="N1497" s="1">
        <v>138</v>
      </c>
      <c r="P1497" s="1" t="s">
        <v>1519</v>
      </c>
      <c r="Q1497" s="42">
        <v>45</v>
      </c>
      <c r="R1497" s="42">
        <v>138</v>
      </c>
      <c r="S1497" s="42">
        <v>0.15</v>
      </c>
      <c r="T1497" s="10">
        <f>IFERROR(ROUND((Q1497/R1497),2),"NA")</f>
        <v>0.33</v>
      </c>
      <c r="U1497">
        <f t="shared" si="23"/>
        <v>6.75</v>
      </c>
    </row>
    <row r="1498" spans="7:21" x14ac:dyDescent="0.2">
      <c r="G1498" s="9" t="s">
        <v>1909</v>
      </c>
      <c r="H1498">
        <v>0</v>
      </c>
      <c r="M1498" s="1" t="s">
        <v>1909</v>
      </c>
      <c r="N1498" s="1">
        <v>731</v>
      </c>
      <c r="P1498" s="1" t="s">
        <v>1909</v>
      </c>
      <c r="Q1498" s="42">
        <v>0</v>
      </c>
      <c r="R1498" s="42">
        <v>731</v>
      </c>
      <c r="S1498" s="42">
        <v>0.1</v>
      </c>
      <c r="T1498" s="10">
        <f>IFERROR(ROUND((Q1498/R1498),2),"NA")</f>
        <v>0</v>
      </c>
      <c r="U1498">
        <f t="shared" si="23"/>
        <v>0</v>
      </c>
    </row>
    <row r="1499" spans="7:21" x14ac:dyDescent="0.2">
      <c r="G1499" s="9" t="s">
        <v>468</v>
      </c>
      <c r="H1499">
        <v>50</v>
      </c>
      <c r="M1499" s="1" t="s">
        <v>468</v>
      </c>
      <c r="N1499" s="1">
        <v>826</v>
      </c>
      <c r="P1499" s="1" t="s">
        <v>468</v>
      </c>
      <c r="Q1499" s="42">
        <v>50</v>
      </c>
      <c r="R1499" s="42">
        <v>826</v>
      </c>
      <c r="S1499" s="42">
        <v>0.09</v>
      </c>
      <c r="T1499" s="10">
        <f>IFERROR(ROUND((Q1499/R1499),2),"NA")</f>
        <v>0.06</v>
      </c>
      <c r="U1499">
        <f t="shared" si="23"/>
        <v>4.5</v>
      </c>
    </row>
    <row r="1500" spans="7:21" x14ac:dyDescent="0.2">
      <c r="G1500" s="9" t="s">
        <v>1054</v>
      </c>
      <c r="H1500">
        <v>0</v>
      </c>
      <c r="M1500" s="1" t="s">
        <v>1054</v>
      </c>
      <c r="N1500" s="1">
        <v>88</v>
      </c>
      <c r="P1500" s="1" t="s">
        <v>1054</v>
      </c>
      <c r="Q1500" s="42">
        <v>0</v>
      </c>
      <c r="R1500" s="42">
        <v>88</v>
      </c>
      <c r="S1500" s="42">
        <v>0</v>
      </c>
      <c r="T1500" s="10">
        <f>IFERROR(ROUND((Q1500/R1500),2),"NA")</f>
        <v>0</v>
      </c>
      <c r="U1500">
        <f t="shared" si="23"/>
        <v>0</v>
      </c>
    </row>
    <row r="1501" spans="7:21" x14ac:dyDescent="0.2">
      <c r="G1501" s="9" t="s">
        <v>1490</v>
      </c>
      <c r="H1501">
        <v>60</v>
      </c>
      <c r="M1501" s="1" t="s">
        <v>1490</v>
      </c>
      <c r="N1501" s="1">
        <v>141</v>
      </c>
      <c r="P1501" s="1" t="s">
        <v>1490</v>
      </c>
      <c r="Q1501" s="42">
        <v>60</v>
      </c>
      <c r="R1501" s="42">
        <v>141</v>
      </c>
      <c r="S1501" s="42">
        <v>0.2</v>
      </c>
      <c r="T1501" s="10">
        <f>IFERROR(ROUND((Q1501/R1501),2),"NA")</f>
        <v>0.43</v>
      </c>
      <c r="U1501">
        <f t="shared" si="23"/>
        <v>12</v>
      </c>
    </row>
    <row r="1502" spans="7:21" x14ac:dyDescent="0.2">
      <c r="G1502" s="9" t="s">
        <v>1822</v>
      </c>
      <c r="H1502">
        <v>0</v>
      </c>
      <c r="M1502" s="1" t="s">
        <v>1822</v>
      </c>
      <c r="N1502" s="1">
        <v>809</v>
      </c>
      <c r="P1502" s="1" t="s">
        <v>1822</v>
      </c>
      <c r="Q1502" s="42">
        <v>0</v>
      </c>
      <c r="R1502" s="42">
        <v>809</v>
      </c>
      <c r="S1502" s="42">
        <v>0</v>
      </c>
      <c r="T1502" s="10">
        <f>IFERROR(ROUND((Q1502/R1502),2),"NA")</f>
        <v>0</v>
      </c>
      <c r="U1502">
        <f t="shared" si="23"/>
        <v>0</v>
      </c>
    </row>
    <row r="1503" spans="7:21" x14ac:dyDescent="0.2">
      <c r="G1503" s="9" t="s">
        <v>1462</v>
      </c>
      <c r="H1503">
        <v>0</v>
      </c>
      <c r="M1503" s="1" t="s">
        <v>1462</v>
      </c>
      <c r="N1503" s="1">
        <v>0</v>
      </c>
      <c r="P1503" s="1" t="s">
        <v>1462</v>
      </c>
      <c r="Q1503" s="42">
        <v>0</v>
      </c>
      <c r="R1503" s="42">
        <v>0</v>
      </c>
      <c r="S1503" s="42">
        <v>0.04</v>
      </c>
      <c r="T1503" s="10" t="str">
        <f>IFERROR(ROUND((Q1503/R1503),2),"NA")</f>
        <v>NA</v>
      </c>
      <c r="U1503">
        <f t="shared" si="23"/>
        <v>0</v>
      </c>
    </row>
    <row r="1504" spans="7:21" x14ac:dyDescent="0.2">
      <c r="G1504" s="9" t="s">
        <v>2916</v>
      </c>
      <c r="H1504">
        <v>0</v>
      </c>
      <c r="M1504" s="1" t="s">
        <v>2916</v>
      </c>
      <c r="N1504" s="1">
        <v>35</v>
      </c>
      <c r="P1504" s="1" t="s">
        <v>2916</v>
      </c>
      <c r="Q1504" s="42">
        <v>0</v>
      </c>
      <c r="R1504" s="42">
        <v>35</v>
      </c>
      <c r="S1504" s="42">
        <v>0.4</v>
      </c>
      <c r="T1504" s="10">
        <f>IFERROR(ROUND((Q1504/R1504),2),"NA")</f>
        <v>0</v>
      </c>
      <c r="U1504">
        <f t="shared" si="23"/>
        <v>0</v>
      </c>
    </row>
    <row r="1505" spans="7:21" x14ac:dyDescent="0.2">
      <c r="G1505" s="9" t="s">
        <v>2800</v>
      </c>
      <c r="H1505">
        <v>30</v>
      </c>
      <c r="M1505" s="1" t="s">
        <v>2800</v>
      </c>
      <c r="N1505" s="1">
        <v>99</v>
      </c>
      <c r="P1505" s="1" t="s">
        <v>2800</v>
      </c>
      <c r="Q1505" s="42">
        <v>30</v>
      </c>
      <c r="R1505" s="42">
        <v>99</v>
      </c>
      <c r="S1505" s="42">
        <v>0</v>
      </c>
      <c r="T1505" s="10">
        <f>IFERROR(ROUND((Q1505/R1505),2),"NA")</f>
        <v>0.3</v>
      </c>
      <c r="U1505">
        <f t="shared" si="23"/>
        <v>0</v>
      </c>
    </row>
    <row r="1506" spans="7:21" x14ac:dyDescent="0.2">
      <c r="G1506" s="9" t="s">
        <v>520</v>
      </c>
      <c r="H1506">
        <v>290</v>
      </c>
      <c r="M1506" s="1" t="s">
        <v>520</v>
      </c>
      <c r="N1506" s="1">
        <v>4400</v>
      </c>
      <c r="P1506" s="1" t="s">
        <v>520</v>
      </c>
      <c r="Q1506" s="42">
        <v>290</v>
      </c>
      <c r="R1506" s="42">
        <v>4400</v>
      </c>
      <c r="S1506" s="42">
        <v>0.05</v>
      </c>
      <c r="T1506" s="10">
        <f>IFERROR(ROUND((Q1506/R1506),2),"NA")</f>
        <v>7.0000000000000007E-2</v>
      </c>
      <c r="U1506">
        <f t="shared" si="23"/>
        <v>14.5</v>
      </c>
    </row>
    <row r="1507" spans="7:21" x14ac:dyDescent="0.2">
      <c r="G1507" s="9" t="s">
        <v>2591</v>
      </c>
      <c r="H1507">
        <v>40</v>
      </c>
      <c r="M1507" s="1" t="s">
        <v>2591</v>
      </c>
      <c r="N1507" s="1">
        <v>582</v>
      </c>
      <c r="P1507" s="1" t="s">
        <v>2591</v>
      </c>
      <c r="Q1507" s="42">
        <v>40</v>
      </c>
      <c r="R1507" s="42">
        <v>582</v>
      </c>
      <c r="S1507" s="42">
        <v>0.25</v>
      </c>
      <c r="T1507" s="10">
        <f>IFERROR(ROUND((Q1507/R1507),2),"NA")</f>
        <v>7.0000000000000007E-2</v>
      </c>
      <c r="U1507">
        <f t="shared" si="23"/>
        <v>10</v>
      </c>
    </row>
    <row r="1508" spans="7:21" x14ac:dyDescent="0.2">
      <c r="G1508" s="9" t="s">
        <v>899</v>
      </c>
      <c r="H1508">
        <v>200</v>
      </c>
      <c r="M1508" s="1" t="s">
        <v>899</v>
      </c>
      <c r="N1508" s="1">
        <v>659</v>
      </c>
      <c r="P1508" s="1" t="s">
        <v>899</v>
      </c>
      <c r="Q1508" s="42">
        <v>200</v>
      </c>
      <c r="R1508" s="42">
        <v>659</v>
      </c>
      <c r="S1508" s="42">
        <v>0</v>
      </c>
      <c r="T1508" s="10">
        <f>IFERROR(ROUND((Q1508/R1508),2),"NA")</f>
        <v>0.3</v>
      </c>
      <c r="U1508">
        <f t="shared" si="23"/>
        <v>0</v>
      </c>
    </row>
    <row r="1509" spans="7:21" x14ac:dyDescent="0.2">
      <c r="G1509" s="9" t="s">
        <v>809</v>
      </c>
      <c r="H1509">
        <v>125</v>
      </c>
      <c r="M1509" s="1" t="s">
        <v>809</v>
      </c>
      <c r="N1509" s="1">
        <v>0</v>
      </c>
      <c r="P1509" s="1" t="s">
        <v>809</v>
      </c>
      <c r="Q1509" s="42">
        <v>125</v>
      </c>
      <c r="R1509" s="42">
        <v>0</v>
      </c>
      <c r="S1509" s="42">
        <v>7.0000000000000007E-2</v>
      </c>
      <c r="T1509" s="10" t="str">
        <f>IFERROR(ROUND((Q1509/R1509),2),"NA")</f>
        <v>NA</v>
      </c>
      <c r="U1509">
        <f t="shared" si="23"/>
        <v>8.75</v>
      </c>
    </row>
    <row r="1510" spans="7:21" x14ac:dyDescent="0.2">
      <c r="G1510" s="9" t="s">
        <v>1552</v>
      </c>
      <c r="H1510">
        <v>100</v>
      </c>
      <c r="M1510" s="1" t="s">
        <v>1552</v>
      </c>
      <c r="N1510" s="1">
        <v>1100</v>
      </c>
      <c r="P1510" s="1" t="s">
        <v>1552</v>
      </c>
      <c r="Q1510" s="42">
        <v>100</v>
      </c>
      <c r="R1510" s="42">
        <v>1100</v>
      </c>
      <c r="S1510" s="42">
        <v>7.0000000000000007E-2</v>
      </c>
      <c r="T1510" s="10">
        <f>IFERROR(ROUND((Q1510/R1510),2),"NA")</f>
        <v>0.09</v>
      </c>
      <c r="U1510">
        <f t="shared" si="23"/>
        <v>7.0000000000000009</v>
      </c>
    </row>
    <row r="1511" spans="7:21" x14ac:dyDescent="0.2">
      <c r="G1511" s="9" t="s">
        <v>1438</v>
      </c>
      <c r="H1511">
        <v>0</v>
      </c>
      <c r="M1511" s="1" t="s">
        <v>1438</v>
      </c>
      <c r="N1511" s="1">
        <v>240</v>
      </c>
      <c r="P1511" s="1" t="s">
        <v>1438</v>
      </c>
      <c r="Q1511" s="42">
        <v>0</v>
      </c>
      <c r="R1511" s="42">
        <v>240</v>
      </c>
      <c r="S1511" s="42">
        <v>0.2</v>
      </c>
      <c r="T1511" s="10">
        <f>IFERROR(ROUND((Q1511/R1511),2),"NA")</f>
        <v>0</v>
      </c>
      <c r="U1511">
        <f t="shared" si="23"/>
        <v>0</v>
      </c>
    </row>
    <row r="1512" spans="7:21" x14ac:dyDescent="0.2">
      <c r="G1512" s="9" t="s">
        <v>1802</v>
      </c>
      <c r="H1512">
        <v>0</v>
      </c>
      <c r="M1512" s="1" t="s">
        <v>1802</v>
      </c>
      <c r="N1512" s="1">
        <v>78</v>
      </c>
      <c r="P1512" s="1" t="s">
        <v>1802</v>
      </c>
      <c r="Q1512" s="42">
        <v>0</v>
      </c>
      <c r="R1512" s="42">
        <v>78</v>
      </c>
      <c r="S1512" s="42">
        <v>0.4</v>
      </c>
      <c r="T1512" s="10">
        <f>IFERROR(ROUND((Q1512/R1512),2),"NA")</f>
        <v>0</v>
      </c>
      <c r="U1512">
        <f t="shared" si="23"/>
        <v>0</v>
      </c>
    </row>
    <row r="1513" spans="7:21" x14ac:dyDescent="0.2">
      <c r="G1513" s="9" t="s">
        <v>1415</v>
      </c>
      <c r="H1513">
        <v>0</v>
      </c>
      <c r="M1513" s="1" t="s">
        <v>1415</v>
      </c>
      <c r="N1513" s="1">
        <v>30</v>
      </c>
      <c r="P1513" s="1" t="s">
        <v>1415</v>
      </c>
      <c r="Q1513" s="42">
        <v>0</v>
      </c>
      <c r="R1513" s="42">
        <v>30</v>
      </c>
      <c r="S1513" s="42">
        <v>0.15000000000000002</v>
      </c>
      <c r="T1513" s="10">
        <f>IFERROR(ROUND((Q1513/R1513),2),"NA")</f>
        <v>0</v>
      </c>
      <c r="U1513">
        <f t="shared" si="23"/>
        <v>0</v>
      </c>
    </row>
    <row r="1514" spans="7:21" x14ac:dyDescent="0.2">
      <c r="G1514" s="9" t="s">
        <v>1289</v>
      </c>
      <c r="H1514">
        <v>0</v>
      </c>
      <c r="M1514" s="1" t="s">
        <v>1289</v>
      </c>
      <c r="N1514" s="1">
        <v>157</v>
      </c>
      <c r="P1514" s="1" t="s">
        <v>1289</v>
      </c>
      <c r="Q1514" s="42">
        <v>0</v>
      </c>
      <c r="R1514" s="42">
        <v>157</v>
      </c>
      <c r="S1514" s="42">
        <v>0.7</v>
      </c>
      <c r="T1514" s="10">
        <f>IFERROR(ROUND((Q1514/R1514),2),"NA")</f>
        <v>0</v>
      </c>
      <c r="U1514">
        <f t="shared" si="23"/>
        <v>0</v>
      </c>
    </row>
    <row r="1515" spans="7:21" x14ac:dyDescent="0.2">
      <c r="G1515" s="9" t="s">
        <v>660</v>
      </c>
      <c r="H1515">
        <v>460</v>
      </c>
      <c r="M1515" s="1" t="s">
        <v>660</v>
      </c>
      <c r="N1515" s="1">
        <v>1567</v>
      </c>
      <c r="P1515" s="1" t="s">
        <v>660</v>
      </c>
      <c r="Q1515" s="42">
        <v>460</v>
      </c>
      <c r="R1515" s="42">
        <v>1567</v>
      </c>
      <c r="S1515" s="42">
        <v>9.5000000000000001E-2</v>
      </c>
      <c r="T1515" s="10">
        <f>IFERROR(ROUND((Q1515/R1515),2),"NA")</f>
        <v>0.28999999999999998</v>
      </c>
      <c r="U1515">
        <f t="shared" si="23"/>
        <v>43.7</v>
      </c>
    </row>
    <row r="1516" spans="7:21" x14ac:dyDescent="0.2">
      <c r="G1516" s="9" t="s">
        <v>1729</v>
      </c>
      <c r="H1516">
        <v>0</v>
      </c>
      <c r="M1516" s="1" t="s">
        <v>1729</v>
      </c>
      <c r="N1516" s="1">
        <v>150</v>
      </c>
      <c r="P1516" s="1" t="s">
        <v>1729</v>
      </c>
      <c r="Q1516" s="42">
        <v>0</v>
      </c>
      <c r="R1516" s="42">
        <v>150</v>
      </c>
      <c r="S1516" s="42">
        <v>0.17</v>
      </c>
      <c r="T1516" s="10">
        <f>IFERROR(ROUND((Q1516/R1516),2),"NA")</f>
        <v>0</v>
      </c>
      <c r="U1516">
        <f t="shared" si="23"/>
        <v>0</v>
      </c>
    </row>
    <row r="1517" spans="7:21" x14ac:dyDescent="0.2">
      <c r="G1517" s="9" t="s">
        <v>1880</v>
      </c>
      <c r="H1517">
        <v>30</v>
      </c>
      <c r="M1517" s="1" t="s">
        <v>1880</v>
      </c>
      <c r="N1517" s="1">
        <v>6</v>
      </c>
      <c r="P1517" s="1" t="s">
        <v>1880</v>
      </c>
      <c r="Q1517" s="42">
        <v>30</v>
      </c>
      <c r="R1517" s="42">
        <v>6</v>
      </c>
      <c r="S1517" s="42">
        <v>0</v>
      </c>
      <c r="T1517" s="10">
        <f>IFERROR(ROUND((Q1517/R1517),2),"NA")</f>
        <v>5</v>
      </c>
      <c r="U1517">
        <f t="shared" si="23"/>
        <v>0</v>
      </c>
    </row>
    <row r="1518" spans="7:21" x14ac:dyDescent="0.2">
      <c r="G1518" s="9" t="s">
        <v>1454</v>
      </c>
      <c r="H1518">
        <v>960</v>
      </c>
      <c r="M1518" s="1" t="s">
        <v>1454</v>
      </c>
      <c r="N1518" s="1">
        <v>0</v>
      </c>
      <c r="P1518" s="1" t="s">
        <v>1454</v>
      </c>
      <c r="Q1518" s="42">
        <v>960</v>
      </c>
      <c r="R1518" s="42">
        <v>0</v>
      </c>
      <c r="S1518" s="42">
        <v>0.08</v>
      </c>
      <c r="T1518" s="10" t="str">
        <f>IFERROR(ROUND((Q1518/R1518),2),"NA")</f>
        <v>NA</v>
      </c>
      <c r="U1518">
        <f t="shared" si="23"/>
        <v>76.8</v>
      </c>
    </row>
    <row r="1519" spans="7:21" x14ac:dyDescent="0.2">
      <c r="G1519" s="9" t="s">
        <v>2040</v>
      </c>
      <c r="H1519">
        <v>505</v>
      </c>
      <c r="M1519" s="1" t="s">
        <v>2040</v>
      </c>
      <c r="N1519" s="1">
        <v>487600</v>
      </c>
      <c r="P1519" s="1" t="s">
        <v>2040</v>
      </c>
      <c r="Q1519" s="42">
        <v>505</v>
      </c>
      <c r="R1519" s="42">
        <v>487600</v>
      </c>
      <c r="S1519" s="42">
        <v>0.02</v>
      </c>
      <c r="T1519" s="10">
        <f>IFERROR(ROUND((Q1519/R1519),2),"NA")</f>
        <v>0</v>
      </c>
      <c r="U1519">
        <f t="shared" si="23"/>
        <v>10.1</v>
      </c>
    </row>
    <row r="1520" spans="7:21" x14ac:dyDescent="0.2">
      <c r="G1520" s="9" t="s">
        <v>907</v>
      </c>
      <c r="H1520">
        <v>48</v>
      </c>
      <c r="M1520" s="1" t="s">
        <v>907</v>
      </c>
      <c r="N1520" s="1">
        <v>424</v>
      </c>
      <c r="P1520" s="1" t="s">
        <v>907</v>
      </c>
      <c r="Q1520" s="42">
        <v>48</v>
      </c>
      <c r="R1520" s="42">
        <v>424</v>
      </c>
      <c r="S1520" s="42">
        <v>0.16</v>
      </c>
      <c r="T1520" s="10">
        <f>IFERROR(ROUND((Q1520/R1520),2),"NA")</f>
        <v>0.11</v>
      </c>
      <c r="U1520">
        <f t="shared" si="23"/>
        <v>7.68</v>
      </c>
    </row>
    <row r="1521" spans="7:21" x14ac:dyDescent="0.2">
      <c r="G1521" s="9" t="s">
        <v>447</v>
      </c>
      <c r="H1521">
        <v>63</v>
      </c>
      <c r="M1521" s="1" t="s">
        <v>447</v>
      </c>
      <c r="N1521" s="1">
        <v>556</v>
      </c>
      <c r="P1521" s="1" t="s">
        <v>447</v>
      </c>
      <c r="Q1521" s="42">
        <v>63</v>
      </c>
      <c r="R1521" s="42">
        <v>556</v>
      </c>
      <c r="S1521" s="42">
        <v>0.05</v>
      </c>
      <c r="T1521" s="10">
        <f>IFERROR(ROUND((Q1521/R1521),2),"NA")</f>
        <v>0.11</v>
      </c>
      <c r="U1521">
        <f t="shared" si="23"/>
        <v>3.1500000000000004</v>
      </c>
    </row>
    <row r="1522" spans="7:21" x14ac:dyDescent="0.2">
      <c r="G1522" s="9" t="s">
        <v>196</v>
      </c>
      <c r="H1522">
        <v>545</v>
      </c>
      <c r="M1522" s="1" t="s">
        <v>196</v>
      </c>
      <c r="N1522" s="1">
        <v>1071</v>
      </c>
      <c r="P1522" s="1" t="s">
        <v>196</v>
      </c>
      <c r="Q1522" s="42">
        <v>545</v>
      </c>
      <c r="R1522" s="42">
        <v>1071</v>
      </c>
      <c r="S1522" s="42">
        <v>7.3333333333333348E-2</v>
      </c>
      <c r="T1522" s="10">
        <f>IFERROR(ROUND((Q1522/R1522),2),"NA")</f>
        <v>0.51</v>
      </c>
      <c r="U1522">
        <f t="shared" si="23"/>
        <v>39.966666666666676</v>
      </c>
    </row>
    <row r="1523" spans="7:21" x14ac:dyDescent="0.2">
      <c r="G1523" s="9" t="s">
        <v>424</v>
      </c>
      <c r="H1523">
        <v>400</v>
      </c>
      <c r="M1523" s="1" t="s">
        <v>424</v>
      </c>
      <c r="N1523" s="1">
        <v>0</v>
      </c>
      <c r="P1523" s="1" t="s">
        <v>424</v>
      </c>
      <c r="Q1523" s="42">
        <v>400</v>
      </c>
      <c r="R1523" s="42">
        <v>0</v>
      </c>
      <c r="S1523" s="42">
        <v>0</v>
      </c>
      <c r="T1523" s="10" t="str">
        <f>IFERROR(ROUND((Q1523/R1523),2),"NA")</f>
        <v>NA</v>
      </c>
      <c r="U1523">
        <f t="shared" si="23"/>
        <v>0</v>
      </c>
    </row>
    <row r="1524" spans="7:21" x14ac:dyDescent="0.2">
      <c r="G1524" s="9" t="s">
        <v>2795</v>
      </c>
      <c r="H1524">
        <v>94</v>
      </c>
      <c r="M1524" s="1" t="s">
        <v>2795</v>
      </c>
      <c r="N1524" s="1">
        <v>0</v>
      </c>
      <c r="P1524" s="1" t="s">
        <v>2795</v>
      </c>
      <c r="Q1524" s="42">
        <v>94</v>
      </c>
      <c r="R1524" s="42">
        <v>0</v>
      </c>
      <c r="S1524" s="42">
        <v>0</v>
      </c>
      <c r="T1524" s="10" t="str">
        <f>IFERROR(ROUND((Q1524/R1524),2),"NA")</f>
        <v>NA</v>
      </c>
      <c r="U1524">
        <f t="shared" si="23"/>
        <v>0</v>
      </c>
    </row>
    <row r="1525" spans="7:21" x14ac:dyDescent="0.2">
      <c r="G1525" s="9" t="s">
        <v>750</v>
      </c>
      <c r="H1525">
        <v>54</v>
      </c>
      <c r="M1525" s="1" t="s">
        <v>750</v>
      </c>
      <c r="N1525" s="1">
        <v>447</v>
      </c>
      <c r="P1525" s="1" t="s">
        <v>750</v>
      </c>
      <c r="Q1525" s="42">
        <v>54</v>
      </c>
      <c r="R1525" s="42">
        <v>447</v>
      </c>
      <c r="S1525" s="42">
        <v>0.14000000000000001</v>
      </c>
      <c r="T1525" s="10">
        <f>IFERROR(ROUND((Q1525/R1525),2),"NA")</f>
        <v>0.12</v>
      </c>
      <c r="U1525">
        <f t="shared" si="23"/>
        <v>7.5600000000000005</v>
      </c>
    </row>
    <row r="1526" spans="7:21" x14ac:dyDescent="0.2">
      <c r="G1526" s="9" t="s">
        <v>2255</v>
      </c>
      <c r="H1526">
        <v>150</v>
      </c>
      <c r="M1526" s="1" t="s">
        <v>2255</v>
      </c>
      <c r="N1526" s="1">
        <v>881</v>
      </c>
      <c r="P1526" s="1" t="s">
        <v>2255</v>
      </c>
      <c r="Q1526" s="42">
        <v>150</v>
      </c>
      <c r="R1526" s="42">
        <v>881</v>
      </c>
      <c r="S1526" s="42">
        <v>0.17</v>
      </c>
      <c r="T1526" s="10">
        <f>IFERROR(ROUND((Q1526/R1526),2),"NA")</f>
        <v>0.17</v>
      </c>
      <c r="U1526">
        <f t="shared" si="23"/>
        <v>25.500000000000004</v>
      </c>
    </row>
    <row r="1527" spans="7:21" x14ac:dyDescent="0.2">
      <c r="G1527" s="9" t="s">
        <v>1080</v>
      </c>
      <c r="H1527">
        <v>0</v>
      </c>
      <c r="M1527" s="1" t="s">
        <v>1080</v>
      </c>
      <c r="N1527" s="1">
        <v>300</v>
      </c>
      <c r="P1527" s="1" t="s">
        <v>1080</v>
      </c>
      <c r="Q1527" s="42">
        <v>0</v>
      </c>
      <c r="R1527" s="42">
        <v>300</v>
      </c>
      <c r="S1527" s="42">
        <v>0</v>
      </c>
      <c r="T1527" s="10">
        <f>IFERROR(ROUND((Q1527/R1527),2),"NA")</f>
        <v>0</v>
      </c>
      <c r="U1527">
        <f t="shared" si="23"/>
        <v>0</v>
      </c>
    </row>
    <row r="1528" spans="7:21" x14ac:dyDescent="0.2">
      <c r="G1528" s="9" t="s">
        <v>591</v>
      </c>
      <c r="H1528">
        <v>0</v>
      </c>
      <c r="M1528" s="1" t="s">
        <v>591</v>
      </c>
      <c r="N1528" s="1">
        <v>736</v>
      </c>
      <c r="P1528" s="1" t="s">
        <v>591</v>
      </c>
      <c r="Q1528" s="42">
        <v>0</v>
      </c>
      <c r="R1528" s="42">
        <v>736</v>
      </c>
      <c r="S1528" s="42">
        <v>0.25</v>
      </c>
      <c r="T1528" s="10">
        <f>IFERROR(ROUND((Q1528/R1528),2),"NA")</f>
        <v>0</v>
      </c>
      <c r="U1528">
        <f t="shared" si="23"/>
        <v>0</v>
      </c>
    </row>
    <row r="1529" spans="7:21" x14ac:dyDescent="0.2">
      <c r="G1529" s="9" t="s">
        <v>559</v>
      </c>
      <c r="H1529">
        <v>84</v>
      </c>
      <c r="M1529" s="1" t="s">
        <v>559</v>
      </c>
      <c r="N1529" s="1">
        <v>0</v>
      </c>
      <c r="P1529" s="1" t="s">
        <v>559</v>
      </c>
      <c r="Q1529" s="42">
        <v>84</v>
      </c>
      <c r="R1529" s="42">
        <v>0</v>
      </c>
      <c r="S1529" s="42">
        <v>0</v>
      </c>
      <c r="T1529" s="10" t="str">
        <f>IFERROR(ROUND((Q1529/R1529),2),"NA")</f>
        <v>NA</v>
      </c>
      <c r="U1529">
        <f t="shared" si="23"/>
        <v>0</v>
      </c>
    </row>
    <row r="1530" spans="7:21" x14ac:dyDescent="0.2">
      <c r="G1530" s="9" t="s">
        <v>1748</v>
      </c>
      <c r="H1530">
        <v>0</v>
      </c>
      <c r="M1530" s="1" t="s">
        <v>1748</v>
      </c>
      <c r="N1530" s="1">
        <v>200</v>
      </c>
      <c r="P1530" s="1" t="s">
        <v>1748</v>
      </c>
      <c r="Q1530" s="42">
        <v>0</v>
      </c>
      <c r="R1530" s="42">
        <v>200</v>
      </c>
      <c r="S1530" s="42">
        <v>0.17</v>
      </c>
      <c r="T1530" s="10">
        <f>IFERROR(ROUND((Q1530/R1530),2),"NA")</f>
        <v>0</v>
      </c>
      <c r="U1530">
        <f t="shared" si="23"/>
        <v>0</v>
      </c>
    </row>
    <row r="1531" spans="7:21" x14ac:dyDescent="0.2">
      <c r="G1531" s="9" t="s">
        <v>2039</v>
      </c>
      <c r="H1531">
        <v>0</v>
      </c>
      <c r="M1531" s="1" t="s">
        <v>2039</v>
      </c>
      <c r="N1531" s="1">
        <v>216</v>
      </c>
      <c r="P1531" s="1" t="s">
        <v>2039</v>
      </c>
      <c r="Q1531" s="42">
        <v>0</v>
      </c>
      <c r="R1531" s="42">
        <v>216</v>
      </c>
      <c r="S1531" s="42">
        <v>0.05</v>
      </c>
      <c r="T1531" s="10">
        <f>IFERROR(ROUND((Q1531/R1531),2),"NA")</f>
        <v>0</v>
      </c>
      <c r="U1531">
        <f t="shared" si="23"/>
        <v>0</v>
      </c>
    </row>
    <row r="1532" spans="7:21" x14ac:dyDescent="0.2">
      <c r="G1532" s="9" t="s">
        <v>811</v>
      </c>
      <c r="H1532">
        <v>415</v>
      </c>
      <c r="M1532" s="1" t="s">
        <v>811</v>
      </c>
      <c r="N1532" s="1">
        <v>2310</v>
      </c>
      <c r="P1532" s="1" t="s">
        <v>811</v>
      </c>
      <c r="Q1532" s="42">
        <v>415</v>
      </c>
      <c r="R1532" s="42">
        <v>2310</v>
      </c>
      <c r="S1532" s="42">
        <v>0.08</v>
      </c>
      <c r="T1532" s="10">
        <f>IFERROR(ROUND((Q1532/R1532),2),"NA")</f>
        <v>0.18</v>
      </c>
      <c r="U1532">
        <f t="shared" si="23"/>
        <v>33.200000000000003</v>
      </c>
    </row>
    <row r="1533" spans="7:21" x14ac:dyDescent="0.2">
      <c r="G1533" s="9" t="s">
        <v>236</v>
      </c>
      <c r="H1533">
        <v>24</v>
      </c>
      <c r="M1533" s="1" t="s">
        <v>236</v>
      </c>
      <c r="N1533" s="1">
        <v>44</v>
      </c>
      <c r="P1533" s="1" t="s">
        <v>236</v>
      </c>
      <c r="Q1533" s="42">
        <v>24</v>
      </c>
      <c r="R1533" s="42">
        <v>44</v>
      </c>
      <c r="S1533" s="42">
        <v>7.0000000000000007E-2</v>
      </c>
      <c r="T1533" s="10">
        <f>IFERROR(ROUND((Q1533/R1533),2),"NA")</f>
        <v>0.55000000000000004</v>
      </c>
      <c r="U1533">
        <f t="shared" si="23"/>
        <v>1.6800000000000002</v>
      </c>
    </row>
    <row r="1534" spans="7:21" x14ac:dyDescent="0.2">
      <c r="G1534" s="9" t="s">
        <v>992</v>
      </c>
      <c r="H1534">
        <v>270</v>
      </c>
      <c r="M1534" s="1" t="s">
        <v>992</v>
      </c>
      <c r="N1534" s="1">
        <v>3300</v>
      </c>
      <c r="P1534" s="1" t="s">
        <v>992</v>
      </c>
      <c r="Q1534" s="42">
        <v>270</v>
      </c>
      <c r="R1534" s="42">
        <v>3300</v>
      </c>
      <c r="S1534" s="42">
        <v>0</v>
      </c>
      <c r="T1534" s="10">
        <f>IFERROR(ROUND((Q1534/R1534),2),"NA")</f>
        <v>0.08</v>
      </c>
      <c r="U1534">
        <f t="shared" si="23"/>
        <v>0</v>
      </c>
    </row>
    <row r="1535" spans="7:21" x14ac:dyDescent="0.2">
      <c r="G1535" s="9" t="s">
        <v>2504</v>
      </c>
      <c r="H1535">
        <v>200</v>
      </c>
      <c r="M1535" s="1" t="s">
        <v>2504</v>
      </c>
      <c r="N1535" s="1">
        <v>194</v>
      </c>
      <c r="P1535" s="1" t="s">
        <v>2504</v>
      </c>
      <c r="Q1535" s="42">
        <v>200</v>
      </c>
      <c r="R1535" s="42">
        <v>194</v>
      </c>
      <c r="S1535" s="42">
        <v>0</v>
      </c>
      <c r="T1535" s="10">
        <f>IFERROR(ROUND((Q1535/R1535),2),"NA")</f>
        <v>1.03</v>
      </c>
      <c r="U1535">
        <f t="shared" si="23"/>
        <v>0</v>
      </c>
    </row>
    <row r="1536" spans="7:21" x14ac:dyDescent="0.2">
      <c r="G1536" s="9" t="s">
        <v>598</v>
      </c>
      <c r="H1536">
        <v>0</v>
      </c>
      <c r="M1536" s="1" t="s">
        <v>598</v>
      </c>
      <c r="N1536" s="1">
        <v>7200</v>
      </c>
      <c r="P1536" s="1" t="s">
        <v>598</v>
      </c>
      <c r="Q1536" s="42">
        <v>0</v>
      </c>
      <c r="R1536" s="42">
        <v>7200</v>
      </c>
      <c r="S1536" s="42">
        <v>0.1</v>
      </c>
      <c r="T1536" s="10">
        <f>IFERROR(ROUND((Q1536/R1536),2),"NA")</f>
        <v>0</v>
      </c>
      <c r="U1536">
        <f t="shared" si="23"/>
        <v>0</v>
      </c>
    </row>
    <row r="1537" spans="7:21" x14ac:dyDescent="0.2">
      <c r="G1537" s="9" t="s">
        <v>1864</v>
      </c>
      <c r="H1537">
        <v>0</v>
      </c>
      <c r="M1537" s="1" t="s">
        <v>1864</v>
      </c>
      <c r="N1537" s="1">
        <v>0</v>
      </c>
      <c r="P1537" s="1" t="s">
        <v>1864</v>
      </c>
      <c r="Q1537" s="42">
        <v>0</v>
      </c>
      <c r="R1537" s="42">
        <v>0</v>
      </c>
      <c r="S1537" s="42">
        <v>1</v>
      </c>
      <c r="T1537" s="10" t="str">
        <f>IFERROR(ROUND((Q1537/R1537),2),"NA")</f>
        <v>NA</v>
      </c>
      <c r="U1537">
        <f t="shared" si="23"/>
        <v>0</v>
      </c>
    </row>
    <row r="1538" spans="7:21" x14ac:dyDescent="0.2">
      <c r="G1538" s="9" t="s">
        <v>1300</v>
      </c>
      <c r="H1538">
        <v>13</v>
      </c>
      <c r="M1538" s="1" t="s">
        <v>1300</v>
      </c>
      <c r="N1538" s="1">
        <v>0</v>
      </c>
      <c r="P1538" s="1" t="s">
        <v>1300</v>
      </c>
      <c r="Q1538" s="42">
        <v>13</v>
      </c>
      <c r="R1538" s="42">
        <v>0</v>
      </c>
      <c r="S1538" s="42">
        <v>0</v>
      </c>
      <c r="T1538" s="10" t="str">
        <f>IFERROR(ROUND((Q1538/R1538),2),"NA")</f>
        <v>NA</v>
      </c>
      <c r="U1538">
        <f t="shared" si="23"/>
        <v>0</v>
      </c>
    </row>
    <row r="1539" spans="7:21" x14ac:dyDescent="0.2">
      <c r="G1539" s="9" t="s">
        <v>799</v>
      </c>
      <c r="H1539">
        <v>0</v>
      </c>
      <c r="M1539" s="1" t="s">
        <v>799</v>
      </c>
      <c r="N1539" s="1">
        <v>5</v>
      </c>
      <c r="P1539" s="1" t="s">
        <v>799</v>
      </c>
      <c r="Q1539" s="42">
        <v>0</v>
      </c>
      <c r="R1539" s="42">
        <v>5</v>
      </c>
      <c r="S1539" s="42">
        <v>0</v>
      </c>
      <c r="T1539" s="10">
        <f>IFERROR(ROUND((Q1539/R1539),2),"NA")</f>
        <v>0</v>
      </c>
      <c r="U1539">
        <f t="shared" si="23"/>
        <v>0</v>
      </c>
    </row>
    <row r="1540" spans="7:21" x14ac:dyDescent="0.2">
      <c r="G1540" s="9" t="s">
        <v>2152</v>
      </c>
      <c r="H1540">
        <v>0</v>
      </c>
      <c r="M1540" s="1" t="s">
        <v>2152</v>
      </c>
      <c r="N1540" s="1">
        <v>290</v>
      </c>
      <c r="P1540" s="1" t="s">
        <v>2152</v>
      </c>
      <c r="Q1540" s="42">
        <v>0</v>
      </c>
      <c r="R1540" s="42">
        <v>290</v>
      </c>
      <c r="S1540" s="42">
        <v>0.2</v>
      </c>
      <c r="T1540" s="10">
        <f>IFERROR(ROUND((Q1540/R1540),2),"NA")</f>
        <v>0</v>
      </c>
      <c r="U1540">
        <f t="shared" si="23"/>
        <v>0</v>
      </c>
    </row>
    <row r="1541" spans="7:21" x14ac:dyDescent="0.2">
      <c r="G1541" s="9" t="s">
        <v>332</v>
      </c>
      <c r="H1541">
        <v>119</v>
      </c>
      <c r="M1541" s="1" t="s">
        <v>332</v>
      </c>
      <c r="N1541" s="1">
        <v>654</v>
      </c>
      <c r="P1541" s="1" t="s">
        <v>332</v>
      </c>
      <c r="Q1541" s="42">
        <v>119</v>
      </c>
      <c r="R1541" s="42">
        <v>654</v>
      </c>
      <c r="S1541" s="42">
        <v>0.21000000000000002</v>
      </c>
      <c r="T1541" s="10">
        <f>IFERROR(ROUND((Q1541/R1541),2),"NA")</f>
        <v>0.18</v>
      </c>
      <c r="U1541">
        <f t="shared" ref="U1541:U1604" si="24">Q1541*S1541</f>
        <v>24.990000000000002</v>
      </c>
    </row>
    <row r="1542" spans="7:21" x14ac:dyDescent="0.2">
      <c r="G1542" s="9" t="s">
        <v>360</v>
      </c>
      <c r="H1542">
        <v>995</v>
      </c>
      <c r="M1542" s="1" t="s">
        <v>360</v>
      </c>
      <c r="N1542" s="1">
        <v>2628</v>
      </c>
      <c r="P1542" s="1" t="s">
        <v>360</v>
      </c>
      <c r="Q1542" s="42">
        <v>995</v>
      </c>
      <c r="R1542" s="42">
        <v>2628</v>
      </c>
      <c r="S1542" s="42">
        <v>0.1</v>
      </c>
      <c r="T1542" s="10">
        <f>IFERROR(ROUND((Q1542/R1542),2),"NA")</f>
        <v>0.38</v>
      </c>
      <c r="U1542">
        <f t="shared" si="24"/>
        <v>99.5</v>
      </c>
    </row>
    <row r="1543" spans="7:21" x14ac:dyDescent="0.2">
      <c r="G1543" s="9" t="s">
        <v>1161</v>
      </c>
      <c r="H1543">
        <v>340</v>
      </c>
      <c r="M1543" s="1" t="s">
        <v>1161</v>
      </c>
      <c r="N1543" s="1">
        <v>0</v>
      </c>
      <c r="P1543" s="1" t="s">
        <v>1161</v>
      </c>
      <c r="Q1543" s="42">
        <v>340</v>
      </c>
      <c r="R1543" s="42">
        <v>0</v>
      </c>
      <c r="S1543" s="42">
        <v>0.1</v>
      </c>
      <c r="T1543" s="10" t="str">
        <f>IFERROR(ROUND((Q1543/R1543),2),"NA")</f>
        <v>NA</v>
      </c>
      <c r="U1543">
        <f t="shared" si="24"/>
        <v>34</v>
      </c>
    </row>
    <row r="1544" spans="7:21" x14ac:dyDescent="0.2">
      <c r="G1544" s="9" t="s">
        <v>1198</v>
      </c>
      <c r="H1544">
        <v>10</v>
      </c>
      <c r="M1544" s="1" t="s">
        <v>1198</v>
      </c>
      <c r="N1544" s="1">
        <v>13</v>
      </c>
      <c r="P1544" s="1" t="s">
        <v>1198</v>
      </c>
      <c r="Q1544" s="42">
        <v>10</v>
      </c>
      <c r="R1544" s="42">
        <v>13</v>
      </c>
      <c r="S1544" s="42">
        <v>0.37</v>
      </c>
      <c r="T1544" s="10">
        <f>IFERROR(ROUND((Q1544/R1544),2),"NA")</f>
        <v>0.77</v>
      </c>
      <c r="U1544">
        <f t="shared" si="24"/>
        <v>3.7</v>
      </c>
    </row>
    <row r="1545" spans="7:21" x14ac:dyDescent="0.2">
      <c r="G1545" s="9" t="s">
        <v>1945</v>
      </c>
      <c r="H1545">
        <v>170</v>
      </c>
      <c r="M1545" s="1" t="s">
        <v>1945</v>
      </c>
      <c r="N1545" s="1">
        <v>426</v>
      </c>
      <c r="P1545" s="1" t="s">
        <v>1945</v>
      </c>
      <c r="Q1545" s="42">
        <v>170</v>
      </c>
      <c r="R1545" s="42">
        <v>426</v>
      </c>
      <c r="S1545" s="42">
        <v>0.25</v>
      </c>
      <c r="T1545" s="10">
        <f>IFERROR(ROUND((Q1545/R1545),2),"NA")</f>
        <v>0.4</v>
      </c>
      <c r="U1545">
        <f t="shared" si="24"/>
        <v>42.5</v>
      </c>
    </row>
    <row r="1546" spans="7:21" x14ac:dyDescent="0.2">
      <c r="G1546" s="9" t="s">
        <v>2310</v>
      </c>
      <c r="H1546">
        <v>0</v>
      </c>
      <c r="M1546" s="1" t="s">
        <v>2310</v>
      </c>
      <c r="N1546" s="1">
        <v>41</v>
      </c>
      <c r="P1546" s="1" t="s">
        <v>2310</v>
      </c>
      <c r="Q1546" s="42">
        <v>0</v>
      </c>
      <c r="R1546" s="42">
        <v>41</v>
      </c>
      <c r="S1546" s="42">
        <v>0.3</v>
      </c>
      <c r="T1546" s="10">
        <f>IFERROR(ROUND((Q1546/R1546),2),"NA")</f>
        <v>0</v>
      </c>
      <c r="U1546">
        <f t="shared" si="24"/>
        <v>0</v>
      </c>
    </row>
    <row r="1547" spans="7:21" x14ac:dyDescent="0.2">
      <c r="G1547" s="9" t="s">
        <v>712</v>
      </c>
      <c r="H1547">
        <v>0</v>
      </c>
      <c r="M1547" s="1" t="s">
        <v>712</v>
      </c>
      <c r="N1547" s="1">
        <v>10</v>
      </c>
      <c r="P1547" s="1" t="s">
        <v>712</v>
      </c>
      <c r="Q1547" s="42">
        <v>0</v>
      </c>
      <c r="R1547" s="42">
        <v>10</v>
      </c>
      <c r="S1547" s="42">
        <v>1</v>
      </c>
      <c r="T1547" s="10">
        <f>IFERROR(ROUND((Q1547/R1547),2),"NA")</f>
        <v>0</v>
      </c>
      <c r="U1547">
        <f t="shared" si="24"/>
        <v>0</v>
      </c>
    </row>
    <row r="1548" spans="7:21" x14ac:dyDescent="0.2">
      <c r="G1548" s="9" t="s">
        <v>1224</v>
      </c>
      <c r="H1548">
        <v>0</v>
      </c>
      <c r="M1548" s="1" t="s">
        <v>1224</v>
      </c>
      <c r="N1548" s="1">
        <v>0</v>
      </c>
      <c r="P1548" s="1" t="s">
        <v>1224</v>
      </c>
      <c r="Q1548" s="42">
        <v>0</v>
      </c>
      <c r="R1548" s="42">
        <v>0</v>
      </c>
      <c r="S1548" s="42">
        <v>0.15</v>
      </c>
      <c r="T1548" s="10" t="str">
        <f>IFERROR(ROUND((Q1548/R1548),2),"NA")</f>
        <v>NA</v>
      </c>
      <c r="U1548">
        <f t="shared" si="24"/>
        <v>0</v>
      </c>
    </row>
    <row r="1549" spans="7:21" x14ac:dyDescent="0.2">
      <c r="G1549" s="9" t="s">
        <v>2537</v>
      </c>
      <c r="H1549">
        <v>240</v>
      </c>
      <c r="M1549" s="1" t="s">
        <v>2537</v>
      </c>
      <c r="N1549" s="1">
        <v>157.9</v>
      </c>
      <c r="P1549" s="1" t="s">
        <v>2537</v>
      </c>
      <c r="Q1549" s="42">
        <v>240</v>
      </c>
      <c r="R1549" s="42">
        <v>157.9</v>
      </c>
      <c r="S1549" s="42">
        <v>0</v>
      </c>
      <c r="T1549" s="10">
        <f>IFERROR(ROUND((Q1549/R1549),2),"NA")</f>
        <v>1.52</v>
      </c>
      <c r="U1549">
        <f t="shared" si="24"/>
        <v>0</v>
      </c>
    </row>
    <row r="1550" spans="7:21" x14ac:dyDescent="0.2">
      <c r="G1550" s="9" t="s">
        <v>2108</v>
      </c>
      <c r="H1550">
        <v>100</v>
      </c>
      <c r="M1550" s="1" t="s">
        <v>2108</v>
      </c>
      <c r="N1550" s="1">
        <v>1</v>
      </c>
      <c r="P1550" s="1" t="s">
        <v>2108</v>
      </c>
      <c r="Q1550" s="42">
        <v>100</v>
      </c>
      <c r="R1550" s="42">
        <v>1</v>
      </c>
      <c r="S1550" s="42">
        <v>0.14000000000000001</v>
      </c>
      <c r="T1550" s="10">
        <f>IFERROR(ROUND((Q1550/R1550),2),"NA")</f>
        <v>100</v>
      </c>
      <c r="U1550">
        <f t="shared" si="24"/>
        <v>14.000000000000002</v>
      </c>
    </row>
    <row r="1551" spans="7:21" x14ac:dyDescent="0.2">
      <c r="G1551" s="9" t="s">
        <v>1074</v>
      </c>
      <c r="H1551">
        <v>0</v>
      </c>
      <c r="M1551" s="1" t="s">
        <v>1074</v>
      </c>
      <c r="N1551" s="1">
        <v>0</v>
      </c>
      <c r="P1551" s="1" t="s">
        <v>1074</v>
      </c>
      <c r="Q1551" s="42">
        <v>0</v>
      </c>
      <c r="R1551" s="42">
        <v>0</v>
      </c>
      <c r="S1551" s="42">
        <v>0</v>
      </c>
      <c r="T1551" s="10" t="str">
        <f>IFERROR(ROUND((Q1551/R1551),2),"NA")</f>
        <v>NA</v>
      </c>
      <c r="U1551">
        <f t="shared" si="24"/>
        <v>0</v>
      </c>
    </row>
    <row r="1552" spans="7:21" x14ac:dyDescent="0.2">
      <c r="G1552" s="9" t="s">
        <v>1021</v>
      </c>
      <c r="H1552">
        <v>366</v>
      </c>
      <c r="M1552" s="1" t="s">
        <v>1021</v>
      </c>
      <c r="N1552" s="1">
        <v>12300</v>
      </c>
      <c r="P1552" s="1" t="s">
        <v>1021</v>
      </c>
      <c r="Q1552" s="42">
        <v>366</v>
      </c>
      <c r="R1552" s="42">
        <v>12300</v>
      </c>
      <c r="S1552" s="42">
        <v>0</v>
      </c>
      <c r="T1552" s="10">
        <f>IFERROR(ROUND((Q1552/R1552),2),"NA")</f>
        <v>0.03</v>
      </c>
      <c r="U1552">
        <f t="shared" si="24"/>
        <v>0</v>
      </c>
    </row>
    <row r="1553" spans="7:21" x14ac:dyDescent="0.2">
      <c r="G1553" s="9" t="s">
        <v>2659</v>
      </c>
      <c r="H1553">
        <v>62</v>
      </c>
      <c r="M1553" s="1" t="s">
        <v>2659</v>
      </c>
      <c r="N1553" s="1">
        <v>78</v>
      </c>
      <c r="P1553" s="1" t="s">
        <v>2659</v>
      </c>
      <c r="Q1553" s="42">
        <v>62</v>
      </c>
      <c r="R1553" s="42">
        <v>78</v>
      </c>
      <c r="S1553" s="42">
        <v>0.5</v>
      </c>
      <c r="T1553" s="10">
        <f>IFERROR(ROUND((Q1553/R1553),2),"NA")</f>
        <v>0.79</v>
      </c>
      <c r="U1553">
        <f t="shared" si="24"/>
        <v>31</v>
      </c>
    </row>
    <row r="1554" spans="7:21" x14ac:dyDescent="0.2">
      <c r="G1554" s="9" t="s">
        <v>2766</v>
      </c>
      <c r="H1554">
        <v>20</v>
      </c>
      <c r="M1554" s="1" t="s">
        <v>2766</v>
      </c>
      <c r="N1554" s="1">
        <v>85</v>
      </c>
      <c r="P1554" s="1" t="s">
        <v>2766</v>
      </c>
      <c r="Q1554" s="42">
        <v>20</v>
      </c>
      <c r="R1554" s="42">
        <v>85</v>
      </c>
      <c r="S1554" s="42">
        <v>0.28999999999999998</v>
      </c>
      <c r="T1554" s="10">
        <f>IFERROR(ROUND((Q1554/R1554),2),"NA")</f>
        <v>0.24</v>
      </c>
      <c r="U1554">
        <f t="shared" si="24"/>
        <v>5.8</v>
      </c>
    </row>
    <row r="1555" spans="7:21" x14ac:dyDescent="0.2">
      <c r="G1555" s="9" t="s">
        <v>1978</v>
      </c>
      <c r="H1555">
        <v>45</v>
      </c>
      <c r="M1555" s="1" t="s">
        <v>1978</v>
      </c>
      <c r="N1555" s="1">
        <v>84</v>
      </c>
      <c r="P1555" s="1" t="s">
        <v>1978</v>
      </c>
      <c r="Q1555" s="42">
        <v>45</v>
      </c>
      <c r="R1555" s="42">
        <v>84</v>
      </c>
      <c r="S1555" s="42">
        <v>0.6</v>
      </c>
      <c r="T1555" s="10">
        <f>IFERROR(ROUND((Q1555/R1555),2),"NA")</f>
        <v>0.54</v>
      </c>
      <c r="U1555">
        <f t="shared" si="24"/>
        <v>27</v>
      </c>
    </row>
    <row r="1556" spans="7:21" x14ac:dyDescent="0.2">
      <c r="G1556" s="9" t="s">
        <v>1087</v>
      </c>
      <c r="H1556">
        <v>647</v>
      </c>
      <c r="M1556" s="1" t="s">
        <v>1087</v>
      </c>
      <c r="N1556" s="1">
        <v>6300</v>
      </c>
      <c r="P1556" s="1" t="s">
        <v>1087</v>
      </c>
      <c r="Q1556" s="42">
        <v>647</v>
      </c>
      <c r="R1556" s="42">
        <v>6300</v>
      </c>
      <c r="S1556" s="42">
        <v>0.25</v>
      </c>
      <c r="T1556" s="10">
        <f>IFERROR(ROUND((Q1556/R1556),2),"NA")</f>
        <v>0.1</v>
      </c>
      <c r="U1556">
        <f t="shared" si="24"/>
        <v>161.75</v>
      </c>
    </row>
    <row r="1557" spans="7:21" x14ac:dyDescent="0.2">
      <c r="G1557" s="9" t="s">
        <v>458</v>
      </c>
      <c r="H1557">
        <v>154</v>
      </c>
      <c r="M1557" s="1" t="s">
        <v>458</v>
      </c>
      <c r="N1557" s="1">
        <v>470</v>
      </c>
      <c r="P1557" s="1" t="s">
        <v>458</v>
      </c>
      <c r="Q1557" s="42">
        <v>154</v>
      </c>
      <c r="R1557" s="42">
        <v>470</v>
      </c>
      <c r="S1557" s="42">
        <v>0.28000000000000003</v>
      </c>
      <c r="T1557" s="10">
        <f>IFERROR(ROUND((Q1557/R1557),2),"NA")</f>
        <v>0.33</v>
      </c>
      <c r="U1557">
        <f t="shared" si="24"/>
        <v>43.120000000000005</v>
      </c>
    </row>
    <row r="1558" spans="7:21" x14ac:dyDescent="0.2">
      <c r="G1558" s="9" t="s">
        <v>2133</v>
      </c>
      <c r="H1558">
        <v>270</v>
      </c>
      <c r="M1558" s="1" t="s">
        <v>2133</v>
      </c>
      <c r="N1558" s="1">
        <v>1100</v>
      </c>
      <c r="P1558" s="1" t="s">
        <v>2133</v>
      </c>
      <c r="Q1558" s="42">
        <v>270</v>
      </c>
      <c r="R1558" s="42">
        <v>1100</v>
      </c>
      <c r="S1558" s="42">
        <v>0.04</v>
      </c>
      <c r="T1558" s="10">
        <f>IFERROR(ROUND((Q1558/R1558),2),"NA")</f>
        <v>0.25</v>
      </c>
      <c r="U1558">
        <f t="shared" si="24"/>
        <v>10.8</v>
      </c>
    </row>
    <row r="1559" spans="7:21" x14ac:dyDescent="0.2">
      <c r="G1559" s="9" t="s">
        <v>2026</v>
      </c>
      <c r="H1559">
        <v>110</v>
      </c>
      <c r="M1559" s="1" t="s">
        <v>2026</v>
      </c>
      <c r="N1559" s="1">
        <v>1400</v>
      </c>
      <c r="P1559" s="1" t="s">
        <v>2026</v>
      </c>
      <c r="Q1559" s="42">
        <v>110</v>
      </c>
      <c r="R1559" s="42">
        <v>1400</v>
      </c>
      <c r="S1559" s="42">
        <v>0.33</v>
      </c>
      <c r="T1559" s="10">
        <f>IFERROR(ROUND((Q1559/R1559),2),"NA")</f>
        <v>0.08</v>
      </c>
      <c r="U1559">
        <f t="shared" si="24"/>
        <v>36.300000000000004</v>
      </c>
    </row>
    <row r="1560" spans="7:21" x14ac:dyDescent="0.2">
      <c r="G1560" s="9" t="s">
        <v>2162</v>
      </c>
      <c r="H1560">
        <v>80</v>
      </c>
      <c r="M1560" s="1" t="s">
        <v>2162</v>
      </c>
      <c r="N1560" s="1">
        <v>175</v>
      </c>
      <c r="P1560" s="1" t="s">
        <v>2162</v>
      </c>
      <c r="Q1560" s="42">
        <v>80</v>
      </c>
      <c r="R1560" s="42">
        <v>175</v>
      </c>
      <c r="S1560" s="42">
        <v>0.25</v>
      </c>
      <c r="T1560" s="10">
        <f>IFERROR(ROUND((Q1560/R1560),2),"NA")</f>
        <v>0.46</v>
      </c>
      <c r="U1560">
        <f t="shared" si="24"/>
        <v>20</v>
      </c>
    </row>
    <row r="1561" spans="7:21" x14ac:dyDescent="0.2">
      <c r="G1561" s="9" t="s">
        <v>1998</v>
      </c>
      <c r="H1561">
        <v>0</v>
      </c>
      <c r="M1561" s="1" t="s">
        <v>1998</v>
      </c>
      <c r="N1561" s="1">
        <v>58</v>
      </c>
      <c r="P1561" s="1" t="s">
        <v>1998</v>
      </c>
      <c r="Q1561" s="42">
        <v>0</v>
      </c>
      <c r="R1561" s="42">
        <v>58</v>
      </c>
      <c r="S1561" s="42">
        <v>0.33</v>
      </c>
      <c r="T1561" s="10">
        <f>IFERROR(ROUND((Q1561/R1561),2),"NA")</f>
        <v>0</v>
      </c>
      <c r="U1561">
        <f t="shared" si="24"/>
        <v>0</v>
      </c>
    </row>
    <row r="1562" spans="7:21" x14ac:dyDescent="0.2">
      <c r="G1562" s="9" t="s">
        <v>2920</v>
      </c>
      <c r="H1562">
        <v>75</v>
      </c>
      <c r="M1562" s="1" t="s">
        <v>2920</v>
      </c>
      <c r="N1562" s="1">
        <v>0</v>
      </c>
      <c r="P1562" s="1" t="s">
        <v>2920</v>
      </c>
      <c r="Q1562" s="42">
        <v>75</v>
      </c>
      <c r="R1562" s="42">
        <v>0</v>
      </c>
      <c r="S1562" s="42">
        <v>0.15</v>
      </c>
      <c r="T1562" s="10" t="str">
        <f>IFERROR(ROUND((Q1562/R1562),2),"NA")</f>
        <v>NA</v>
      </c>
      <c r="U1562">
        <f t="shared" si="24"/>
        <v>11.25</v>
      </c>
    </row>
    <row r="1563" spans="7:21" x14ac:dyDescent="0.2">
      <c r="G1563" s="9" t="s">
        <v>1865</v>
      </c>
      <c r="H1563">
        <v>0</v>
      </c>
      <c r="M1563" s="1" t="s">
        <v>1865</v>
      </c>
      <c r="N1563" s="1">
        <v>441</v>
      </c>
      <c r="P1563" s="1" t="s">
        <v>1865</v>
      </c>
      <c r="Q1563" s="42">
        <v>0</v>
      </c>
      <c r="R1563" s="42">
        <v>441</v>
      </c>
      <c r="S1563" s="42">
        <v>0</v>
      </c>
      <c r="T1563" s="10">
        <f>IFERROR(ROUND((Q1563/R1563),2),"NA")</f>
        <v>0</v>
      </c>
      <c r="U1563">
        <f t="shared" si="24"/>
        <v>0</v>
      </c>
    </row>
    <row r="1564" spans="7:21" x14ac:dyDescent="0.2">
      <c r="G1564" s="9" t="s">
        <v>1371</v>
      </c>
      <c r="H1564">
        <v>0</v>
      </c>
      <c r="M1564" s="1" t="s">
        <v>1371</v>
      </c>
      <c r="N1564" s="1">
        <v>214</v>
      </c>
      <c r="P1564" s="1" t="s">
        <v>1371</v>
      </c>
      <c r="Q1564" s="42">
        <v>0</v>
      </c>
      <c r="R1564" s="42">
        <v>214</v>
      </c>
      <c r="S1564" s="42">
        <v>0</v>
      </c>
      <c r="T1564" s="10">
        <f>IFERROR(ROUND((Q1564/R1564),2),"NA")</f>
        <v>0</v>
      </c>
      <c r="U1564">
        <f t="shared" si="24"/>
        <v>0</v>
      </c>
    </row>
    <row r="1565" spans="7:21" x14ac:dyDescent="0.2">
      <c r="G1565" s="9" t="s">
        <v>1889</v>
      </c>
      <c r="H1565">
        <v>20</v>
      </c>
      <c r="M1565" s="1" t="s">
        <v>1889</v>
      </c>
      <c r="N1565" s="1">
        <v>11</v>
      </c>
      <c r="P1565" s="1" t="s">
        <v>1889</v>
      </c>
      <c r="Q1565" s="42">
        <v>20</v>
      </c>
      <c r="R1565" s="42">
        <v>11</v>
      </c>
      <c r="S1565" s="42">
        <v>0.48</v>
      </c>
      <c r="T1565" s="10">
        <f>IFERROR(ROUND((Q1565/R1565),2),"NA")</f>
        <v>1.82</v>
      </c>
      <c r="U1565">
        <f t="shared" si="24"/>
        <v>9.6</v>
      </c>
    </row>
    <row r="1566" spans="7:21" x14ac:dyDescent="0.2">
      <c r="G1566" s="9" t="s">
        <v>1674</v>
      </c>
      <c r="H1566">
        <v>0</v>
      </c>
      <c r="M1566" s="1" t="s">
        <v>1674</v>
      </c>
      <c r="N1566" s="1">
        <v>8</v>
      </c>
      <c r="P1566" s="1" t="s">
        <v>1674</v>
      </c>
      <c r="Q1566" s="42">
        <v>0</v>
      </c>
      <c r="R1566" s="42">
        <v>8</v>
      </c>
      <c r="S1566" s="42">
        <v>0.4</v>
      </c>
      <c r="T1566" s="10">
        <f>IFERROR(ROUND((Q1566/R1566),2),"NA")</f>
        <v>0</v>
      </c>
      <c r="U1566">
        <f t="shared" si="24"/>
        <v>0</v>
      </c>
    </row>
    <row r="1567" spans="7:21" x14ac:dyDescent="0.2">
      <c r="G1567" s="9" t="s">
        <v>9</v>
      </c>
      <c r="H1567">
        <v>360</v>
      </c>
      <c r="M1567" s="1" t="s">
        <v>9</v>
      </c>
      <c r="N1567" s="1">
        <v>2024</v>
      </c>
      <c r="P1567" s="1" t="s">
        <v>9</v>
      </c>
      <c r="Q1567" s="42">
        <v>360</v>
      </c>
      <c r="R1567" s="42">
        <v>2024</v>
      </c>
      <c r="S1567" s="42">
        <v>0.13999999999999999</v>
      </c>
      <c r="T1567" s="10">
        <f>IFERROR(ROUND((Q1567/R1567),2),"NA")</f>
        <v>0.18</v>
      </c>
      <c r="U1567">
        <f t="shared" si="24"/>
        <v>50.399999999999991</v>
      </c>
    </row>
    <row r="1568" spans="7:21" x14ac:dyDescent="0.2">
      <c r="G1568" s="9" t="s">
        <v>1144</v>
      </c>
      <c r="H1568">
        <v>0</v>
      </c>
      <c r="M1568" s="1" t="s">
        <v>1144</v>
      </c>
      <c r="N1568" s="1">
        <v>9</v>
      </c>
      <c r="P1568" s="1" t="s">
        <v>1144</v>
      </c>
      <c r="Q1568" s="42">
        <v>0</v>
      </c>
      <c r="R1568" s="42">
        <v>9</v>
      </c>
      <c r="S1568" s="42">
        <v>0.25</v>
      </c>
      <c r="T1568" s="10">
        <f>IFERROR(ROUND((Q1568/R1568),2),"NA")</f>
        <v>0</v>
      </c>
      <c r="U1568">
        <f t="shared" si="24"/>
        <v>0</v>
      </c>
    </row>
    <row r="1569" spans="7:21" x14ac:dyDescent="0.2">
      <c r="G1569" s="9" t="s">
        <v>1885</v>
      </c>
      <c r="H1569">
        <v>0</v>
      </c>
      <c r="M1569" s="1" t="s">
        <v>1885</v>
      </c>
      <c r="N1569" s="1">
        <v>355</v>
      </c>
      <c r="P1569" s="1" t="s">
        <v>1885</v>
      </c>
      <c r="Q1569" s="42">
        <v>0</v>
      </c>
      <c r="R1569" s="42">
        <v>355</v>
      </c>
      <c r="S1569" s="42">
        <v>7.0000000000000007E-2</v>
      </c>
      <c r="T1569" s="10">
        <f>IFERROR(ROUND((Q1569/R1569),2),"NA")</f>
        <v>0</v>
      </c>
      <c r="U1569">
        <f t="shared" si="24"/>
        <v>0</v>
      </c>
    </row>
    <row r="1570" spans="7:21" x14ac:dyDescent="0.2">
      <c r="G1570" s="9" t="s">
        <v>1867</v>
      </c>
      <c r="H1570">
        <v>0</v>
      </c>
      <c r="M1570" s="1" t="s">
        <v>1867</v>
      </c>
      <c r="N1570" s="1">
        <v>381</v>
      </c>
      <c r="P1570" s="1" t="s">
        <v>1867</v>
      </c>
      <c r="Q1570" s="42">
        <v>0</v>
      </c>
      <c r="R1570" s="42">
        <v>381</v>
      </c>
      <c r="S1570" s="42">
        <v>0.19</v>
      </c>
      <c r="T1570" s="10">
        <f>IFERROR(ROUND((Q1570/R1570),2),"NA")</f>
        <v>0</v>
      </c>
      <c r="U1570">
        <f t="shared" si="24"/>
        <v>0</v>
      </c>
    </row>
    <row r="1571" spans="7:21" x14ac:dyDescent="0.2">
      <c r="G1571" s="9" t="s">
        <v>1510</v>
      </c>
      <c r="H1571">
        <v>16</v>
      </c>
      <c r="M1571" s="1" t="s">
        <v>1510</v>
      </c>
      <c r="N1571" s="1">
        <v>14</v>
      </c>
      <c r="P1571" s="1" t="s">
        <v>1510</v>
      </c>
      <c r="Q1571" s="42">
        <v>16</v>
      </c>
      <c r="R1571" s="42">
        <v>14</v>
      </c>
      <c r="S1571" s="42">
        <v>0</v>
      </c>
      <c r="T1571" s="10">
        <f>IFERROR(ROUND((Q1571/R1571),2),"NA")</f>
        <v>1.1399999999999999</v>
      </c>
      <c r="U1571">
        <f t="shared" si="24"/>
        <v>0</v>
      </c>
    </row>
    <row r="1572" spans="7:21" x14ac:dyDescent="0.2">
      <c r="G1572" s="9" t="s">
        <v>2903</v>
      </c>
      <c r="H1572">
        <v>40</v>
      </c>
      <c r="M1572" s="1" t="s">
        <v>2903</v>
      </c>
      <c r="N1572" s="1">
        <v>20</v>
      </c>
      <c r="P1572" s="1" t="s">
        <v>2903</v>
      </c>
      <c r="Q1572" s="42">
        <v>40</v>
      </c>
      <c r="R1572" s="42">
        <v>20</v>
      </c>
      <c r="S1572" s="42">
        <v>0</v>
      </c>
      <c r="T1572" s="10">
        <f>IFERROR(ROUND((Q1572/R1572),2),"NA")</f>
        <v>2</v>
      </c>
      <c r="U1572">
        <f t="shared" si="24"/>
        <v>0</v>
      </c>
    </row>
    <row r="1573" spans="7:21" x14ac:dyDescent="0.2">
      <c r="G1573" s="9" t="s">
        <v>2482</v>
      </c>
      <c r="H1573">
        <v>30</v>
      </c>
      <c r="M1573" s="1" t="s">
        <v>2482</v>
      </c>
      <c r="N1573" s="1">
        <v>85</v>
      </c>
      <c r="P1573" s="1" t="s">
        <v>2482</v>
      </c>
      <c r="Q1573" s="42">
        <v>30</v>
      </c>
      <c r="R1573" s="42">
        <v>85</v>
      </c>
      <c r="S1573" s="42">
        <v>0</v>
      </c>
      <c r="T1573" s="10">
        <f>IFERROR(ROUND((Q1573/R1573),2),"NA")</f>
        <v>0.35</v>
      </c>
      <c r="U1573">
        <f t="shared" si="24"/>
        <v>0</v>
      </c>
    </row>
    <row r="1574" spans="7:21" x14ac:dyDescent="0.2">
      <c r="G1574" s="9" t="s">
        <v>340</v>
      </c>
      <c r="H1574">
        <v>724</v>
      </c>
      <c r="M1574" s="1" t="s">
        <v>340</v>
      </c>
      <c r="N1574" s="1">
        <v>3600</v>
      </c>
      <c r="P1574" s="1" t="s">
        <v>340</v>
      </c>
      <c r="Q1574" s="42">
        <v>724</v>
      </c>
      <c r="R1574" s="42">
        <v>3600</v>
      </c>
      <c r="S1574" s="42">
        <v>6.0000000000000005E-2</v>
      </c>
      <c r="T1574" s="10">
        <f>IFERROR(ROUND((Q1574/R1574),2),"NA")</f>
        <v>0.2</v>
      </c>
      <c r="U1574">
        <f t="shared" si="24"/>
        <v>43.440000000000005</v>
      </c>
    </row>
    <row r="1575" spans="7:21" x14ac:dyDescent="0.2">
      <c r="G1575" s="9" t="s">
        <v>129</v>
      </c>
      <c r="H1575">
        <v>2980</v>
      </c>
      <c r="M1575" s="1" t="s">
        <v>129</v>
      </c>
      <c r="N1575" s="1">
        <v>23800</v>
      </c>
      <c r="P1575" s="1" t="s">
        <v>129</v>
      </c>
      <c r="Q1575" s="42">
        <v>2980</v>
      </c>
      <c r="R1575" s="42">
        <v>23800</v>
      </c>
      <c r="S1575" s="42">
        <v>0.1</v>
      </c>
      <c r="T1575" s="10">
        <f>IFERROR(ROUND((Q1575/R1575),2),"NA")</f>
        <v>0.13</v>
      </c>
      <c r="U1575">
        <f t="shared" si="24"/>
        <v>298</v>
      </c>
    </row>
    <row r="1576" spans="7:21" x14ac:dyDescent="0.2">
      <c r="G1576" s="9" t="s">
        <v>1471</v>
      </c>
      <c r="H1576">
        <v>0</v>
      </c>
      <c r="M1576" s="1" t="s">
        <v>1471</v>
      </c>
      <c r="N1576" s="1">
        <v>644</v>
      </c>
      <c r="P1576" s="1" t="s">
        <v>1471</v>
      </c>
      <c r="Q1576" s="42">
        <v>0</v>
      </c>
      <c r="R1576" s="42">
        <v>644</v>
      </c>
      <c r="S1576" s="42">
        <v>0</v>
      </c>
      <c r="T1576" s="10">
        <f>IFERROR(ROUND((Q1576/R1576),2),"NA")</f>
        <v>0</v>
      </c>
      <c r="U1576">
        <f t="shared" si="24"/>
        <v>0</v>
      </c>
    </row>
    <row r="1577" spans="7:21" x14ac:dyDescent="0.2">
      <c r="G1577" s="9" t="s">
        <v>611</v>
      </c>
      <c r="H1577">
        <v>450</v>
      </c>
      <c r="M1577" s="1" t="s">
        <v>611</v>
      </c>
      <c r="N1577" s="1">
        <v>1712</v>
      </c>
      <c r="P1577" s="1" t="s">
        <v>611</v>
      </c>
      <c r="Q1577" s="42">
        <v>450</v>
      </c>
      <c r="R1577" s="42">
        <v>1712</v>
      </c>
      <c r="S1577" s="42">
        <v>0.65500000000000003</v>
      </c>
      <c r="T1577" s="10">
        <f>IFERROR(ROUND((Q1577/R1577),2),"NA")</f>
        <v>0.26</v>
      </c>
      <c r="U1577">
        <f t="shared" si="24"/>
        <v>294.75</v>
      </c>
    </row>
    <row r="1578" spans="7:21" x14ac:dyDescent="0.2">
      <c r="G1578" s="9" t="s">
        <v>1401</v>
      </c>
      <c r="H1578">
        <v>215</v>
      </c>
      <c r="M1578" s="1" t="s">
        <v>1401</v>
      </c>
      <c r="N1578" s="1">
        <v>856</v>
      </c>
      <c r="P1578" s="1" t="s">
        <v>1401</v>
      </c>
      <c r="Q1578" s="42">
        <v>215</v>
      </c>
      <c r="R1578" s="42">
        <v>856</v>
      </c>
      <c r="S1578" s="42">
        <v>0</v>
      </c>
      <c r="T1578" s="10">
        <f>IFERROR(ROUND((Q1578/R1578),2),"NA")</f>
        <v>0.25</v>
      </c>
      <c r="U1578">
        <f t="shared" si="24"/>
        <v>0</v>
      </c>
    </row>
    <row r="1579" spans="7:21" x14ac:dyDescent="0.2">
      <c r="G1579" s="9" t="s">
        <v>1002</v>
      </c>
      <c r="H1579">
        <v>81</v>
      </c>
      <c r="M1579" s="1" t="s">
        <v>1002</v>
      </c>
      <c r="N1579" s="1">
        <v>184</v>
      </c>
      <c r="P1579" s="1" t="s">
        <v>1002</v>
      </c>
      <c r="Q1579" s="42">
        <v>81</v>
      </c>
      <c r="R1579" s="42">
        <v>184</v>
      </c>
      <c r="S1579" s="42">
        <v>0.11</v>
      </c>
      <c r="T1579" s="10">
        <f>IFERROR(ROUND((Q1579/R1579),2),"NA")</f>
        <v>0.44</v>
      </c>
      <c r="U1579">
        <f t="shared" si="24"/>
        <v>8.91</v>
      </c>
    </row>
    <row r="1580" spans="7:21" x14ac:dyDescent="0.2">
      <c r="G1580" s="9" t="s">
        <v>986</v>
      </c>
      <c r="H1580">
        <v>2300</v>
      </c>
      <c r="M1580" s="1" t="s">
        <v>986</v>
      </c>
      <c r="N1580" s="1">
        <v>0</v>
      </c>
      <c r="P1580" s="1" t="s">
        <v>986</v>
      </c>
      <c r="Q1580" s="42">
        <v>2300</v>
      </c>
      <c r="R1580" s="42">
        <v>0</v>
      </c>
      <c r="S1580" s="42">
        <v>0.15</v>
      </c>
      <c r="T1580" s="10" t="str">
        <f>IFERROR(ROUND((Q1580/R1580),2),"NA")</f>
        <v>NA</v>
      </c>
      <c r="U1580">
        <f t="shared" si="24"/>
        <v>345</v>
      </c>
    </row>
    <row r="1581" spans="7:21" x14ac:dyDescent="0.2">
      <c r="G1581" s="9" t="s">
        <v>2532</v>
      </c>
      <c r="H1581">
        <v>250</v>
      </c>
      <c r="M1581" s="1" t="s">
        <v>2532</v>
      </c>
      <c r="N1581" s="1">
        <v>28</v>
      </c>
      <c r="P1581" s="1" t="s">
        <v>2532</v>
      </c>
      <c r="Q1581" s="42">
        <v>250</v>
      </c>
      <c r="R1581" s="42">
        <v>28</v>
      </c>
      <c r="S1581" s="42">
        <v>0</v>
      </c>
      <c r="T1581" s="10">
        <f>IFERROR(ROUND((Q1581/R1581),2),"NA")</f>
        <v>8.93</v>
      </c>
      <c r="U1581">
        <f t="shared" si="24"/>
        <v>0</v>
      </c>
    </row>
    <row r="1582" spans="7:21" x14ac:dyDescent="0.2">
      <c r="G1582" s="9" t="s">
        <v>2771</v>
      </c>
      <c r="H1582">
        <v>136</v>
      </c>
      <c r="M1582" s="1" t="s">
        <v>2771</v>
      </c>
      <c r="N1582" s="1">
        <v>26</v>
      </c>
      <c r="P1582" s="1" t="s">
        <v>2771</v>
      </c>
      <c r="Q1582" s="42">
        <v>136</v>
      </c>
      <c r="R1582" s="42">
        <v>26</v>
      </c>
      <c r="S1582" s="42">
        <v>0.31</v>
      </c>
      <c r="T1582" s="10">
        <f>IFERROR(ROUND((Q1582/R1582),2),"NA")</f>
        <v>5.23</v>
      </c>
      <c r="U1582">
        <f t="shared" si="24"/>
        <v>42.16</v>
      </c>
    </row>
    <row r="1583" spans="7:21" x14ac:dyDescent="0.2">
      <c r="G1583" s="9" t="s">
        <v>1452</v>
      </c>
      <c r="H1583">
        <v>0</v>
      </c>
      <c r="M1583" s="1" t="s">
        <v>1452</v>
      </c>
      <c r="N1583" s="1">
        <v>137</v>
      </c>
      <c r="P1583" s="1" t="s">
        <v>1452</v>
      </c>
      <c r="Q1583" s="42">
        <v>0</v>
      </c>
      <c r="R1583" s="42">
        <v>137</v>
      </c>
      <c r="S1583" s="42">
        <v>0</v>
      </c>
      <c r="T1583" s="10">
        <f>IFERROR(ROUND((Q1583/R1583),2),"NA")</f>
        <v>0</v>
      </c>
      <c r="U1583">
        <f t="shared" si="24"/>
        <v>0</v>
      </c>
    </row>
    <row r="1584" spans="7:21" x14ac:dyDescent="0.2">
      <c r="G1584" s="9" t="s">
        <v>759</v>
      </c>
      <c r="H1584">
        <v>60</v>
      </c>
      <c r="M1584" s="1" t="s">
        <v>759</v>
      </c>
      <c r="N1584" s="1">
        <v>10</v>
      </c>
      <c r="P1584" s="1" t="s">
        <v>759</v>
      </c>
      <c r="Q1584" s="42">
        <v>60</v>
      </c>
      <c r="R1584" s="42">
        <v>10</v>
      </c>
      <c r="S1584" s="42">
        <v>0.35</v>
      </c>
      <c r="T1584" s="10">
        <f>IFERROR(ROUND((Q1584/R1584),2),"NA")</f>
        <v>6</v>
      </c>
      <c r="U1584">
        <f t="shared" si="24"/>
        <v>21</v>
      </c>
    </row>
    <row r="1585" spans="7:21" x14ac:dyDescent="0.2">
      <c r="G1585" s="9" t="s">
        <v>2151</v>
      </c>
      <c r="H1585">
        <v>145</v>
      </c>
      <c r="M1585" s="1" t="s">
        <v>2151</v>
      </c>
      <c r="N1585" s="1">
        <v>40</v>
      </c>
      <c r="P1585" s="1" t="s">
        <v>2151</v>
      </c>
      <c r="Q1585" s="42">
        <v>145</v>
      </c>
      <c r="R1585" s="42">
        <v>40</v>
      </c>
      <c r="S1585" s="42">
        <v>0.29000000000000004</v>
      </c>
      <c r="T1585" s="10">
        <f>IFERROR(ROUND((Q1585/R1585),2),"NA")</f>
        <v>3.63</v>
      </c>
      <c r="U1585">
        <f t="shared" si="24"/>
        <v>42.050000000000004</v>
      </c>
    </row>
    <row r="1586" spans="7:21" x14ac:dyDescent="0.2">
      <c r="G1586" s="9" t="s">
        <v>2576</v>
      </c>
      <c r="H1586">
        <v>0</v>
      </c>
      <c r="M1586" s="1" t="s">
        <v>2576</v>
      </c>
      <c r="N1586" s="1">
        <v>1200</v>
      </c>
      <c r="P1586" s="1" t="s">
        <v>2576</v>
      </c>
      <c r="Q1586" s="42">
        <v>0</v>
      </c>
      <c r="R1586" s="42">
        <v>1200</v>
      </c>
      <c r="S1586" s="42">
        <v>0</v>
      </c>
      <c r="T1586" s="10">
        <f>IFERROR(ROUND((Q1586/R1586),2),"NA")</f>
        <v>0</v>
      </c>
      <c r="U1586">
        <f t="shared" si="24"/>
        <v>0</v>
      </c>
    </row>
    <row r="1587" spans="7:21" x14ac:dyDescent="0.2">
      <c r="G1587" s="9" t="s">
        <v>1339</v>
      </c>
      <c r="H1587">
        <v>212</v>
      </c>
      <c r="M1587" s="1" t="s">
        <v>1339</v>
      </c>
      <c r="N1587" s="1">
        <v>884</v>
      </c>
      <c r="P1587" s="1" t="s">
        <v>1339</v>
      </c>
      <c r="Q1587" s="42">
        <v>212</v>
      </c>
      <c r="R1587" s="42">
        <v>884</v>
      </c>
      <c r="S1587" s="42">
        <v>0.2175</v>
      </c>
      <c r="T1587" s="10">
        <f>IFERROR(ROUND((Q1587/R1587),2),"NA")</f>
        <v>0.24</v>
      </c>
      <c r="U1587">
        <f t="shared" si="24"/>
        <v>46.11</v>
      </c>
    </row>
    <row r="1588" spans="7:21" x14ac:dyDescent="0.2">
      <c r="G1588" s="9" t="s">
        <v>1232</v>
      </c>
      <c r="H1588">
        <v>0</v>
      </c>
      <c r="M1588" s="1" t="s">
        <v>1232</v>
      </c>
      <c r="N1588" s="1">
        <v>9</v>
      </c>
      <c r="P1588" s="1" t="s">
        <v>1232</v>
      </c>
      <c r="Q1588" s="42">
        <v>0</v>
      </c>
      <c r="R1588" s="42">
        <v>9</v>
      </c>
      <c r="S1588" s="42">
        <v>0</v>
      </c>
      <c r="T1588" s="10">
        <f>IFERROR(ROUND((Q1588/R1588),2),"NA")</f>
        <v>0</v>
      </c>
      <c r="U1588">
        <f t="shared" si="24"/>
        <v>0</v>
      </c>
    </row>
    <row r="1589" spans="7:21" x14ac:dyDescent="0.2">
      <c r="G1589" s="9" t="s">
        <v>1749</v>
      </c>
      <c r="H1589">
        <v>0</v>
      </c>
      <c r="M1589" s="1" t="s">
        <v>1749</v>
      </c>
      <c r="N1589" s="1">
        <v>479</v>
      </c>
      <c r="P1589" s="1" t="s">
        <v>1749</v>
      </c>
      <c r="Q1589" s="42">
        <v>0</v>
      </c>
      <c r="R1589" s="42">
        <v>479</v>
      </c>
      <c r="S1589" s="42">
        <v>0.25</v>
      </c>
      <c r="T1589" s="10">
        <f>IFERROR(ROUND((Q1589/R1589),2),"NA")</f>
        <v>0</v>
      </c>
      <c r="U1589">
        <f t="shared" si="24"/>
        <v>0</v>
      </c>
    </row>
    <row r="1590" spans="7:21" x14ac:dyDescent="0.2">
      <c r="G1590" s="9" t="s">
        <v>2371</v>
      </c>
      <c r="H1590">
        <v>1100</v>
      </c>
      <c r="M1590" s="1" t="s">
        <v>2371</v>
      </c>
      <c r="N1590" s="1">
        <v>1336</v>
      </c>
      <c r="P1590" s="1" t="s">
        <v>2371</v>
      </c>
      <c r="Q1590" s="42">
        <v>1100</v>
      </c>
      <c r="R1590" s="42">
        <v>1336</v>
      </c>
      <c r="S1590" s="42">
        <v>0.17499999999999999</v>
      </c>
      <c r="T1590" s="10">
        <f>IFERROR(ROUND((Q1590/R1590),2),"NA")</f>
        <v>0.82</v>
      </c>
      <c r="U1590">
        <f t="shared" si="24"/>
        <v>192.5</v>
      </c>
    </row>
    <row r="1591" spans="7:21" x14ac:dyDescent="0.2">
      <c r="G1591" s="9" t="s">
        <v>2894</v>
      </c>
      <c r="H1591">
        <v>451</v>
      </c>
      <c r="M1591" s="1" t="s">
        <v>2894</v>
      </c>
      <c r="N1591" s="1">
        <v>3000</v>
      </c>
      <c r="P1591" s="1" t="s">
        <v>2894</v>
      </c>
      <c r="Q1591" s="42">
        <v>451</v>
      </c>
      <c r="R1591" s="42">
        <v>3000</v>
      </c>
      <c r="S1591" s="42">
        <v>0.85</v>
      </c>
      <c r="T1591" s="10">
        <f>IFERROR(ROUND((Q1591/R1591),2),"NA")</f>
        <v>0.15</v>
      </c>
      <c r="U1591">
        <f t="shared" si="24"/>
        <v>383.34999999999997</v>
      </c>
    </row>
    <row r="1592" spans="7:21" x14ac:dyDescent="0.2">
      <c r="G1592" s="9" t="s">
        <v>880</v>
      </c>
      <c r="H1592">
        <v>0</v>
      </c>
      <c r="M1592" s="1" t="s">
        <v>880</v>
      </c>
      <c r="N1592" s="1">
        <v>182</v>
      </c>
      <c r="P1592" s="1" t="s">
        <v>880</v>
      </c>
      <c r="Q1592" s="42">
        <v>0</v>
      </c>
      <c r="R1592" s="42">
        <v>182</v>
      </c>
      <c r="S1592" s="42">
        <v>0</v>
      </c>
      <c r="T1592" s="10">
        <f>IFERROR(ROUND((Q1592/R1592),2),"NA")</f>
        <v>0</v>
      </c>
      <c r="U1592">
        <f t="shared" si="24"/>
        <v>0</v>
      </c>
    </row>
    <row r="1593" spans="7:21" x14ac:dyDescent="0.2">
      <c r="G1593" s="9" t="s">
        <v>2169</v>
      </c>
      <c r="H1593">
        <v>0</v>
      </c>
      <c r="M1593" s="1" t="s">
        <v>2169</v>
      </c>
      <c r="N1593" s="1">
        <v>0</v>
      </c>
      <c r="P1593" s="1" t="s">
        <v>2169</v>
      </c>
      <c r="Q1593" s="42">
        <v>0</v>
      </c>
      <c r="R1593" s="42">
        <v>0</v>
      </c>
      <c r="S1593" s="42">
        <v>0</v>
      </c>
      <c r="T1593" s="10" t="str">
        <f>IFERROR(ROUND((Q1593/R1593),2),"NA")</f>
        <v>NA</v>
      </c>
      <c r="U1593">
        <f t="shared" si="24"/>
        <v>0</v>
      </c>
    </row>
    <row r="1594" spans="7:21" x14ac:dyDescent="0.2">
      <c r="G1594" s="9" t="s">
        <v>2905</v>
      </c>
      <c r="H1594">
        <v>20</v>
      </c>
      <c r="M1594" s="1" t="s">
        <v>2905</v>
      </c>
      <c r="N1594" s="1">
        <v>25</v>
      </c>
      <c r="P1594" s="1" t="s">
        <v>2905</v>
      </c>
      <c r="Q1594" s="42">
        <v>20</v>
      </c>
      <c r="R1594" s="42">
        <v>25</v>
      </c>
      <c r="S1594" s="42">
        <v>0</v>
      </c>
      <c r="T1594" s="10">
        <f>IFERROR(ROUND((Q1594/R1594),2),"NA")</f>
        <v>0.8</v>
      </c>
      <c r="U1594">
        <f t="shared" si="24"/>
        <v>0</v>
      </c>
    </row>
    <row r="1595" spans="7:21" x14ac:dyDescent="0.2">
      <c r="G1595" s="9" t="s">
        <v>2668</v>
      </c>
      <c r="H1595">
        <v>0</v>
      </c>
      <c r="M1595" s="1" t="s">
        <v>2668</v>
      </c>
      <c r="N1595" s="1">
        <v>170</v>
      </c>
      <c r="P1595" s="1" t="s">
        <v>2668</v>
      </c>
      <c r="Q1595" s="42">
        <v>0</v>
      </c>
      <c r="R1595" s="42">
        <v>170</v>
      </c>
      <c r="S1595" s="42">
        <v>0</v>
      </c>
      <c r="T1595" s="10">
        <f>IFERROR(ROUND((Q1595/R1595),2),"NA")</f>
        <v>0</v>
      </c>
      <c r="U1595">
        <f t="shared" si="24"/>
        <v>0</v>
      </c>
    </row>
    <row r="1596" spans="7:21" x14ac:dyDescent="0.2">
      <c r="G1596" s="9" t="s">
        <v>1154</v>
      </c>
      <c r="H1596">
        <v>47</v>
      </c>
      <c r="M1596" s="1" t="s">
        <v>1154</v>
      </c>
      <c r="N1596" s="1">
        <v>190</v>
      </c>
      <c r="P1596" s="1" t="s">
        <v>1154</v>
      </c>
      <c r="Q1596" s="42">
        <v>47</v>
      </c>
      <c r="R1596" s="42">
        <v>190</v>
      </c>
      <c r="S1596" s="42">
        <v>0</v>
      </c>
      <c r="T1596" s="10">
        <f>IFERROR(ROUND((Q1596/R1596),2),"NA")</f>
        <v>0.25</v>
      </c>
      <c r="U1596">
        <f t="shared" si="24"/>
        <v>0</v>
      </c>
    </row>
    <row r="1597" spans="7:21" x14ac:dyDescent="0.2">
      <c r="G1597" s="9" t="s">
        <v>1396</v>
      </c>
      <c r="H1597">
        <v>0</v>
      </c>
      <c r="M1597" s="1" t="s">
        <v>1396</v>
      </c>
      <c r="N1597" s="1">
        <v>140</v>
      </c>
      <c r="P1597" s="1" t="s">
        <v>1396</v>
      </c>
      <c r="Q1597" s="42">
        <v>0</v>
      </c>
      <c r="R1597" s="42">
        <v>140</v>
      </c>
      <c r="S1597" s="42">
        <v>0</v>
      </c>
      <c r="T1597" s="10">
        <f>IFERROR(ROUND((Q1597/R1597),2),"NA")</f>
        <v>0</v>
      </c>
      <c r="U1597">
        <f t="shared" si="24"/>
        <v>0</v>
      </c>
    </row>
    <row r="1598" spans="7:21" x14ac:dyDescent="0.2">
      <c r="G1598" s="9" t="s">
        <v>2816</v>
      </c>
      <c r="H1598">
        <v>18</v>
      </c>
      <c r="M1598" s="1" t="s">
        <v>2816</v>
      </c>
      <c r="N1598" s="1">
        <v>24</v>
      </c>
      <c r="P1598" s="1" t="s">
        <v>2816</v>
      </c>
      <c r="Q1598" s="42">
        <v>18</v>
      </c>
      <c r="R1598" s="42">
        <v>24</v>
      </c>
      <c r="S1598" s="42">
        <v>0.25</v>
      </c>
      <c r="T1598" s="10">
        <f>IFERROR(ROUND((Q1598/R1598),2),"NA")</f>
        <v>0.75</v>
      </c>
      <c r="U1598">
        <f t="shared" si="24"/>
        <v>4.5</v>
      </c>
    </row>
    <row r="1599" spans="7:21" x14ac:dyDescent="0.2">
      <c r="G1599" s="9" t="s">
        <v>1179</v>
      </c>
      <c r="H1599">
        <v>0</v>
      </c>
      <c r="M1599" s="1" t="s">
        <v>1179</v>
      </c>
      <c r="N1599" s="1">
        <v>150</v>
      </c>
      <c r="P1599" s="1" t="s">
        <v>1179</v>
      </c>
      <c r="Q1599" s="42">
        <v>0</v>
      </c>
      <c r="R1599" s="42">
        <v>150</v>
      </c>
      <c r="S1599" s="42">
        <v>0.25</v>
      </c>
      <c r="T1599" s="10">
        <f>IFERROR(ROUND((Q1599/R1599),2),"NA")</f>
        <v>0</v>
      </c>
      <c r="U1599">
        <f t="shared" si="24"/>
        <v>0</v>
      </c>
    </row>
    <row r="1600" spans="7:21" x14ac:dyDescent="0.2">
      <c r="G1600" s="9" t="s">
        <v>1160</v>
      </c>
      <c r="H1600">
        <v>1710</v>
      </c>
      <c r="M1600" s="1" t="s">
        <v>1160</v>
      </c>
      <c r="N1600" s="1">
        <v>5300</v>
      </c>
      <c r="P1600" s="1" t="s">
        <v>1160</v>
      </c>
      <c r="Q1600" s="42">
        <v>1710</v>
      </c>
      <c r="R1600" s="42">
        <v>5300</v>
      </c>
      <c r="S1600" s="42">
        <v>0.2</v>
      </c>
      <c r="T1600" s="10">
        <f>IFERROR(ROUND((Q1600/R1600),2),"NA")</f>
        <v>0.32</v>
      </c>
      <c r="U1600">
        <f t="shared" si="24"/>
        <v>342</v>
      </c>
    </row>
    <row r="1601" spans="7:21" x14ac:dyDescent="0.2">
      <c r="G1601" s="9" t="s">
        <v>1417</v>
      </c>
      <c r="H1601">
        <v>83</v>
      </c>
      <c r="M1601" s="1" t="s">
        <v>1417</v>
      </c>
      <c r="N1601" s="1">
        <v>299</v>
      </c>
      <c r="P1601" s="1" t="s">
        <v>1417</v>
      </c>
      <c r="Q1601" s="42">
        <v>83</v>
      </c>
      <c r="R1601" s="42">
        <v>299</v>
      </c>
      <c r="S1601" s="42">
        <v>1</v>
      </c>
      <c r="T1601" s="10">
        <f>IFERROR(ROUND((Q1601/R1601),2),"NA")</f>
        <v>0.28000000000000003</v>
      </c>
      <c r="U1601">
        <f t="shared" si="24"/>
        <v>83</v>
      </c>
    </row>
    <row r="1602" spans="7:21" x14ac:dyDescent="0.2">
      <c r="G1602" s="9" t="s">
        <v>599</v>
      </c>
      <c r="H1602">
        <v>0</v>
      </c>
      <c r="M1602" s="1" t="s">
        <v>599</v>
      </c>
      <c r="N1602" s="1">
        <v>854</v>
      </c>
      <c r="P1602" s="1" t="s">
        <v>599</v>
      </c>
      <c r="Q1602" s="42">
        <v>0</v>
      </c>
      <c r="R1602" s="42">
        <v>854</v>
      </c>
      <c r="S1602" s="42">
        <v>0.35</v>
      </c>
      <c r="T1602" s="10">
        <f>IFERROR(ROUND((Q1602/R1602),2),"NA")</f>
        <v>0</v>
      </c>
      <c r="U1602">
        <f t="shared" si="24"/>
        <v>0</v>
      </c>
    </row>
    <row r="1603" spans="7:21" x14ac:dyDescent="0.2">
      <c r="G1603" s="9" t="s">
        <v>602</v>
      </c>
      <c r="H1603">
        <v>0</v>
      </c>
      <c r="M1603" s="1" t="s">
        <v>602</v>
      </c>
      <c r="N1603" s="1">
        <v>200</v>
      </c>
      <c r="P1603" s="1" t="s">
        <v>602</v>
      </c>
      <c r="Q1603" s="42">
        <v>0</v>
      </c>
      <c r="R1603" s="42">
        <v>200</v>
      </c>
      <c r="S1603" s="42">
        <v>0</v>
      </c>
      <c r="T1603" s="10">
        <f>IFERROR(ROUND((Q1603/R1603),2),"NA")</f>
        <v>0</v>
      </c>
      <c r="U1603">
        <f t="shared" si="24"/>
        <v>0</v>
      </c>
    </row>
    <row r="1604" spans="7:21" x14ac:dyDescent="0.2">
      <c r="G1604" s="9" t="s">
        <v>1463</v>
      </c>
      <c r="H1604">
        <v>0</v>
      </c>
      <c r="M1604" s="1" t="s">
        <v>1463</v>
      </c>
      <c r="N1604" s="1">
        <v>1100</v>
      </c>
      <c r="P1604" s="1" t="s">
        <v>1463</v>
      </c>
      <c r="Q1604" s="42">
        <v>0</v>
      </c>
      <c r="R1604" s="42">
        <v>1100</v>
      </c>
      <c r="S1604" s="42">
        <v>0.08</v>
      </c>
      <c r="T1604" s="10">
        <f>IFERROR(ROUND((Q1604/R1604),2),"NA")</f>
        <v>0</v>
      </c>
      <c r="U1604">
        <f t="shared" si="24"/>
        <v>0</v>
      </c>
    </row>
    <row r="1605" spans="7:21" x14ac:dyDescent="0.2">
      <c r="G1605" s="9" t="s">
        <v>2351</v>
      </c>
      <c r="H1605">
        <v>14</v>
      </c>
      <c r="M1605" s="1" t="s">
        <v>2351</v>
      </c>
      <c r="N1605" s="1">
        <v>223</v>
      </c>
      <c r="P1605" s="1" t="s">
        <v>2351</v>
      </c>
      <c r="Q1605" s="42">
        <v>14</v>
      </c>
      <c r="R1605" s="42">
        <v>223</v>
      </c>
      <c r="S1605" s="42">
        <v>0.05</v>
      </c>
      <c r="T1605" s="10">
        <f>IFERROR(ROUND((Q1605/R1605),2),"NA")</f>
        <v>0.06</v>
      </c>
      <c r="U1605">
        <f t="shared" ref="U1605:U1668" si="25">Q1605*S1605</f>
        <v>0.70000000000000007</v>
      </c>
    </row>
    <row r="1606" spans="7:21" x14ac:dyDescent="0.2">
      <c r="G1606" s="9" t="s">
        <v>2701</v>
      </c>
      <c r="H1606">
        <v>35</v>
      </c>
      <c r="M1606" s="1" t="s">
        <v>2701</v>
      </c>
      <c r="N1606" s="1">
        <v>70</v>
      </c>
      <c r="P1606" s="1" t="s">
        <v>2701</v>
      </c>
      <c r="Q1606" s="42">
        <v>35</v>
      </c>
      <c r="R1606" s="42">
        <v>70</v>
      </c>
      <c r="S1606" s="42">
        <v>0.15</v>
      </c>
      <c r="T1606" s="10">
        <f>IFERROR(ROUND((Q1606/R1606),2),"NA")</f>
        <v>0.5</v>
      </c>
      <c r="U1606">
        <f t="shared" si="25"/>
        <v>5.25</v>
      </c>
    </row>
    <row r="1607" spans="7:21" x14ac:dyDescent="0.2">
      <c r="G1607" s="9" t="s">
        <v>1020</v>
      </c>
      <c r="H1607">
        <v>0</v>
      </c>
      <c r="M1607" s="1" t="s">
        <v>1020</v>
      </c>
      <c r="N1607" s="1">
        <v>7</v>
      </c>
      <c r="P1607" s="1" t="s">
        <v>1020</v>
      </c>
      <c r="Q1607" s="42">
        <v>0</v>
      </c>
      <c r="R1607" s="42">
        <v>7</v>
      </c>
      <c r="S1607" s="42">
        <v>1</v>
      </c>
      <c r="T1607" s="10">
        <f>IFERROR(ROUND((Q1607/R1607),2),"NA")</f>
        <v>0</v>
      </c>
      <c r="U1607">
        <f t="shared" si="25"/>
        <v>0</v>
      </c>
    </row>
    <row r="1608" spans="7:21" x14ac:dyDescent="0.2">
      <c r="G1608" s="9" t="s">
        <v>589</v>
      </c>
      <c r="H1608">
        <v>340</v>
      </c>
      <c r="M1608" s="1" t="s">
        <v>589</v>
      </c>
      <c r="N1608" s="1">
        <v>1332</v>
      </c>
      <c r="P1608" s="1" t="s">
        <v>589</v>
      </c>
      <c r="Q1608" s="42">
        <v>340</v>
      </c>
      <c r="R1608" s="42">
        <v>1332</v>
      </c>
      <c r="S1608" s="42">
        <v>8.5000000000000006E-2</v>
      </c>
      <c r="T1608" s="10">
        <f>IFERROR(ROUND((Q1608/R1608),2),"NA")</f>
        <v>0.26</v>
      </c>
      <c r="U1608">
        <f t="shared" si="25"/>
        <v>28.900000000000002</v>
      </c>
    </row>
    <row r="1609" spans="7:21" x14ac:dyDescent="0.2">
      <c r="G1609" s="9" t="s">
        <v>2571</v>
      </c>
      <c r="H1609">
        <v>60</v>
      </c>
      <c r="M1609" s="1" t="s">
        <v>2571</v>
      </c>
      <c r="N1609" s="1">
        <v>251.2</v>
      </c>
      <c r="P1609" s="1" t="s">
        <v>2571</v>
      </c>
      <c r="Q1609" s="42">
        <v>60</v>
      </c>
      <c r="R1609" s="42">
        <v>251.2</v>
      </c>
      <c r="S1609" s="42">
        <v>0.15</v>
      </c>
      <c r="T1609" s="10">
        <f>IFERROR(ROUND((Q1609/R1609),2),"NA")</f>
        <v>0.24</v>
      </c>
      <c r="U1609">
        <f t="shared" si="25"/>
        <v>9</v>
      </c>
    </row>
    <row r="1610" spans="7:21" x14ac:dyDescent="0.2">
      <c r="G1610" s="9" t="s">
        <v>1582</v>
      </c>
      <c r="H1610">
        <v>200</v>
      </c>
      <c r="M1610" s="1" t="s">
        <v>1582</v>
      </c>
      <c r="N1610" s="1">
        <v>0</v>
      </c>
      <c r="P1610" s="1" t="s">
        <v>1582</v>
      </c>
      <c r="Q1610" s="42">
        <v>200</v>
      </c>
      <c r="R1610" s="42">
        <v>0</v>
      </c>
      <c r="S1610" s="42">
        <v>0</v>
      </c>
      <c r="T1610" s="10" t="str">
        <f>IFERROR(ROUND((Q1610/R1610),2),"NA")</f>
        <v>NA</v>
      </c>
      <c r="U1610">
        <f t="shared" si="25"/>
        <v>0</v>
      </c>
    </row>
    <row r="1611" spans="7:21" x14ac:dyDescent="0.2">
      <c r="G1611" s="9" t="s">
        <v>2125</v>
      </c>
      <c r="H1611">
        <v>0</v>
      </c>
      <c r="M1611" s="1" t="s">
        <v>2125</v>
      </c>
      <c r="N1611" s="1">
        <v>20</v>
      </c>
      <c r="P1611" s="1" t="s">
        <v>2125</v>
      </c>
      <c r="Q1611" s="42">
        <v>0</v>
      </c>
      <c r="R1611" s="42">
        <v>20</v>
      </c>
      <c r="S1611" s="42">
        <v>0</v>
      </c>
      <c r="T1611" s="10">
        <f>IFERROR(ROUND((Q1611/R1611),2),"NA")</f>
        <v>0</v>
      </c>
      <c r="U1611">
        <f t="shared" si="25"/>
        <v>0</v>
      </c>
    </row>
    <row r="1612" spans="7:21" x14ac:dyDescent="0.2">
      <c r="G1612" s="9" t="s">
        <v>218</v>
      </c>
      <c r="H1612">
        <v>100</v>
      </c>
      <c r="M1612" s="1" t="s">
        <v>218</v>
      </c>
      <c r="N1612" s="1">
        <v>0</v>
      </c>
      <c r="P1612" s="1" t="s">
        <v>218</v>
      </c>
      <c r="Q1612" s="42">
        <v>100</v>
      </c>
      <c r="R1612" s="42">
        <v>0</v>
      </c>
      <c r="S1612" s="42">
        <v>0</v>
      </c>
      <c r="T1612" s="10" t="str">
        <f>IFERROR(ROUND((Q1612/R1612),2),"NA")</f>
        <v>NA</v>
      </c>
      <c r="U1612">
        <f t="shared" si="25"/>
        <v>0</v>
      </c>
    </row>
    <row r="1613" spans="7:21" x14ac:dyDescent="0.2">
      <c r="G1613" s="9" t="s">
        <v>476</v>
      </c>
      <c r="H1613">
        <v>60</v>
      </c>
      <c r="M1613" s="1" t="s">
        <v>476</v>
      </c>
      <c r="N1613" s="1">
        <v>632</v>
      </c>
      <c r="P1613" s="1" t="s">
        <v>476</v>
      </c>
      <c r="Q1613" s="42">
        <v>60</v>
      </c>
      <c r="R1613" s="42">
        <v>632</v>
      </c>
      <c r="S1613" s="42">
        <v>0.15</v>
      </c>
      <c r="T1613" s="10">
        <f>IFERROR(ROUND((Q1613/R1613),2),"NA")</f>
        <v>0.09</v>
      </c>
      <c r="U1613">
        <f t="shared" si="25"/>
        <v>9</v>
      </c>
    </row>
    <row r="1614" spans="7:21" x14ac:dyDescent="0.2">
      <c r="G1614" s="9" t="s">
        <v>30</v>
      </c>
      <c r="H1614">
        <v>212</v>
      </c>
      <c r="M1614" s="1" t="s">
        <v>30</v>
      </c>
      <c r="N1614" s="1">
        <v>258</v>
      </c>
      <c r="P1614" s="1" t="s">
        <v>30</v>
      </c>
      <c r="Q1614" s="42">
        <v>212</v>
      </c>
      <c r="R1614" s="42">
        <v>258</v>
      </c>
      <c r="S1614" s="42">
        <v>0.28333333333333333</v>
      </c>
      <c r="T1614" s="10">
        <f>IFERROR(ROUND((Q1614/R1614),2),"NA")</f>
        <v>0.82</v>
      </c>
      <c r="U1614">
        <f t="shared" si="25"/>
        <v>60.066666666666663</v>
      </c>
    </row>
    <row r="1615" spans="7:21" x14ac:dyDescent="0.2">
      <c r="G1615" s="9" t="s">
        <v>603</v>
      </c>
      <c r="H1615">
        <v>180</v>
      </c>
      <c r="M1615" s="1" t="s">
        <v>603</v>
      </c>
      <c r="N1615" s="1">
        <v>1888</v>
      </c>
      <c r="P1615" s="1" t="s">
        <v>603</v>
      </c>
      <c r="Q1615" s="42">
        <v>180</v>
      </c>
      <c r="R1615" s="42">
        <v>1888</v>
      </c>
      <c r="S1615" s="42">
        <v>0.1</v>
      </c>
      <c r="T1615" s="10">
        <f>IFERROR(ROUND((Q1615/R1615),2),"NA")</f>
        <v>0.1</v>
      </c>
      <c r="U1615">
        <f t="shared" si="25"/>
        <v>18</v>
      </c>
    </row>
    <row r="1616" spans="7:21" x14ac:dyDescent="0.2">
      <c r="G1616" s="9" t="s">
        <v>2676</v>
      </c>
      <c r="H1616">
        <v>400</v>
      </c>
      <c r="M1616" s="1" t="s">
        <v>2676</v>
      </c>
      <c r="N1616" s="1">
        <v>175</v>
      </c>
      <c r="P1616" s="1" t="s">
        <v>2676</v>
      </c>
      <c r="Q1616" s="42">
        <v>400</v>
      </c>
      <c r="R1616" s="42">
        <v>175</v>
      </c>
      <c r="S1616" s="42">
        <v>0.2</v>
      </c>
      <c r="T1616" s="10">
        <f>IFERROR(ROUND((Q1616/R1616),2),"NA")</f>
        <v>2.29</v>
      </c>
      <c r="U1616">
        <f t="shared" si="25"/>
        <v>80</v>
      </c>
    </row>
    <row r="1617" spans="7:21" x14ac:dyDescent="0.2">
      <c r="G1617" s="9" t="s">
        <v>2719</v>
      </c>
      <c r="H1617">
        <v>70</v>
      </c>
      <c r="M1617" s="1" t="s">
        <v>2719</v>
      </c>
      <c r="N1617" s="1">
        <v>1300</v>
      </c>
      <c r="P1617" s="1" t="s">
        <v>2719</v>
      </c>
      <c r="Q1617" s="42">
        <v>70</v>
      </c>
      <c r="R1617" s="42">
        <v>1300</v>
      </c>
      <c r="S1617" s="42">
        <v>0.05</v>
      </c>
      <c r="T1617" s="10">
        <f>IFERROR(ROUND((Q1617/R1617),2),"NA")</f>
        <v>0.05</v>
      </c>
      <c r="U1617">
        <f t="shared" si="25"/>
        <v>3.5</v>
      </c>
    </row>
    <row r="1618" spans="7:21" x14ac:dyDescent="0.2">
      <c r="G1618" s="9" t="s">
        <v>586</v>
      </c>
      <c r="H1618">
        <v>0</v>
      </c>
      <c r="M1618" s="1" t="s">
        <v>586</v>
      </c>
      <c r="N1618" s="1">
        <v>7</v>
      </c>
      <c r="P1618" s="1" t="s">
        <v>586</v>
      </c>
      <c r="Q1618" s="42">
        <v>0</v>
      </c>
      <c r="R1618" s="42">
        <v>7</v>
      </c>
      <c r="S1618" s="42">
        <v>1</v>
      </c>
      <c r="T1618" s="10">
        <f>IFERROR(ROUND((Q1618/R1618),2),"NA")</f>
        <v>0</v>
      </c>
      <c r="U1618">
        <f t="shared" si="25"/>
        <v>0</v>
      </c>
    </row>
    <row r="1619" spans="7:21" x14ac:dyDescent="0.2">
      <c r="G1619" s="9" t="s">
        <v>205</v>
      </c>
      <c r="H1619">
        <v>67</v>
      </c>
      <c r="M1619" s="1" t="s">
        <v>205</v>
      </c>
      <c r="N1619" s="1">
        <v>109</v>
      </c>
      <c r="P1619" s="1" t="s">
        <v>205</v>
      </c>
      <c r="Q1619" s="42">
        <v>67</v>
      </c>
      <c r="R1619" s="42">
        <v>109</v>
      </c>
      <c r="S1619" s="42">
        <v>0</v>
      </c>
      <c r="T1619" s="10">
        <f>IFERROR(ROUND((Q1619/R1619),2),"NA")</f>
        <v>0.61</v>
      </c>
      <c r="U1619">
        <f t="shared" si="25"/>
        <v>0</v>
      </c>
    </row>
    <row r="1620" spans="7:21" x14ac:dyDescent="0.2">
      <c r="G1620" s="9" t="s">
        <v>1723</v>
      </c>
      <c r="H1620">
        <v>80</v>
      </c>
      <c r="M1620" s="1" t="s">
        <v>1723</v>
      </c>
      <c r="N1620" s="1">
        <v>462</v>
      </c>
      <c r="P1620" s="1" t="s">
        <v>1723</v>
      </c>
      <c r="Q1620" s="42">
        <v>80</v>
      </c>
      <c r="R1620" s="42">
        <v>462</v>
      </c>
      <c r="S1620" s="42">
        <v>0.5</v>
      </c>
      <c r="T1620" s="10">
        <f>IFERROR(ROUND((Q1620/R1620),2),"NA")</f>
        <v>0.17</v>
      </c>
      <c r="U1620">
        <f t="shared" si="25"/>
        <v>40</v>
      </c>
    </row>
    <row r="1621" spans="7:21" x14ac:dyDescent="0.2">
      <c r="G1621" s="9" t="s">
        <v>311</v>
      </c>
      <c r="H1621">
        <v>65</v>
      </c>
      <c r="M1621" s="1" t="s">
        <v>311</v>
      </c>
      <c r="N1621" s="1">
        <v>247</v>
      </c>
      <c r="P1621" s="1" t="s">
        <v>311</v>
      </c>
      <c r="Q1621" s="42">
        <v>65</v>
      </c>
      <c r="R1621" s="42">
        <v>247</v>
      </c>
      <c r="S1621" s="42">
        <v>0.15</v>
      </c>
      <c r="T1621" s="10">
        <f>IFERROR(ROUND((Q1621/R1621),2),"NA")</f>
        <v>0.26</v>
      </c>
      <c r="U1621">
        <f t="shared" si="25"/>
        <v>9.75</v>
      </c>
    </row>
    <row r="1622" spans="7:21" x14ac:dyDescent="0.2">
      <c r="G1622" s="9" t="s">
        <v>252</v>
      </c>
      <c r="H1622">
        <v>168</v>
      </c>
      <c r="M1622" s="1" t="s">
        <v>252</v>
      </c>
      <c r="N1622" s="1">
        <v>780</v>
      </c>
      <c r="P1622" s="1" t="s">
        <v>252</v>
      </c>
      <c r="Q1622" s="42">
        <v>168</v>
      </c>
      <c r="R1622" s="42">
        <v>780</v>
      </c>
      <c r="S1622" s="42">
        <v>0.19</v>
      </c>
      <c r="T1622" s="10">
        <f>IFERROR(ROUND((Q1622/R1622),2),"NA")</f>
        <v>0.22</v>
      </c>
      <c r="U1622">
        <f t="shared" si="25"/>
        <v>31.92</v>
      </c>
    </row>
    <row r="1623" spans="7:21" x14ac:dyDescent="0.2">
      <c r="G1623" s="9" t="s">
        <v>2032</v>
      </c>
      <c r="H1623">
        <v>0</v>
      </c>
      <c r="M1623" s="1" t="s">
        <v>2032</v>
      </c>
      <c r="N1623" s="1">
        <v>414</v>
      </c>
      <c r="P1623" s="1" t="s">
        <v>2032</v>
      </c>
      <c r="Q1623" s="42">
        <v>0</v>
      </c>
      <c r="R1623" s="42">
        <v>414</v>
      </c>
      <c r="S1623" s="42">
        <v>0.1</v>
      </c>
      <c r="T1623" s="10">
        <f>IFERROR(ROUND((Q1623/R1623),2),"NA")</f>
        <v>0</v>
      </c>
      <c r="U1623">
        <f t="shared" si="25"/>
        <v>0</v>
      </c>
    </row>
    <row r="1624" spans="7:21" x14ac:dyDescent="0.2">
      <c r="G1624" s="9" t="s">
        <v>2921</v>
      </c>
      <c r="H1624">
        <v>52</v>
      </c>
      <c r="M1624" s="1" t="s">
        <v>2921</v>
      </c>
      <c r="N1624" s="1">
        <v>48</v>
      </c>
      <c r="P1624" s="1" t="s">
        <v>2921</v>
      </c>
      <c r="Q1624" s="42">
        <v>52</v>
      </c>
      <c r="R1624" s="42">
        <v>48</v>
      </c>
      <c r="S1624" s="42">
        <v>0.28000000000000003</v>
      </c>
      <c r="T1624" s="10">
        <f>IFERROR(ROUND((Q1624/R1624),2),"NA")</f>
        <v>1.08</v>
      </c>
      <c r="U1624">
        <f t="shared" si="25"/>
        <v>14.560000000000002</v>
      </c>
    </row>
    <row r="1625" spans="7:21" x14ac:dyDescent="0.2">
      <c r="G1625" s="9" t="s">
        <v>1042</v>
      </c>
      <c r="H1625">
        <v>128</v>
      </c>
      <c r="M1625" s="1" t="s">
        <v>1042</v>
      </c>
      <c r="N1625" s="1">
        <v>788</v>
      </c>
      <c r="P1625" s="1" t="s">
        <v>1042</v>
      </c>
      <c r="Q1625" s="42">
        <v>128</v>
      </c>
      <c r="R1625" s="42">
        <v>788</v>
      </c>
      <c r="S1625" s="42">
        <v>6.5000000000000002E-2</v>
      </c>
      <c r="T1625" s="10">
        <f>IFERROR(ROUND((Q1625/R1625),2),"NA")</f>
        <v>0.16</v>
      </c>
      <c r="U1625">
        <f t="shared" si="25"/>
        <v>8.32</v>
      </c>
    </row>
    <row r="1626" spans="7:21" x14ac:dyDescent="0.2">
      <c r="G1626" s="9" t="s">
        <v>2605</v>
      </c>
      <c r="H1626">
        <v>0</v>
      </c>
      <c r="M1626" s="1" t="s">
        <v>2605</v>
      </c>
      <c r="N1626" s="1">
        <v>75</v>
      </c>
      <c r="P1626" s="1" t="s">
        <v>2605</v>
      </c>
      <c r="Q1626" s="42">
        <v>0</v>
      </c>
      <c r="R1626" s="42">
        <v>75</v>
      </c>
      <c r="S1626" s="42">
        <v>0</v>
      </c>
      <c r="T1626" s="10">
        <f>IFERROR(ROUND((Q1626/R1626),2),"NA")</f>
        <v>0</v>
      </c>
      <c r="U1626">
        <f t="shared" si="25"/>
        <v>0</v>
      </c>
    </row>
    <row r="1627" spans="7:21" x14ac:dyDescent="0.2">
      <c r="G1627" s="9" t="s">
        <v>710</v>
      </c>
      <c r="H1627">
        <v>130</v>
      </c>
      <c r="M1627" s="1" t="s">
        <v>710</v>
      </c>
      <c r="N1627" s="1">
        <v>1467</v>
      </c>
      <c r="P1627" s="1" t="s">
        <v>710</v>
      </c>
      <c r="Q1627" s="42">
        <v>130</v>
      </c>
      <c r="R1627" s="42">
        <v>1467</v>
      </c>
      <c r="S1627" s="42">
        <v>0.08</v>
      </c>
      <c r="T1627" s="10">
        <f>IFERROR(ROUND((Q1627/R1627),2),"NA")</f>
        <v>0.09</v>
      </c>
      <c r="U1627">
        <f t="shared" si="25"/>
        <v>10.4</v>
      </c>
    </row>
    <row r="1628" spans="7:21" x14ac:dyDescent="0.2">
      <c r="G1628" s="9" t="s">
        <v>852</v>
      </c>
      <c r="H1628">
        <v>0</v>
      </c>
      <c r="M1628" s="1" t="s">
        <v>852</v>
      </c>
      <c r="N1628" s="1">
        <v>489</v>
      </c>
      <c r="P1628" s="1" t="s">
        <v>852</v>
      </c>
      <c r="Q1628" s="42">
        <v>0</v>
      </c>
      <c r="R1628" s="42">
        <v>489</v>
      </c>
      <c r="S1628" s="42">
        <v>0.05</v>
      </c>
      <c r="T1628" s="10">
        <f>IFERROR(ROUND((Q1628/R1628),2),"NA")</f>
        <v>0</v>
      </c>
      <c r="U1628">
        <f t="shared" si="25"/>
        <v>0</v>
      </c>
    </row>
    <row r="1629" spans="7:21" x14ac:dyDescent="0.2">
      <c r="G1629" s="9" t="s">
        <v>1708</v>
      </c>
      <c r="H1629">
        <v>74</v>
      </c>
      <c r="M1629" s="1" t="s">
        <v>1708</v>
      </c>
      <c r="N1629" s="1">
        <v>480</v>
      </c>
      <c r="P1629" s="1" t="s">
        <v>1708</v>
      </c>
      <c r="Q1629" s="42">
        <v>74</v>
      </c>
      <c r="R1629" s="42">
        <v>480</v>
      </c>
      <c r="S1629" s="42">
        <v>0.215</v>
      </c>
      <c r="T1629" s="10">
        <f>IFERROR(ROUND((Q1629/R1629),2),"NA")</f>
        <v>0.15</v>
      </c>
      <c r="U1629">
        <f t="shared" si="25"/>
        <v>15.91</v>
      </c>
    </row>
    <row r="1630" spans="7:21" x14ac:dyDescent="0.2">
      <c r="G1630" s="9" t="s">
        <v>1868</v>
      </c>
      <c r="H1630">
        <v>87</v>
      </c>
      <c r="M1630" s="1" t="s">
        <v>1868</v>
      </c>
      <c r="N1630" s="1">
        <v>348</v>
      </c>
      <c r="P1630" s="1" t="s">
        <v>1868</v>
      </c>
      <c r="Q1630" s="42">
        <v>87</v>
      </c>
      <c r="R1630" s="42">
        <v>348</v>
      </c>
      <c r="S1630" s="42">
        <v>0.13500000000000001</v>
      </c>
      <c r="T1630" s="10">
        <f>IFERROR(ROUND((Q1630/R1630),2),"NA")</f>
        <v>0.25</v>
      </c>
      <c r="U1630">
        <f t="shared" si="25"/>
        <v>11.745000000000001</v>
      </c>
    </row>
    <row r="1631" spans="7:21" x14ac:dyDescent="0.2">
      <c r="G1631" s="9" t="s">
        <v>145</v>
      </c>
      <c r="H1631">
        <v>150</v>
      </c>
      <c r="M1631" s="1" t="s">
        <v>145</v>
      </c>
      <c r="N1631" s="1">
        <v>802</v>
      </c>
      <c r="P1631" s="1" t="s">
        <v>145</v>
      </c>
      <c r="Q1631" s="42">
        <v>150</v>
      </c>
      <c r="R1631" s="42">
        <v>802</v>
      </c>
      <c r="S1631" s="42">
        <v>0.08</v>
      </c>
      <c r="T1631" s="10">
        <f>IFERROR(ROUND((Q1631/R1631),2),"NA")</f>
        <v>0.19</v>
      </c>
      <c r="U1631">
        <f t="shared" si="25"/>
        <v>12</v>
      </c>
    </row>
    <row r="1632" spans="7:21" x14ac:dyDescent="0.2">
      <c r="G1632" s="9" t="s">
        <v>2922</v>
      </c>
      <c r="H1632">
        <v>30</v>
      </c>
      <c r="M1632" s="1" t="s">
        <v>2922</v>
      </c>
      <c r="N1632" s="1">
        <v>35</v>
      </c>
      <c r="P1632" s="1" t="s">
        <v>2922</v>
      </c>
      <c r="Q1632" s="42">
        <v>30</v>
      </c>
      <c r="R1632" s="42">
        <v>35</v>
      </c>
      <c r="S1632" s="42">
        <v>0.23</v>
      </c>
      <c r="T1632" s="10">
        <f>IFERROR(ROUND((Q1632/R1632),2),"NA")</f>
        <v>0.86</v>
      </c>
      <c r="U1632">
        <f t="shared" si="25"/>
        <v>6.9</v>
      </c>
    </row>
    <row r="1633" spans="7:21" x14ac:dyDescent="0.2">
      <c r="G1633" s="9" t="s">
        <v>2203</v>
      </c>
      <c r="H1633">
        <v>0</v>
      </c>
      <c r="M1633" s="1" t="s">
        <v>2203</v>
      </c>
      <c r="N1633" s="1">
        <v>178</v>
      </c>
      <c r="P1633" s="1" t="s">
        <v>2203</v>
      </c>
      <c r="Q1633" s="42">
        <v>0</v>
      </c>
      <c r="R1633" s="42">
        <v>178</v>
      </c>
      <c r="S1633" s="42">
        <v>0</v>
      </c>
      <c r="T1633" s="10">
        <f>IFERROR(ROUND((Q1633/R1633),2),"NA")</f>
        <v>0</v>
      </c>
      <c r="U1633">
        <f t="shared" si="25"/>
        <v>0</v>
      </c>
    </row>
    <row r="1634" spans="7:21" x14ac:dyDescent="0.2">
      <c r="G1634" s="9" t="s">
        <v>1855</v>
      </c>
      <c r="H1634">
        <v>170</v>
      </c>
      <c r="M1634" s="1" t="s">
        <v>1855</v>
      </c>
      <c r="N1634" s="1">
        <v>507</v>
      </c>
      <c r="P1634" s="1" t="s">
        <v>1855</v>
      </c>
      <c r="Q1634" s="42">
        <v>170</v>
      </c>
      <c r="R1634" s="42">
        <v>507</v>
      </c>
      <c r="S1634" s="42">
        <v>0.17</v>
      </c>
      <c r="T1634" s="10">
        <f>IFERROR(ROUND((Q1634/R1634),2),"NA")</f>
        <v>0.34</v>
      </c>
      <c r="U1634">
        <f t="shared" si="25"/>
        <v>28.900000000000002</v>
      </c>
    </row>
    <row r="1635" spans="7:21" x14ac:dyDescent="0.2">
      <c r="G1635" s="9" t="s">
        <v>2294</v>
      </c>
      <c r="H1635">
        <v>40</v>
      </c>
      <c r="M1635" s="1" t="s">
        <v>2294</v>
      </c>
      <c r="N1635" s="1">
        <v>13</v>
      </c>
      <c r="P1635" s="1" t="s">
        <v>2294</v>
      </c>
      <c r="Q1635" s="42">
        <v>40</v>
      </c>
      <c r="R1635" s="42">
        <v>13</v>
      </c>
      <c r="S1635" s="42">
        <v>0.2</v>
      </c>
      <c r="T1635" s="10">
        <f>IFERROR(ROUND((Q1635/R1635),2),"NA")</f>
        <v>3.08</v>
      </c>
      <c r="U1635">
        <f t="shared" si="25"/>
        <v>8</v>
      </c>
    </row>
    <row r="1636" spans="7:21" x14ac:dyDescent="0.2">
      <c r="G1636" s="9" t="s">
        <v>1755</v>
      </c>
      <c r="H1636">
        <v>1850</v>
      </c>
      <c r="M1636" s="1" t="s">
        <v>1755</v>
      </c>
      <c r="N1636" s="1">
        <v>15200</v>
      </c>
      <c r="P1636" s="1" t="s">
        <v>1755</v>
      </c>
      <c r="Q1636" s="42">
        <v>1850</v>
      </c>
      <c r="R1636" s="42">
        <v>15200</v>
      </c>
      <c r="S1636" s="42">
        <v>0</v>
      </c>
      <c r="T1636" s="10">
        <f>IFERROR(ROUND((Q1636/R1636),2),"NA")</f>
        <v>0.12</v>
      </c>
      <c r="U1636">
        <f t="shared" si="25"/>
        <v>0</v>
      </c>
    </row>
    <row r="1637" spans="7:21" x14ac:dyDescent="0.2">
      <c r="G1637" s="9" t="s">
        <v>732</v>
      </c>
      <c r="H1637">
        <v>0</v>
      </c>
      <c r="M1637" s="1" t="s">
        <v>732</v>
      </c>
      <c r="N1637" s="1">
        <v>672</v>
      </c>
      <c r="P1637" s="1" t="s">
        <v>732</v>
      </c>
      <c r="Q1637" s="42">
        <v>0</v>
      </c>
      <c r="R1637" s="42">
        <v>672</v>
      </c>
      <c r="S1637" s="42">
        <v>0</v>
      </c>
      <c r="T1637" s="10">
        <f>IFERROR(ROUND((Q1637/R1637),2),"NA")</f>
        <v>0</v>
      </c>
      <c r="U1637">
        <f t="shared" si="25"/>
        <v>0</v>
      </c>
    </row>
    <row r="1638" spans="7:21" x14ac:dyDescent="0.2">
      <c r="G1638" s="9" t="s">
        <v>2491</v>
      </c>
      <c r="H1638">
        <v>0</v>
      </c>
      <c r="M1638" s="1" t="s">
        <v>2491</v>
      </c>
      <c r="N1638" s="1">
        <v>70</v>
      </c>
      <c r="P1638" s="1" t="s">
        <v>2491</v>
      </c>
      <c r="Q1638" s="42">
        <v>0</v>
      </c>
      <c r="R1638" s="42">
        <v>70</v>
      </c>
      <c r="S1638" s="42">
        <v>1</v>
      </c>
      <c r="T1638" s="10">
        <f>IFERROR(ROUND((Q1638/R1638),2),"NA")</f>
        <v>0</v>
      </c>
      <c r="U1638">
        <f t="shared" si="25"/>
        <v>0</v>
      </c>
    </row>
    <row r="1639" spans="7:21" x14ac:dyDescent="0.2">
      <c r="G1639" s="9" t="s">
        <v>1988</v>
      </c>
      <c r="H1639">
        <v>100</v>
      </c>
      <c r="M1639" s="1" t="s">
        <v>1988</v>
      </c>
      <c r="N1639" s="1">
        <v>217</v>
      </c>
      <c r="P1639" s="1" t="s">
        <v>1988</v>
      </c>
      <c r="Q1639" s="42">
        <v>100</v>
      </c>
      <c r="R1639" s="42">
        <v>217</v>
      </c>
      <c r="S1639" s="42">
        <v>0.3</v>
      </c>
      <c r="T1639" s="10">
        <f>IFERROR(ROUND((Q1639/R1639),2),"NA")</f>
        <v>0.46</v>
      </c>
      <c r="U1639">
        <f t="shared" si="25"/>
        <v>30</v>
      </c>
    </row>
    <row r="1640" spans="7:21" x14ac:dyDescent="0.2">
      <c r="G1640" s="9" t="s">
        <v>2099</v>
      </c>
      <c r="H1640">
        <v>138</v>
      </c>
      <c r="M1640" s="1" t="s">
        <v>2099</v>
      </c>
      <c r="N1640" s="1">
        <v>472</v>
      </c>
      <c r="P1640" s="1" t="s">
        <v>2099</v>
      </c>
      <c r="Q1640" s="42">
        <v>138</v>
      </c>
      <c r="R1640" s="42">
        <v>472</v>
      </c>
      <c r="S1640" s="42">
        <v>0.2</v>
      </c>
      <c r="T1640" s="10">
        <f>IFERROR(ROUND((Q1640/R1640),2),"NA")</f>
        <v>0.28999999999999998</v>
      </c>
      <c r="U1640">
        <f t="shared" si="25"/>
        <v>27.6</v>
      </c>
    </row>
    <row r="1641" spans="7:21" x14ac:dyDescent="0.2">
      <c r="G1641" s="9" t="s">
        <v>1055</v>
      </c>
      <c r="H1641">
        <v>0</v>
      </c>
      <c r="M1641" s="1" t="s">
        <v>1055</v>
      </c>
      <c r="N1641" s="1">
        <v>109</v>
      </c>
      <c r="P1641" s="1" t="s">
        <v>1055</v>
      </c>
      <c r="Q1641" s="42">
        <v>0</v>
      </c>
      <c r="R1641" s="42">
        <v>109</v>
      </c>
      <c r="S1641" s="42">
        <v>0</v>
      </c>
      <c r="T1641" s="10">
        <f>IFERROR(ROUND((Q1641/R1641),2),"NA")</f>
        <v>0</v>
      </c>
      <c r="U1641">
        <f t="shared" si="25"/>
        <v>0</v>
      </c>
    </row>
    <row r="1642" spans="7:21" x14ac:dyDescent="0.2">
      <c r="G1642" s="9" t="s">
        <v>2224</v>
      </c>
      <c r="H1642">
        <v>94</v>
      </c>
      <c r="M1642" s="1" t="s">
        <v>2224</v>
      </c>
      <c r="N1642" s="1">
        <v>200</v>
      </c>
      <c r="P1642" s="1" t="s">
        <v>2224</v>
      </c>
      <c r="Q1642" s="42">
        <v>94</v>
      </c>
      <c r="R1642" s="42">
        <v>200</v>
      </c>
      <c r="S1642" s="42">
        <v>0</v>
      </c>
      <c r="T1642" s="10">
        <f>IFERROR(ROUND((Q1642/R1642),2),"NA")</f>
        <v>0.47</v>
      </c>
      <c r="U1642">
        <f t="shared" si="25"/>
        <v>0</v>
      </c>
    </row>
    <row r="1643" spans="7:21" x14ac:dyDescent="0.2">
      <c r="G1643" s="9" t="s">
        <v>1624</v>
      </c>
      <c r="H1643">
        <v>0</v>
      </c>
      <c r="M1643" s="1" t="s">
        <v>1624</v>
      </c>
      <c r="N1643" s="1">
        <v>293</v>
      </c>
      <c r="P1643" s="1" t="s">
        <v>1624</v>
      </c>
      <c r="Q1643" s="42">
        <v>0</v>
      </c>
      <c r="R1643" s="42">
        <v>293</v>
      </c>
      <c r="S1643" s="42">
        <v>0.08</v>
      </c>
      <c r="T1643" s="10">
        <f>IFERROR(ROUND((Q1643/R1643),2),"NA")</f>
        <v>0</v>
      </c>
      <c r="U1643">
        <f t="shared" si="25"/>
        <v>0</v>
      </c>
    </row>
    <row r="1644" spans="7:21" x14ac:dyDescent="0.2">
      <c r="G1644" s="9" t="s">
        <v>2497</v>
      </c>
      <c r="H1644">
        <v>80</v>
      </c>
      <c r="M1644" s="1" t="s">
        <v>2497</v>
      </c>
      <c r="N1644" s="1">
        <v>17</v>
      </c>
      <c r="P1644" s="1" t="s">
        <v>2497</v>
      </c>
      <c r="Q1644" s="42">
        <v>80</v>
      </c>
      <c r="R1644" s="42">
        <v>17</v>
      </c>
      <c r="S1644" s="42">
        <v>0</v>
      </c>
      <c r="T1644" s="10">
        <f>IFERROR(ROUND((Q1644/R1644),2),"NA")</f>
        <v>4.71</v>
      </c>
      <c r="U1644">
        <f t="shared" si="25"/>
        <v>0</v>
      </c>
    </row>
    <row r="1645" spans="7:21" x14ac:dyDescent="0.2">
      <c r="G1645" s="9" t="s">
        <v>14</v>
      </c>
      <c r="H1645">
        <v>240</v>
      </c>
      <c r="M1645" s="1" t="s">
        <v>14</v>
      </c>
      <c r="N1645" s="1">
        <v>2571</v>
      </c>
      <c r="P1645" s="1" t="s">
        <v>14</v>
      </c>
      <c r="Q1645" s="42">
        <v>240</v>
      </c>
      <c r="R1645" s="42">
        <v>2571</v>
      </c>
      <c r="S1645" s="42">
        <v>0.2</v>
      </c>
      <c r="T1645" s="10">
        <f>IFERROR(ROUND((Q1645/R1645),2),"NA")</f>
        <v>0.09</v>
      </c>
      <c r="U1645">
        <f t="shared" si="25"/>
        <v>48</v>
      </c>
    </row>
    <row r="1646" spans="7:21" x14ac:dyDescent="0.2">
      <c r="G1646" s="9" t="s">
        <v>1588</v>
      </c>
      <c r="H1646">
        <v>500</v>
      </c>
      <c r="M1646" s="1" t="s">
        <v>1588</v>
      </c>
      <c r="N1646" s="1">
        <v>0</v>
      </c>
      <c r="P1646" s="1" t="s">
        <v>1588</v>
      </c>
      <c r="Q1646" s="42">
        <v>500</v>
      </c>
      <c r="R1646" s="42">
        <v>0</v>
      </c>
      <c r="S1646" s="42">
        <v>7.0000000000000007E-2</v>
      </c>
      <c r="T1646" s="10" t="str">
        <f>IFERROR(ROUND((Q1646/R1646),2),"NA")</f>
        <v>NA</v>
      </c>
      <c r="U1646">
        <f t="shared" si="25"/>
        <v>35</v>
      </c>
    </row>
    <row r="1647" spans="7:21" x14ac:dyDescent="0.2">
      <c r="G1647" s="9" t="s">
        <v>1514</v>
      </c>
      <c r="H1647">
        <v>0</v>
      </c>
      <c r="M1647" s="1" t="s">
        <v>1514</v>
      </c>
      <c r="N1647" s="1">
        <v>173</v>
      </c>
      <c r="P1647" s="1" t="s">
        <v>1514</v>
      </c>
      <c r="Q1647" s="42">
        <v>0</v>
      </c>
      <c r="R1647" s="42">
        <v>173</v>
      </c>
      <c r="S1647" s="42">
        <v>7.0000000000000007E-2</v>
      </c>
      <c r="T1647" s="10">
        <f>IFERROR(ROUND((Q1647/R1647),2),"NA")</f>
        <v>0</v>
      </c>
      <c r="U1647">
        <f t="shared" si="25"/>
        <v>0</v>
      </c>
    </row>
    <row r="1648" spans="7:21" x14ac:dyDescent="0.2">
      <c r="G1648" s="9" t="s">
        <v>1504</v>
      </c>
      <c r="H1648">
        <v>0</v>
      </c>
      <c r="M1648" s="1" t="s">
        <v>1504</v>
      </c>
      <c r="N1648" s="1">
        <v>0</v>
      </c>
      <c r="P1648" s="1" t="s">
        <v>1504</v>
      </c>
      <c r="Q1648" s="42">
        <v>0</v>
      </c>
      <c r="R1648" s="42">
        <v>0</v>
      </c>
      <c r="S1648" s="42">
        <v>7.0000000000000007E-2</v>
      </c>
      <c r="T1648" s="10" t="str">
        <f>IFERROR(ROUND((Q1648/R1648),2),"NA")</f>
        <v>NA</v>
      </c>
      <c r="U1648">
        <f t="shared" si="25"/>
        <v>0</v>
      </c>
    </row>
    <row r="1649" spans="7:21" x14ac:dyDescent="0.2">
      <c r="G1649" s="9" t="s">
        <v>2592</v>
      </c>
      <c r="H1649">
        <v>1500</v>
      </c>
      <c r="M1649" s="1" t="s">
        <v>2592</v>
      </c>
      <c r="N1649" s="1">
        <v>496</v>
      </c>
      <c r="P1649" s="1" t="s">
        <v>2592</v>
      </c>
      <c r="Q1649" s="42">
        <v>1500</v>
      </c>
      <c r="R1649" s="42">
        <v>496</v>
      </c>
      <c r="S1649" s="42">
        <v>0.5</v>
      </c>
      <c r="T1649" s="10">
        <f>IFERROR(ROUND((Q1649/R1649),2),"NA")</f>
        <v>3.02</v>
      </c>
      <c r="U1649">
        <f t="shared" si="25"/>
        <v>750</v>
      </c>
    </row>
    <row r="1650" spans="7:21" x14ac:dyDescent="0.2">
      <c r="G1650" s="9" t="s">
        <v>1327</v>
      </c>
      <c r="H1650">
        <v>75</v>
      </c>
      <c r="M1650" s="1" t="s">
        <v>1327</v>
      </c>
      <c r="N1650" s="1">
        <v>3000</v>
      </c>
      <c r="P1650" s="1" t="s">
        <v>1327</v>
      </c>
      <c r="Q1650" s="42">
        <v>75</v>
      </c>
      <c r="R1650" s="42">
        <v>3000</v>
      </c>
      <c r="S1650" s="42">
        <v>0.02</v>
      </c>
      <c r="T1650" s="10">
        <f>IFERROR(ROUND((Q1650/R1650),2),"NA")</f>
        <v>0.03</v>
      </c>
      <c r="U1650">
        <f t="shared" si="25"/>
        <v>1.5</v>
      </c>
    </row>
    <row r="1651" spans="7:21" x14ac:dyDescent="0.2">
      <c r="G1651" s="9" t="s">
        <v>483</v>
      </c>
      <c r="H1651">
        <v>0</v>
      </c>
      <c r="M1651" s="1" t="s">
        <v>483</v>
      </c>
      <c r="N1651" s="1">
        <v>628</v>
      </c>
      <c r="P1651" s="1" t="s">
        <v>483</v>
      </c>
      <c r="Q1651" s="42">
        <v>0</v>
      </c>
      <c r="R1651" s="42">
        <v>628</v>
      </c>
      <c r="S1651" s="42">
        <v>0</v>
      </c>
      <c r="T1651" s="10">
        <f>IFERROR(ROUND((Q1651/R1651),2),"NA")</f>
        <v>0</v>
      </c>
      <c r="U1651">
        <f t="shared" si="25"/>
        <v>0</v>
      </c>
    </row>
    <row r="1652" spans="7:21" x14ac:dyDescent="0.2">
      <c r="G1652" s="9" t="s">
        <v>2854</v>
      </c>
      <c r="H1652">
        <v>18</v>
      </c>
      <c r="M1652" s="1" t="s">
        <v>2854</v>
      </c>
      <c r="N1652" s="1">
        <v>11</v>
      </c>
      <c r="P1652" s="1" t="s">
        <v>2854</v>
      </c>
      <c r="Q1652" s="42">
        <v>18</v>
      </c>
      <c r="R1652" s="42">
        <v>11</v>
      </c>
      <c r="S1652" s="42">
        <v>0</v>
      </c>
      <c r="T1652" s="10">
        <f>IFERROR(ROUND((Q1652/R1652),2),"NA")</f>
        <v>1.64</v>
      </c>
      <c r="U1652">
        <f t="shared" si="25"/>
        <v>0</v>
      </c>
    </row>
    <row r="1653" spans="7:21" x14ac:dyDescent="0.2">
      <c r="G1653" s="9" t="s">
        <v>2952</v>
      </c>
      <c r="H1653">
        <v>6</v>
      </c>
      <c r="M1653" s="1" t="s">
        <v>2952</v>
      </c>
      <c r="N1653" s="1">
        <v>1</v>
      </c>
      <c r="P1653" s="1" t="s">
        <v>2952</v>
      </c>
      <c r="Q1653" s="42">
        <v>6</v>
      </c>
      <c r="R1653" s="42">
        <v>1</v>
      </c>
      <c r="S1653" s="42">
        <v>0.75</v>
      </c>
      <c r="T1653" s="10">
        <f>IFERROR(ROUND((Q1653/R1653),2),"NA")</f>
        <v>6</v>
      </c>
      <c r="U1653">
        <f t="shared" si="25"/>
        <v>4.5</v>
      </c>
    </row>
    <row r="1654" spans="7:21" x14ac:dyDescent="0.2">
      <c r="G1654" s="9" t="s">
        <v>989</v>
      </c>
      <c r="H1654">
        <v>0</v>
      </c>
      <c r="M1654" s="1" t="s">
        <v>989</v>
      </c>
      <c r="N1654" s="1">
        <v>2</v>
      </c>
      <c r="P1654" s="1" t="s">
        <v>989</v>
      </c>
      <c r="Q1654" s="42">
        <v>0</v>
      </c>
      <c r="R1654" s="42">
        <v>2</v>
      </c>
      <c r="S1654" s="42">
        <v>1</v>
      </c>
      <c r="T1654" s="10">
        <f>IFERROR(ROUND((Q1654/R1654),2),"NA")</f>
        <v>0</v>
      </c>
      <c r="U1654">
        <f t="shared" si="25"/>
        <v>0</v>
      </c>
    </row>
    <row r="1655" spans="7:21" x14ac:dyDescent="0.2">
      <c r="G1655" s="9" t="s">
        <v>2243</v>
      </c>
      <c r="H1655">
        <v>0</v>
      </c>
      <c r="M1655" s="1" t="s">
        <v>2243</v>
      </c>
      <c r="N1655" s="1">
        <v>241</v>
      </c>
      <c r="P1655" s="1" t="s">
        <v>2243</v>
      </c>
      <c r="Q1655" s="42">
        <v>0</v>
      </c>
      <c r="R1655" s="42">
        <v>241</v>
      </c>
      <c r="S1655" s="42">
        <v>0.15</v>
      </c>
      <c r="T1655" s="10">
        <f>IFERROR(ROUND((Q1655/R1655),2),"NA")</f>
        <v>0</v>
      </c>
      <c r="U1655">
        <f t="shared" si="25"/>
        <v>0</v>
      </c>
    </row>
    <row r="1656" spans="7:21" x14ac:dyDescent="0.2">
      <c r="G1656" s="9" t="s">
        <v>723</v>
      </c>
      <c r="H1656">
        <v>274</v>
      </c>
      <c r="M1656" s="1" t="s">
        <v>723</v>
      </c>
      <c r="N1656" s="1">
        <v>1167</v>
      </c>
      <c r="P1656" s="1" t="s">
        <v>723</v>
      </c>
      <c r="Q1656" s="42">
        <v>274</v>
      </c>
      <c r="R1656" s="42">
        <v>1167</v>
      </c>
      <c r="S1656" s="42">
        <v>3.3333333333333333E-2</v>
      </c>
      <c r="T1656" s="10">
        <f>IFERROR(ROUND((Q1656/R1656),2),"NA")</f>
        <v>0.23</v>
      </c>
      <c r="U1656">
        <f t="shared" si="25"/>
        <v>9.1333333333333329</v>
      </c>
    </row>
    <row r="1657" spans="7:21" x14ac:dyDescent="0.2">
      <c r="G1657" s="9" t="s">
        <v>1073</v>
      </c>
      <c r="H1657">
        <v>0</v>
      </c>
      <c r="M1657" s="1" t="s">
        <v>1073</v>
      </c>
      <c r="N1657" s="1">
        <v>30</v>
      </c>
      <c r="P1657" s="1" t="s">
        <v>1073</v>
      </c>
      <c r="Q1657" s="42">
        <v>0</v>
      </c>
      <c r="R1657" s="42">
        <v>30</v>
      </c>
      <c r="S1657" s="42">
        <v>0</v>
      </c>
      <c r="T1657" s="10">
        <f>IFERROR(ROUND((Q1657/R1657),2),"NA")</f>
        <v>0</v>
      </c>
      <c r="U1657">
        <f t="shared" si="25"/>
        <v>0</v>
      </c>
    </row>
    <row r="1658" spans="7:21" x14ac:dyDescent="0.2">
      <c r="G1658" s="9" t="s">
        <v>2293</v>
      </c>
      <c r="H1658">
        <v>60</v>
      </c>
      <c r="M1658" s="1" t="s">
        <v>2293</v>
      </c>
      <c r="N1658" s="1">
        <v>8</v>
      </c>
      <c r="P1658" s="1" t="s">
        <v>2293</v>
      </c>
      <c r="Q1658" s="42">
        <v>60</v>
      </c>
      <c r="R1658" s="42">
        <v>8</v>
      </c>
      <c r="S1658" s="42">
        <v>0</v>
      </c>
      <c r="T1658" s="10">
        <f>IFERROR(ROUND((Q1658/R1658),2),"NA")</f>
        <v>7.5</v>
      </c>
      <c r="U1658">
        <f t="shared" si="25"/>
        <v>0</v>
      </c>
    </row>
    <row r="1659" spans="7:21" x14ac:dyDescent="0.2">
      <c r="G1659" s="9" t="s">
        <v>2564</v>
      </c>
      <c r="H1659">
        <v>0</v>
      </c>
      <c r="M1659" s="1" t="s">
        <v>2564</v>
      </c>
      <c r="N1659" s="1">
        <v>13</v>
      </c>
      <c r="P1659" s="1" t="s">
        <v>2564</v>
      </c>
      <c r="Q1659" s="42">
        <v>0</v>
      </c>
      <c r="R1659" s="42">
        <v>13</v>
      </c>
      <c r="S1659" s="42">
        <v>0</v>
      </c>
      <c r="T1659" s="10">
        <f>IFERROR(ROUND((Q1659/R1659),2),"NA")</f>
        <v>0</v>
      </c>
      <c r="U1659">
        <f t="shared" si="25"/>
        <v>0</v>
      </c>
    </row>
    <row r="1660" spans="7:21" x14ac:dyDescent="0.2">
      <c r="G1660" s="9" t="s">
        <v>626</v>
      </c>
      <c r="H1660">
        <v>100</v>
      </c>
      <c r="M1660" s="1" t="s">
        <v>626</v>
      </c>
      <c r="N1660" s="1">
        <v>0</v>
      </c>
      <c r="P1660" s="1" t="s">
        <v>626</v>
      </c>
      <c r="Q1660" s="42">
        <v>100</v>
      </c>
      <c r="R1660" s="42">
        <v>0</v>
      </c>
      <c r="S1660" s="42">
        <v>0.3</v>
      </c>
      <c r="T1660" s="10" t="str">
        <f>IFERROR(ROUND((Q1660/R1660),2),"NA")</f>
        <v>NA</v>
      </c>
      <c r="U1660">
        <f t="shared" si="25"/>
        <v>30</v>
      </c>
    </row>
    <row r="1661" spans="7:21" x14ac:dyDescent="0.2">
      <c r="G1661" s="9" t="s">
        <v>1630</v>
      </c>
      <c r="H1661">
        <v>60</v>
      </c>
      <c r="M1661" s="1" t="s">
        <v>1630</v>
      </c>
      <c r="N1661" s="1">
        <v>36</v>
      </c>
      <c r="P1661" s="1" t="s">
        <v>1630</v>
      </c>
      <c r="Q1661" s="42">
        <v>60</v>
      </c>
      <c r="R1661" s="42">
        <v>36</v>
      </c>
      <c r="S1661" s="42">
        <v>0.75</v>
      </c>
      <c r="T1661" s="10">
        <f>IFERROR(ROUND((Q1661/R1661),2),"NA")</f>
        <v>1.67</v>
      </c>
      <c r="U1661">
        <f t="shared" si="25"/>
        <v>45</v>
      </c>
    </row>
    <row r="1662" spans="7:21" x14ac:dyDescent="0.2">
      <c r="G1662" s="9" t="s">
        <v>2752</v>
      </c>
      <c r="H1662">
        <v>40</v>
      </c>
      <c r="M1662" s="1" t="s">
        <v>2752</v>
      </c>
      <c r="N1662" s="1">
        <v>72</v>
      </c>
      <c r="P1662" s="1" t="s">
        <v>2752</v>
      </c>
      <c r="Q1662" s="42">
        <v>40</v>
      </c>
      <c r="R1662" s="42">
        <v>72</v>
      </c>
      <c r="S1662" s="42">
        <v>0.25</v>
      </c>
      <c r="T1662" s="10">
        <f>IFERROR(ROUND((Q1662/R1662),2),"NA")</f>
        <v>0.56000000000000005</v>
      </c>
      <c r="U1662">
        <f t="shared" si="25"/>
        <v>10</v>
      </c>
    </row>
    <row r="1663" spans="7:21" x14ac:dyDescent="0.2">
      <c r="G1663" s="9" t="s">
        <v>1507</v>
      </c>
      <c r="H1663">
        <v>40</v>
      </c>
      <c r="M1663" s="1" t="s">
        <v>1507</v>
      </c>
      <c r="N1663" s="1">
        <v>36</v>
      </c>
      <c r="P1663" s="1" t="s">
        <v>1507</v>
      </c>
      <c r="Q1663" s="42">
        <v>40</v>
      </c>
      <c r="R1663" s="42">
        <v>36</v>
      </c>
      <c r="S1663" s="42">
        <v>0.2</v>
      </c>
      <c r="T1663" s="10">
        <f>IFERROR(ROUND((Q1663/R1663),2),"NA")</f>
        <v>1.1100000000000001</v>
      </c>
      <c r="U1663">
        <f t="shared" si="25"/>
        <v>8</v>
      </c>
    </row>
    <row r="1664" spans="7:21" x14ac:dyDescent="0.2">
      <c r="G1664" s="9" t="s">
        <v>2912</v>
      </c>
      <c r="H1664">
        <v>44</v>
      </c>
      <c r="M1664" s="1" t="s">
        <v>2912</v>
      </c>
      <c r="N1664" s="1">
        <v>123</v>
      </c>
      <c r="P1664" s="1" t="s">
        <v>2912</v>
      </c>
      <c r="Q1664" s="42">
        <v>44</v>
      </c>
      <c r="R1664" s="42">
        <v>123</v>
      </c>
      <c r="S1664" s="42">
        <v>0</v>
      </c>
      <c r="T1664" s="10">
        <f>IFERROR(ROUND((Q1664/R1664),2),"NA")</f>
        <v>0.36</v>
      </c>
      <c r="U1664">
        <f t="shared" si="25"/>
        <v>0</v>
      </c>
    </row>
    <row r="1665" spans="7:21" x14ac:dyDescent="0.2">
      <c r="G1665" s="9" t="s">
        <v>2016</v>
      </c>
      <c r="H1665">
        <v>0</v>
      </c>
      <c r="M1665" s="1" t="s">
        <v>2016</v>
      </c>
      <c r="N1665" s="1">
        <v>0</v>
      </c>
      <c r="P1665" s="1" t="s">
        <v>2016</v>
      </c>
      <c r="Q1665" s="42">
        <v>0</v>
      </c>
      <c r="R1665" s="42">
        <v>0</v>
      </c>
      <c r="S1665" s="42">
        <v>1</v>
      </c>
      <c r="T1665" s="10" t="str">
        <f>IFERROR(ROUND((Q1665/R1665),2),"NA")</f>
        <v>NA</v>
      </c>
      <c r="U1665">
        <f t="shared" si="25"/>
        <v>0</v>
      </c>
    </row>
    <row r="1666" spans="7:21" x14ac:dyDescent="0.2">
      <c r="G1666" s="9" t="s">
        <v>881</v>
      </c>
      <c r="H1666">
        <v>87</v>
      </c>
      <c r="M1666" s="1" t="s">
        <v>881</v>
      </c>
      <c r="N1666" s="1">
        <v>255</v>
      </c>
      <c r="P1666" s="1" t="s">
        <v>881</v>
      </c>
      <c r="Q1666" s="42">
        <v>87</v>
      </c>
      <c r="R1666" s="42">
        <v>255</v>
      </c>
      <c r="S1666" s="42">
        <v>0</v>
      </c>
      <c r="T1666" s="10">
        <f>IFERROR(ROUND((Q1666/R1666),2),"NA")</f>
        <v>0.34</v>
      </c>
      <c r="U1666">
        <f t="shared" si="25"/>
        <v>0</v>
      </c>
    </row>
    <row r="1667" spans="7:21" x14ac:dyDescent="0.2">
      <c r="G1667" s="9" t="s">
        <v>2848</v>
      </c>
      <c r="H1667">
        <v>100</v>
      </c>
      <c r="M1667" s="1" t="s">
        <v>2848</v>
      </c>
      <c r="N1667" s="1">
        <v>75</v>
      </c>
      <c r="P1667" s="1" t="s">
        <v>2848</v>
      </c>
      <c r="Q1667" s="42">
        <v>100</v>
      </c>
      <c r="R1667" s="42">
        <v>75</v>
      </c>
      <c r="S1667" s="42">
        <v>0.2</v>
      </c>
      <c r="T1667" s="10">
        <f>IFERROR(ROUND((Q1667/R1667),2),"NA")</f>
        <v>1.33</v>
      </c>
      <c r="U1667">
        <f t="shared" si="25"/>
        <v>20</v>
      </c>
    </row>
    <row r="1668" spans="7:21" x14ac:dyDescent="0.2">
      <c r="G1668" s="9" t="s">
        <v>2045</v>
      </c>
      <c r="H1668">
        <v>151</v>
      </c>
      <c r="M1668" s="1" t="s">
        <v>2045</v>
      </c>
      <c r="N1668" s="1">
        <v>1156</v>
      </c>
      <c r="P1668" s="1" t="s">
        <v>2045</v>
      </c>
      <c r="Q1668" s="42">
        <v>151</v>
      </c>
      <c r="R1668" s="42">
        <v>1156</v>
      </c>
      <c r="S1668" s="42">
        <v>0.15000000000000002</v>
      </c>
      <c r="T1668" s="10">
        <f>IFERROR(ROUND((Q1668/R1668),2),"NA")</f>
        <v>0.13</v>
      </c>
      <c r="U1668">
        <f t="shared" si="25"/>
        <v>22.650000000000002</v>
      </c>
    </row>
    <row r="1669" spans="7:21" x14ac:dyDescent="0.2">
      <c r="G1669" s="9" t="s">
        <v>928</v>
      </c>
      <c r="H1669">
        <v>0</v>
      </c>
      <c r="M1669" s="1" t="s">
        <v>928</v>
      </c>
      <c r="N1669" s="1">
        <v>12</v>
      </c>
      <c r="P1669" s="1" t="s">
        <v>928</v>
      </c>
      <c r="Q1669" s="42">
        <v>0</v>
      </c>
      <c r="R1669" s="42">
        <v>12</v>
      </c>
      <c r="S1669" s="42">
        <v>0</v>
      </c>
      <c r="T1669" s="10">
        <f>IFERROR(ROUND((Q1669/R1669),2),"NA")</f>
        <v>0</v>
      </c>
      <c r="U1669">
        <f t="shared" ref="U1669:U1732" si="26">Q1669*S1669</f>
        <v>0</v>
      </c>
    </row>
    <row r="1670" spans="7:21" x14ac:dyDescent="0.2">
      <c r="G1670" s="9" t="s">
        <v>1997</v>
      </c>
      <c r="H1670">
        <v>96</v>
      </c>
      <c r="M1670" s="1" t="s">
        <v>1997</v>
      </c>
      <c r="N1670" s="1">
        <v>103</v>
      </c>
      <c r="P1670" s="1" t="s">
        <v>1997</v>
      </c>
      <c r="Q1670" s="42">
        <v>96</v>
      </c>
      <c r="R1670" s="42">
        <v>103</v>
      </c>
      <c r="S1670" s="42">
        <v>0.96</v>
      </c>
      <c r="T1670" s="10">
        <f>IFERROR(ROUND((Q1670/R1670),2),"NA")</f>
        <v>0.93</v>
      </c>
      <c r="U1670">
        <f t="shared" si="26"/>
        <v>92.16</v>
      </c>
    </row>
    <row r="1671" spans="7:21" x14ac:dyDescent="0.2">
      <c r="G1671" s="9" t="s">
        <v>155</v>
      </c>
      <c r="H1671">
        <v>0</v>
      </c>
      <c r="M1671" s="1" t="s">
        <v>155</v>
      </c>
      <c r="N1671" s="1">
        <v>400</v>
      </c>
      <c r="P1671" s="1" t="s">
        <v>155</v>
      </c>
      <c r="Q1671" s="42">
        <v>0</v>
      </c>
      <c r="R1671" s="42">
        <v>400</v>
      </c>
      <c r="S1671" s="42">
        <v>0.05</v>
      </c>
      <c r="T1671" s="10">
        <f>IFERROR(ROUND((Q1671/R1671),2),"NA")</f>
        <v>0</v>
      </c>
      <c r="U1671">
        <f t="shared" si="26"/>
        <v>0</v>
      </c>
    </row>
    <row r="1672" spans="7:21" x14ac:dyDescent="0.2">
      <c r="G1672" s="9" t="s">
        <v>2799</v>
      </c>
      <c r="H1672">
        <v>46</v>
      </c>
      <c r="M1672" s="1" t="s">
        <v>2799</v>
      </c>
      <c r="N1672" s="1">
        <v>0</v>
      </c>
      <c r="P1672" s="1" t="s">
        <v>2799</v>
      </c>
      <c r="Q1672" s="42">
        <v>46</v>
      </c>
      <c r="R1672" s="42">
        <v>0</v>
      </c>
      <c r="S1672" s="42">
        <v>0</v>
      </c>
      <c r="T1672" s="10" t="str">
        <f>IFERROR(ROUND((Q1672/R1672),2),"NA")</f>
        <v>NA</v>
      </c>
      <c r="U1672">
        <f t="shared" si="26"/>
        <v>0</v>
      </c>
    </row>
    <row r="1673" spans="7:21" x14ac:dyDescent="0.2">
      <c r="G1673" s="9" t="s">
        <v>1319</v>
      </c>
      <c r="H1673">
        <v>200</v>
      </c>
      <c r="M1673" s="1" t="s">
        <v>1319</v>
      </c>
      <c r="N1673" s="1">
        <v>495</v>
      </c>
      <c r="P1673" s="1" t="s">
        <v>1319</v>
      </c>
      <c r="Q1673" s="42">
        <v>200</v>
      </c>
      <c r="R1673" s="42">
        <v>495</v>
      </c>
      <c r="S1673" s="42">
        <v>0.2</v>
      </c>
      <c r="T1673" s="10">
        <f>IFERROR(ROUND((Q1673/R1673),2),"NA")</f>
        <v>0.4</v>
      </c>
      <c r="U1673">
        <f t="shared" si="26"/>
        <v>40</v>
      </c>
    </row>
    <row r="1674" spans="7:21" x14ac:dyDescent="0.2">
      <c r="G1674" s="9" t="s">
        <v>2702</v>
      </c>
      <c r="H1674">
        <v>27</v>
      </c>
      <c r="M1674" s="1" t="s">
        <v>2702</v>
      </c>
      <c r="N1674" s="1">
        <v>71</v>
      </c>
      <c r="P1674" s="1" t="s">
        <v>2702</v>
      </c>
      <c r="Q1674" s="42">
        <v>27</v>
      </c>
      <c r="R1674" s="42">
        <v>71</v>
      </c>
      <c r="S1674" s="42">
        <v>0.25</v>
      </c>
      <c r="T1674" s="10">
        <f>IFERROR(ROUND((Q1674/R1674),2),"NA")</f>
        <v>0.38</v>
      </c>
      <c r="U1674">
        <f t="shared" si="26"/>
        <v>6.75</v>
      </c>
    </row>
    <row r="1675" spans="7:21" x14ac:dyDescent="0.2">
      <c r="G1675" s="9" t="s">
        <v>975</v>
      </c>
      <c r="H1675">
        <v>200</v>
      </c>
      <c r="M1675" s="1" t="s">
        <v>975</v>
      </c>
      <c r="N1675" s="1">
        <v>0</v>
      </c>
      <c r="P1675" s="1" t="s">
        <v>975</v>
      </c>
      <c r="Q1675" s="42">
        <v>200</v>
      </c>
      <c r="R1675" s="42">
        <v>0</v>
      </c>
      <c r="S1675" s="42">
        <v>0.1</v>
      </c>
      <c r="T1675" s="10" t="str">
        <f>IFERROR(ROUND((Q1675/R1675),2),"NA")</f>
        <v>NA</v>
      </c>
      <c r="U1675">
        <f t="shared" si="26"/>
        <v>20</v>
      </c>
    </row>
    <row r="1676" spans="7:21" x14ac:dyDescent="0.2">
      <c r="G1676" s="9" t="s">
        <v>353</v>
      </c>
      <c r="H1676">
        <v>4583</v>
      </c>
      <c r="M1676" s="1" t="s">
        <v>353</v>
      </c>
      <c r="N1676" s="1">
        <v>648</v>
      </c>
      <c r="P1676" s="1" t="s">
        <v>353</v>
      </c>
      <c r="Q1676" s="42">
        <v>4583</v>
      </c>
      <c r="R1676" s="42">
        <v>648</v>
      </c>
      <c r="S1676" s="42">
        <v>0.08</v>
      </c>
      <c r="T1676" s="10">
        <f>IFERROR(ROUND((Q1676/R1676),2),"NA")</f>
        <v>7.07</v>
      </c>
      <c r="U1676">
        <f t="shared" si="26"/>
        <v>366.64</v>
      </c>
    </row>
    <row r="1677" spans="7:21" x14ac:dyDescent="0.2">
      <c r="G1677" s="9" t="s">
        <v>898</v>
      </c>
      <c r="H1677">
        <v>14</v>
      </c>
      <c r="M1677" s="1" t="s">
        <v>898</v>
      </c>
      <c r="N1677" s="1">
        <v>33</v>
      </c>
      <c r="P1677" s="1" t="s">
        <v>898</v>
      </c>
      <c r="Q1677" s="42">
        <v>14</v>
      </c>
      <c r="R1677" s="42">
        <v>33</v>
      </c>
      <c r="S1677" s="42">
        <v>0.02</v>
      </c>
      <c r="T1677" s="10">
        <f>IFERROR(ROUND((Q1677/R1677),2),"NA")</f>
        <v>0.42</v>
      </c>
      <c r="U1677">
        <f t="shared" si="26"/>
        <v>0.28000000000000003</v>
      </c>
    </row>
    <row r="1678" spans="7:21" x14ac:dyDescent="0.2">
      <c r="G1678" s="9" t="s">
        <v>2575</v>
      </c>
      <c r="H1678">
        <v>40</v>
      </c>
      <c r="M1678" s="1" t="s">
        <v>2575</v>
      </c>
      <c r="N1678" s="1">
        <v>25.6</v>
      </c>
      <c r="P1678" s="1" t="s">
        <v>2575</v>
      </c>
      <c r="Q1678" s="42">
        <v>40</v>
      </c>
      <c r="R1678" s="42">
        <v>25.6</v>
      </c>
      <c r="S1678" s="42">
        <v>0</v>
      </c>
      <c r="T1678" s="10">
        <f>IFERROR(ROUND((Q1678/R1678),2),"NA")</f>
        <v>1.56</v>
      </c>
      <c r="U1678">
        <f t="shared" si="26"/>
        <v>0</v>
      </c>
    </row>
    <row r="1679" spans="7:21" x14ac:dyDescent="0.2">
      <c r="G1679" s="9" t="s">
        <v>566</v>
      </c>
      <c r="H1679">
        <v>33</v>
      </c>
      <c r="M1679" s="1" t="s">
        <v>566</v>
      </c>
      <c r="N1679" s="1">
        <v>10</v>
      </c>
      <c r="P1679" s="1" t="s">
        <v>566</v>
      </c>
      <c r="Q1679" s="42">
        <v>33</v>
      </c>
      <c r="R1679" s="42">
        <v>10</v>
      </c>
      <c r="S1679" s="42">
        <v>0</v>
      </c>
      <c r="T1679" s="10">
        <f>IFERROR(ROUND((Q1679/R1679),2),"NA")</f>
        <v>3.3</v>
      </c>
      <c r="U1679">
        <f t="shared" si="26"/>
        <v>0</v>
      </c>
    </row>
    <row r="1680" spans="7:21" x14ac:dyDescent="0.2">
      <c r="G1680" s="9" t="s">
        <v>480</v>
      </c>
      <c r="H1680">
        <v>1500</v>
      </c>
      <c r="M1680" s="1" t="s">
        <v>480</v>
      </c>
      <c r="N1680" s="1">
        <v>2200</v>
      </c>
      <c r="P1680" s="1" t="s">
        <v>480</v>
      </c>
      <c r="Q1680" s="42">
        <v>1500</v>
      </c>
      <c r="R1680" s="42">
        <v>2200</v>
      </c>
      <c r="S1680" s="42">
        <v>0</v>
      </c>
      <c r="T1680" s="10">
        <f>IFERROR(ROUND((Q1680/R1680),2),"NA")</f>
        <v>0.68</v>
      </c>
      <c r="U1680">
        <f t="shared" si="26"/>
        <v>0</v>
      </c>
    </row>
    <row r="1681" spans="7:21" x14ac:dyDescent="0.2">
      <c r="G1681" s="9" t="s">
        <v>1677</v>
      </c>
      <c r="H1681">
        <v>150</v>
      </c>
      <c r="M1681" s="1" t="s">
        <v>1677</v>
      </c>
      <c r="N1681" s="1">
        <v>0</v>
      </c>
      <c r="P1681" s="1" t="s">
        <v>1677</v>
      </c>
      <c r="Q1681" s="42">
        <v>150</v>
      </c>
      <c r="R1681" s="42">
        <v>0</v>
      </c>
      <c r="S1681" s="42">
        <v>0.06</v>
      </c>
      <c r="T1681" s="10" t="str">
        <f>IFERROR(ROUND((Q1681/R1681),2),"NA")</f>
        <v>NA</v>
      </c>
      <c r="U1681">
        <f t="shared" si="26"/>
        <v>9</v>
      </c>
    </row>
    <row r="1682" spans="7:21" x14ac:dyDescent="0.2">
      <c r="G1682" s="9" t="s">
        <v>1200</v>
      </c>
      <c r="H1682">
        <v>288</v>
      </c>
      <c r="M1682" s="1" t="s">
        <v>1200</v>
      </c>
      <c r="N1682" s="1">
        <v>1227</v>
      </c>
      <c r="P1682" s="1" t="s">
        <v>1200</v>
      </c>
      <c r="Q1682" s="42">
        <v>288</v>
      </c>
      <c r="R1682" s="42">
        <v>1227</v>
      </c>
      <c r="S1682" s="42">
        <v>0.45333333333333337</v>
      </c>
      <c r="T1682" s="10">
        <f>IFERROR(ROUND((Q1682/R1682),2),"NA")</f>
        <v>0.23</v>
      </c>
      <c r="U1682">
        <f t="shared" si="26"/>
        <v>130.56</v>
      </c>
    </row>
    <row r="1683" spans="7:21" x14ac:dyDescent="0.2">
      <c r="G1683" s="9" t="s">
        <v>2195</v>
      </c>
      <c r="H1683">
        <v>25</v>
      </c>
      <c r="M1683" s="1" t="s">
        <v>2195</v>
      </c>
      <c r="N1683" s="1">
        <v>409</v>
      </c>
      <c r="P1683" s="1" t="s">
        <v>2195</v>
      </c>
      <c r="Q1683" s="42">
        <v>25</v>
      </c>
      <c r="R1683" s="42">
        <v>409</v>
      </c>
      <c r="S1683" s="42">
        <v>0.09</v>
      </c>
      <c r="T1683" s="10">
        <f>IFERROR(ROUND((Q1683/R1683),2),"NA")</f>
        <v>0.06</v>
      </c>
      <c r="U1683">
        <f t="shared" si="26"/>
        <v>2.25</v>
      </c>
    </row>
    <row r="1684" spans="7:21" x14ac:dyDescent="0.2">
      <c r="G1684" s="9" t="s">
        <v>624</v>
      </c>
      <c r="H1684">
        <v>0</v>
      </c>
      <c r="M1684" s="1" t="s">
        <v>624</v>
      </c>
      <c r="N1684" s="1">
        <v>1</v>
      </c>
      <c r="P1684" s="1" t="s">
        <v>624</v>
      </c>
      <c r="Q1684" s="42">
        <v>0</v>
      </c>
      <c r="R1684" s="42">
        <v>1</v>
      </c>
      <c r="S1684" s="42">
        <v>1</v>
      </c>
      <c r="T1684" s="10">
        <f>IFERROR(ROUND((Q1684/R1684),2),"NA")</f>
        <v>0</v>
      </c>
      <c r="U1684">
        <f t="shared" si="26"/>
        <v>0</v>
      </c>
    </row>
    <row r="1685" spans="7:21" x14ac:dyDescent="0.2">
      <c r="G1685" s="9" t="s">
        <v>2863</v>
      </c>
      <c r="H1685">
        <v>0</v>
      </c>
      <c r="M1685" s="1" t="s">
        <v>2863</v>
      </c>
      <c r="N1685" s="1">
        <v>81</v>
      </c>
      <c r="P1685" s="1" t="s">
        <v>2863</v>
      </c>
      <c r="Q1685" s="42">
        <v>0</v>
      </c>
      <c r="R1685" s="42">
        <v>81</v>
      </c>
      <c r="S1685" s="42">
        <v>0.6</v>
      </c>
      <c r="T1685" s="10">
        <f>IFERROR(ROUND((Q1685/R1685),2),"NA")</f>
        <v>0</v>
      </c>
      <c r="U1685">
        <f t="shared" si="26"/>
        <v>0</v>
      </c>
    </row>
    <row r="1686" spans="7:21" x14ac:dyDescent="0.2">
      <c r="G1686" s="9" t="s">
        <v>1658</v>
      </c>
      <c r="H1686">
        <v>30</v>
      </c>
      <c r="M1686" s="1" t="s">
        <v>1658</v>
      </c>
      <c r="N1686" s="1">
        <v>116</v>
      </c>
      <c r="P1686" s="1" t="s">
        <v>1658</v>
      </c>
      <c r="Q1686" s="42">
        <v>30</v>
      </c>
      <c r="R1686" s="42">
        <v>116</v>
      </c>
      <c r="S1686" s="42">
        <v>0.25</v>
      </c>
      <c r="T1686" s="10">
        <f>IFERROR(ROUND((Q1686/R1686),2),"NA")</f>
        <v>0.26</v>
      </c>
      <c r="U1686">
        <f t="shared" si="26"/>
        <v>7.5</v>
      </c>
    </row>
    <row r="1687" spans="7:21" x14ac:dyDescent="0.2">
      <c r="G1687" s="9" t="s">
        <v>2940</v>
      </c>
      <c r="H1687">
        <v>45</v>
      </c>
      <c r="M1687" s="1" t="s">
        <v>2940</v>
      </c>
      <c r="N1687" s="1">
        <v>39</v>
      </c>
      <c r="P1687" s="1" t="s">
        <v>2940</v>
      </c>
      <c r="Q1687" s="42">
        <v>45</v>
      </c>
      <c r="R1687" s="42">
        <v>39</v>
      </c>
      <c r="S1687" s="42">
        <v>0</v>
      </c>
      <c r="T1687" s="10">
        <f>IFERROR(ROUND((Q1687/R1687),2),"NA")</f>
        <v>1.1499999999999999</v>
      </c>
      <c r="U1687">
        <f t="shared" si="26"/>
        <v>0</v>
      </c>
    </row>
    <row r="1688" spans="7:21" x14ac:dyDescent="0.2">
      <c r="G1688" s="9" t="s">
        <v>2931</v>
      </c>
      <c r="H1688">
        <v>0</v>
      </c>
      <c r="M1688" s="1" t="s">
        <v>2931</v>
      </c>
      <c r="N1688" s="1">
        <v>47</v>
      </c>
      <c r="P1688" s="1" t="s">
        <v>2931</v>
      </c>
      <c r="Q1688" s="42">
        <v>0</v>
      </c>
      <c r="R1688" s="42">
        <v>47</v>
      </c>
      <c r="S1688" s="42">
        <v>0.4</v>
      </c>
      <c r="T1688" s="10">
        <f>IFERROR(ROUND((Q1688/R1688),2),"NA")</f>
        <v>0</v>
      </c>
      <c r="U1688">
        <f t="shared" si="26"/>
        <v>0</v>
      </c>
    </row>
    <row r="1689" spans="7:21" x14ac:dyDescent="0.2">
      <c r="G1689" s="9" t="s">
        <v>2913</v>
      </c>
      <c r="H1689">
        <v>41</v>
      </c>
      <c r="M1689" s="1" t="s">
        <v>2913</v>
      </c>
      <c r="N1689" s="1">
        <v>34</v>
      </c>
      <c r="P1689" s="1" t="s">
        <v>2913</v>
      </c>
      <c r="Q1689" s="42">
        <v>41</v>
      </c>
      <c r="R1689" s="42">
        <v>34</v>
      </c>
      <c r="S1689" s="42">
        <v>0.75</v>
      </c>
      <c r="T1689" s="10">
        <f>IFERROR(ROUND((Q1689/R1689),2),"NA")</f>
        <v>1.21</v>
      </c>
      <c r="U1689">
        <f t="shared" si="26"/>
        <v>30.75</v>
      </c>
    </row>
    <row r="1690" spans="7:21" x14ac:dyDescent="0.2">
      <c r="G1690" s="9" t="s">
        <v>1355</v>
      </c>
      <c r="H1690">
        <v>126</v>
      </c>
      <c r="M1690" s="1" t="s">
        <v>1355</v>
      </c>
      <c r="N1690" s="1">
        <v>352</v>
      </c>
      <c r="P1690" s="1" t="s">
        <v>1355</v>
      </c>
      <c r="Q1690" s="42">
        <v>126</v>
      </c>
      <c r="R1690" s="42">
        <v>352</v>
      </c>
      <c r="S1690" s="42">
        <v>0.3</v>
      </c>
      <c r="T1690" s="10">
        <f>IFERROR(ROUND((Q1690/R1690),2),"NA")</f>
        <v>0.36</v>
      </c>
      <c r="U1690">
        <f t="shared" si="26"/>
        <v>37.799999999999997</v>
      </c>
    </row>
    <row r="1691" spans="7:21" x14ac:dyDescent="0.2">
      <c r="G1691" s="9" t="s">
        <v>755</v>
      </c>
      <c r="H1691">
        <v>485</v>
      </c>
      <c r="M1691" s="1" t="s">
        <v>755</v>
      </c>
      <c r="N1691" s="1">
        <v>0</v>
      </c>
      <c r="P1691" s="1" t="s">
        <v>755</v>
      </c>
      <c r="Q1691" s="42">
        <v>485</v>
      </c>
      <c r="R1691" s="42">
        <v>0</v>
      </c>
      <c r="S1691" s="42">
        <v>0.04</v>
      </c>
      <c r="T1691" s="10" t="str">
        <f>IFERROR(ROUND((Q1691/R1691),2),"NA")</f>
        <v>NA</v>
      </c>
      <c r="U1691">
        <f t="shared" si="26"/>
        <v>19.400000000000002</v>
      </c>
    </row>
    <row r="1692" spans="7:21" x14ac:dyDescent="0.2">
      <c r="G1692" s="9" t="s">
        <v>116</v>
      </c>
      <c r="H1692">
        <v>4495</v>
      </c>
      <c r="M1692" s="1" t="s">
        <v>116</v>
      </c>
      <c r="N1692" s="1">
        <v>9500</v>
      </c>
      <c r="P1692" s="1" t="s">
        <v>116</v>
      </c>
      <c r="Q1692" s="42">
        <v>4495</v>
      </c>
      <c r="R1692" s="42">
        <v>9500</v>
      </c>
      <c r="S1692" s="42">
        <v>0.15000000000000002</v>
      </c>
      <c r="T1692" s="10">
        <f>IFERROR(ROUND((Q1692/R1692),2),"NA")</f>
        <v>0.47</v>
      </c>
      <c r="U1692">
        <f t="shared" si="26"/>
        <v>674.25000000000011</v>
      </c>
    </row>
    <row r="1693" spans="7:21" x14ac:dyDescent="0.2">
      <c r="G1693" s="9" t="s">
        <v>1009</v>
      </c>
      <c r="H1693">
        <v>145</v>
      </c>
      <c r="M1693" s="1" t="s">
        <v>1009</v>
      </c>
      <c r="N1693" s="1">
        <v>938</v>
      </c>
      <c r="P1693" s="1" t="s">
        <v>1009</v>
      </c>
      <c r="Q1693" s="42">
        <v>145</v>
      </c>
      <c r="R1693" s="42">
        <v>938</v>
      </c>
      <c r="S1693" s="42">
        <v>8.4999999999999992E-2</v>
      </c>
      <c r="T1693" s="10">
        <f>IFERROR(ROUND((Q1693/R1693),2),"NA")</f>
        <v>0.15</v>
      </c>
      <c r="U1693">
        <f t="shared" si="26"/>
        <v>12.324999999999999</v>
      </c>
    </row>
    <row r="1694" spans="7:21" x14ac:dyDescent="0.2">
      <c r="G1694" s="9" t="s">
        <v>2204</v>
      </c>
      <c r="H1694">
        <v>30</v>
      </c>
      <c r="M1694" s="1" t="s">
        <v>2204</v>
      </c>
      <c r="N1694" s="1">
        <v>300</v>
      </c>
      <c r="P1694" s="1" t="s">
        <v>2204</v>
      </c>
      <c r="Q1694" s="42">
        <v>30</v>
      </c>
      <c r="R1694" s="42">
        <v>300</v>
      </c>
      <c r="S1694" s="42">
        <v>0.18</v>
      </c>
      <c r="T1694" s="10">
        <f>IFERROR(ROUND((Q1694/R1694),2),"NA")</f>
        <v>0.1</v>
      </c>
      <c r="U1694">
        <f t="shared" si="26"/>
        <v>5.3999999999999995</v>
      </c>
    </row>
    <row r="1695" spans="7:21" x14ac:dyDescent="0.2">
      <c r="G1695" s="9" t="s">
        <v>2825</v>
      </c>
      <c r="H1695">
        <v>0</v>
      </c>
      <c r="M1695" s="1" t="s">
        <v>2825</v>
      </c>
      <c r="N1695" s="1">
        <v>7</v>
      </c>
      <c r="P1695" s="1" t="s">
        <v>2825</v>
      </c>
      <c r="Q1695" s="42">
        <v>0</v>
      </c>
      <c r="R1695" s="42">
        <v>7</v>
      </c>
      <c r="S1695" s="42">
        <v>0</v>
      </c>
      <c r="T1695" s="10">
        <f>IFERROR(ROUND((Q1695/R1695),2),"NA")</f>
        <v>0</v>
      </c>
      <c r="U1695">
        <f t="shared" si="26"/>
        <v>0</v>
      </c>
    </row>
    <row r="1696" spans="7:21" x14ac:dyDescent="0.2">
      <c r="G1696" s="9" t="s">
        <v>2170</v>
      </c>
      <c r="H1696">
        <v>0</v>
      </c>
      <c r="M1696" s="1" t="s">
        <v>2170</v>
      </c>
      <c r="N1696" s="1">
        <v>20</v>
      </c>
      <c r="P1696" s="1" t="s">
        <v>2170</v>
      </c>
      <c r="Q1696" s="42">
        <v>0</v>
      </c>
      <c r="R1696" s="42">
        <v>20</v>
      </c>
      <c r="S1696" s="42">
        <v>1</v>
      </c>
      <c r="T1696" s="10">
        <f>IFERROR(ROUND((Q1696/R1696),2),"NA")</f>
        <v>0</v>
      </c>
      <c r="U1696">
        <f t="shared" si="26"/>
        <v>0</v>
      </c>
    </row>
    <row r="1697" spans="7:21" x14ac:dyDescent="0.2">
      <c r="G1697" s="9" t="s">
        <v>932</v>
      </c>
      <c r="H1697">
        <v>134</v>
      </c>
      <c r="M1697" s="1" t="s">
        <v>932</v>
      </c>
      <c r="N1697" s="1">
        <v>711</v>
      </c>
      <c r="P1697" s="1" t="s">
        <v>932</v>
      </c>
      <c r="Q1697" s="42">
        <v>134</v>
      </c>
      <c r="R1697" s="42">
        <v>711</v>
      </c>
      <c r="S1697" s="42">
        <v>0.15</v>
      </c>
      <c r="T1697" s="10">
        <f>IFERROR(ROUND((Q1697/R1697),2),"NA")</f>
        <v>0.19</v>
      </c>
      <c r="U1697">
        <f t="shared" si="26"/>
        <v>20.099999999999998</v>
      </c>
    </row>
    <row r="1698" spans="7:21" x14ac:dyDescent="0.2">
      <c r="G1698" s="9" t="s">
        <v>1743</v>
      </c>
      <c r="H1698">
        <v>20</v>
      </c>
      <c r="M1698" s="1" t="s">
        <v>1743</v>
      </c>
      <c r="N1698" s="1">
        <v>165</v>
      </c>
      <c r="P1698" s="1" t="s">
        <v>1743</v>
      </c>
      <c r="Q1698" s="42">
        <v>20</v>
      </c>
      <c r="R1698" s="42">
        <v>165</v>
      </c>
      <c r="S1698" s="42">
        <v>0.08</v>
      </c>
      <c r="T1698" s="10">
        <f>IFERROR(ROUND((Q1698/R1698),2),"NA")</f>
        <v>0.12</v>
      </c>
      <c r="U1698">
        <f t="shared" si="26"/>
        <v>1.6</v>
      </c>
    </row>
    <row r="1699" spans="7:21" x14ac:dyDescent="0.2">
      <c r="G1699" s="9" t="s">
        <v>2144</v>
      </c>
      <c r="H1699">
        <v>20</v>
      </c>
      <c r="M1699" s="1" t="s">
        <v>2144</v>
      </c>
      <c r="N1699" s="1">
        <v>76</v>
      </c>
      <c r="P1699" s="1" t="s">
        <v>2144</v>
      </c>
      <c r="Q1699" s="42">
        <v>20</v>
      </c>
      <c r="R1699" s="42">
        <v>76</v>
      </c>
      <c r="S1699" s="42">
        <v>0.05</v>
      </c>
      <c r="T1699" s="10">
        <f>IFERROR(ROUND((Q1699/R1699),2),"NA")</f>
        <v>0.26</v>
      </c>
      <c r="U1699">
        <f t="shared" si="26"/>
        <v>1</v>
      </c>
    </row>
    <row r="1700" spans="7:21" x14ac:dyDescent="0.2">
      <c r="G1700" s="9" t="s">
        <v>2566</v>
      </c>
      <c r="H1700">
        <v>0</v>
      </c>
      <c r="M1700" s="1" t="s">
        <v>2566</v>
      </c>
      <c r="N1700" s="1">
        <v>29.7</v>
      </c>
      <c r="P1700" s="1" t="s">
        <v>2566</v>
      </c>
      <c r="Q1700" s="42">
        <v>0</v>
      </c>
      <c r="R1700" s="42">
        <v>29.7</v>
      </c>
      <c r="S1700" s="42">
        <v>0</v>
      </c>
      <c r="T1700" s="10">
        <f>IFERROR(ROUND((Q1700/R1700),2),"NA")</f>
        <v>0</v>
      </c>
      <c r="U1700">
        <f t="shared" si="26"/>
        <v>0</v>
      </c>
    </row>
    <row r="1701" spans="7:21" x14ac:dyDescent="0.2">
      <c r="G1701" s="9" t="s">
        <v>2807</v>
      </c>
      <c r="H1701">
        <v>10</v>
      </c>
      <c r="M1701" s="1" t="s">
        <v>2807</v>
      </c>
      <c r="N1701" s="1">
        <v>50</v>
      </c>
      <c r="P1701" s="1" t="s">
        <v>2807</v>
      </c>
      <c r="Q1701" s="42">
        <v>10</v>
      </c>
      <c r="R1701" s="42">
        <v>50</v>
      </c>
      <c r="S1701" s="42">
        <v>0.1</v>
      </c>
      <c r="T1701" s="10">
        <f>IFERROR(ROUND((Q1701/R1701),2),"NA")</f>
        <v>0.2</v>
      </c>
      <c r="U1701">
        <f t="shared" si="26"/>
        <v>1</v>
      </c>
    </row>
    <row r="1702" spans="7:21" x14ac:dyDescent="0.2">
      <c r="G1702" s="9" t="s">
        <v>1192</v>
      </c>
      <c r="H1702">
        <v>110</v>
      </c>
      <c r="M1702" s="1" t="s">
        <v>1192</v>
      </c>
      <c r="N1702" s="1">
        <v>210</v>
      </c>
      <c r="P1702" s="1" t="s">
        <v>1192</v>
      </c>
      <c r="Q1702" s="42">
        <v>110</v>
      </c>
      <c r="R1702" s="42">
        <v>210</v>
      </c>
      <c r="S1702" s="42">
        <v>0.26</v>
      </c>
      <c r="T1702" s="10">
        <f>IFERROR(ROUND((Q1702/R1702),2),"NA")</f>
        <v>0.52</v>
      </c>
      <c r="U1702">
        <f t="shared" si="26"/>
        <v>28.6</v>
      </c>
    </row>
    <row r="1703" spans="7:21" x14ac:dyDescent="0.2">
      <c r="G1703" s="9" t="s">
        <v>1542</v>
      </c>
      <c r="H1703">
        <v>0</v>
      </c>
      <c r="M1703" s="1" t="s">
        <v>1542</v>
      </c>
      <c r="N1703" s="1">
        <v>225</v>
      </c>
      <c r="P1703" s="1" t="s">
        <v>1542</v>
      </c>
      <c r="Q1703" s="42">
        <v>0</v>
      </c>
      <c r="R1703" s="42">
        <v>225</v>
      </c>
      <c r="S1703" s="42">
        <v>0.3</v>
      </c>
      <c r="T1703" s="10">
        <f>IFERROR(ROUND((Q1703/R1703),2),"NA")</f>
        <v>0</v>
      </c>
      <c r="U1703">
        <f t="shared" si="26"/>
        <v>0</v>
      </c>
    </row>
    <row r="1704" spans="7:21" x14ac:dyDescent="0.2">
      <c r="G1704" s="9" t="s">
        <v>1659</v>
      </c>
      <c r="H1704">
        <v>30</v>
      </c>
      <c r="M1704" s="1" t="s">
        <v>1659</v>
      </c>
      <c r="N1704" s="1">
        <v>178</v>
      </c>
      <c r="P1704" s="1" t="s">
        <v>1659</v>
      </c>
      <c r="Q1704" s="42">
        <v>30</v>
      </c>
      <c r="R1704" s="42">
        <v>178</v>
      </c>
      <c r="S1704" s="42">
        <v>0.08</v>
      </c>
      <c r="T1704" s="10">
        <f>IFERROR(ROUND((Q1704/R1704),2),"NA")</f>
        <v>0.17</v>
      </c>
      <c r="U1704">
        <f t="shared" si="26"/>
        <v>2.4</v>
      </c>
    </row>
    <row r="1705" spans="7:21" x14ac:dyDescent="0.2">
      <c r="G1705" s="9" t="s">
        <v>380</v>
      </c>
      <c r="H1705">
        <v>100</v>
      </c>
      <c r="M1705" s="1" t="s">
        <v>380</v>
      </c>
      <c r="N1705" s="1">
        <v>724</v>
      </c>
      <c r="P1705" s="1" t="s">
        <v>380</v>
      </c>
      <c r="Q1705" s="42">
        <v>100</v>
      </c>
      <c r="R1705" s="42">
        <v>724</v>
      </c>
      <c r="S1705" s="42">
        <v>0</v>
      </c>
      <c r="T1705" s="10">
        <f>IFERROR(ROUND((Q1705/R1705),2),"NA")</f>
        <v>0.14000000000000001</v>
      </c>
      <c r="U1705">
        <f t="shared" si="26"/>
        <v>0</v>
      </c>
    </row>
    <row r="1706" spans="7:21" x14ac:dyDescent="0.2">
      <c r="G1706" s="9" t="s">
        <v>2274</v>
      </c>
      <c r="H1706">
        <v>0</v>
      </c>
      <c r="M1706" s="1" t="s">
        <v>2274</v>
      </c>
      <c r="N1706" s="1">
        <v>2</v>
      </c>
      <c r="P1706" s="1" t="s">
        <v>2274</v>
      </c>
      <c r="Q1706" s="42">
        <v>0</v>
      </c>
      <c r="R1706" s="42">
        <v>2</v>
      </c>
      <c r="S1706" s="42">
        <v>0</v>
      </c>
      <c r="T1706" s="10">
        <f>IFERROR(ROUND((Q1706/R1706),2),"NA")</f>
        <v>0</v>
      </c>
      <c r="U1706">
        <f t="shared" si="26"/>
        <v>0</v>
      </c>
    </row>
    <row r="1707" spans="7:21" x14ac:dyDescent="0.2">
      <c r="G1707" s="9" t="s">
        <v>2025</v>
      </c>
      <c r="H1707">
        <v>0</v>
      </c>
      <c r="M1707" s="1" t="s">
        <v>2025</v>
      </c>
      <c r="N1707" s="1">
        <v>6</v>
      </c>
      <c r="P1707" s="1" t="s">
        <v>2025</v>
      </c>
      <c r="Q1707" s="42">
        <v>0</v>
      </c>
      <c r="R1707" s="42">
        <v>6</v>
      </c>
      <c r="S1707" s="42">
        <v>1</v>
      </c>
      <c r="T1707" s="10">
        <f>IFERROR(ROUND((Q1707/R1707),2),"NA")</f>
        <v>0</v>
      </c>
      <c r="U1707">
        <f t="shared" si="26"/>
        <v>0</v>
      </c>
    </row>
    <row r="1708" spans="7:21" x14ac:dyDescent="0.2">
      <c r="G1708" s="9" t="s">
        <v>946</v>
      </c>
      <c r="H1708">
        <v>0</v>
      </c>
      <c r="M1708" s="1" t="s">
        <v>946</v>
      </c>
      <c r="N1708" s="1">
        <v>1455</v>
      </c>
      <c r="P1708" s="1" t="s">
        <v>946</v>
      </c>
      <c r="Q1708" s="42">
        <v>0</v>
      </c>
      <c r="R1708" s="42">
        <v>1455</v>
      </c>
      <c r="S1708" s="42">
        <v>0.15000000000000002</v>
      </c>
      <c r="T1708" s="10">
        <f>IFERROR(ROUND((Q1708/R1708),2),"NA")</f>
        <v>0</v>
      </c>
      <c r="U1708">
        <f t="shared" si="26"/>
        <v>0</v>
      </c>
    </row>
    <row r="1709" spans="7:21" x14ac:dyDescent="0.2">
      <c r="G1709" s="9" t="s">
        <v>1385</v>
      </c>
      <c r="H1709">
        <v>94</v>
      </c>
      <c r="M1709" s="1" t="s">
        <v>1385</v>
      </c>
      <c r="N1709" s="1">
        <v>225</v>
      </c>
      <c r="P1709" s="1" t="s">
        <v>1385</v>
      </c>
      <c r="Q1709" s="42">
        <v>94</v>
      </c>
      <c r="R1709" s="42">
        <v>225</v>
      </c>
      <c r="S1709" s="42">
        <v>0</v>
      </c>
      <c r="T1709" s="10">
        <f>IFERROR(ROUND((Q1709/R1709),2),"NA")</f>
        <v>0.42</v>
      </c>
      <c r="U1709">
        <f t="shared" si="26"/>
        <v>0</v>
      </c>
    </row>
    <row r="1710" spans="7:21" x14ac:dyDescent="0.2">
      <c r="G1710" s="9" t="s">
        <v>1380</v>
      </c>
      <c r="H1710">
        <v>0</v>
      </c>
      <c r="M1710" s="1" t="s">
        <v>1380</v>
      </c>
      <c r="N1710" s="1">
        <v>40</v>
      </c>
      <c r="P1710" s="1" t="s">
        <v>1380</v>
      </c>
      <c r="Q1710" s="42">
        <v>0</v>
      </c>
      <c r="R1710" s="42">
        <v>40</v>
      </c>
      <c r="S1710" s="42">
        <v>0</v>
      </c>
      <c r="T1710" s="10">
        <f>IFERROR(ROUND((Q1710/R1710),2),"NA")</f>
        <v>0</v>
      </c>
      <c r="U1710">
        <f t="shared" si="26"/>
        <v>0</v>
      </c>
    </row>
    <row r="1711" spans="7:21" x14ac:dyDescent="0.2">
      <c r="G1711" s="9" t="s">
        <v>232</v>
      </c>
      <c r="H1711">
        <v>100</v>
      </c>
      <c r="M1711" s="1" t="s">
        <v>232</v>
      </c>
      <c r="N1711" s="1">
        <v>86</v>
      </c>
      <c r="P1711" s="1" t="s">
        <v>232</v>
      </c>
      <c r="Q1711" s="42">
        <v>100</v>
      </c>
      <c r="R1711" s="42">
        <v>86</v>
      </c>
      <c r="S1711" s="42">
        <v>1</v>
      </c>
      <c r="T1711" s="10">
        <f>IFERROR(ROUND((Q1711/R1711),2),"NA")</f>
        <v>1.1599999999999999</v>
      </c>
      <c r="U1711">
        <f t="shared" si="26"/>
        <v>100</v>
      </c>
    </row>
    <row r="1712" spans="7:21" x14ac:dyDescent="0.2">
      <c r="G1712" s="9" t="s">
        <v>1129</v>
      </c>
      <c r="H1712">
        <v>40</v>
      </c>
      <c r="M1712" s="1" t="s">
        <v>1129</v>
      </c>
      <c r="N1712" s="1">
        <v>4800</v>
      </c>
      <c r="P1712" s="1" t="s">
        <v>1129</v>
      </c>
      <c r="Q1712" s="42">
        <v>40</v>
      </c>
      <c r="R1712" s="42">
        <v>4800</v>
      </c>
      <c r="S1712" s="42">
        <v>0</v>
      </c>
      <c r="T1712" s="10">
        <f>IFERROR(ROUND((Q1712/R1712),2),"NA")</f>
        <v>0.01</v>
      </c>
      <c r="U1712">
        <f t="shared" si="26"/>
        <v>0</v>
      </c>
    </row>
    <row r="1713" spans="7:21" x14ac:dyDescent="0.2">
      <c r="G1713" s="9" t="s">
        <v>1465</v>
      </c>
      <c r="H1713">
        <v>10000</v>
      </c>
      <c r="M1713" s="1" t="s">
        <v>1465</v>
      </c>
      <c r="N1713" s="1">
        <v>0</v>
      </c>
      <c r="P1713" s="1" t="s">
        <v>1465</v>
      </c>
      <c r="Q1713" s="42">
        <v>10000</v>
      </c>
      <c r="R1713" s="42">
        <v>0</v>
      </c>
      <c r="S1713" s="42">
        <v>0.09</v>
      </c>
      <c r="T1713" s="10" t="str">
        <f>IFERROR(ROUND((Q1713/R1713),2),"NA")</f>
        <v>NA</v>
      </c>
      <c r="U1713">
        <f t="shared" si="26"/>
        <v>900</v>
      </c>
    </row>
    <row r="1714" spans="7:21" x14ac:dyDescent="0.2">
      <c r="G1714" s="9" t="s">
        <v>886</v>
      </c>
      <c r="H1714">
        <v>0</v>
      </c>
      <c r="M1714" s="1" t="s">
        <v>886</v>
      </c>
      <c r="N1714" s="1">
        <v>87</v>
      </c>
      <c r="P1714" s="1" t="s">
        <v>886</v>
      </c>
      <c r="Q1714" s="42">
        <v>0</v>
      </c>
      <c r="R1714" s="42">
        <v>87</v>
      </c>
      <c r="S1714" s="42">
        <v>0</v>
      </c>
      <c r="T1714" s="10">
        <f>IFERROR(ROUND((Q1714/R1714),2),"NA")</f>
        <v>0</v>
      </c>
      <c r="U1714">
        <f t="shared" si="26"/>
        <v>0</v>
      </c>
    </row>
    <row r="1715" spans="7:21" x14ac:dyDescent="0.2">
      <c r="G1715" s="9" t="s">
        <v>558</v>
      </c>
      <c r="H1715">
        <v>120</v>
      </c>
      <c r="M1715" s="1" t="s">
        <v>558</v>
      </c>
      <c r="N1715" s="1">
        <v>100</v>
      </c>
      <c r="P1715" s="1" t="s">
        <v>558</v>
      </c>
      <c r="Q1715" s="42">
        <v>120</v>
      </c>
      <c r="R1715" s="42">
        <v>100</v>
      </c>
      <c r="S1715" s="42">
        <v>0.01</v>
      </c>
      <c r="T1715" s="10">
        <f>IFERROR(ROUND((Q1715/R1715),2),"NA")</f>
        <v>1.2</v>
      </c>
      <c r="U1715">
        <f t="shared" si="26"/>
        <v>1.2</v>
      </c>
    </row>
    <row r="1716" spans="7:21" x14ac:dyDescent="0.2">
      <c r="G1716" s="9" t="s">
        <v>2622</v>
      </c>
      <c r="H1716">
        <v>70</v>
      </c>
      <c r="M1716" s="1" t="s">
        <v>2622</v>
      </c>
      <c r="N1716" s="1">
        <v>3</v>
      </c>
      <c r="P1716" s="1" t="s">
        <v>2622</v>
      </c>
      <c r="Q1716" s="42">
        <v>70</v>
      </c>
      <c r="R1716" s="42">
        <v>3</v>
      </c>
      <c r="S1716" s="42">
        <v>0</v>
      </c>
      <c r="T1716" s="10">
        <f>IFERROR(ROUND((Q1716/R1716),2),"NA")</f>
        <v>23.33</v>
      </c>
      <c r="U1716">
        <f t="shared" si="26"/>
        <v>0</v>
      </c>
    </row>
    <row r="1717" spans="7:21" x14ac:dyDescent="0.2">
      <c r="G1717" s="9" t="s">
        <v>1453</v>
      </c>
      <c r="H1717">
        <v>0</v>
      </c>
      <c r="M1717" s="1" t="s">
        <v>1453</v>
      </c>
      <c r="N1717" s="1">
        <v>52</v>
      </c>
      <c r="P1717" s="1" t="s">
        <v>1453</v>
      </c>
      <c r="Q1717" s="42">
        <v>0</v>
      </c>
      <c r="R1717" s="42">
        <v>52</v>
      </c>
      <c r="S1717" s="42">
        <v>0</v>
      </c>
      <c r="T1717" s="10">
        <f>IFERROR(ROUND((Q1717/R1717),2),"NA")</f>
        <v>0</v>
      </c>
      <c r="U1717">
        <f t="shared" si="26"/>
        <v>0</v>
      </c>
    </row>
    <row r="1718" spans="7:21" x14ac:dyDescent="0.2">
      <c r="G1718" s="9" t="s">
        <v>596</v>
      </c>
      <c r="H1718">
        <v>400</v>
      </c>
      <c r="M1718" s="1" t="s">
        <v>596</v>
      </c>
      <c r="N1718" s="1">
        <v>124</v>
      </c>
      <c r="P1718" s="1" t="s">
        <v>596</v>
      </c>
      <c r="Q1718" s="42">
        <v>400</v>
      </c>
      <c r="R1718" s="42">
        <v>124</v>
      </c>
      <c r="S1718" s="42">
        <v>0.2</v>
      </c>
      <c r="T1718" s="10">
        <f>IFERROR(ROUND((Q1718/R1718),2),"NA")</f>
        <v>3.23</v>
      </c>
      <c r="U1718">
        <f t="shared" si="26"/>
        <v>80</v>
      </c>
    </row>
    <row r="1719" spans="7:21" x14ac:dyDescent="0.2">
      <c r="G1719" s="9" t="s">
        <v>2693</v>
      </c>
      <c r="H1719">
        <v>0</v>
      </c>
      <c r="M1719" s="1" t="s">
        <v>2693</v>
      </c>
      <c r="N1719" s="1">
        <v>15</v>
      </c>
      <c r="P1719" s="1" t="s">
        <v>2693</v>
      </c>
      <c r="Q1719" s="42">
        <v>0</v>
      </c>
      <c r="R1719" s="42">
        <v>15</v>
      </c>
      <c r="S1719" s="42">
        <v>1</v>
      </c>
      <c r="T1719" s="10">
        <f>IFERROR(ROUND((Q1719/R1719),2),"NA")</f>
        <v>0</v>
      </c>
      <c r="U1719">
        <f t="shared" si="26"/>
        <v>0</v>
      </c>
    </row>
    <row r="1720" spans="7:21" x14ac:dyDescent="0.2">
      <c r="G1720" s="9" t="s">
        <v>2436</v>
      </c>
      <c r="H1720">
        <v>90</v>
      </c>
      <c r="M1720" s="1" t="s">
        <v>2436</v>
      </c>
      <c r="N1720" s="1">
        <v>195</v>
      </c>
      <c r="P1720" s="1" t="s">
        <v>2436</v>
      </c>
      <c r="Q1720" s="42">
        <v>90</v>
      </c>
      <c r="R1720" s="42">
        <v>195</v>
      </c>
      <c r="S1720" s="42">
        <v>0.08</v>
      </c>
      <c r="T1720" s="10">
        <f>IFERROR(ROUND((Q1720/R1720),2),"NA")</f>
        <v>0.46</v>
      </c>
      <c r="U1720">
        <f t="shared" si="26"/>
        <v>7.2</v>
      </c>
    </row>
    <row r="1721" spans="7:21" x14ac:dyDescent="0.2">
      <c r="G1721" s="9" t="s">
        <v>1076</v>
      </c>
      <c r="H1721">
        <v>63</v>
      </c>
      <c r="M1721" s="1" t="s">
        <v>1076</v>
      </c>
      <c r="N1721" s="1">
        <v>621</v>
      </c>
      <c r="P1721" s="1" t="s">
        <v>1076</v>
      </c>
      <c r="Q1721" s="42">
        <v>63</v>
      </c>
      <c r="R1721" s="42">
        <v>621</v>
      </c>
      <c r="S1721" s="42">
        <v>0.14000000000000001</v>
      </c>
      <c r="T1721" s="10">
        <f>IFERROR(ROUND((Q1721/R1721),2),"NA")</f>
        <v>0.1</v>
      </c>
      <c r="U1721">
        <f t="shared" si="26"/>
        <v>8.82</v>
      </c>
    </row>
    <row r="1722" spans="7:21" x14ac:dyDescent="0.2">
      <c r="G1722" s="9" t="s">
        <v>1608</v>
      </c>
      <c r="H1722">
        <v>111</v>
      </c>
      <c r="M1722" s="1" t="s">
        <v>1608</v>
      </c>
      <c r="N1722" s="1">
        <v>42</v>
      </c>
      <c r="P1722" s="1" t="s">
        <v>1608</v>
      </c>
      <c r="Q1722" s="42">
        <v>111</v>
      </c>
      <c r="R1722" s="42">
        <v>42</v>
      </c>
      <c r="S1722" s="42">
        <v>0.39</v>
      </c>
      <c r="T1722" s="10">
        <f>IFERROR(ROUND((Q1722/R1722),2),"NA")</f>
        <v>2.64</v>
      </c>
      <c r="U1722">
        <f t="shared" si="26"/>
        <v>43.29</v>
      </c>
    </row>
    <row r="1723" spans="7:21" x14ac:dyDescent="0.2">
      <c r="G1723" s="9" t="s">
        <v>993</v>
      </c>
      <c r="H1723">
        <v>45</v>
      </c>
      <c r="M1723" s="1" t="s">
        <v>993</v>
      </c>
      <c r="N1723" s="1">
        <v>116</v>
      </c>
      <c r="P1723" s="1" t="s">
        <v>993</v>
      </c>
      <c r="Q1723" s="42">
        <v>45</v>
      </c>
      <c r="R1723" s="42">
        <v>116</v>
      </c>
      <c r="S1723" s="42">
        <v>0.13</v>
      </c>
      <c r="T1723" s="10">
        <f>IFERROR(ROUND((Q1723/R1723),2),"NA")</f>
        <v>0.39</v>
      </c>
      <c r="U1723">
        <f t="shared" si="26"/>
        <v>5.8500000000000005</v>
      </c>
    </row>
    <row r="1724" spans="7:21" x14ac:dyDescent="0.2">
      <c r="G1724" s="9" t="s">
        <v>581</v>
      </c>
      <c r="H1724">
        <v>0</v>
      </c>
      <c r="M1724" s="1" t="s">
        <v>581</v>
      </c>
      <c r="N1724" s="1">
        <v>128</v>
      </c>
      <c r="P1724" s="1" t="s">
        <v>581</v>
      </c>
      <c r="Q1724" s="42">
        <v>0</v>
      </c>
      <c r="R1724" s="42">
        <v>128</v>
      </c>
      <c r="S1724" s="42">
        <v>0</v>
      </c>
      <c r="T1724" s="10">
        <f>IFERROR(ROUND((Q1724/R1724),2),"NA")</f>
        <v>0</v>
      </c>
      <c r="U1724">
        <f t="shared" si="26"/>
        <v>0</v>
      </c>
    </row>
    <row r="1725" spans="7:21" x14ac:dyDescent="0.2">
      <c r="G1725" s="9" t="s">
        <v>1440</v>
      </c>
      <c r="H1725">
        <v>150</v>
      </c>
      <c r="M1725" s="1" t="s">
        <v>1440</v>
      </c>
      <c r="N1725" s="1">
        <v>3000</v>
      </c>
      <c r="P1725" s="1" t="s">
        <v>1440</v>
      </c>
      <c r="Q1725" s="42">
        <v>150</v>
      </c>
      <c r="R1725" s="42">
        <v>3000</v>
      </c>
      <c r="S1725" s="42">
        <v>0</v>
      </c>
      <c r="T1725" s="10">
        <f>IFERROR(ROUND((Q1725/R1725),2),"NA")</f>
        <v>0.05</v>
      </c>
      <c r="U1725">
        <f t="shared" si="26"/>
        <v>0</v>
      </c>
    </row>
    <row r="1726" spans="7:21" x14ac:dyDescent="0.2">
      <c r="G1726" s="9" t="s">
        <v>542</v>
      </c>
      <c r="H1726">
        <v>174</v>
      </c>
      <c r="M1726" s="1" t="s">
        <v>542</v>
      </c>
      <c r="N1726" s="1">
        <v>270</v>
      </c>
      <c r="P1726" s="1" t="s">
        <v>542</v>
      </c>
      <c r="Q1726" s="42">
        <v>174</v>
      </c>
      <c r="R1726" s="42">
        <v>270</v>
      </c>
      <c r="S1726" s="42">
        <v>0.15</v>
      </c>
      <c r="T1726" s="10">
        <f>IFERROR(ROUND((Q1726/R1726),2),"NA")</f>
        <v>0.64</v>
      </c>
      <c r="U1726">
        <f t="shared" si="26"/>
        <v>26.099999999999998</v>
      </c>
    </row>
    <row r="1727" spans="7:21" x14ac:dyDescent="0.2">
      <c r="G1727" s="9" t="s">
        <v>2322</v>
      </c>
      <c r="H1727">
        <v>22</v>
      </c>
      <c r="M1727" s="1" t="s">
        <v>2322</v>
      </c>
      <c r="N1727" s="1">
        <v>19</v>
      </c>
      <c r="P1727" s="1" t="s">
        <v>2322</v>
      </c>
      <c r="Q1727" s="42">
        <v>22</v>
      </c>
      <c r="R1727" s="42">
        <v>19</v>
      </c>
      <c r="S1727" s="42">
        <v>0.13</v>
      </c>
      <c r="T1727" s="10">
        <f>IFERROR(ROUND((Q1727/R1727),2),"NA")</f>
        <v>1.1599999999999999</v>
      </c>
      <c r="U1727">
        <f t="shared" si="26"/>
        <v>2.8600000000000003</v>
      </c>
    </row>
    <row r="1728" spans="7:21" x14ac:dyDescent="0.2">
      <c r="G1728" s="9" t="s">
        <v>461</v>
      </c>
      <c r="H1728">
        <v>139</v>
      </c>
      <c r="M1728" s="1" t="s">
        <v>461</v>
      </c>
      <c r="N1728" s="1">
        <v>275</v>
      </c>
      <c r="P1728" s="1" t="s">
        <v>461</v>
      </c>
      <c r="Q1728" s="42">
        <v>139</v>
      </c>
      <c r="R1728" s="42">
        <v>275</v>
      </c>
      <c r="S1728" s="42">
        <v>0.48499999999999999</v>
      </c>
      <c r="T1728" s="10">
        <f>IFERROR(ROUND((Q1728/R1728),2),"NA")</f>
        <v>0.51</v>
      </c>
      <c r="U1728">
        <f t="shared" si="26"/>
        <v>67.414999999999992</v>
      </c>
    </row>
    <row r="1729" spans="7:21" x14ac:dyDescent="0.2">
      <c r="G1729" s="9" t="s">
        <v>527</v>
      </c>
      <c r="H1729">
        <v>0</v>
      </c>
      <c r="M1729" s="1" t="s">
        <v>527</v>
      </c>
      <c r="N1729" s="1">
        <v>3</v>
      </c>
      <c r="P1729" s="1" t="s">
        <v>527</v>
      </c>
      <c r="Q1729" s="42">
        <v>0</v>
      </c>
      <c r="R1729" s="42">
        <v>3</v>
      </c>
      <c r="S1729" s="42">
        <v>1</v>
      </c>
      <c r="T1729" s="10">
        <f>IFERROR(ROUND((Q1729/R1729),2),"NA")</f>
        <v>0</v>
      </c>
      <c r="U1729">
        <f t="shared" si="26"/>
        <v>0</v>
      </c>
    </row>
    <row r="1730" spans="7:21" x14ac:dyDescent="0.2">
      <c r="G1730" s="9" t="s">
        <v>2908</v>
      </c>
      <c r="H1730">
        <v>0</v>
      </c>
      <c r="M1730" s="1" t="s">
        <v>2908</v>
      </c>
      <c r="N1730" s="1">
        <v>273</v>
      </c>
      <c r="P1730" s="1" t="s">
        <v>2908</v>
      </c>
      <c r="Q1730" s="42">
        <v>0</v>
      </c>
      <c r="R1730" s="42">
        <v>273</v>
      </c>
      <c r="S1730" s="42">
        <v>0</v>
      </c>
      <c r="T1730" s="10">
        <f>IFERROR(ROUND((Q1730/R1730),2),"NA")</f>
        <v>0</v>
      </c>
      <c r="U1730">
        <f t="shared" si="26"/>
        <v>0</v>
      </c>
    </row>
    <row r="1731" spans="7:21" x14ac:dyDescent="0.2">
      <c r="G1731" s="9" t="s">
        <v>2098</v>
      </c>
      <c r="H1731">
        <v>0</v>
      </c>
      <c r="M1731" s="1" t="s">
        <v>2098</v>
      </c>
      <c r="N1731" s="1">
        <v>0</v>
      </c>
      <c r="P1731" s="1" t="s">
        <v>2098</v>
      </c>
      <c r="Q1731" s="42">
        <v>0</v>
      </c>
      <c r="R1731" s="42">
        <v>0</v>
      </c>
      <c r="S1731" s="42">
        <v>0</v>
      </c>
      <c r="T1731" s="10" t="str">
        <f>IFERROR(ROUND((Q1731/R1731),2),"NA")</f>
        <v>NA</v>
      </c>
      <c r="U1731">
        <f t="shared" si="26"/>
        <v>0</v>
      </c>
    </row>
    <row r="1732" spans="7:21" x14ac:dyDescent="0.2">
      <c r="G1732" s="9" t="s">
        <v>1732</v>
      </c>
      <c r="H1732">
        <v>260</v>
      </c>
      <c r="M1732" s="1" t="s">
        <v>1732</v>
      </c>
      <c r="N1732" s="1">
        <v>734</v>
      </c>
      <c r="P1732" s="1" t="s">
        <v>1732</v>
      </c>
      <c r="Q1732" s="42">
        <v>260</v>
      </c>
      <c r="R1732" s="42">
        <v>734</v>
      </c>
      <c r="S1732" s="42">
        <v>0.2</v>
      </c>
      <c r="T1732" s="10">
        <f>IFERROR(ROUND((Q1732/R1732),2),"NA")</f>
        <v>0.35</v>
      </c>
      <c r="U1732">
        <f t="shared" si="26"/>
        <v>52</v>
      </c>
    </row>
    <row r="1733" spans="7:21" x14ac:dyDescent="0.2">
      <c r="G1733" s="9" t="s">
        <v>848</v>
      </c>
      <c r="H1733">
        <v>117</v>
      </c>
      <c r="M1733" s="1" t="s">
        <v>848</v>
      </c>
      <c r="N1733" s="1">
        <v>574</v>
      </c>
      <c r="P1733" s="1" t="s">
        <v>848</v>
      </c>
      <c r="Q1733" s="42">
        <v>117</v>
      </c>
      <c r="R1733" s="42">
        <v>574</v>
      </c>
      <c r="S1733" s="42">
        <v>0.1</v>
      </c>
      <c r="T1733" s="10">
        <f>IFERROR(ROUND((Q1733/R1733),2),"NA")</f>
        <v>0.2</v>
      </c>
      <c r="U1733">
        <f t="shared" ref="U1733:U1796" si="27">Q1733*S1733</f>
        <v>11.700000000000001</v>
      </c>
    </row>
    <row r="1734" spans="7:21" x14ac:dyDescent="0.2">
      <c r="G1734" s="9" t="s">
        <v>1916</v>
      </c>
      <c r="H1734">
        <v>200</v>
      </c>
      <c r="M1734" s="1" t="s">
        <v>1916</v>
      </c>
      <c r="N1734" s="1">
        <v>5</v>
      </c>
      <c r="P1734" s="1" t="s">
        <v>1916</v>
      </c>
      <c r="Q1734" s="42">
        <v>200</v>
      </c>
      <c r="R1734" s="42">
        <v>5</v>
      </c>
      <c r="S1734" s="42">
        <v>1</v>
      </c>
      <c r="T1734" s="10">
        <f>IFERROR(ROUND((Q1734/R1734),2),"NA")</f>
        <v>40</v>
      </c>
      <c r="U1734">
        <f t="shared" si="27"/>
        <v>200</v>
      </c>
    </row>
    <row r="1735" spans="7:21" x14ac:dyDescent="0.2">
      <c r="G1735" s="9" t="s">
        <v>242</v>
      </c>
      <c r="H1735">
        <v>0</v>
      </c>
      <c r="M1735" s="1" t="s">
        <v>242</v>
      </c>
      <c r="N1735" s="1">
        <v>105</v>
      </c>
      <c r="P1735" s="1" t="s">
        <v>242</v>
      </c>
      <c r="Q1735" s="42">
        <v>0</v>
      </c>
      <c r="R1735" s="42">
        <v>105</v>
      </c>
      <c r="S1735" s="42">
        <v>0</v>
      </c>
      <c r="T1735" s="10">
        <f>IFERROR(ROUND((Q1735/R1735),2),"NA")</f>
        <v>0</v>
      </c>
      <c r="U1735">
        <f t="shared" si="27"/>
        <v>0</v>
      </c>
    </row>
    <row r="1736" spans="7:21" x14ac:dyDescent="0.2">
      <c r="G1736" s="9" t="s">
        <v>2102</v>
      </c>
      <c r="H1736">
        <v>29</v>
      </c>
      <c r="M1736" s="1" t="s">
        <v>2102</v>
      </c>
      <c r="N1736" s="1">
        <v>3</v>
      </c>
      <c r="P1736" s="1" t="s">
        <v>2102</v>
      </c>
      <c r="Q1736" s="42">
        <v>29</v>
      </c>
      <c r="R1736" s="42">
        <v>3</v>
      </c>
      <c r="S1736" s="42">
        <v>0.5</v>
      </c>
      <c r="T1736" s="10">
        <f>IFERROR(ROUND((Q1736/R1736),2),"NA")</f>
        <v>9.67</v>
      </c>
      <c r="U1736">
        <f t="shared" si="27"/>
        <v>14.5</v>
      </c>
    </row>
    <row r="1737" spans="7:21" x14ac:dyDescent="0.2">
      <c r="G1737" s="9" t="s">
        <v>1983</v>
      </c>
      <c r="H1737">
        <v>65</v>
      </c>
      <c r="M1737" s="1" t="s">
        <v>1983</v>
      </c>
      <c r="N1737" s="1">
        <v>10</v>
      </c>
      <c r="P1737" s="1" t="s">
        <v>1983</v>
      </c>
      <c r="Q1737" s="42">
        <v>65</v>
      </c>
      <c r="R1737" s="42">
        <v>10</v>
      </c>
      <c r="S1737" s="42">
        <v>1</v>
      </c>
      <c r="T1737" s="10">
        <f>IFERROR(ROUND((Q1737/R1737),2),"NA")</f>
        <v>6.5</v>
      </c>
      <c r="U1737">
        <f t="shared" si="27"/>
        <v>65</v>
      </c>
    </row>
    <row r="1738" spans="7:21" x14ac:dyDescent="0.2">
      <c r="G1738" s="9" t="s">
        <v>426</v>
      </c>
      <c r="H1738">
        <v>1150</v>
      </c>
      <c r="M1738" s="1" t="s">
        <v>426</v>
      </c>
      <c r="N1738" s="1">
        <v>0</v>
      </c>
      <c r="P1738" s="1" t="s">
        <v>426</v>
      </c>
      <c r="Q1738" s="42">
        <v>1150</v>
      </c>
      <c r="R1738" s="42">
        <v>0</v>
      </c>
      <c r="S1738" s="42">
        <v>0.10333333333333333</v>
      </c>
      <c r="T1738" s="10" t="str">
        <f>IFERROR(ROUND((Q1738/R1738),2),"NA")</f>
        <v>NA</v>
      </c>
      <c r="U1738">
        <f t="shared" si="27"/>
        <v>118.83333333333333</v>
      </c>
    </row>
    <row r="1739" spans="7:21" x14ac:dyDescent="0.2">
      <c r="G1739" s="9" t="s">
        <v>1922</v>
      </c>
      <c r="H1739">
        <v>150</v>
      </c>
      <c r="M1739" s="1" t="s">
        <v>1922</v>
      </c>
      <c r="N1739" s="1">
        <v>428</v>
      </c>
      <c r="P1739" s="1" t="s">
        <v>1922</v>
      </c>
      <c r="Q1739" s="42">
        <v>150</v>
      </c>
      <c r="R1739" s="42">
        <v>428</v>
      </c>
      <c r="S1739" s="42">
        <v>0.15</v>
      </c>
      <c r="T1739" s="10">
        <f>IFERROR(ROUND((Q1739/R1739),2),"NA")</f>
        <v>0.35</v>
      </c>
      <c r="U1739">
        <f t="shared" si="27"/>
        <v>22.5</v>
      </c>
    </row>
    <row r="1740" spans="7:21" x14ac:dyDescent="0.2">
      <c r="G1740" s="9" t="s">
        <v>1789</v>
      </c>
      <c r="H1740">
        <v>0</v>
      </c>
      <c r="M1740" s="1" t="s">
        <v>1789</v>
      </c>
      <c r="N1740" s="1">
        <v>13</v>
      </c>
      <c r="P1740" s="1" t="s">
        <v>1789</v>
      </c>
      <c r="Q1740" s="42">
        <v>0</v>
      </c>
      <c r="R1740" s="42">
        <v>13</v>
      </c>
      <c r="S1740" s="42">
        <v>0.4</v>
      </c>
      <c r="T1740" s="10">
        <f>IFERROR(ROUND((Q1740/R1740),2),"NA")</f>
        <v>0</v>
      </c>
      <c r="U1740">
        <f t="shared" si="27"/>
        <v>0</v>
      </c>
    </row>
    <row r="1741" spans="7:21" x14ac:dyDescent="0.2">
      <c r="G1741" s="9" t="s">
        <v>964</v>
      </c>
      <c r="H1741">
        <v>37</v>
      </c>
      <c r="M1741" s="1" t="s">
        <v>964</v>
      </c>
      <c r="N1741" s="1">
        <v>81</v>
      </c>
      <c r="P1741" s="1" t="s">
        <v>964</v>
      </c>
      <c r="Q1741" s="42">
        <v>37</v>
      </c>
      <c r="R1741" s="42">
        <v>81</v>
      </c>
      <c r="S1741" s="42">
        <v>0.2</v>
      </c>
      <c r="T1741" s="10">
        <f>IFERROR(ROUND((Q1741/R1741),2),"NA")</f>
        <v>0.46</v>
      </c>
      <c r="U1741">
        <f t="shared" si="27"/>
        <v>7.4</v>
      </c>
    </row>
    <row r="1742" spans="7:21" x14ac:dyDescent="0.2">
      <c r="G1742" s="9" t="s">
        <v>2116</v>
      </c>
      <c r="H1742">
        <v>12</v>
      </c>
      <c r="M1742" s="1" t="s">
        <v>2116</v>
      </c>
      <c r="N1742" s="1">
        <v>205</v>
      </c>
      <c r="P1742" s="1" t="s">
        <v>2116</v>
      </c>
      <c r="Q1742" s="42">
        <v>12</v>
      </c>
      <c r="R1742" s="42">
        <v>205</v>
      </c>
      <c r="S1742" s="42">
        <v>0.09</v>
      </c>
      <c r="T1742" s="10">
        <f>IFERROR(ROUND((Q1742/R1742),2),"NA")</f>
        <v>0.06</v>
      </c>
      <c r="U1742">
        <f t="shared" si="27"/>
        <v>1.08</v>
      </c>
    </row>
    <row r="1743" spans="7:21" x14ac:dyDescent="0.2">
      <c r="G1743" s="9" t="s">
        <v>1898</v>
      </c>
      <c r="H1743">
        <v>36</v>
      </c>
      <c r="M1743" s="1" t="s">
        <v>1898</v>
      </c>
      <c r="N1743" s="1">
        <v>20</v>
      </c>
      <c r="P1743" s="1" t="s">
        <v>1898</v>
      </c>
      <c r="Q1743" s="42">
        <v>36</v>
      </c>
      <c r="R1743" s="42">
        <v>20</v>
      </c>
      <c r="S1743" s="42">
        <v>0.1</v>
      </c>
      <c r="T1743" s="10">
        <f>IFERROR(ROUND((Q1743/R1743),2),"NA")</f>
        <v>1.8</v>
      </c>
      <c r="U1743">
        <f t="shared" si="27"/>
        <v>3.6</v>
      </c>
    </row>
    <row r="1744" spans="7:21" x14ac:dyDescent="0.2">
      <c r="G1744" s="9" t="s">
        <v>637</v>
      </c>
      <c r="H1744">
        <v>24</v>
      </c>
      <c r="M1744" s="1" t="s">
        <v>637</v>
      </c>
      <c r="N1744" s="1">
        <v>38</v>
      </c>
      <c r="P1744" s="1" t="s">
        <v>637</v>
      </c>
      <c r="Q1744" s="42">
        <v>24</v>
      </c>
      <c r="R1744" s="42">
        <v>38</v>
      </c>
      <c r="S1744" s="42">
        <v>0</v>
      </c>
      <c r="T1744" s="10">
        <f>IFERROR(ROUND((Q1744/R1744),2),"NA")</f>
        <v>0.63</v>
      </c>
      <c r="U1744">
        <f t="shared" si="27"/>
        <v>0</v>
      </c>
    </row>
    <row r="1745" spans="7:21" x14ac:dyDescent="0.2">
      <c r="G1745" s="9" t="s">
        <v>876</v>
      </c>
      <c r="H1745">
        <v>400</v>
      </c>
      <c r="M1745" s="1" t="s">
        <v>876</v>
      </c>
      <c r="N1745" s="1">
        <v>576</v>
      </c>
      <c r="P1745" s="1" t="s">
        <v>876</v>
      </c>
      <c r="Q1745" s="42">
        <v>400</v>
      </c>
      <c r="R1745" s="42">
        <v>576</v>
      </c>
      <c r="S1745" s="42">
        <v>0.2</v>
      </c>
      <c r="T1745" s="10">
        <f>IFERROR(ROUND((Q1745/R1745),2),"NA")</f>
        <v>0.69</v>
      </c>
      <c r="U1745">
        <f t="shared" si="27"/>
        <v>80</v>
      </c>
    </row>
    <row r="1746" spans="7:21" x14ac:dyDescent="0.2">
      <c r="G1746" s="9" t="s">
        <v>1497</v>
      </c>
      <c r="H1746">
        <v>0</v>
      </c>
      <c r="M1746" s="1" t="s">
        <v>1497</v>
      </c>
      <c r="N1746" s="1">
        <v>43</v>
      </c>
      <c r="P1746" s="1" t="s">
        <v>1497</v>
      </c>
      <c r="Q1746" s="42">
        <v>0</v>
      </c>
      <c r="R1746" s="42">
        <v>43</v>
      </c>
      <c r="S1746" s="42">
        <v>0.1</v>
      </c>
      <c r="T1746" s="10">
        <f>IFERROR(ROUND((Q1746/R1746),2),"NA")</f>
        <v>0</v>
      </c>
      <c r="U1746">
        <f t="shared" si="27"/>
        <v>0</v>
      </c>
    </row>
    <row r="1747" spans="7:21" x14ac:dyDescent="0.2">
      <c r="G1747" s="9" t="s">
        <v>1422</v>
      </c>
      <c r="H1747">
        <v>50</v>
      </c>
      <c r="M1747" s="1" t="s">
        <v>1422</v>
      </c>
      <c r="N1747" s="1">
        <v>19</v>
      </c>
      <c r="P1747" s="1" t="s">
        <v>1422</v>
      </c>
      <c r="Q1747" s="42">
        <v>50</v>
      </c>
      <c r="R1747" s="42">
        <v>19</v>
      </c>
      <c r="S1747" s="42">
        <v>0.25</v>
      </c>
      <c r="T1747" s="10">
        <f>IFERROR(ROUND((Q1747/R1747),2),"NA")</f>
        <v>2.63</v>
      </c>
      <c r="U1747">
        <f t="shared" si="27"/>
        <v>12.5</v>
      </c>
    </row>
    <row r="1748" spans="7:21" x14ac:dyDescent="0.2">
      <c r="G1748" s="9" t="s">
        <v>2510</v>
      </c>
      <c r="H1748">
        <v>21</v>
      </c>
      <c r="M1748" s="1" t="s">
        <v>2510</v>
      </c>
      <c r="N1748" s="1">
        <v>20</v>
      </c>
      <c r="P1748" s="1" t="s">
        <v>2510</v>
      </c>
      <c r="Q1748" s="42">
        <v>21</v>
      </c>
      <c r="R1748" s="42">
        <v>20</v>
      </c>
      <c r="S1748" s="42">
        <v>1</v>
      </c>
      <c r="T1748" s="10">
        <f>IFERROR(ROUND((Q1748/R1748),2),"NA")</f>
        <v>1.05</v>
      </c>
      <c r="U1748">
        <f t="shared" si="27"/>
        <v>21</v>
      </c>
    </row>
    <row r="1749" spans="7:21" x14ac:dyDescent="0.2">
      <c r="G1749" s="9" t="s">
        <v>815</v>
      </c>
      <c r="H1749">
        <v>0</v>
      </c>
      <c r="M1749" s="1" t="s">
        <v>815</v>
      </c>
      <c r="N1749" s="1">
        <v>838</v>
      </c>
      <c r="P1749" s="1" t="s">
        <v>815</v>
      </c>
      <c r="Q1749" s="42">
        <v>0</v>
      </c>
      <c r="R1749" s="42">
        <v>838</v>
      </c>
      <c r="S1749" s="42">
        <v>0.12</v>
      </c>
      <c r="T1749" s="10">
        <f>IFERROR(ROUND((Q1749/R1749),2),"NA")</f>
        <v>0</v>
      </c>
      <c r="U1749">
        <f t="shared" si="27"/>
        <v>0</v>
      </c>
    </row>
    <row r="1750" spans="7:21" x14ac:dyDescent="0.2">
      <c r="G1750" s="9" t="s">
        <v>864</v>
      </c>
      <c r="H1750">
        <v>61</v>
      </c>
      <c r="M1750" s="1" t="s">
        <v>864</v>
      </c>
      <c r="N1750" s="1">
        <v>149</v>
      </c>
      <c r="P1750" s="1" t="s">
        <v>864</v>
      </c>
      <c r="Q1750" s="42">
        <v>61</v>
      </c>
      <c r="R1750" s="42">
        <v>149</v>
      </c>
      <c r="S1750" s="42">
        <v>0.28000000000000003</v>
      </c>
      <c r="T1750" s="10">
        <f>IFERROR(ROUND((Q1750/R1750),2),"NA")</f>
        <v>0.41</v>
      </c>
      <c r="U1750">
        <f t="shared" si="27"/>
        <v>17.080000000000002</v>
      </c>
    </row>
    <row r="1751" spans="7:21" x14ac:dyDescent="0.2">
      <c r="G1751" s="9" t="s">
        <v>650</v>
      </c>
      <c r="H1751">
        <v>0</v>
      </c>
      <c r="M1751" s="1" t="s">
        <v>650</v>
      </c>
      <c r="N1751" s="1">
        <v>0</v>
      </c>
      <c r="P1751" s="1" t="s">
        <v>650</v>
      </c>
      <c r="Q1751" s="42">
        <v>0</v>
      </c>
      <c r="R1751" s="42">
        <v>0</v>
      </c>
      <c r="S1751" s="42">
        <v>0</v>
      </c>
      <c r="T1751" s="10" t="str">
        <f>IFERROR(ROUND((Q1751/R1751),2),"NA")</f>
        <v>NA</v>
      </c>
      <c r="U1751">
        <f t="shared" si="27"/>
        <v>0</v>
      </c>
    </row>
    <row r="1752" spans="7:21" x14ac:dyDescent="0.2">
      <c r="G1752" s="9" t="s">
        <v>2892</v>
      </c>
      <c r="H1752">
        <v>10</v>
      </c>
      <c r="M1752" s="1" t="s">
        <v>2892</v>
      </c>
      <c r="N1752" s="1">
        <v>13</v>
      </c>
      <c r="P1752" s="1" t="s">
        <v>2892</v>
      </c>
      <c r="Q1752" s="42">
        <v>10</v>
      </c>
      <c r="R1752" s="42">
        <v>13</v>
      </c>
      <c r="S1752" s="42">
        <v>0</v>
      </c>
      <c r="T1752" s="10">
        <f>IFERROR(ROUND((Q1752/R1752),2),"NA")</f>
        <v>0.77</v>
      </c>
      <c r="U1752">
        <f t="shared" si="27"/>
        <v>0</v>
      </c>
    </row>
    <row r="1753" spans="7:21" x14ac:dyDescent="0.2">
      <c r="G1753" s="9" t="s">
        <v>2396</v>
      </c>
      <c r="H1753">
        <v>170</v>
      </c>
      <c r="M1753" s="1" t="s">
        <v>2396</v>
      </c>
      <c r="N1753" s="1">
        <v>286</v>
      </c>
      <c r="P1753" s="1" t="s">
        <v>2396</v>
      </c>
      <c r="Q1753" s="42">
        <v>170</v>
      </c>
      <c r="R1753" s="42">
        <v>286</v>
      </c>
      <c r="S1753" s="42">
        <v>0.25</v>
      </c>
      <c r="T1753" s="10">
        <f>IFERROR(ROUND((Q1753/R1753),2),"NA")</f>
        <v>0.59</v>
      </c>
      <c r="U1753">
        <f t="shared" si="27"/>
        <v>42.5</v>
      </c>
    </row>
    <row r="1754" spans="7:21" x14ac:dyDescent="0.2">
      <c r="G1754" s="9" t="s">
        <v>2727</v>
      </c>
      <c r="H1754">
        <v>13</v>
      </c>
      <c r="M1754" s="1" t="s">
        <v>2727</v>
      </c>
      <c r="N1754" s="1">
        <v>0</v>
      </c>
      <c r="P1754" s="1" t="s">
        <v>2727</v>
      </c>
      <c r="Q1754" s="42">
        <v>13</v>
      </c>
      <c r="R1754" s="42">
        <v>0</v>
      </c>
      <c r="S1754" s="42">
        <v>0</v>
      </c>
      <c r="T1754" s="10" t="str">
        <f>IFERROR(ROUND((Q1754/R1754),2),"NA")</f>
        <v>NA</v>
      </c>
      <c r="U1754">
        <f t="shared" si="27"/>
        <v>0</v>
      </c>
    </row>
    <row r="1755" spans="7:21" x14ac:dyDescent="0.2">
      <c r="G1755" s="9" t="s">
        <v>2130</v>
      </c>
      <c r="H1755">
        <v>269</v>
      </c>
      <c r="M1755" s="1" t="s">
        <v>2130</v>
      </c>
      <c r="N1755" s="1">
        <v>564</v>
      </c>
      <c r="P1755" s="1" t="s">
        <v>2130</v>
      </c>
      <c r="Q1755" s="42">
        <v>269</v>
      </c>
      <c r="R1755" s="42">
        <v>564</v>
      </c>
      <c r="S1755" s="42">
        <v>0.54666666666666675</v>
      </c>
      <c r="T1755" s="10">
        <f>IFERROR(ROUND((Q1755/R1755),2),"NA")</f>
        <v>0.48</v>
      </c>
      <c r="U1755">
        <f t="shared" si="27"/>
        <v>147.05333333333334</v>
      </c>
    </row>
    <row r="1756" spans="7:21" x14ac:dyDescent="0.2">
      <c r="G1756" s="9" t="s">
        <v>1758</v>
      </c>
      <c r="H1756">
        <v>47</v>
      </c>
      <c r="M1756" s="1" t="s">
        <v>1758</v>
      </c>
      <c r="N1756" s="1">
        <v>184</v>
      </c>
      <c r="P1756" s="1" t="s">
        <v>1758</v>
      </c>
      <c r="Q1756" s="42">
        <v>47</v>
      </c>
      <c r="R1756" s="42">
        <v>184</v>
      </c>
      <c r="S1756" s="42">
        <v>0.15</v>
      </c>
      <c r="T1756" s="10">
        <f>IFERROR(ROUND((Q1756/R1756),2),"NA")</f>
        <v>0.26</v>
      </c>
      <c r="U1756">
        <f t="shared" si="27"/>
        <v>7.05</v>
      </c>
    </row>
    <row r="1757" spans="7:21" x14ac:dyDescent="0.2">
      <c r="G1757" s="9" t="s">
        <v>343</v>
      </c>
      <c r="H1757">
        <v>160</v>
      </c>
      <c r="M1757" s="1" t="s">
        <v>343</v>
      </c>
      <c r="N1757" s="1">
        <v>902</v>
      </c>
      <c r="P1757" s="1" t="s">
        <v>343</v>
      </c>
      <c r="Q1757" s="42">
        <v>160</v>
      </c>
      <c r="R1757" s="42">
        <v>902</v>
      </c>
      <c r="S1757" s="42">
        <v>0.19500000000000001</v>
      </c>
      <c r="T1757" s="10">
        <f>IFERROR(ROUND((Q1757/R1757),2),"NA")</f>
        <v>0.18</v>
      </c>
      <c r="U1757">
        <f t="shared" si="27"/>
        <v>31.200000000000003</v>
      </c>
    </row>
    <row r="1758" spans="7:21" x14ac:dyDescent="0.2">
      <c r="G1758" s="9" t="s">
        <v>2063</v>
      </c>
      <c r="H1758">
        <v>55</v>
      </c>
      <c r="M1758" s="1" t="s">
        <v>2063</v>
      </c>
      <c r="N1758" s="1">
        <v>120</v>
      </c>
      <c r="P1758" s="1" t="s">
        <v>2063</v>
      </c>
      <c r="Q1758" s="42">
        <v>55</v>
      </c>
      <c r="R1758" s="42">
        <v>120</v>
      </c>
      <c r="S1758" s="42">
        <v>0.08</v>
      </c>
      <c r="T1758" s="10">
        <f>IFERROR(ROUND((Q1758/R1758),2),"NA")</f>
        <v>0.46</v>
      </c>
      <c r="U1758">
        <f t="shared" si="27"/>
        <v>4.4000000000000004</v>
      </c>
    </row>
    <row r="1759" spans="7:21" x14ac:dyDescent="0.2">
      <c r="G1759" s="9" t="s">
        <v>1133</v>
      </c>
      <c r="H1759">
        <v>0</v>
      </c>
      <c r="M1759" s="1" t="s">
        <v>1133</v>
      </c>
      <c r="N1759" s="1">
        <v>15</v>
      </c>
      <c r="P1759" s="1" t="s">
        <v>1133</v>
      </c>
      <c r="Q1759" s="42">
        <v>0</v>
      </c>
      <c r="R1759" s="42">
        <v>15</v>
      </c>
      <c r="S1759" s="42">
        <v>1</v>
      </c>
      <c r="T1759" s="10">
        <f>IFERROR(ROUND((Q1759/R1759),2),"NA")</f>
        <v>0</v>
      </c>
      <c r="U1759">
        <f t="shared" si="27"/>
        <v>0</v>
      </c>
    </row>
    <row r="1760" spans="7:21" x14ac:dyDescent="0.2">
      <c r="G1760" s="9" t="s">
        <v>304</v>
      </c>
      <c r="H1760">
        <v>0</v>
      </c>
      <c r="M1760" s="1" t="s">
        <v>304</v>
      </c>
      <c r="N1760" s="1">
        <v>0</v>
      </c>
      <c r="P1760" s="1" t="s">
        <v>304</v>
      </c>
      <c r="Q1760" s="42">
        <v>0</v>
      </c>
      <c r="R1760" s="42">
        <v>0</v>
      </c>
      <c r="S1760" s="42">
        <v>0</v>
      </c>
      <c r="T1760" s="10" t="str">
        <f>IFERROR(ROUND((Q1760/R1760),2),"NA")</f>
        <v>NA</v>
      </c>
      <c r="U1760">
        <f t="shared" si="27"/>
        <v>0</v>
      </c>
    </row>
    <row r="1761" spans="7:21" x14ac:dyDescent="0.2">
      <c r="G1761" s="9" t="s">
        <v>2948</v>
      </c>
      <c r="H1761">
        <v>0</v>
      </c>
      <c r="M1761" s="1" t="s">
        <v>2948</v>
      </c>
      <c r="N1761" s="1">
        <v>13</v>
      </c>
      <c r="P1761" s="1" t="s">
        <v>2948</v>
      </c>
      <c r="Q1761" s="42">
        <v>0</v>
      </c>
      <c r="R1761" s="42">
        <v>13</v>
      </c>
      <c r="S1761" s="42">
        <v>1</v>
      </c>
      <c r="T1761" s="10">
        <f>IFERROR(ROUND((Q1761/R1761),2),"NA")</f>
        <v>0</v>
      </c>
      <c r="U1761">
        <f t="shared" si="27"/>
        <v>0</v>
      </c>
    </row>
    <row r="1762" spans="7:21" x14ac:dyDescent="0.2">
      <c r="G1762" s="9" t="s">
        <v>1139</v>
      </c>
      <c r="H1762">
        <v>85</v>
      </c>
      <c r="M1762" s="1" t="s">
        <v>1139</v>
      </c>
      <c r="N1762" s="1">
        <v>30</v>
      </c>
      <c r="P1762" s="1" t="s">
        <v>1139</v>
      </c>
      <c r="Q1762" s="42">
        <v>85</v>
      </c>
      <c r="R1762" s="42">
        <v>30</v>
      </c>
      <c r="S1762" s="42">
        <v>0</v>
      </c>
      <c r="T1762" s="10">
        <f>IFERROR(ROUND((Q1762/R1762),2),"NA")</f>
        <v>2.83</v>
      </c>
      <c r="U1762">
        <f t="shared" si="27"/>
        <v>0</v>
      </c>
    </row>
    <row r="1763" spans="7:21" x14ac:dyDescent="0.2">
      <c r="G1763" s="9" t="s">
        <v>1338</v>
      </c>
      <c r="H1763">
        <v>0</v>
      </c>
      <c r="M1763" s="1" t="s">
        <v>1338</v>
      </c>
      <c r="N1763" s="1">
        <v>153</v>
      </c>
      <c r="P1763" s="1" t="s">
        <v>1338</v>
      </c>
      <c r="Q1763" s="42">
        <v>0</v>
      </c>
      <c r="R1763" s="42">
        <v>153</v>
      </c>
      <c r="S1763" s="42">
        <v>0.02</v>
      </c>
      <c r="T1763" s="10">
        <f>IFERROR(ROUND((Q1763/R1763),2),"NA")</f>
        <v>0</v>
      </c>
      <c r="U1763">
        <f t="shared" si="27"/>
        <v>0</v>
      </c>
    </row>
    <row r="1764" spans="7:21" x14ac:dyDescent="0.2">
      <c r="G1764" s="9" t="s">
        <v>2509</v>
      </c>
      <c r="H1764">
        <v>180</v>
      </c>
      <c r="M1764" s="1" t="s">
        <v>2509</v>
      </c>
      <c r="N1764" s="1">
        <v>763</v>
      </c>
      <c r="P1764" s="1" t="s">
        <v>2509</v>
      </c>
      <c r="Q1764" s="42">
        <v>180</v>
      </c>
      <c r="R1764" s="42">
        <v>763</v>
      </c>
      <c r="S1764" s="42">
        <v>0.15</v>
      </c>
      <c r="T1764" s="10">
        <f>IFERROR(ROUND((Q1764/R1764),2),"NA")</f>
        <v>0.24</v>
      </c>
      <c r="U1764">
        <f t="shared" si="27"/>
        <v>27</v>
      </c>
    </row>
    <row r="1765" spans="7:21" x14ac:dyDescent="0.2">
      <c r="G1765" s="9" t="s">
        <v>2315</v>
      </c>
      <c r="H1765">
        <v>43</v>
      </c>
      <c r="M1765" s="1" t="s">
        <v>2315</v>
      </c>
      <c r="N1765" s="1">
        <v>106</v>
      </c>
      <c r="P1765" s="1" t="s">
        <v>2315</v>
      </c>
      <c r="Q1765" s="42">
        <v>43</v>
      </c>
      <c r="R1765" s="42">
        <v>106</v>
      </c>
      <c r="S1765" s="42">
        <v>0</v>
      </c>
      <c r="T1765" s="10">
        <f>IFERROR(ROUND((Q1765/R1765),2),"NA")</f>
        <v>0.41</v>
      </c>
      <c r="U1765">
        <f t="shared" si="27"/>
        <v>0</v>
      </c>
    </row>
    <row r="1766" spans="7:21" x14ac:dyDescent="0.2">
      <c r="G1766" s="9" t="s">
        <v>2721</v>
      </c>
      <c r="H1766">
        <v>0</v>
      </c>
      <c r="M1766" s="1" t="s">
        <v>2721</v>
      </c>
      <c r="N1766" s="1">
        <v>78</v>
      </c>
      <c r="P1766" s="1" t="s">
        <v>2721</v>
      </c>
      <c r="Q1766" s="42">
        <v>0</v>
      </c>
      <c r="R1766" s="42">
        <v>78</v>
      </c>
      <c r="S1766" s="42">
        <v>0</v>
      </c>
      <c r="T1766" s="10">
        <f>IFERROR(ROUND((Q1766/R1766),2),"NA")</f>
        <v>0</v>
      </c>
      <c r="U1766">
        <f t="shared" si="27"/>
        <v>0</v>
      </c>
    </row>
    <row r="1767" spans="7:21" x14ac:dyDescent="0.2">
      <c r="G1767" s="9" t="s">
        <v>1914</v>
      </c>
      <c r="H1767">
        <v>0</v>
      </c>
      <c r="M1767" s="1" t="s">
        <v>1914</v>
      </c>
      <c r="N1767" s="1">
        <v>14</v>
      </c>
      <c r="P1767" s="1" t="s">
        <v>1914</v>
      </c>
      <c r="Q1767" s="42">
        <v>0</v>
      </c>
      <c r="R1767" s="42">
        <v>14</v>
      </c>
      <c r="S1767" s="42">
        <v>0</v>
      </c>
      <c r="T1767" s="10">
        <f>IFERROR(ROUND((Q1767/R1767),2),"NA")</f>
        <v>0</v>
      </c>
      <c r="U1767">
        <f t="shared" si="27"/>
        <v>0</v>
      </c>
    </row>
    <row r="1768" spans="7:21" x14ac:dyDescent="0.2">
      <c r="G1768" s="9" t="s">
        <v>1199</v>
      </c>
      <c r="H1768">
        <v>41</v>
      </c>
      <c r="M1768" s="1" t="s">
        <v>1199</v>
      </c>
      <c r="N1768" s="1">
        <v>222</v>
      </c>
      <c r="P1768" s="1" t="s">
        <v>1199</v>
      </c>
      <c r="Q1768" s="42">
        <v>41</v>
      </c>
      <c r="R1768" s="42">
        <v>222</v>
      </c>
      <c r="S1768" s="42">
        <v>0</v>
      </c>
      <c r="T1768" s="10">
        <f>IFERROR(ROUND((Q1768/R1768),2),"NA")</f>
        <v>0.18</v>
      </c>
      <c r="U1768">
        <f t="shared" si="27"/>
        <v>0</v>
      </c>
    </row>
    <row r="1769" spans="7:21" x14ac:dyDescent="0.2">
      <c r="G1769" s="9" t="s">
        <v>96</v>
      </c>
      <c r="H1769">
        <v>145</v>
      </c>
      <c r="M1769" s="1" t="s">
        <v>96</v>
      </c>
      <c r="N1769" s="1">
        <v>0</v>
      </c>
      <c r="P1769" s="1" t="s">
        <v>96</v>
      </c>
      <c r="Q1769" s="42">
        <v>145</v>
      </c>
      <c r="R1769" s="42">
        <v>0</v>
      </c>
      <c r="S1769" s="42">
        <v>0.25</v>
      </c>
      <c r="T1769" s="10" t="str">
        <f>IFERROR(ROUND((Q1769/R1769),2),"NA")</f>
        <v>NA</v>
      </c>
      <c r="U1769">
        <f t="shared" si="27"/>
        <v>36.25</v>
      </c>
    </row>
    <row r="1770" spans="7:21" x14ac:dyDescent="0.2">
      <c r="G1770" s="9" t="s">
        <v>2377</v>
      </c>
      <c r="H1770">
        <v>26</v>
      </c>
      <c r="M1770" s="1" t="s">
        <v>2377</v>
      </c>
      <c r="N1770" s="1">
        <v>100</v>
      </c>
      <c r="P1770" s="1" t="s">
        <v>2377</v>
      </c>
      <c r="Q1770" s="42">
        <v>26</v>
      </c>
      <c r="R1770" s="42">
        <v>100</v>
      </c>
      <c r="S1770" s="42">
        <v>0.05</v>
      </c>
      <c r="T1770" s="10">
        <f>IFERROR(ROUND((Q1770/R1770),2),"NA")</f>
        <v>0.26</v>
      </c>
      <c r="U1770">
        <f t="shared" si="27"/>
        <v>1.3</v>
      </c>
    </row>
    <row r="1771" spans="7:21" x14ac:dyDescent="0.2">
      <c r="G1771" s="9" t="s">
        <v>557</v>
      </c>
      <c r="H1771">
        <v>0</v>
      </c>
      <c r="M1771" s="1" t="s">
        <v>557</v>
      </c>
      <c r="N1771" s="1">
        <v>167</v>
      </c>
      <c r="P1771" s="1" t="s">
        <v>557</v>
      </c>
      <c r="Q1771" s="42">
        <v>0</v>
      </c>
      <c r="R1771" s="42">
        <v>167</v>
      </c>
      <c r="S1771" s="42">
        <v>0.17</v>
      </c>
      <c r="T1771" s="10">
        <f>IFERROR(ROUND((Q1771/R1771),2),"NA")</f>
        <v>0</v>
      </c>
      <c r="U1771">
        <f t="shared" si="27"/>
        <v>0</v>
      </c>
    </row>
    <row r="1772" spans="7:21" x14ac:dyDescent="0.2">
      <c r="G1772" s="9" t="s">
        <v>1473</v>
      </c>
      <c r="H1772">
        <v>0</v>
      </c>
      <c r="M1772" s="1" t="s">
        <v>1473</v>
      </c>
      <c r="N1772" s="1">
        <v>176</v>
      </c>
      <c r="P1772" s="1" t="s">
        <v>1473</v>
      </c>
      <c r="Q1772" s="42">
        <v>0</v>
      </c>
      <c r="R1772" s="42">
        <v>176</v>
      </c>
      <c r="S1772" s="42">
        <v>0.33</v>
      </c>
      <c r="T1772" s="10">
        <f>IFERROR(ROUND((Q1772/R1772),2),"NA")</f>
        <v>0</v>
      </c>
      <c r="U1772">
        <f t="shared" si="27"/>
        <v>0</v>
      </c>
    </row>
    <row r="1773" spans="7:21" x14ac:dyDescent="0.2">
      <c r="G1773" s="9" t="s">
        <v>1716</v>
      </c>
      <c r="H1773">
        <v>85</v>
      </c>
      <c r="M1773" s="1" t="s">
        <v>1716</v>
      </c>
      <c r="N1773" s="1">
        <v>73</v>
      </c>
      <c r="P1773" s="1" t="s">
        <v>1716</v>
      </c>
      <c r="Q1773" s="42">
        <v>85</v>
      </c>
      <c r="R1773" s="42">
        <v>73</v>
      </c>
      <c r="S1773" s="42">
        <v>0.33</v>
      </c>
      <c r="T1773" s="10">
        <f>IFERROR(ROUND((Q1773/R1773),2),"NA")</f>
        <v>1.1599999999999999</v>
      </c>
      <c r="U1773">
        <f t="shared" si="27"/>
        <v>28.05</v>
      </c>
    </row>
    <row r="1774" spans="7:21" x14ac:dyDescent="0.2">
      <c r="G1774" s="9" t="s">
        <v>1543</v>
      </c>
      <c r="H1774">
        <v>0</v>
      </c>
      <c r="M1774" s="1" t="s">
        <v>1543</v>
      </c>
      <c r="N1774" s="1">
        <v>56</v>
      </c>
      <c r="P1774" s="1" t="s">
        <v>1543</v>
      </c>
      <c r="Q1774" s="42">
        <v>0</v>
      </c>
      <c r="R1774" s="42">
        <v>56</v>
      </c>
      <c r="S1774" s="42">
        <v>0.28000000000000003</v>
      </c>
      <c r="T1774" s="10">
        <f>IFERROR(ROUND((Q1774/R1774),2),"NA")</f>
        <v>0</v>
      </c>
      <c r="U1774">
        <f t="shared" si="27"/>
        <v>0</v>
      </c>
    </row>
    <row r="1775" spans="7:21" x14ac:dyDescent="0.2">
      <c r="G1775" s="9" t="s">
        <v>254</v>
      </c>
      <c r="H1775">
        <v>420</v>
      </c>
      <c r="M1775" s="1" t="s">
        <v>254</v>
      </c>
      <c r="N1775" s="1">
        <v>354</v>
      </c>
      <c r="P1775" s="1" t="s">
        <v>254</v>
      </c>
      <c r="Q1775" s="42">
        <v>420</v>
      </c>
      <c r="R1775" s="42">
        <v>354</v>
      </c>
      <c r="S1775" s="42">
        <v>0.11</v>
      </c>
      <c r="T1775" s="10">
        <f>IFERROR(ROUND((Q1775/R1775),2),"NA")</f>
        <v>1.19</v>
      </c>
      <c r="U1775">
        <f t="shared" si="27"/>
        <v>46.2</v>
      </c>
    </row>
    <row r="1776" spans="7:21" x14ac:dyDescent="0.2">
      <c r="G1776" s="9" t="s">
        <v>2508</v>
      </c>
      <c r="H1776">
        <v>20</v>
      </c>
      <c r="M1776" s="1" t="s">
        <v>2508</v>
      </c>
      <c r="N1776" s="1">
        <v>150</v>
      </c>
      <c r="P1776" s="1" t="s">
        <v>2508</v>
      </c>
      <c r="Q1776" s="42">
        <v>20</v>
      </c>
      <c r="R1776" s="42">
        <v>150</v>
      </c>
      <c r="S1776" s="42">
        <v>0</v>
      </c>
      <c r="T1776" s="10">
        <f>IFERROR(ROUND((Q1776/R1776),2),"NA")</f>
        <v>0.13</v>
      </c>
      <c r="U1776">
        <f t="shared" si="27"/>
        <v>0</v>
      </c>
    </row>
    <row r="1777" spans="7:21" x14ac:dyDescent="0.2">
      <c r="G1777" s="9" t="s">
        <v>361</v>
      </c>
      <c r="H1777">
        <v>180</v>
      </c>
      <c r="M1777" s="1" t="s">
        <v>361</v>
      </c>
      <c r="N1777" s="1">
        <v>1303</v>
      </c>
      <c r="P1777" s="1" t="s">
        <v>361</v>
      </c>
      <c r="Q1777" s="42">
        <v>180</v>
      </c>
      <c r="R1777" s="42">
        <v>1303</v>
      </c>
      <c r="S1777" s="42">
        <v>6.5000000000000002E-2</v>
      </c>
      <c r="T1777" s="10">
        <f>IFERROR(ROUND((Q1777/R1777),2),"NA")</f>
        <v>0.14000000000000001</v>
      </c>
      <c r="U1777">
        <f t="shared" si="27"/>
        <v>11.700000000000001</v>
      </c>
    </row>
    <row r="1778" spans="7:21" x14ac:dyDescent="0.2">
      <c r="G1778" s="9" t="s">
        <v>665</v>
      </c>
      <c r="H1778">
        <v>0</v>
      </c>
      <c r="M1778" s="1" t="s">
        <v>665</v>
      </c>
      <c r="N1778" s="1">
        <v>0</v>
      </c>
      <c r="P1778" s="1" t="s">
        <v>665</v>
      </c>
      <c r="Q1778" s="42">
        <v>0</v>
      </c>
      <c r="R1778" s="42">
        <v>0</v>
      </c>
      <c r="S1778" s="42">
        <v>0.6</v>
      </c>
      <c r="T1778" s="10" t="str">
        <f>IFERROR(ROUND((Q1778/R1778),2),"NA")</f>
        <v>NA</v>
      </c>
      <c r="U1778">
        <f t="shared" si="27"/>
        <v>0</v>
      </c>
    </row>
    <row r="1779" spans="7:21" x14ac:dyDescent="0.2">
      <c r="G1779" s="9" t="s">
        <v>370</v>
      </c>
      <c r="H1779">
        <v>100</v>
      </c>
      <c r="M1779" s="1" t="s">
        <v>370</v>
      </c>
      <c r="N1779" s="1">
        <v>0</v>
      </c>
      <c r="P1779" s="1" t="s">
        <v>370</v>
      </c>
      <c r="Q1779" s="42">
        <v>100</v>
      </c>
      <c r="R1779" s="42">
        <v>0</v>
      </c>
      <c r="S1779" s="42">
        <v>0.15000000000000002</v>
      </c>
      <c r="T1779" s="10" t="str">
        <f>IFERROR(ROUND((Q1779/R1779),2),"NA")</f>
        <v>NA</v>
      </c>
      <c r="U1779">
        <f t="shared" si="27"/>
        <v>15.000000000000002</v>
      </c>
    </row>
    <row r="1780" spans="7:21" x14ac:dyDescent="0.2">
      <c r="G1780" s="9" t="s">
        <v>2448</v>
      </c>
      <c r="H1780">
        <v>100</v>
      </c>
      <c r="M1780" s="1" t="s">
        <v>2448</v>
      </c>
      <c r="N1780" s="1">
        <v>202</v>
      </c>
      <c r="P1780" s="1" t="s">
        <v>2448</v>
      </c>
      <c r="Q1780" s="42">
        <v>100</v>
      </c>
      <c r="R1780" s="42">
        <v>202</v>
      </c>
      <c r="S1780" s="42">
        <v>0</v>
      </c>
      <c r="T1780" s="10">
        <f>IFERROR(ROUND((Q1780/R1780),2),"NA")</f>
        <v>0.5</v>
      </c>
      <c r="U1780">
        <f t="shared" si="27"/>
        <v>0</v>
      </c>
    </row>
    <row r="1781" spans="7:21" x14ac:dyDescent="0.2">
      <c r="G1781" s="9" t="s">
        <v>253</v>
      </c>
      <c r="H1781">
        <v>150</v>
      </c>
      <c r="M1781" s="1" t="s">
        <v>253</v>
      </c>
      <c r="N1781" s="1">
        <v>0</v>
      </c>
      <c r="P1781" s="1" t="s">
        <v>253</v>
      </c>
      <c r="Q1781" s="42">
        <v>150</v>
      </c>
      <c r="R1781" s="42">
        <v>0</v>
      </c>
      <c r="S1781" s="42">
        <v>1</v>
      </c>
      <c r="T1781" s="10" t="str">
        <f>IFERROR(ROUND((Q1781/R1781),2),"NA")</f>
        <v>NA</v>
      </c>
      <c r="U1781">
        <f t="shared" si="27"/>
        <v>150</v>
      </c>
    </row>
    <row r="1782" spans="7:21" x14ac:dyDescent="0.2">
      <c r="G1782" s="9" t="s">
        <v>718</v>
      </c>
      <c r="H1782">
        <v>309</v>
      </c>
      <c r="M1782" s="1" t="s">
        <v>718</v>
      </c>
      <c r="N1782" s="1">
        <v>2451</v>
      </c>
      <c r="P1782" s="1" t="s">
        <v>718</v>
      </c>
      <c r="Q1782" s="42">
        <v>309</v>
      </c>
      <c r="R1782" s="42">
        <v>2451</v>
      </c>
      <c r="S1782" s="42">
        <v>7.5000000000000011E-2</v>
      </c>
      <c r="T1782" s="10">
        <f>IFERROR(ROUND((Q1782/R1782),2),"NA")</f>
        <v>0.13</v>
      </c>
      <c r="U1782">
        <f t="shared" si="27"/>
        <v>23.175000000000004</v>
      </c>
    </row>
    <row r="1783" spans="7:21" x14ac:dyDescent="0.2">
      <c r="G1783" s="9" t="s">
        <v>346</v>
      </c>
      <c r="H1783">
        <v>280</v>
      </c>
      <c r="M1783" s="1" t="s">
        <v>346</v>
      </c>
      <c r="N1783" s="1">
        <v>885</v>
      </c>
      <c r="P1783" s="1" t="s">
        <v>346</v>
      </c>
      <c r="Q1783" s="42">
        <v>280</v>
      </c>
      <c r="R1783" s="42">
        <v>885</v>
      </c>
      <c r="S1783" s="42">
        <v>0.06</v>
      </c>
      <c r="T1783" s="10">
        <f>IFERROR(ROUND((Q1783/R1783),2),"NA")</f>
        <v>0.32</v>
      </c>
      <c r="U1783">
        <f t="shared" si="27"/>
        <v>16.8</v>
      </c>
    </row>
    <row r="1784" spans="7:21" x14ac:dyDescent="0.2">
      <c r="G1784" s="9" t="s">
        <v>1857</v>
      </c>
      <c r="H1784">
        <v>71</v>
      </c>
      <c r="M1784" s="1" t="s">
        <v>1857</v>
      </c>
      <c r="N1784" s="1">
        <v>154</v>
      </c>
      <c r="P1784" s="1" t="s">
        <v>1857</v>
      </c>
      <c r="Q1784" s="42">
        <v>71</v>
      </c>
      <c r="R1784" s="42">
        <v>154</v>
      </c>
      <c r="S1784" s="42">
        <v>0</v>
      </c>
      <c r="T1784" s="10">
        <f>IFERROR(ROUND((Q1784/R1784),2),"NA")</f>
        <v>0.46</v>
      </c>
      <c r="U1784">
        <f t="shared" si="27"/>
        <v>0</v>
      </c>
    </row>
    <row r="1785" spans="7:21" x14ac:dyDescent="0.2">
      <c r="G1785" s="9" t="s">
        <v>264</v>
      </c>
      <c r="H1785">
        <v>79</v>
      </c>
      <c r="M1785" s="1" t="s">
        <v>264</v>
      </c>
      <c r="N1785" s="1">
        <v>676</v>
      </c>
      <c r="P1785" s="1" t="s">
        <v>264</v>
      </c>
      <c r="Q1785" s="42">
        <v>79</v>
      </c>
      <c r="R1785" s="42">
        <v>676</v>
      </c>
      <c r="S1785" s="42">
        <v>0</v>
      </c>
      <c r="T1785" s="10">
        <f>IFERROR(ROUND((Q1785/R1785),2),"NA")</f>
        <v>0.12</v>
      </c>
      <c r="U1785">
        <f t="shared" si="27"/>
        <v>0</v>
      </c>
    </row>
    <row r="1786" spans="7:21" x14ac:dyDescent="0.2">
      <c r="G1786" s="9" t="s">
        <v>2046</v>
      </c>
      <c r="H1786">
        <v>0</v>
      </c>
      <c r="M1786" s="1" t="s">
        <v>2046</v>
      </c>
      <c r="N1786" s="1">
        <v>66</v>
      </c>
      <c r="P1786" s="1" t="s">
        <v>2046</v>
      </c>
      <c r="Q1786" s="42">
        <v>0</v>
      </c>
      <c r="R1786" s="42">
        <v>66</v>
      </c>
      <c r="S1786" s="42">
        <v>0.75</v>
      </c>
      <c r="T1786" s="10">
        <f>IFERROR(ROUND((Q1786/R1786),2),"NA")</f>
        <v>0</v>
      </c>
      <c r="U1786">
        <f t="shared" si="27"/>
        <v>0</v>
      </c>
    </row>
    <row r="1787" spans="7:21" x14ac:dyDescent="0.2">
      <c r="G1787" s="9" t="s">
        <v>1505</v>
      </c>
      <c r="H1787">
        <v>0</v>
      </c>
      <c r="M1787" s="1" t="s">
        <v>1505</v>
      </c>
      <c r="N1787" s="1">
        <v>0</v>
      </c>
      <c r="P1787" s="1" t="s">
        <v>1505</v>
      </c>
      <c r="Q1787" s="42">
        <v>0</v>
      </c>
      <c r="R1787" s="42">
        <v>0</v>
      </c>
      <c r="S1787" s="42">
        <v>0.3</v>
      </c>
      <c r="T1787" s="10" t="str">
        <f>IFERROR(ROUND((Q1787/R1787),2),"NA")</f>
        <v>NA</v>
      </c>
      <c r="U1787">
        <f t="shared" si="27"/>
        <v>0</v>
      </c>
    </row>
    <row r="1788" spans="7:21" x14ac:dyDescent="0.2">
      <c r="G1788" s="9" t="s">
        <v>1321</v>
      </c>
      <c r="H1788">
        <v>0</v>
      </c>
      <c r="M1788" s="1" t="s">
        <v>1321</v>
      </c>
      <c r="N1788" s="1">
        <v>70</v>
      </c>
      <c r="P1788" s="1" t="s">
        <v>1321</v>
      </c>
      <c r="Q1788" s="42">
        <v>0</v>
      </c>
      <c r="R1788" s="42">
        <v>70</v>
      </c>
      <c r="S1788" s="42">
        <v>0.5</v>
      </c>
      <c r="T1788" s="10">
        <f>IFERROR(ROUND((Q1788/R1788),2),"NA")</f>
        <v>0</v>
      </c>
      <c r="U1788">
        <f t="shared" si="27"/>
        <v>0</v>
      </c>
    </row>
    <row r="1789" spans="7:21" x14ac:dyDescent="0.2">
      <c r="G1789" s="9" t="s">
        <v>1532</v>
      </c>
      <c r="H1789">
        <v>300</v>
      </c>
      <c r="M1789" s="1" t="s">
        <v>1532</v>
      </c>
      <c r="N1789" s="1">
        <v>1200</v>
      </c>
      <c r="P1789" s="1" t="s">
        <v>1532</v>
      </c>
      <c r="Q1789" s="42">
        <v>300</v>
      </c>
      <c r="R1789" s="42">
        <v>1200</v>
      </c>
      <c r="S1789" s="42">
        <v>0</v>
      </c>
      <c r="T1789" s="10">
        <f>IFERROR(ROUND((Q1789/R1789),2),"NA")</f>
        <v>0.25</v>
      </c>
      <c r="U1789">
        <f t="shared" si="27"/>
        <v>0</v>
      </c>
    </row>
    <row r="1790" spans="7:21" x14ac:dyDescent="0.2">
      <c r="G1790" s="9" t="s">
        <v>1858</v>
      </c>
      <c r="H1790">
        <v>60</v>
      </c>
      <c r="M1790" s="1" t="s">
        <v>1858</v>
      </c>
      <c r="N1790" s="1">
        <v>0</v>
      </c>
      <c r="P1790" s="1" t="s">
        <v>1858</v>
      </c>
      <c r="Q1790" s="42">
        <v>60</v>
      </c>
      <c r="R1790" s="42">
        <v>0</v>
      </c>
      <c r="S1790" s="42">
        <v>1</v>
      </c>
      <c r="T1790" s="10" t="str">
        <f>IFERROR(ROUND((Q1790/R1790),2),"NA")</f>
        <v>NA</v>
      </c>
      <c r="U1790">
        <f t="shared" si="27"/>
        <v>60</v>
      </c>
    </row>
    <row r="1791" spans="7:21" x14ac:dyDescent="0.2">
      <c r="G1791" s="9" t="s">
        <v>1430</v>
      </c>
      <c r="H1791">
        <v>89</v>
      </c>
      <c r="M1791" s="1" t="s">
        <v>1430</v>
      </c>
      <c r="N1791" s="1">
        <v>10</v>
      </c>
      <c r="P1791" s="1" t="s">
        <v>1430</v>
      </c>
      <c r="Q1791" s="42">
        <v>89</v>
      </c>
      <c r="R1791" s="42">
        <v>10</v>
      </c>
      <c r="S1791" s="42">
        <v>0.2</v>
      </c>
      <c r="T1791" s="10">
        <f>IFERROR(ROUND((Q1791/R1791),2),"NA")</f>
        <v>8.9</v>
      </c>
      <c r="U1791">
        <f t="shared" si="27"/>
        <v>17.8</v>
      </c>
    </row>
    <row r="1792" spans="7:21" x14ac:dyDescent="0.2">
      <c r="G1792" s="9" t="s">
        <v>1791</v>
      </c>
      <c r="H1792">
        <v>0</v>
      </c>
      <c r="M1792" s="1" t="s">
        <v>1791</v>
      </c>
      <c r="N1792" s="1">
        <v>20</v>
      </c>
      <c r="P1792" s="1" t="s">
        <v>1791</v>
      </c>
      <c r="Q1792" s="42">
        <v>0</v>
      </c>
      <c r="R1792" s="42">
        <v>20</v>
      </c>
      <c r="S1792" s="42">
        <v>0</v>
      </c>
      <c r="T1792" s="10">
        <f>IFERROR(ROUND((Q1792/R1792),2),"NA")</f>
        <v>0</v>
      </c>
      <c r="U1792">
        <f t="shared" si="27"/>
        <v>0</v>
      </c>
    </row>
    <row r="1793" spans="7:21" x14ac:dyDescent="0.2">
      <c r="G1793" s="9" t="s">
        <v>2489</v>
      </c>
      <c r="H1793">
        <v>0</v>
      </c>
      <c r="M1793" s="1" t="s">
        <v>2489</v>
      </c>
      <c r="N1793" s="1">
        <v>9</v>
      </c>
      <c r="P1793" s="1" t="s">
        <v>2489</v>
      </c>
      <c r="Q1793" s="42">
        <v>0</v>
      </c>
      <c r="R1793" s="42">
        <v>9</v>
      </c>
      <c r="S1793" s="42">
        <v>1</v>
      </c>
      <c r="T1793" s="10">
        <f>IFERROR(ROUND((Q1793/R1793),2),"NA")</f>
        <v>0</v>
      </c>
      <c r="U1793">
        <f t="shared" si="27"/>
        <v>0</v>
      </c>
    </row>
    <row r="1794" spans="7:21" x14ac:dyDescent="0.2">
      <c r="G1794" s="9" t="s">
        <v>1925</v>
      </c>
      <c r="H1794">
        <v>0</v>
      </c>
      <c r="M1794" s="1" t="s">
        <v>1925</v>
      </c>
      <c r="N1794" s="1">
        <v>150</v>
      </c>
      <c r="P1794" s="1" t="s">
        <v>1925</v>
      </c>
      <c r="Q1794" s="42">
        <v>0</v>
      </c>
      <c r="R1794" s="42">
        <v>150</v>
      </c>
      <c r="S1794" s="42">
        <v>0</v>
      </c>
      <c r="T1794" s="10">
        <f>IFERROR(ROUND((Q1794/R1794),2),"NA")</f>
        <v>0</v>
      </c>
      <c r="U1794">
        <f t="shared" si="27"/>
        <v>0</v>
      </c>
    </row>
    <row r="1795" spans="7:21" x14ac:dyDescent="0.2">
      <c r="G1795" s="9" t="s">
        <v>1134</v>
      </c>
      <c r="H1795">
        <v>0</v>
      </c>
      <c r="M1795" s="1" t="s">
        <v>1134</v>
      </c>
      <c r="N1795" s="1">
        <v>0</v>
      </c>
      <c r="P1795" s="1" t="s">
        <v>1134</v>
      </c>
      <c r="Q1795" s="42">
        <v>0</v>
      </c>
      <c r="R1795" s="42">
        <v>0</v>
      </c>
      <c r="S1795" s="42">
        <v>1</v>
      </c>
      <c r="T1795" s="10" t="str">
        <f>IFERROR(ROUND((Q1795/R1795),2),"NA")</f>
        <v>NA</v>
      </c>
      <c r="U1795">
        <f t="shared" si="27"/>
        <v>0</v>
      </c>
    </row>
    <row r="1796" spans="7:21" x14ac:dyDescent="0.2">
      <c r="G1796" s="9" t="s">
        <v>2253</v>
      </c>
      <c r="H1796">
        <v>1500</v>
      </c>
      <c r="M1796" s="1" t="s">
        <v>2253</v>
      </c>
      <c r="N1796" s="1">
        <v>184</v>
      </c>
      <c r="P1796" s="1" t="s">
        <v>2253</v>
      </c>
      <c r="Q1796" s="42">
        <v>1500</v>
      </c>
      <c r="R1796" s="42">
        <v>184</v>
      </c>
      <c r="S1796" s="42">
        <v>0</v>
      </c>
      <c r="T1796" s="10">
        <f>IFERROR(ROUND((Q1796/R1796),2),"NA")</f>
        <v>8.15</v>
      </c>
      <c r="U1796">
        <f t="shared" si="27"/>
        <v>0</v>
      </c>
    </row>
    <row r="1797" spans="7:21" x14ac:dyDescent="0.2">
      <c r="G1797" s="9" t="s">
        <v>2513</v>
      </c>
      <c r="H1797">
        <v>78</v>
      </c>
      <c r="M1797" s="1" t="s">
        <v>2513</v>
      </c>
      <c r="N1797" s="1">
        <v>0</v>
      </c>
      <c r="P1797" s="1" t="s">
        <v>2513</v>
      </c>
      <c r="Q1797" s="42">
        <v>78</v>
      </c>
      <c r="R1797" s="42">
        <v>0</v>
      </c>
      <c r="S1797" s="42">
        <v>0</v>
      </c>
      <c r="T1797" s="10" t="str">
        <f>IFERROR(ROUND((Q1797/R1797),2),"NA")</f>
        <v>NA</v>
      </c>
      <c r="U1797">
        <f t="shared" ref="U1797:U1860" si="28">Q1797*S1797</f>
        <v>0</v>
      </c>
    </row>
    <row r="1798" spans="7:21" x14ac:dyDescent="0.2">
      <c r="G1798" s="9" t="s">
        <v>2159</v>
      </c>
      <c r="H1798">
        <v>50</v>
      </c>
      <c r="M1798" s="1" t="s">
        <v>2159</v>
      </c>
      <c r="N1798" s="1">
        <v>338</v>
      </c>
      <c r="P1798" s="1" t="s">
        <v>2159</v>
      </c>
      <c r="Q1798" s="42">
        <v>50</v>
      </c>
      <c r="R1798" s="42">
        <v>338</v>
      </c>
      <c r="S1798" s="42">
        <v>0.125</v>
      </c>
      <c r="T1798" s="10">
        <f>IFERROR(ROUND((Q1798/R1798),2),"NA")</f>
        <v>0.15</v>
      </c>
      <c r="U1798">
        <f t="shared" si="28"/>
        <v>6.25</v>
      </c>
    </row>
    <row r="1799" spans="7:21" x14ac:dyDescent="0.2">
      <c r="G1799" s="9" t="s">
        <v>310</v>
      </c>
      <c r="H1799">
        <v>275</v>
      </c>
      <c r="M1799" s="1" t="s">
        <v>310</v>
      </c>
      <c r="N1799" s="1">
        <v>529</v>
      </c>
      <c r="P1799" s="1" t="s">
        <v>310</v>
      </c>
      <c r="Q1799" s="42">
        <v>275</v>
      </c>
      <c r="R1799" s="42">
        <v>529</v>
      </c>
      <c r="S1799" s="42">
        <v>0</v>
      </c>
      <c r="T1799" s="10">
        <f>IFERROR(ROUND((Q1799/R1799),2),"NA")</f>
        <v>0.52</v>
      </c>
      <c r="U1799">
        <f t="shared" si="28"/>
        <v>0</v>
      </c>
    </row>
    <row r="1800" spans="7:21" x14ac:dyDescent="0.2">
      <c r="G1800" s="9" t="s">
        <v>2748</v>
      </c>
      <c r="H1800">
        <v>0</v>
      </c>
      <c r="M1800" s="1" t="s">
        <v>2748</v>
      </c>
      <c r="N1800" s="1">
        <v>1</v>
      </c>
      <c r="P1800" s="1" t="s">
        <v>2748</v>
      </c>
      <c r="Q1800" s="42">
        <v>0</v>
      </c>
      <c r="R1800" s="42">
        <v>1</v>
      </c>
      <c r="S1800" s="42">
        <v>1</v>
      </c>
      <c r="T1800" s="10">
        <f>IFERROR(ROUND((Q1800/R1800),2),"NA")</f>
        <v>0</v>
      </c>
      <c r="U1800">
        <f t="shared" si="28"/>
        <v>0</v>
      </c>
    </row>
    <row r="1801" spans="7:21" x14ac:dyDescent="0.2">
      <c r="G1801" s="9" t="s">
        <v>2100</v>
      </c>
      <c r="H1801">
        <v>50</v>
      </c>
      <c r="M1801" s="1" t="s">
        <v>2100</v>
      </c>
      <c r="N1801" s="1">
        <v>91</v>
      </c>
      <c r="P1801" s="1" t="s">
        <v>2100</v>
      </c>
      <c r="Q1801" s="42">
        <v>50</v>
      </c>
      <c r="R1801" s="42">
        <v>91</v>
      </c>
      <c r="S1801" s="42">
        <v>0.08</v>
      </c>
      <c r="T1801" s="10">
        <f>IFERROR(ROUND((Q1801/R1801),2),"NA")</f>
        <v>0.55000000000000004</v>
      </c>
      <c r="U1801">
        <f t="shared" si="28"/>
        <v>4</v>
      </c>
    </row>
    <row r="1802" spans="7:21" x14ac:dyDescent="0.2">
      <c r="G1802" s="9" t="s">
        <v>1982</v>
      </c>
      <c r="H1802">
        <v>0</v>
      </c>
      <c r="M1802" s="1" t="s">
        <v>1982</v>
      </c>
      <c r="N1802" s="1">
        <v>0</v>
      </c>
      <c r="P1802" s="1" t="s">
        <v>1982</v>
      </c>
      <c r="Q1802" s="42">
        <v>0</v>
      </c>
      <c r="R1802" s="42">
        <v>0</v>
      </c>
      <c r="S1802" s="42">
        <v>1</v>
      </c>
      <c r="T1802" s="10" t="str">
        <f>IFERROR(ROUND((Q1802/R1802),2),"NA")</f>
        <v>NA</v>
      </c>
      <c r="U1802">
        <f t="shared" si="28"/>
        <v>0</v>
      </c>
    </row>
    <row r="1803" spans="7:21" x14ac:dyDescent="0.2">
      <c r="G1803" s="9" t="s">
        <v>853</v>
      </c>
      <c r="H1803">
        <v>80</v>
      </c>
      <c r="M1803" s="1" t="s">
        <v>853</v>
      </c>
      <c r="N1803" s="1">
        <v>89</v>
      </c>
      <c r="P1803" s="1" t="s">
        <v>853</v>
      </c>
      <c r="Q1803" s="42">
        <v>80</v>
      </c>
      <c r="R1803" s="42">
        <v>89</v>
      </c>
      <c r="S1803" s="42">
        <v>0</v>
      </c>
      <c r="T1803" s="10">
        <f>IFERROR(ROUND((Q1803/R1803),2),"NA")</f>
        <v>0.9</v>
      </c>
      <c r="U1803">
        <f t="shared" si="28"/>
        <v>0</v>
      </c>
    </row>
    <row r="1804" spans="7:21" x14ac:dyDescent="0.2">
      <c r="G1804" s="9" t="s">
        <v>826</v>
      </c>
      <c r="H1804">
        <v>60</v>
      </c>
      <c r="M1804" s="1" t="s">
        <v>826</v>
      </c>
      <c r="N1804" s="1">
        <v>107</v>
      </c>
      <c r="P1804" s="1" t="s">
        <v>826</v>
      </c>
      <c r="Q1804" s="42">
        <v>60</v>
      </c>
      <c r="R1804" s="42">
        <v>107</v>
      </c>
      <c r="S1804" s="42">
        <v>0</v>
      </c>
      <c r="T1804" s="10">
        <f>IFERROR(ROUND((Q1804/R1804),2),"NA")</f>
        <v>0.56000000000000005</v>
      </c>
      <c r="U1804">
        <f t="shared" si="28"/>
        <v>0</v>
      </c>
    </row>
    <row r="1805" spans="7:21" x14ac:dyDescent="0.2">
      <c r="G1805" s="9" t="s">
        <v>1175</v>
      </c>
      <c r="H1805">
        <v>0</v>
      </c>
      <c r="M1805" s="1" t="s">
        <v>1175</v>
      </c>
      <c r="N1805" s="1">
        <v>0</v>
      </c>
      <c r="P1805" s="1" t="s">
        <v>1175</v>
      </c>
      <c r="Q1805" s="42">
        <v>0</v>
      </c>
      <c r="R1805" s="42">
        <v>0</v>
      </c>
      <c r="S1805" s="42">
        <v>1</v>
      </c>
      <c r="T1805" s="10" t="str">
        <f>IFERROR(ROUND((Q1805/R1805),2),"NA")</f>
        <v>NA</v>
      </c>
      <c r="U1805">
        <f t="shared" si="28"/>
        <v>0</v>
      </c>
    </row>
    <row r="1806" spans="7:21" x14ac:dyDescent="0.2">
      <c r="G1806" s="9" t="s">
        <v>654</v>
      </c>
      <c r="H1806">
        <v>1525</v>
      </c>
      <c r="M1806" s="1" t="s">
        <v>654</v>
      </c>
      <c r="N1806" s="1">
        <v>0</v>
      </c>
      <c r="P1806" s="1" t="s">
        <v>654</v>
      </c>
      <c r="Q1806" s="42">
        <v>1525</v>
      </c>
      <c r="R1806" s="42">
        <v>0</v>
      </c>
      <c r="S1806" s="42">
        <v>0.02</v>
      </c>
      <c r="T1806" s="10" t="str">
        <f>IFERROR(ROUND((Q1806/R1806),2),"NA")</f>
        <v>NA</v>
      </c>
      <c r="U1806">
        <f t="shared" si="28"/>
        <v>30.5</v>
      </c>
    </row>
    <row r="1807" spans="7:21" x14ac:dyDescent="0.2">
      <c r="G1807" s="9" t="s">
        <v>678</v>
      </c>
      <c r="H1807">
        <v>1050</v>
      </c>
      <c r="M1807" s="1" t="s">
        <v>678</v>
      </c>
      <c r="N1807" s="1">
        <v>800</v>
      </c>
      <c r="P1807" s="1" t="s">
        <v>678</v>
      </c>
      <c r="Q1807" s="42">
        <v>1050</v>
      </c>
      <c r="R1807" s="42">
        <v>800</v>
      </c>
      <c r="S1807" s="42">
        <v>9.5000000000000001E-2</v>
      </c>
      <c r="T1807" s="10">
        <f>IFERROR(ROUND((Q1807/R1807),2),"NA")</f>
        <v>1.31</v>
      </c>
      <c r="U1807">
        <f t="shared" si="28"/>
        <v>99.75</v>
      </c>
    </row>
    <row r="1808" spans="7:21" x14ac:dyDescent="0.2">
      <c r="G1808" s="9" t="s">
        <v>2506</v>
      </c>
      <c r="H1808">
        <v>87</v>
      </c>
      <c r="M1808" s="1" t="s">
        <v>2506</v>
      </c>
      <c r="N1808" s="1">
        <v>39</v>
      </c>
      <c r="P1808" s="1" t="s">
        <v>2506</v>
      </c>
      <c r="Q1808" s="42">
        <v>87</v>
      </c>
      <c r="R1808" s="42">
        <v>39</v>
      </c>
      <c r="S1808" s="42">
        <v>0.2</v>
      </c>
      <c r="T1808" s="10">
        <f>IFERROR(ROUND((Q1808/R1808),2),"NA")</f>
        <v>2.23</v>
      </c>
      <c r="U1808">
        <f t="shared" si="28"/>
        <v>17.400000000000002</v>
      </c>
    </row>
    <row r="1809" spans="7:21" x14ac:dyDescent="0.2">
      <c r="G1809" s="9" t="s">
        <v>1701</v>
      </c>
      <c r="H1809">
        <v>72</v>
      </c>
      <c r="M1809" s="1" t="s">
        <v>1701</v>
      </c>
      <c r="N1809" s="1">
        <v>175</v>
      </c>
      <c r="P1809" s="1" t="s">
        <v>1701</v>
      </c>
      <c r="Q1809" s="42">
        <v>72</v>
      </c>
      <c r="R1809" s="42">
        <v>175</v>
      </c>
      <c r="S1809" s="42">
        <v>0</v>
      </c>
      <c r="T1809" s="10">
        <f>IFERROR(ROUND((Q1809/R1809),2),"NA")</f>
        <v>0.41</v>
      </c>
      <c r="U1809">
        <f t="shared" si="28"/>
        <v>0</v>
      </c>
    </row>
    <row r="1810" spans="7:21" x14ac:dyDescent="0.2">
      <c r="G1810" s="9" t="s">
        <v>2177</v>
      </c>
      <c r="H1810">
        <v>70</v>
      </c>
      <c r="M1810" s="1" t="s">
        <v>2177</v>
      </c>
      <c r="N1810" s="1">
        <v>130</v>
      </c>
      <c r="P1810" s="1" t="s">
        <v>2177</v>
      </c>
      <c r="Q1810" s="42">
        <v>70</v>
      </c>
      <c r="R1810" s="42">
        <v>130</v>
      </c>
      <c r="S1810" s="42">
        <v>5.5E-2</v>
      </c>
      <c r="T1810" s="10">
        <f>IFERROR(ROUND((Q1810/R1810),2),"NA")</f>
        <v>0.54</v>
      </c>
      <c r="U1810">
        <f t="shared" si="28"/>
        <v>3.85</v>
      </c>
    </row>
    <row r="1811" spans="7:21" x14ac:dyDescent="0.2">
      <c r="G1811" s="9" t="s">
        <v>2134</v>
      </c>
      <c r="H1811">
        <v>130</v>
      </c>
      <c r="M1811" s="1" t="s">
        <v>2134</v>
      </c>
      <c r="N1811" s="1">
        <v>533</v>
      </c>
      <c r="P1811" s="1" t="s">
        <v>2134</v>
      </c>
      <c r="Q1811" s="42">
        <v>130</v>
      </c>
      <c r="R1811" s="42">
        <v>533</v>
      </c>
      <c r="S1811" s="42">
        <v>0.25</v>
      </c>
      <c r="T1811" s="10">
        <f>IFERROR(ROUND((Q1811/R1811),2),"NA")</f>
        <v>0.24</v>
      </c>
      <c r="U1811">
        <f t="shared" si="28"/>
        <v>32.5</v>
      </c>
    </row>
    <row r="1812" spans="7:21" x14ac:dyDescent="0.2">
      <c r="G1812" s="9" t="s">
        <v>1085</v>
      </c>
      <c r="H1812">
        <v>28</v>
      </c>
      <c r="M1812" s="1" t="s">
        <v>1085</v>
      </c>
      <c r="N1812" s="1">
        <v>35</v>
      </c>
      <c r="P1812" s="1" t="s">
        <v>1085</v>
      </c>
      <c r="Q1812" s="42">
        <v>28</v>
      </c>
      <c r="R1812" s="42">
        <v>35</v>
      </c>
      <c r="S1812" s="42">
        <v>0.53500000000000003</v>
      </c>
      <c r="T1812" s="10">
        <f>IFERROR(ROUND((Q1812/R1812),2),"NA")</f>
        <v>0.8</v>
      </c>
      <c r="U1812">
        <f t="shared" si="28"/>
        <v>14.98</v>
      </c>
    </row>
    <row r="1813" spans="7:21" x14ac:dyDescent="0.2">
      <c r="G1813" s="9" t="s">
        <v>1474</v>
      </c>
      <c r="H1813">
        <v>0</v>
      </c>
      <c r="M1813" s="1" t="s">
        <v>1474</v>
      </c>
      <c r="N1813" s="1">
        <v>425</v>
      </c>
      <c r="P1813" s="1" t="s">
        <v>1474</v>
      </c>
      <c r="Q1813" s="42">
        <v>0</v>
      </c>
      <c r="R1813" s="42">
        <v>425</v>
      </c>
      <c r="S1813" s="42">
        <v>0.12</v>
      </c>
      <c r="T1813" s="10">
        <f>IFERROR(ROUND((Q1813/R1813),2),"NA")</f>
        <v>0</v>
      </c>
      <c r="U1813">
        <f t="shared" si="28"/>
        <v>0</v>
      </c>
    </row>
    <row r="1814" spans="7:21" x14ac:dyDescent="0.2">
      <c r="G1814" s="9" t="s">
        <v>2637</v>
      </c>
      <c r="H1814">
        <v>80</v>
      </c>
      <c r="M1814" s="1" t="s">
        <v>2637</v>
      </c>
      <c r="N1814" s="1">
        <v>0</v>
      </c>
      <c r="P1814" s="1" t="s">
        <v>2637</v>
      </c>
      <c r="Q1814" s="42">
        <v>80</v>
      </c>
      <c r="R1814" s="42">
        <v>0</v>
      </c>
      <c r="S1814" s="42">
        <v>0.4</v>
      </c>
      <c r="T1814" s="10" t="str">
        <f>IFERROR(ROUND((Q1814/R1814),2),"NA")</f>
        <v>NA</v>
      </c>
      <c r="U1814">
        <f t="shared" si="28"/>
        <v>32</v>
      </c>
    </row>
    <row r="1815" spans="7:21" x14ac:dyDescent="0.2">
      <c r="G1815" s="9" t="s">
        <v>2530</v>
      </c>
      <c r="H1815">
        <v>0</v>
      </c>
      <c r="M1815" s="1" t="s">
        <v>2530</v>
      </c>
      <c r="N1815" s="1">
        <v>1800</v>
      </c>
      <c r="P1815" s="1" t="s">
        <v>2530</v>
      </c>
      <c r="Q1815" s="42">
        <v>0</v>
      </c>
      <c r="R1815" s="42">
        <v>1800</v>
      </c>
      <c r="S1815" s="42">
        <v>1</v>
      </c>
      <c r="T1815" s="10">
        <f>IFERROR(ROUND((Q1815/R1815),2),"NA")</f>
        <v>0</v>
      </c>
      <c r="U1815">
        <f t="shared" si="28"/>
        <v>0</v>
      </c>
    </row>
    <row r="1816" spans="7:21" x14ac:dyDescent="0.2">
      <c r="G1816" s="9" t="s">
        <v>2049</v>
      </c>
      <c r="H1816">
        <v>60</v>
      </c>
      <c r="M1816" s="1" t="s">
        <v>2049</v>
      </c>
      <c r="N1816" s="1">
        <v>28</v>
      </c>
      <c r="P1816" s="1" t="s">
        <v>2049</v>
      </c>
      <c r="Q1816" s="42">
        <v>60</v>
      </c>
      <c r="R1816" s="42">
        <v>28</v>
      </c>
      <c r="S1816" s="42">
        <v>0</v>
      </c>
      <c r="T1816" s="10">
        <f>IFERROR(ROUND((Q1816/R1816),2),"NA")</f>
        <v>2.14</v>
      </c>
      <c r="U1816">
        <f t="shared" si="28"/>
        <v>0</v>
      </c>
    </row>
    <row r="1817" spans="7:21" x14ac:dyDescent="0.2">
      <c r="G1817" s="9" t="s">
        <v>1810</v>
      </c>
      <c r="H1817">
        <v>20</v>
      </c>
      <c r="M1817" s="1" t="s">
        <v>1810</v>
      </c>
      <c r="N1817" s="1">
        <v>3</v>
      </c>
      <c r="P1817" s="1" t="s">
        <v>1810</v>
      </c>
      <c r="Q1817" s="42">
        <v>20</v>
      </c>
      <c r="R1817" s="42">
        <v>3</v>
      </c>
      <c r="S1817" s="42">
        <v>0.2</v>
      </c>
      <c r="T1817" s="10">
        <f>IFERROR(ROUND((Q1817/R1817),2),"NA")</f>
        <v>6.67</v>
      </c>
      <c r="U1817">
        <f t="shared" si="28"/>
        <v>4</v>
      </c>
    </row>
    <row r="1818" spans="7:21" x14ac:dyDescent="0.2">
      <c r="G1818" s="9" t="s">
        <v>1406</v>
      </c>
      <c r="H1818">
        <v>0</v>
      </c>
      <c r="M1818" s="1" t="s">
        <v>1406</v>
      </c>
      <c r="N1818" s="1">
        <v>0</v>
      </c>
      <c r="P1818" s="1" t="s">
        <v>1406</v>
      </c>
      <c r="Q1818" s="42">
        <v>0</v>
      </c>
      <c r="R1818" s="42">
        <v>0</v>
      </c>
      <c r="S1818" s="42">
        <v>0</v>
      </c>
      <c r="T1818" s="10" t="str">
        <f>IFERROR(ROUND((Q1818/R1818),2),"NA")</f>
        <v>NA</v>
      </c>
      <c r="U1818">
        <f t="shared" si="28"/>
        <v>0</v>
      </c>
    </row>
    <row r="1819" spans="7:21" x14ac:dyDescent="0.2">
      <c r="G1819" s="9" t="s">
        <v>2463</v>
      </c>
      <c r="H1819">
        <v>248</v>
      </c>
      <c r="M1819" s="1" t="s">
        <v>2463</v>
      </c>
      <c r="N1819" s="1">
        <v>1090</v>
      </c>
      <c r="P1819" s="1" t="s">
        <v>2463</v>
      </c>
      <c r="Q1819" s="42">
        <v>248</v>
      </c>
      <c r="R1819" s="42">
        <v>1090</v>
      </c>
      <c r="S1819" s="42">
        <v>0.06</v>
      </c>
      <c r="T1819" s="10">
        <f>IFERROR(ROUND((Q1819/R1819),2),"NA")</f>
        <v>0.23</v>
      </c>
      <c r="U1819">
        <f t="shared" si="28"/>
        <v>14.879999999999999</v>
      </c>
    </row>
    <row r="1820" spans="7:21" x14ac:dyDescent="0.2">
      <c r="G1820" s="9" t="s">
        <v>816</v>
      </c>
      <c r="H1820">
        <v>0</v>
      </c>
      <c r="M1820" s="1" t="s">
        <v>816</v>
      </c>
      <c r="N1820" s="1">
        <v>0</v>
      </c>
      <c r="P1820" s="1" t="s">
        <v>816</v>
      </c>
      <c r="Q1820" s="42">
        <v>0</v>
      </c>
      <c r="R1820" s="42">
        <v>0</v>
      </c>
      <c r="S1820" s="42">
        <v>1</v>
      </c>
      <c r="T1820" s="10" t="str">
        <f>IFERROR(ROUND((Q1820/R1820),2),"NA")</f>
        <v>NA</v>
      </c>
      <c r="U1820">
        <f t="shared" si="28"/>
        <v>0</v>
      </c>
    </row>
    <row r="1821" spans="7:21" x14ac:dyDescent="0.2">
      <c r="G1821" s="9" t="s">
        <v>2292</v>
      </c>
      <c r="H1821">
        <v>80</v>
      </c>
      <c r="M1821" s="1" t="s">
        <v>2292</v>
      </c>
      <c r="N1821" s="1">
        <v>347</v>
      </c>
      <c r="P1821" s="1" t="s">
        <v>2292</v>
      </c>
      <c r="Q1821" s="42">
        <v>80</v>
      </c>
      <c r="R1821" s="42">
        <v>347</v>
      </c>
      <c r="S1821" s="42">
        <v>0.19</v>
      </c>
      <c r="T1821" s="10">
        <f>IFERROR(ROUND((Q1821/R1821),2),"NA")</f>
        <v>0.23</v>
      </c>
      <c r="U1821">
        <f t="shared" si="28"/>
        <v>15.2</v>
      </c>
    </row>
    <row r="1822" spans="7:21" x14ac:dyDescent="0.2">
      <c r="G1822" s="9" t="s">
        <v>1498</v>
      </c>
      <c r="H1822">
        <v>0</v>
      </c>
      <c r="M1822" s="1" t="s">
        <v>1498</v>
      </c>
      <c r="N1822" s="1">
        <v>226</v>
      </c>
      <c r="P1822" s="1" t="s">
        <v>1498</v>
      </c>
      <c r="Q1822" s="42">
        <v>0</v>
      </c>
      <c r="R1822" s="42">
        <v>226</v>
      </c>
      <c r="S1822" s="42">
        <v>0</v>
      </c>
      <c r="T1822" s="10">
        <f>IFERROR(ROUND((Q1822/R1822),2),"NA")</f>
        <v>0</v>
      </c>
      <c r="U1822">
        <f t="shared" si="28"/>
        <v>0</v>
      </c>
    </row>
    <row r="1823" spans="7:21" x14ac:dyDescent="0.2">
      <c r="G1823" s="9" t="s">
        <v>2706</v>
      </c>
      <c r="H1823">
        <v>0</v>
      </c>
      <c r="M1823" s="1" t="s">
        <v>2706</v>
      </c>
      <c r="N1823" s="1">
        <v>4</v>
      </c>
      <c r="P1823" s="1" t="s">
        <v>2706</v>
      </c>
      <c r="Q1823" s="42">
        <v>0</v>
      </c>
      <c r="R1823" s="42">
        <v>4</v>
      </c>
      <c r="S1823" s="42">
        <v>0</v>
      </c>
      <c r="T1823" s="10">
        <f>IFERROR(ROUND((Q1823/R1823),2),"NA")</f>
        <v>0</v>
      </c>
      <c r="U1823">
        <f t="shared" si="28"/>
        <v>0</v>
      </c>
    </row>
    <row r="1824" spans="7:21" x14ac:dyDescent="0.2">
      <c r="G1824" s="9" t="s">
        <v>957</v>
      </c>
      <c r="H1824">
        <v>0</v>
      </c>
      <c r="M1824" s="1" t="s">
        <v>957</v>
      </c>
      <c r="N1824" s="1">
        <v>19</v>
      </c>
      <c r="P1824" s="1" t="s">
        <v>957</v>
      </c>
      <c r="Q1824" s="42">
        <v>0</v>
      </c>
      <c r="R1824" s="42">
        <v>19</v>
      </c>
      <c r="S1824" s="42">
        <v>0.3</v>
      </c>
      <c r="T1824" s="10">
        <f>IFERROR(ROUND((Q1824/R1824),2),"NA")</f>
        <v>0</v>
      </c>
      <c r="U1824">
        <f t="shared" si="28"/>
        <v>0</v>
      </c>
    </row>
    <row r="1825" spans="7:21" x14ac:dyDescent="0.2">
      <c r="G1825" s="9" t="s">
        <v>719</v>
      </c>
      <c r="H1825">
        <v>0</v>
      </c>
      <c r="M1825" s="1" t="s">
        <v>719</v>
      </c>
      <c r="N1825" s="1">
        <v>112</v>
      </c>
      <c r="P1825" s="1" t="s">
        <v>719</v>
      </c>
      <c r="Q1825" s="42">
        <v>0</v>
      </c>
      <c r="R1825" s="42">
        <v>112</v>
      </c>
      <c r="S1825" s="42">
        <v>0.2</v>
      </c>
      <c r="T1825" s="10">
        <f>IFERROR(ROUND((Q1825/R1825),2),"NA")</f>
        <v>0</v>
      </c>
      <c r="U1825">
        <f t="shared" si="28"/>
        <v>0</v>
      </c>
    </row>
    <row r="1826" spans="7:21" x14ac:dyDescent="0.2">
      <c r="G1826" s="9" t="s">
        <v>1235</v>
      </c>
      <c r="H1826">
        <v>275</v>
      </c>
      <c r="M1826" s="1" t="s">
        <v>1235</v>
      </c>
      <c r="N1826" s="1">
        <v>17</v>
      </c>
      <c r="P1826" s="1" t="s">
        <v>1235</v>
      </c>
      <c r="Q1826" s="42">
        <v>275</v>
      </c>
      <c r="R1826" s="42">
        <v>17</v>
      </c>
      <c r="S1826" s="42">
        <v>0</v>
      </c>
      <c r="T1826" s="10">
        <f>IFERROR(ROUND((Q1826/R1826),2),"NA")</f>
        <v>16.18</v>
      </c>
      <c r="U1826">
        <f t="shared" si="28"/>
        <v>0</v>
      </c>
    </row>
    <row r="1827" spans="7:21" x14ac:dyDescent="0.2">
      <c r="G1827" s="9" t="s">
        <v>2207</v>
      </c>
      <c r="H1827">
        <v>163</v>
      </c>
      <c r="M1827" s="1" t="s">
        <v>2207</v>
      </c>
      <c r="N1827" s="1">
        <v>658</v>
      </c>
      <c r="P1827" s="1" t="s">
        <v>2207</v>
      </c>
      <c r="Q1827" s="42">
        <v>163</v>
      </c>
      <c r="R1827" s="42">
        <v>658</v>
      </c>
      <c r="S1827" s="42">
        <v>0.12000000000000001</v>
      </c>
      <c r="T1827" s="10">
        <f>IFERROR(ROUND((Q1827/R1827),2),"NA")</f>
        <v>0.25</v>
      </c>
      <c r="U1827">
        <f t="shared" si="28"/>
        <v>19.560000000000002</v>
      </c>
    </row>
    <row r="1828" spans="7:21" x14ac:dyDescent="0.2">
      <c r="G1828" s="9" t="s">
        <v>2405</v>
      </c>
      <c r="H1828">
        <v>0</v>
      </c>
      <c r="M1828" s="1" t="s">
        <v>2405</v>
      </c>
      <c r="N1828" s="1">
        <v>202</v>
      </c>
      <c r="P1828" s="1" t="s">
        <v>2405</v>
      </c>
      <c r="Q1828" s="42">
        <v>0</v>
      </c>
      <c r="R1828" s="42">
        <v>202</v>
      </c>
      <c r="S1828" s="42">
        <v>0</v>
      </c>
      <c r="T1828" s="10">
        <f>IFERROR(ROUND((Q1828/R1828),2),"NA")</f>
        <v>0</v>
      </c>
      <c r="U1828">
        <f t="shared" si="28"/>
        <v>0</v>
      </c>
    </row>
    <row r="1829" spans="7:21" x14ac:dyDescent="0.2">
      <c r="G1829" s="9" t="s">
        <v>2802</v>
      </c>
      <c r="H1829">
        <v>0</v>
      </c>
      <c r="M1829" s="1" t="s">
        <v>2802</v>
      </c>
      <c r="N1829" s="1">
        <v>41</v>
      </c>
      <c r="P1829" s="1" t="s">
        <v>2802</v>
      </c>
      <c r="Q1829" s="42">
        <v>0</v>
      </c>
      <c r="R1829" s="42">
        <v>41</v>
      </c>
      <c r="S1829" s="42">
        <v>0</v>
      </c>
      <c r="T1829" s="10">
        <f>IFERROR(ROUND((Q1829/R1829),2),"NA")</f>
        <v>0</v>
      </c>
      <c r="U1829">
        <f t="shared" si="28"/>
        <v>0</v>
      </c>
    </row>
    <row r="1830" spans="7:21" x14ac:dyDescent="0.2">
      <c r="G1830" s="9" t="s">
        <v>2901</v>
      </c>
      <c r="H1830">
        <v>60</v>
      </c>
      <c r="M1830" s="1" t="s">
        <v>2901</v>
      </c>
      <c r="N1830" s="1">
        <v>12</v>
      </c>
      <c r="P1830" s="1" t="s">
        <v>2901</v>
      </c>
      <c r="Q1830" s="42">
        <v>60</v>
      </c>
      <c r="R1830" s="42">
        <v>12</v>
      </c>
      <c r="S1830" s="42">
        <v>0</v>
      </c>
      <c r="T1830" s="10">
        <f>IFERROR(ROUND((Q1830/R1830),2),"NA")</f>
        <v>5</v>
      </c>
      <c r="U1830">
        <f t="shared" si="28"/>
        <v>0</v>
      </c>
    </row>
    <row r="1831" spans="7:21" x14ac:dyDescent="0.2">
      <c r="G1831" s="9" t="s">
        <v>207</v>
      </c>
      <c r="H1831">
        <v>0</v>
      </c>
      <c r="M1831" s="1" t="s">
        <v>207</v>
      </c>
      <c r="N1831" s="1">
        <v>5</v>
      </c>
      <c r="P1831" s="1" t="s">
        <v>207</v>
      </c>
      <c r="Q1831" s="42">
        <v>0</v>
      </c>
      <c r="R1831" s="42">
        <v>5</v>
      </c>
      <c r="S1831" s="42">
        <v>1</v>
      </c>
      <c r="T1831" s="10">
        <f>IFERROR(ROUND((Q1831/R1831),2),"NA")</f>
        <v>0</v>
      </c>
      <c r="U1831">
        <f t="shared" si="28"/>
        <v>0</v>
      </c>
    </row>
    <row r="1832" spans="7:21" x14ac:dyDescent="0.2">
      <c r="G1832" s="9" t="s">
        <v>2919</v>
      </c>
      <c r="H1832">
        <v>78</v>
      </c>
      <c r="M1832" s="1" t="s">
        <v>2919</v>
      </c>
      <c r="N1832" s="1">
        <v>0</v>
      </c>
      <c r="P1832" s="1" t="s">
        <v>2919</v>
      </c>
      <c r="Q1832" s="42">
        <v>78</v>
      </c>
      <c r="R1832" s="42">
        <v>0</v>
      </c>
      <c r="S1832" s="42">
        <v>0.3</v>
      </c>
      <c r="T1832" s="10" t="str">
        <f>IFERROR(ROUND((Q1832/R1832),2),"NA")</f>
        <v>NA</v>
      </c>
      <c r="U1832">
        <f t="shared" si="28"/>
        <v>23.4</v>
      </c>
    </row>
    <row r="1833" spans="7:21" x14ac:dyDescent="0.2">
      <c r="G1833" s="9" t="s">
        <v>1148</v>
      </c>
      <c r="H1833">
        <v>185</v>
      </c>
      <c r="M1833" s="1" t="s">
        <v>1148</v>
      </c>
      <c r="N1833" s="1">
        <v>544</v>
      </c>
      <c r="P1833" s="1" t="s">
        <v>1148</v>
      </c>
      <c r="Q1833" s="42">
        <v>185</v>
      </c>
      <c r="R1833" s="42">
        <v>544</v>
      </c>
      <c r="S1833" s="42">
        <v>0.4</v>
      </c>
      <c r="T1833" s="10">
        <f>IFERROR(ROUND((Q1833/R1833),2),"NA")</f>
        <v>0.34</v>
      </c>
      <c r="U1833">
        <f t="shared" si="28"/>
        <v>74</v>
      </c>
    </row>
    <row r="1834" spans="7:21" x14ac:dyDescent="0.2">
      <c r="G1834" s="9" t="s">
        <v>819</v>
      </c>
      <c r="H1834">
        <v>470</v>
      </c>
      <c r="M1834" s="1" t="s">
        <v>819</v>
      </c>
      <c r="N1834" s="1">
        <v>89</v>
      </c>
      <c r="P1834" s="1" t="s">
        <v>819</v>
      </c>
      <c r="Q1834" s="42">
        <v>470</v>
      </c>
      <c r="R1834" s="42">
        <v>89</v>
      </c>
      <c r="S1834" s="42">
        <v>0.18</v>
      </c>
      <c r="T1834" s="10">
        <f>IFERROR(ROUND((Q1834/R1834),2),"NA")</f>
        <v>5.28</v>
      </c>
      <c r="U1834">
        <f t="shared" si="28"/>
        <v>84.6</v>
      </c>
    </row>
    <row r="1835" spans="7:21" x14ac:dyDescent="0.2">
      <c r="G1835" s="9" t="s">
        <v>1583</v>
      </c>
      <c r="H1835">
        <v>0</v>
      </c>
      <c r="M1835" s="1" t="s">
        <v>1583</v>
      </c>
      <c r="N1835" s="1">
        <v>2300</v>
      </c>
      <c r="P1835" s="1" t="s">
        <v>1583</v>
      </c>
      <c r="Q1835" s="42">
        <v>0</v>
      </c>
      <c r="R1835" s="42">
        <v>2300</v>
      </c>
      <c r="S1835" s="42">
        <v>0</v>
      </c>
      <c r="T1835" s="10">
        <f>IFERROR(ROUND((Q1835/R1835),2),"NA")</f>
        <v>0</v>
      </c>
      <c r="U1835">
        <f t="shared" si="28"/>
        <v>0</v>
      </c>
    </row>
    <row r="1836" spans="7:21" x14ac:dyDescent="0.2">
      <c r="G1836" s="9" t="s">
        <v>1823</v>
      </c>
      <c r="H1836">
        <v>0</v>
      </c>
      <c r="M1836" s="1" t="s">
        <v>1823</v>
      </c>
      <c r="N1836" s="1">
        <v>770</v>
      </c>
      <c r="P1836" s="1" t="s">
        <v>1823</v>
      </c>
      <c r="Q1836" s="42">
        <v>0</v>
      </c>
      <c r="R1836" s="42">
        <v>770</v>
      </c>
      <c r="S1836" s="42">
        <v>0</v>
      </c>
      <c r="T1836" s="10">
        <f>IFERROR(ROUND((Q1836/R1836),2),"NA")</f>
        <v>0</v>
      </c>
      <c r="U1836">
        <f t="shared" si="28"/>
        <v>0</v>
      </c>
    </row>
    <row r="1837" spans="7:21" x14ac:dyDescent="0.2">
      <c r="G1837" s="9" t="s">
        <v>2471</v>
      </c>
      <c r="H1837">
        <v>59</v>
      </c>
      <c r="M1837" s="1" t="s">
        <v>2471</v>
      </c>
      <c r="N1837" s="1">
        <v>40</v>
      </c>
      <c r="P1837" s="1" t="s">
        <v>2471</v>
      </c>
      <c r="Q1837" s="42">
        <v>59</v>
      </c>
      <c r="R1837" s="42">
        <v>40</v>
      </c>
      <c r="S1837" s="42">
        <v>0.4</v>
      </c>
      <c r="T1837" s="10">
        <f>IFERROR(ROUND((Q1837/R1837),2),"NA")</f>
        <v>1.48</v>
      </c>
      <c r="U1837">
        <f t="shared" si="28"/>
        <v>23.6</v>
      </c>
    </row>
    <row r="1838" spans="7:21" x14ac:dyDescent="0.2">
      <c r="G1838" s="9" t="s">
        <v>1586</v>
      </c>
      <c r="H1838">
        <v>0</v>
      </c>
      <c r="M1838" s="1" t="s">
        <v>1586</v>
      </c>
      <c r="N1838" s="1">
        <v>2</v>
      </c>
      <c r="P1838" s="1" t="s">
        <v>1586</v>
      </c>
      <c r="Q1838" s="42">
        <v>0</v>
      </c>
      <c r="R1838" s="42">
        <v>2</v>
      </c>
      <c r="S1838" s="42">
        <v>0</v>
      </c>
      <c r="T1838" s="10">
        <f>IFERROR(ROUND((Q1838/R1838),2),"NA")</f>
        <v>0</v>
      </c>
      <c r="U1838">
        <f t="shared" si="28"/>
        <v>0</v>
      </c>
    </row>
    <row r="1839" spans="7:21" x14ac:dyDescent="0.2">
      <c r="G1839" s="9" t="s">
        <v>1293</v>
      </c>
      <c r="H1839">
        <v>0</v>
      </c>
      <c r="M1839" s="1" t="s">
        <v>1293</v>
      </c>
      <c r="N1839" s="1">
        <v>6</v>
      </c>
      <c r="P1839" s="1" t="s">
        <v>1293</v>
      </c>
      <c r="Q1839" s="42">
        <v>0</v>
      </c>
      <c r="R1839" s="42">
        <v>6</v>
      </c>
      <c r="S1839" s="42">
        <v>0.25</v>
      </c>
      <c r="T1839" s="10">
        <f>IFERROR(ROUND((Q1839/R1839),2),"NA")</f>
        <v>0</v>
      </c>
      <c r="U1839">
        <f t="shared" si="28"/>
        <v>0</v>
      </c>
    </row>
    <row r="1840" spans="7:21" x14ac:dyDescent="0.2">
      <c r="G1840" s="9" t="s">
        <v>1696</v>
      </c>
      <c r="H1840">
        <v>0</v>
      </c>
      <c r="M1840" s="1" t="s">
        <v>1696</v>
      </c>
      <c r="N1840" s="1">
        <v>30</v>
      </c>
      <c r="P1840" s="1" t="s">
        <v>1696</v>
      </c>
      <c r="Q1840" s="42">
        <v>0</v>
      </c>
      <c r="R1840" s="42">
        <v>30</v>
      </c>
      <c r="S1840" s="42">
        <v>0.12</v>
      </c>
      <c r="T1840" s="10">
        <f>IFERROR(ROUND((Q1840/R1840),2),"NA")</f>
        <v>0</v>
      </c>
      <c r="U1840">
        <f t="shared" si="28"/>
        <v>0</v>
      </c>
    </row>
    <row r="1841" spans="7:21" x14ac:dyDescent="0.2">
      <c r="G1841" s="9" t="s">
        <v>2097</v>
      </c>
      <c r="H1841">
        <v>140</v>
      </c>
      <c r="M1841" s="1" t="s">
        <v>2097</v>
      </c>
      <c r="N1841" s="1">
        <v>117</v>
      </c>
      <c r="P1841" s="1" t="s">
        <v>2097</v>
      </c>
      <c r="Q1841" s="42">
        <v>140</v>
      </c>
      <c r="R1841" s="42">
        <v>117</v>
      </c>
      <c r="S1841" s="42">
        <v>1</v>
      </c>
      <c r="T1841" s="10">
        <f>IFERROR(ROUND((Q1841/R1841),2),"NA")</f>
        <v>1.2</v>
      </c>
      <c r="U1841">
        <f t="shared" si="28"/>
        <v>140</v>
      </c>
    </row>
    <row r="1842" spans="7:21" x14ac:dyDescent="0.2">
      <c r="G1842" s="9" t="s">
        <v>2209</v>
      </c>
      <c r="H1842">
        <v>51</v>
      </c>
      <c r="M1842" s="1" t="s">
        <v>2209</v>
      </c>
      <c r="N1842" s="1">
        <v>84</v>
      </c>
      <c r="P1842" s="1" t="s">
        <v>2209</v>
      </c>
      <c r="Q1842" s="42">
        <v>51</v>
      </c>
      <c r="R1842" s="42">
        <v>84</v>
      </c>
      <c r="S1842" s="42">
        <v>0.09</v>
      </c>
      <c r="T1842" s="10">
        <f>IFERROR(ROUND((Q1842/R1842),2),"NA")</f>
        <v>0.61</v>
      </c>
      <c r="U1842">
        <f t="shared" si="28"/>
        <v>4.59</v>
      </c>
    </row>
    <row r="1843" spans="7:21" x14ac:dyDescent="0.2">
      <c r="G1843" s="9" t="s">
        <v>2068</v>
      </c>
      <c r="H1843">
        <v>0</v>
      </c>
      <c r="M1843" s="1" t="s">
        <v>2068</v>
      </c>
      <c r="N1843" s="1">
        <v>0</v>
      </c>
      <c r="P1843" s="1" t="s">
        <v>2068</v>
      </c>
      <c r="Q1843" s="42">
        <v>0</v>
      </c>
      <c r="R1843" s="42">
        <v>0</v>
      </c>
      <c r="S1843" s="42">
        <v>0</v>
      </c>
      <c r="T1843" s="10" t="str">
        <f>IFERROR(ROUND((Q1843/R1843),2),"NA")</f>
        <v>NA</v>
      </c>
      <c r="U1843">
        <f t="shared" si="28"/>
        <v>0</v>
      </c>
    </row>
    <row r="1844" spans="7:21" x14ac:dyDescent="0.2">
      <c r="G1844" s="9" t="s">
        <v>1593</v>
      </c>
      <c r="H1844">
        <v>0</v>
      </c>
      <c r="M1844" s="1" t="s">
        <v>1593</v>
      </c>
      <c r="N1844" s="1">
        <v>548</v>
      </c>
      <c r="P1844" s="1" t="s">
        <v>1593</v>
      </c>
      <c r="Q1844" s="42">
        <v>0</v>
      </c>
      <c r="R1844" s="42">
        <v>548</v>
      </c>
      <c r="S1844" s="42">
        <v>0.02</v>
      </c>
      <c r="T1844" s="10">
        <f>IFERROR(ROUND((Q1844/R1844),2),"NA")</f>
        <v>0</v>
      </c>
      <c r="U1844">
        <f t="shared" si="28"/>
        <v>0</v>
      </c>
    </row>
    <row r="1845" spans="7:21" x14ac:dyDescent="0.2">
      <c r="G1845" s="9" t="s">
        <v>1138</v>
      </c>
      <c r="H1845">
        <v>90</v>
      </c>
      <c r="M1845" s="1" t="s">
        <v>1138</v>
      </c>
      <c r="N1845" s="1">
        <v>150</v>
      </c>
      <c r="P1845" s="1" t="s">
        <v>1138</v>
      </c>
      <c r="Q1845" s="42">
        <v>90</v>
      </c>
      <c r="R1845" s="42">
        <v>150</v>
      </c>
      <c r="S1845" s="42">
        <v>0</v>
      </c>
      <c r="T1845" s="10">
        <f>IFERROR(ROUND((Q1845/R1845),2),"NA")</f>
        <v>0.6</v>
      </c>
      <c r="U1845">
        <f t="shared" si="28"/>
        <v>0</v>
      </c>
    </row>
    <row r="1846" spans="7:21" x14ac:dyDescent="0.2">
      <c r="G1846" s="9" t="s">
        <v>704</v>
      </c>
      <c r="H1846">
        <v>0</v>
      </c>
      <c r="M1846" s="1" t="s">
        <v>704</v>
      </c>
      <c r="N1846" s="1">
        <v>14</v>
      </c>
      <c r="P1846" s="1" t="s">
        <v>704</v>
      </c>
      <c r="Q1846" s="42">
        <v>0</v>
      </c>
      <c r="R1846" s="42">
        <v>14</v>
      </c>
      <c r="S1846" s="42">
        <v>1</v>
      </c>
      <c r="T1846" s="10">
        <f>IFERROR(ROUND((Q1846/R1846),2),"NA")</f>
        <v>0</v>
      </c>
      <c r="U1846">
        <f t="shared" si="28"/>
        <v>0</v>
      </c>
    </row>
    <row r="1847" spans="7:21" x14ac:dyDescent="0.2">
      <c r="G1847" s="9" t="s">
        <v>1952</v>
      </c>
      <c r="H1847">
        <v>84</v>
      </c>
      <c r="M1847" s="1" t="s">
        <v>1952</v>
      </c>
      <c r="N1847" s="1">
        <v>277</v>
      </c>
      <c r="P1847" s="1" t="s">
        <v>1952</v>
      </c>
      <c r="Q1847" s="42">
        <v>84</v>
      </c>
      <c r="R1847" s="42">
        <v>277</v>
      </c>
      <c r="S1847" s="42">
        <v>0.17</v>
      </c>
      <c r="T1847" s="10">
        <f>IFERROR(ROUND((Q1847/R1847),2),"NA")</f>
        <v>0.3</v>
      </c>
      <c r="U1847">
        <f t="shared" si="28"/>
        <v>14.280000000000001</v>
      </c>
    </row>
    <row r="1848" spans="7:21" x14ac:dyDescent="0.2">
      <c r="G1848" s="9" t="s">
        <v>786</v>
      </c>
      <c r="H1848">
        <v>0</v>
      </c>
      <c r="M1848" s="1" t="s">
        <v>786</v>
      </c>
      <c r="N1848" s="1">
        <v>55</v>
      </c>
      <c r="P1848" s="1" t="s">
        <v>786</v>
      </c>
      <c r="Q1848" s="42">
        <v>0</v>
      </c>
      <c r="R1848" s="42">
        <v>55</v>
      </c>
      <c r="S1848" s="42">
        <v>0</v>
      </c>
      <c r="T1848" s="10">
        <f>IFERROR(ROUND((Q1848/R1848),2),"NA")</f>
        <v>0</v>
      </c>
      <c r="U1848">
        <f t="shared" si="28"/>
        <v>0</v>
      </c>
    </row>
    <row r="1849" spans="7:21" x14ac:dyDescent="0.2">
      <c r="G1849" s="9" t="s">
        <v>1733</v>
      </c>
      <c r="H1849">
        <v>235</v>
      </c>
      <c r="M1849" s="1" t="s">
        <v>1733</v>
      </c>
      <c r="N1849" s="1">
        <v>55</v>
      </c>
      <c r="P1849" s="1" t="s">
        <v>1733</v>
      </c>
      <c r="Q1849" s="42">
        <v>235</v>
      </c>
      <c r="R1849" s="42">
        <v>55</v>
      </c>
      <c r="S1849" s="42">
        <v>0</v>
      </c>
      <c r="T1849" s="10">
        <f>IFERROR(ROUND((Q1849/R1849),2),"NA")</f>
        <v>4.2699999999999996</v>
      </c>
      <c r="U1849">
        <f t="shared" si="28"/>
        <v>0</v>
      </c>
    </row>
    <row r="1850" spans="7:21" x14ac:dyDescent="0.2">
      <c r="G1850" s="9" t="s">
        <v>1149</v>
      </c>
      <c r="H1850">
        <v>760</v>
      </c>
      <c r="M1850" s="1" t="s">
        <v>1149</v>
      </c>
      <c r="N1850" s="1">
        <v>0</v>
      </c>
      <c r="P1850" s="1" t="s">
        <v>1149</v>
      </c>
      <c r="Q1850" s="42">
        <v>760</v>
      </c>
      <c r="R1850" s="42">
        <v>0</v>
      </c>
      <c r="S1850" s="42">
        <v>0.04</v>
      </c>
      <c r="T1850" s="10" t="str">
        <f>IFERROR(ROUND((Q1850/R1850),2),"NA")</f>
        <v>NA</v>
      </c>
      <c r="U1850">
        <f t="shared" si="28"/>
        <v>30.400000000000002</v>
      </c>
    </row>
    <row r="1851" spans="7:21" x14ac:dyDescent="0.2">
      <c r="G1851" s="9" t="s">
        <v>1098</v>
      </c>
      <c r="H1851">
        <v>70</v>
      </c>
      <c r="M1851" s="1" t="s">
        <v>1098</v>
      </c>
      <c r="N1851" s="1">
        <v>110</v>
      </c>
      <c r="P1851" s="1" t="s">
        <v>1098</v>
      </c>
      <c r="Q1851" s="42">
        <v>70</v>
      </c>
      <c r="R1851" s="42">
        <v>110</v>
      </c>
      <c r="S1851" s="42">
        <v>0.185</v>
      </c>
      <c r="T1851" s="10">
        <f>IFERROR(ROUND((Q1851/R1851),2),"NA")</f>
        <v>0.64</v>
      </c>
      <c r="U1851">
        <f t="shared" si="28"/>
        <v>12.95</v>
      </c>
    </row>
    <row r="1852" spans="7:21" x14ac:dyDescent="0.2">
      <c r="G1852" s="9" t="s">
        <v>1027</v>
      </c>
      <c r="H1852">
        <v>90</v>
      </c>
      <c r="M1852" s="1" t="s">
        <v>1027</v>
      </c>
      <c r="N1852" s="1">
        <v>1300</v>
      </c>
      <c r="P1852" s="1" t="s">
        <v>1027</v>
      </c>
      <c r="Q1852" s="42">
        <v>90</v>
      </c>
      <c r="R1852" s="42">
        <v>1300</v>
      </c>
      <c r="S1852" s="42">
        <v>0.05</v>
      </c>
      <c r="T1852" s="10">
        <f>IFERROR(ROUND((Q1852/R1852),2),"NA")</f>
        <v>7.0000000000000007E-2</v>
      </c>
      <c r="U1852">
        <f t="shared" si="28"/>
        <v>4.5</v>
      </c>
    </row>
    <row r="1853" spans="7:21" x14ac:dyDescent="0.2">
      <c r="G1853" s="9" t="s">
        <v>2761</v>
      </c>
      <c r="H1853">
        <v>0</v>
      </c>
      <c r="M1853" s="1" t="s">
        <v>2761</v>
      </c>
      <c r="N1853" s="1">
        <v>268</v>
      </c>
      <c r="P1853" s="1" t="s">
        <v>2761</v>
      </c>
      <c r="Q1853" s="42">
        <v>0</v>
      </c>
      <c r="R1853" s="42">
        <v>268</v>
      </c>
      <c r="S1853" s="42">
        <v>0.1</v>
      </c>
      <c r="T1853" s="10">
        <f>IFERROR(ROUND((Q1853/R1853),2),"NA")</f>
        <v>0</v>
      </c>
      <c r="U1853">
        <f t="shared" si="28"/>
        <v>0</v>
      </c>
    </row>
    <row r="1854" spans="7:21" x14ac:dyDescent="0.2">
      <c r="G1854" s="9" t="s">
        <v>268</v>
      </c>
      <c r="H1854">
        <v>221</v>
      </c>
      <c r="M1854" s="1" t="s">
        <v>268</v>
      </c>
      <c r="N1854" s="1">
        <v>945</v>
      </c>
      <c r="P1854" s="1" t="s">
        <v>268</v>
      </c>
      <c r="Q1854" s="42">
        <v>221</v>
      </c>
      <c r="R1854" s="42">
        <v>945</v>
      </c>
      <c r="S1854" s="42">
        <v>0.2</v>
      </c>
      <c r="T1854" s="10">
        <f>IFERROR(ROUND((Q1854/R1854),2),"NA")</f>
        <v>0.23</v>
      </c>
      <c r="U1854">
        <f t="shared" si="28"/>
        <v>44.2</v>
      </c>
    </row>
    <row r="1855" spans="7:21" x14ac:dyDescent="0.2">
      <c r="G1855" s="9" t="s">
        <v>1191</v>
      </c>
      <c r="H1855">
        <v>1769</v>
      </c>
      <c r="M1855" s="1" t="s">
        <v>1191</v>
      </c>
      <c r="N1855" s="1">
        <v>1278</v>
      </c>
      <c r="P1855" s="1" t="s">
        <v>1191</v>
      </c>
      <c r="Q1855" s="42">
        <v>1769</v>
      </c>
      <c r="R1855" s="42">
        <v>1278</v>
      </c>
      <c r="S1855" s="42">
        <v>0.08</v>
      </c>
      <c r="T1855" s="10">
        <f>IFERROR(ROUND((Q1855/R1855),2),"NA")</f>
        <v>1.38</v>
      </c>
      <c r="U1855">
        <f t="shared" si="28"/>
        <v>141.52000000000001</v>
      </c>
    </row>
    <row r="1856" spans="7:21" x14ac:dyDescent="0.2">
      <c r="G1856" s="9" t="s">
        <v>2593</v>
      </c>
      <c r="H1856">
        <v>44</v>
      </c>
      <c r="M1856" s="1" t="s">
        <v>2593</v>
      </c>
      <c r="N1856" s="1">
        <v>50</v>
      </c>
      <c r="P1856" s="1" t="s">
        <v>2593</v>
      </c>
      <c r="Q1856" s="42">
        <v>44</v>
      </c>
      <c r="R1856" s="42">
        <v>50</v>
      </c>
      <c r="S1856" s="42">
        <v>0.25</v>
      </c>
      <c r="T1856" s="10">
        <f>IFERROR(ROUND((Q1856/R1856),2),"NA")</f>
        <v>0.88</v>
      </c>
      <c r="U1856">
        <f t="shared" si="28"/>
        <v>11</v>
      </c>
    </row>
    <row r="1857" spans="7:21" x14ac:dyDescent="0.2">
      <c r="G1857" s="9" t="s">
        <v>1404</v>
      </c>
      <c r="H1857">
        <v>31</v>
      </c>
      <c r="M1857" s="1" t="s">
        <v>1404</v>
      </c>
      <c r="N1857" s="1">
        <v>317</v>
      </c>
      <c r="P1857" s="1" t="s">
        <v>1404</v>
      </c>
      <c r="Q1857" s="42">
        <v>31</v>
      </c>
      <c r="R1857" s="42">
        <v>317</v>
      </c>
      <c r="S1857" s="42">
        <v>0.11</v>
      </c>
      <c r="T1857" s="10">
        <f>IFERROR(ROUND((Q1857/R1857),2),"NA")</f>
        <v>0.1</v>
      </c>
      <c r="U1857">
        <f t="shared" si="28"/>
        <v>3.41</v>
      </c>
    </row>
    <row r="1858" spans="7:21" x14ac:dyDescent="0.2">
      <c r="G1858" s="9" t="s">
        <v>2445</v>
      </c>
      <c r="H1858">
        <v>750</v>
      </c>
      <c r="M1858" s="1" t="s">
        <v>2445</v>
      </c>
      <c r="N1858" s="1">
        <v>1500</v>
      </c>
      <c r="P1858" s="1" t="s">
        <v>2445</v>
      </c>
      <c r="Q1858" s="42">
        <v>750</v>
      </c>
      <c r="R1858" s="42">
        <v>1500</v>
      </c>
      <c r="S1858" s="42">
        <v>0.05</v>
      </c>
      <c r="T1858" s="10">
        <f>IFERROR(ROUND((Q1858/R1858),2),"NA")</f>
        <v>0.5</v>
      </c>
      <c r="U1858">
        <f t="shared" si="28"/>
        <v>37.5</v>
      </c>
    </row>
    <row r="1859" spans="7:21" x14ac:dyDescent="0.2">
      <c r="G1859" s="9" t="s">
        <v>1197</v>
      </c>
      <c r="H1859">
        <v>0</v>
      </c>
      <c r="M1859" s="1" t="s">
        <v>1197</v>
      </c>
      <c r="N1859" s="1">
        <v>162</v>
      </c>
      <c r="P1859" s="1" t="s">
        <v>1197</v>
      </c>
      <c r="Q1859" s="42">
        <v>0</v>
      </c>
      <c r="R1859" s="42">
        <v>162</v>
      </c>
      <c r="S1859" s="42">
        <v>0</v>
      </c>
      <c r="T1859" s="10">
        <f>IFERROR(ROUND((Q1859/R1859),2),"NA")</f>
        <v>0</v>
      </c>
      <c r="U1859">
        <f t="shared" si="28"/>
        <v>0</v>
      </c>
    </row>
    <row r="1860" spans="7:21" x14ac:dyDescent="0.2">
      <c r="G1860" s="9" t="s">
        <v>1734</v>
      </c>
      <c r="H1860">
        <v>150</v>
      </c>
      <c r="M1860" s="1" t="s">
        <v>1734</v>
      </c>
      <c r="N1860" s="1">
        <v>125</v>
      </c>
      <c r="P1860" s="1" t="s">
        <v>1734</v>
      </c>
      <c r="Q1860" s="42">
        <v>150</v>
      </c>
      <c r="R1860" s="42">
        <v>125</v>
      </c>
      <c r="S1860" s="42">
        <v>0.1</v>
      </c>
      <c r="T1860" s="10">
        <f>IFERROR(ROUND((Q1860/R1860),2),"NA")</f>
        <v>1.2</v>
      </c>
      <c r="U1860">
        <f t="shared" si="28"/>
        <v>15</v>
      </c>
    </row>
    <row r="1861" spans="7:21" x14ac:dyDescent="0.2">
      <c r="G1861" s="9" t="s">
        <v>1632</v>
      </c>
      <c r="H1861">
        <v>40</v>
      </c>
      <c r="M1861" s="1" t="s">
        <v>1632</v>
      </c>
      <c r="N1861" s="1">
        <v>0</v>
      </c>
      <c r="P1861" s="1" t="s">
        <v>1632</v>
      </c>
      <c r="Q1861" s="42">
        <v>40</v>
      </c>
      <c r="R1861" s="42">
        <v>0</v>
      </c>
      <c r="S1861" s="42">
        <v>0.2</v>
      </c>
      <c r="T1861" s="10" t="str">
        <f>IFERROR(ROUND((Q1861/R1861),2),"NA")</f>
        <v>NA</v>
      </c>
      <c r="U1861">
        <f t="shared" ref="U1861:U1924" si="29">Q1861*S1861</f>
        <v>8</v>
      </c>
    </row>
    <row r="1862" spans="7:21" x14ac:dyDescent="0.2">
      <c r="G1862" s="9" t="s">
        <v>1067</v>
      </c>
      <c r="H1862">
        <v>1000</v>
      </c>
      <c r="M1862" s="1" t="s">
        <v>1067</v>
      </c>
      <c r="N1862" s="1">
        <v>0</v>
      </c>
      <c r="P1862" s="1" t="s">
        <v>1067</v>
      </c>
      <c r="Q1862" s="42">
        <v>1000</v>
      </c>
      <c r="R1862" s="42">
        <v>0</v>
      </c>
      <c r="S1862" s="42">
        <v>0</v>
      </c>
      <c r="T1862" s="10" t="str">
        <f>IFERROR(ROUND((Q1862/R1862),2),"NA")</f>
        <v>NA</v>
      </c>
      <c r="U1862">
        <f t="shared" si="29"/>
        <v>0</v>
      </c>
    </row>
    <row r="1863" spans="7:21" x14ac:dyDescent="0.2">
      <c r="G1863" s="9" t="s">
        <v>1372</v>
      </c>
      <c r="H1863">
        <v>0</v>
      </c>
      <c r="M1863" s="1" t="s">
        <v>1372</v>
      </c>
      <c r="N1863" s="1">
        <v>63</v>
      </c>
      <c r="P1863" s="1" t="s">
        <v>1372</v>
      </c>
      <c r="Q1863" s="42">
        <v>0</v>
      </c>
      <c r="R1863" s="42">
        <v>63</v>
      </c>
      <c r="S1863" s="42">
        <v>0</v>
      </c>
      <c r="T1863" s="10">
        <f>IFERROR(ROUND((Q1863/R1863),2),"NA")</f>
        <v>0</v>
      </c>
      <c r="U1863">
        <f t="shared" si="29"/>
        <v>0</v>
      </c>
    </row>
    <row r="1864" spans="7:21" x14ac:dyDescent="0.2">
      <c r="G1864" s="9" t="s">
        <v>2526</v>
      </c>
      <c r="H1864">
        <v>82</v>
      </c>
      <c r="M1864" s="1" t="s">
        <v>2526</v>
      </c>
      <c r="N1864" s="1">
        <v>12.5</v>
      </c>
      <c r="P1864" s="1" t="s">
        <v>2526</v>
      </c>
      <c r="Q1864" s="42">
        <v>82</v>
      </c>
      <c r="R1864" s="42">
        <v>12.5</v>
      </c>
      <c r="S1864" s="42">
        <v>0</v>
      </c>
      <c r="T1864" s="10">
        <f>IFERROR(ROUND((Q1864/R1864),2),"NA")</f>
        <v>6.56</v>
      </c>
      <c r="U1864">
        <f t="shared" si="29"/>
        <v>0</v>
      </c>
    </row>
    <row r="1865" spans="7:21" x14ac:dyDescent="0.2">
      <c r="G1865" s="9" t="s">
        <v>2281</v>
      </c>
      <c r="H1865">
        <v>0</v>
      </c>
      <c r="M1865" s="1" t="s">
        <v>2281</v>
      </c>
      <c r="N1865" s="1">
        <v>38</v>
      </c>
      <c r="P1865" s="1" t="s">
        <v>2281</v>
      </c>
      <c r="Q1865" s="42">
        <v>0</v>
      </c>
      <c r="R1865" s="42">
        <v>38</v>
      </c>
      <c r="S1865" s="42">
        <v>0</v>
      </c>
      <c r="T1865" s="10">
        <f>IFERROR(ROUND((Q1865/R1865),2),"NA")</f>
        <v>0</v>
      </c>
      <c r="U1865">
        <f t="shared" si="29"/>
        <v>0</v>
      </c>
    </row>
    <row r="1866" spans="7:21" x14ac:dyDescent="0.2">
      <c r="G1866" s="9" t="s">
        <v>2259</v>
      </c>
      <c r="H1866">
        <v>100</v>
      </c>
      <c r="M1866" s="1" t="s">
        <v>2259</v>
      </c>
      <c r="N1866" s="1">
        <v>496</v>
      </c>
      <c r="P1866" s="1" t="s">
        <v>2259</v>
      </c>
      <c r="Q1866" s="42">
        <v>100</v>
      </c>
      <c r="R1866" s="42">
        <v>496</v>
      </c>
      <c r="S1866" s="42">
        <v>0.09</v>
      </c>
      <c r="T1866" s="10">
        <f>IFERROR(ROUND((Q1866/R1866),2),"NA")</f>
        <v>0.2</v>
      </c>
      <c r="U1866">
        <f t="shared" si="29"/>
        <v>9</v>
      </c>
    </row>
    <row r="1867" spans="7:21" x14ac:dyDescent="0.2">
      <c r="G1867" s="9" t="s">
        <v>2945</v>
      </c>
      <c r="H1867">
        <v>50</v>
      </c>
      <c r="M1867" s="1" t="s">
        <v>2945</v>
      </c>
      <c r="N1867" s="1">
        <v>17</v>
      </c>
      <c r="P1867" s="1" t="s">
        <v>2945</v>
      </c>
      <c r="Q1867" s="42">
        <v>50</v>
      </c>
      <c r="R1867" s="42">
        <v>17</v>
      </c>
      <c r="S1867" s="42">
        <v>0.5</v>
      </c>
      <c r="T1867" s="10">
        <f>IFERROR(ROUND((Q1867/R1867),2),"NA")</f>
        <v>2.94</v>
      </c>
      <c r="U1867">
        <f t="shared" si="29"/>
        <v>25</v>
      </c>
    </row>
    <row r="1868" spans="7:21" x14ac:dyDescent="0.2">
      <c r="G1868" s="9" t="s">
        <v>2699</v>
      </c>
      <c r="H1868">
        <v>391</v>
      </c>
      <c r="M1868" s="1" t="s">
        <v>2699</v>
      </c>
      <c r="N1868" s="1">
        <v>0</v>
      </c>
      <c r="P1868" s="1" t="s">
        <v>2699</v>
      </c>
      <c r="Q1868" s="42">
        <v>391</v>
      </c>
      <c r="R1868" s="42">
        <v>0</v>
      </c>
      <c r="S1868" s="42">
        <v>0.5</v>
      </c>
      <c r="T1868" s="10" t="str">
        <f>IFERROR(ROUND((Q1868/R1868),2),"NA")</f>
        <v>NA</v>
      </c>
      <c r="U1868">
        <f t="shared" si="29"/>
        <v>195.5</v>
      </c>
    </row>
    <row r="1869" spans="7:21" x14ac:dyDescent="0.2">
      <c r="G1869" s="9" t="s">
        <v>1147</v>
      </c>
      <c r="H1869">
        <v>280</v>
      </c>
      <c r="M1869" s="1" t="s">
        <v>1147</v>
      </c>
      <c r="N1869" s="1">
        <v>489</v>
      </c>
      <c r="P1869" s="1" t="s">
        <v>1147</v>
      </c>
      <c r="Q1869" s="42">
        <v>280</v>
      </c>
      <c r="R1869" s="42">
        <v>489</v>
      </c>
      <c r="S1869" s="42">
        <v>0.51666666666666661</v>
      </c>
      <c r="T1869" s="10">
        <f>IFERROR(ROUND((Q1869/R1869),2),"NA")</f>
        <v>0.56999999999999995</v>
      </c>
      <c r="U1869">
        <f t="shared" si="29"/>
        <v>144.66666666666666</v>
      </c>
    </row>
    <row r="1870" spans="7:21" x14ac:dyDescent="0.2">
      <c r="G1870" s="9" t="s">
        <v>450</v>
      </c>
      <c r="H1870">
        <v>37</v>
      </c>
      <c r="M1870" s="1" t="s">
        <v>450</v>
      </c>
      <c r="N1870" s="1">
        <v>1593</v>
      </c>
      <c r="P1870" s="1" t="s">
        <v>450</v>
      </c>
      <c r="Q1870" s="42">
        <v>37</v>
      </c>
      <c r="R1870" s="42">
        <v>1593</v>
      </c>
      <c r="S1870" s="42">
        <v>0.16999999999999998</v>
      </c>
      <c r="T1870" s="10">
        <f>IFERROR(ROUND((Q1870/R1870),2),"NA")</f>
        <v>0.02</v>
      </c>
      <c r="U1870">
        <f t="shared" si="29"/>
        <v>6.2899999999999991</v>
      </c>
    </row>
    <row r="1871" spans="7:21" x14ac:dyDescent="0.2">
      <c r="G1871" s="9" t="s">
        <v>1905</v>
      </c>
      <c r="H1871">
        <v>65</v>
      </c>
      <c r="M1871" s="1" t="s">
        <v>1905</v>
      </c>
      <c r="N1871" s="1">
        <v>257</v>
      </c>
      <c r="P1871" s="1" t="s">
        <v>1905</v>
      </c>
      <c r="Q1871" s="42">
        <v>65</v>
      </c>
      <c r="R1871" s="42">
        <v>257</v>
      </c>
      <c r="S1871" s="42">
        <v>0.5</v>
      </c>
      <c r="T1871" s="10">
        <f>IFERROR(ROUND((Q1871/R1871),2),"NA")</f>
        <v>0.25</v>
      </c>
      <c r="U1871">
        <f t="shared" si="29"/>
        <v>32.5</v>
      </c>
    </row>
    <row r="1872" spans="7:21" x14ac:dyDescent="0.2">
      <c r="G1872" s="9" t="s">
        <v>2413</v>
      </c>
      <c r="H1872">
        <v>50</v>
      </c>
      <c r="M1872" s="1" t="s">
        <v>2413</v>
      </c>
      <c r="N1872" s="1">
        <v>85</v>
      </c>
      <c r="P1872" s="1" t="s">
        <v>2413</v>
      </c>
      <c r="Q1872" s="42">
        <v>50</v>
      </c>
      <c r="R1872" s="42">
        <v>85</v>
      </c>
      <c r="S1872" s="42">
        <v>0</v>
      </c>
      <c r="T1872" s="10">
        <f>IFERROR(ROUND((Q1872/R1872),2),"NA")</f>
        <v>0.59</v>
      </c>
      <c r="U1872">
        <f t="shared" si="29"/>
        <v>0</v>
      </c>
    </row>
    <row r="1873" spans="7:21" x14ac:dyDescent="0.2">
      <c r="G1873" s="9" t="s">
        <v>77</v>
      </c>
      <c r="H1873">
        <v>30</v>
      </c>
      <c r="M1873" s="1" t="s">
        <v>77</v>
      </c>
      <c r="N1873" s="1">
        <v>222</v>
      </c>
      <c r="P1873" s="1" t="s">
        <v>77</v>
      </c>
      <c r="Q1873" s="42">
        <v>30</v>
      </c>
      <c r="R1873" s="42">
        <v>222</v>
      </c>
      <c r="S1873" s="42">
        <v>0.2</v>
      </c>
      <c r="T1873" s="10">
        <f>IFERROR(ROUND((Q1873/R1873),2),"NA")</f>
        <v>0.14000000000000001</v>
      </c>
      <c r="U1873">
        <f t="shared" si="29"/>
        <v>6</v>
      </c>
    </row>
    <row r="1874" spans="7:21" x14ac:dyDescent="0.2">
      <c r="G1874" s="9" t="s">
        <v>1797</v>
      </c>
      <c r="H1874">
        <v>25</v>
      </c>
      <c r="M1874" s="1" t="s">
        <v>1797</v>
      </c>
      <c r="N1874" s="1">
        <v>87</v>
      </c>
      <c r="P1874" s="1" t="s">
        <v>1797</v>
      </c>
      <c r="Q1874" s="42">
        <v>25</v>
      </c>
      <c r="R1874" s="42">
        <v>87</v>
      </c>
      <c r="S1874" s="42">
        <v>0.1</v>
      </c>
      <c r="T1874" s="10">
        <f>IFERROR(ROUND((Q1874/R1874),2),"NA")</f>
        <v>0.28999999999999998</v>
      </c>
      <c r="U1874">
        <f t="shared" si="29"/>
        <v>2.5</v>
      </c>
    </row>
    <row r="1875" spans="7:21" x14ac:dyDescent="0.2">
      <c r="G1875" s="9" t="s">
        <v>1363</v>
      </c>
      <c r="H1875">
        <v>0</v>
      </c>
      <c r="M1875" s="1" t="s">
        <v>1363</v>
      </c>
      <c r="N1875" s="1">
        <v>0</v>
      </c>
      <c r="P1875" s="1" t="s">
        <v>1363</v>
      </c>
      <c r="Q1875" s="42">
        <v>0</v>
      </c>
      <c r="R1875" s="42">
        <v>0</v>
      </c>
      <c r="S1875" s="42">
        <v>0</v>
      </c>
      <c r="T1875" s="10" t="str">
        <f>IFERROR(ROUND((Q1875/R1875),2),"NA")</f>
        <v>NA</v>
      </c>
      <c r="U1875">
        <f t="shared" si="29"/>
        <v>0</v>
      </c>
    </row>
    <row r="1876" spans="7:21" x14ac:dyDescent="0.2">
      <c r="G1876" s="9" t="s">
        <v>2896</v>
      </c>
      <c r="H1876">
        <v>175</v>
      </c>
      <c r="M1876" s="1" t="s">
        <v>2896</v>
      </c>
      <c r="N1876" s="1">
        <v>127</v>
      </c>
      <c r="P1876" s="1" t="s">
        <v>2896</v>
      </c>
      <c r="Q1876" s="42">
        <v>175</v>
      </c>
      <c r="R1876" s="42">
        <v>127</v>
      </c>
      <c r="S1876" s="42">
        <v>0</v>
      </c>
      <c r="T1876" s="10">
        <f>IFERROR(ROUND((Q1876/R1876),2),"NA")</f>
        <v>1.38</v>
      </c>
      <c r="U1876">
        <f t="shared" si="29"/>
        <v>0</v>
      </c>
    </row>
    <row r="1877" spans="7:21" x14ac:dyDescent="0.2">
      <c r="G1877" s="9" t="s">
        <v>977</v>
      </c>
      <c r="H1877">
        <v>0</v>
      </c>
      <c r="M1877" s="1" t="s">
        <v>977</v>
      </c>
      <c r="N1877" s="1">
        <v>141</v>
      </c>
      <c r="P1877" s="1" t="s">
        <v>977</v>
      </c>
      <c r="Q1877" s="42">
        <v>0</v>
      </c>
      <c r="R1877" s="42">
        <v>141</v>
      </c>
      <c r="S1877" s="42">
        <v>0.09</v>
      </c>
      <c r="T1877" s="10">
        <f>IFERROR(ROUND((Q1877/R1877),2),"NA")</f>
        <v>0</v>
      </c>
      <c r="U1877">
        <f t="shared" si="29"/>
        <v>0</v>
      </c>
    </row>
    <row r="1878" spans="7:21" x14ac:dyDescent="0.2">
      <c r="G1878" s="9" t="s">
        <v>2001</v>
      </c>
      <c r="H1878">
        <v>85</v>
      </c>
      <c r="M1878" s="1" t="s">
        <v>2001</v>
      </c>
      <c r="N1878" s="1">
        <v>30</v>
      </c>
      <c r="P1878" s="1" t="s">
        <v>2001</v>
      </c>
      <c r="Q1878" s="42">
        <v>85</v>
      </c>
      <c r="R1878" s="42">
        <v>30</v>
      </c>
      <c r="S1878" s="42">
        <v>0</v>
      </c>
      <c r="T1878" s="10">
        <f>IFERROR(ROUND((Q1878/R1878),2),"NA")</f>
        <v>2.83</v>
      </c>
      <c r="U1878">
        <f t="shared" si="29"/>
        <v>0</v>
      </c>
    </row>
    <row r="1879" spans="7:21" x14ac:dyDescent="0.2">
      <c r="G1879" s="9" t="s">
        <v>1692</v>
      </c>
      <c r="H1879">
        <v>24</v>
      </c>
      <c r="M1879" s="1" t="s">
        <v>1692</v>
      </c>
      <c r="N1879" s="1">
        <v>26</v>
      </c>
      <c r="P1879" s="1" t="s">
        <v>1692</v>
      </c>
      <c r="Q1879" s="42">
        <v>24</v>
      </c>
      <c r="R1879" s="42">
        <v>26</v>
      </c>
      <c r="S1879" s="42">
        <v>0.3</v>
      </c>
      <c r="T1879" s="10">
        <f>IFERROR(ROUND((Q1879/R1879),2),"NA")</f>
        <v>0.92</v>
      </c>
      <c r="U1879">
        <f t="shared" si="29"/>
        <v>7.1999999999999993</v>
      </c>
    </row>
    <row r="1880" spans="7:21" x14ac:dyDescent="0.2">
      <c r="G1880" s="9" t="s">
        <v>2656</v>
      </c>
      <c r="H1880">
        <v>60</v>
      </c>
      <c r="M1880" s="1" t="s">
        <v>2656</v>
      </c>
      <c r="N1880" s="1">
        <v>837</v>
      </c>
      <c r="P1880" s="1" t="s">
        <v>2656</v>
      </c>
      <c r="Q1880" s="42">
        <v>60</v>
      </c>
      <c r="R1880" s="42">
        <v>837</v>
      </c>
      <c r="S1880" s="42">
        <v>0.03</v>
      </c>
      <c r="T1880" s="10">
        <f>IFERROR(ROUND((Q1880/R1880),2),"NA")</f>
        <v>7.0000000000000007E-2</v>
      </c>
      <c r="U1880">
        <f t="shared" si="29"/>
        <v>1.7999999999999998</v>
      </c>
    </row>
    <row r="1881" spans="7:21" x14ac:dyDescent="0.2">
      <c r="G1881" s="9" t="s">
        <v>1252</v>
      </c>
      <c r="H1881">
        <v>0</v>
      </c>
      <c r="M1881" s="1" t="s">
        <v>1252</v>
      </c>
      <c r="N1881" s="1">
        <v>80</v>
      </c>
      <c r="P1881" s="1" t="s">
        <v>1252</v>
      </c>
      <c r="Q1881" s="42">
        <v>0</v>
      </c>
      <c r="R1881" s="42">
        <v>80</v>
      </c>
      <c r="S1881" s="42">
        <v>0</v>
      </c>
      <c r="T1881" s="10">
        <f>IFERROR(ROUND((Q1881/R1881),2),"NA")</f>
        <v>0</v>
      </c>
      <c r="U1881">
        <f t="shared" si="29"/>
        <v>0</v>
      </c>
    </row>
    <row r="1882" spans="7:21" x14ac:dyDescent="0.2">
      <c r="G1882" s="9" t="s">
        <v>1824</v>
      </c>
      <c r="H1882">
        <v>0</v>
      </c>
      <c r="M1882" s="1" t="s">
        <v>1824</v>
      </c>
      <c r="N1882" s="1">
        <v>23</v>
      </c>
      <c r="P1882" s="1" t="s">
        <v>1824</v>
      </c>
      <c r="Q1882" s="42">
        <v>0</v>
      </c>
      <c r="R1882" s="42">
        <v>23</v>
      </c>
      <c r="S1882" s="42">
        <v>0</v>
      </c>
      <c r="T1882" s="10">
        <f>IFERROR(ROUND((Q1882/R1882),2),"NA")</f>
        <v>0</v>
      </c>
      <c r="U1882">
        <f t="shared" si="29"/>
        <v>0</v>
      </c>
    </row>
    <row r="1883" spans="7:21" x14ac:dyDescent="0.2">
      <c r="G1883" s="9" t="s">
        <v>208</v>
      </c>
      <c r="H1883">
        <v>0</v>
      </c>
      <c r="M1883" s="1" t="s">
        <v>208</v>
      </c>
      <c r="N1883" s="1">
        <v>230</v>
      </c>
      <c r="P1883" s="1" t="s">
        <v>208</v>
      </c>
      <c r="Q1883" s="42">
        <v>0</v>
      </c>
      <c r="R1883" s="42">
        <v>230</v>
      </c>
      <c r="S1883" s="42">
        <v>1</v>
      </c>
      <c r="T1883" s="10">
        <f>IFERROR(ROUND((Q1883/R1883),2),"NA")</f>
        <v>0</v>
      </c>
      <c r="U1883">
        <f t="shared" si="29"/>
        <v>0</v>
      </c>
    </row>
    <row r="1884" spans="7:21" x14ac:dyDescent="0.2">
      <c r="G1884" s="9" t="s">
        <v>2488</v>
      </c>
      <c r="H1884">
        <v>57</v>
      </c>
      <c r="M1884" s="1" t="s">
        <v>2488</v>
      </c>
      <c r="N1884" s="1">
        <v>133</v>
      </c>
      <c r="P1884" s="1" t="s">
        <v>2488</v>
      </c>
      <c r="Q1884" s="42">
        <v>57</v>
      </c>
      <c r="R1884" s="42">
        <v>133</v>
      </c>
      <c r="S1884" s="42">
        <v>0.2</v>
      </c>
      <c r="T1884" s="10">
        <f>IFERROR(ROUND((Q1884/R1884),2),"NA")</f>
        <v>0.43</v>
      </c>
      <c r="U1884">
        <f t="shared" si="29"/>
        <v>11.4</v>
      </c>
    </row>
    <row r="1885" spans="7:21" x14ac:dyDescent="0.2">
      <c r="G1885" s="9" t="s">
        <v>2767</v>
      </c>
      <c r="H1885">
        <v>16</v>
      </c>
      <c r="M1885" s="1" t="s">
        <v>2767</v>
      </c>
      <c r="N1885" s="1">
        <v>35</v>
      </c>
      <c r="P1885" s="1" t="s">
        <v>2767</v>
      </c>
      <c r="Q1885" s="42">
        <v>16</v>
      </c>
      <c r="R1885" s="42">
        <v>35</v>
      </c>
      <c r="S1885" s="42">
        <v>0.27</v>
      </c>
      <c r="T1885" s="10">
        <f>IFERROR(ROUND((Q1885/R1885),2),"NA")</f>
        <v>0.46</v>
      </c>
      <c r="U1885">
        <f t="shared" si="29"/>
        <v>4.32</v>
      </c>
    </row>
    <row r="1886" spans="7:21" x14ac:dyDescent="0.2">
      <c r="G1886" s="9" t="s">
        <v>1875</v>
      </c>
      <c r="H1886">
        <v>306</v>
      </c>
      <c r="M1886" s="1" t="s">
        <v>1875</v>
      </c>
      <c r="N1886" s="1">
        <v>810</v>
      </c>
      <c r="P1886" s="1" t="s">
        <v>1875</v>
      </c>
      <c r="Q1886" s="42">
        <v>306</v>
      </c>
      <c r="R1886" s="42">
        <v>810</v>
      </c>
      <c r="S1886" s="42">
        <v>0.85</v>
      </c>
      <c r="T1886" s="10">
        <f>IFERROR(ROUND((Q1886/R1886),2),"NA")</f>
        <v>0.38</v>
      </c>
      <c r="U1886">
        <f t="shared" si="29"/>
        <v>260.09999999999997</v>
      </c>
    </row>
    <row r="1887" spans="7:21" x14ac:dyDescent="0.2">
      <c r="G1887" s="9" t="s">
        <v>2638</v>
      </c>
      <c r="H1887">
        <v>35</v>
      </c>
      <c r="M1887" s="1" t="s">
        <v>2638</v>
      </c>
      <c r="N1887" s="1">
        <v>73</v>
      </c>
      <c r="P1887" s="1" t="s">
        <v>2638</v>
      </c>
      <c r="Q1887" s="42">
        <v>35</v>
      </c>
      <c r="R1887" s="42">
        <v>73</v>
      </c>
      <c r="S1887" s="42">
        <v>0.15</v>
      </c>
      <c r="T1887" s="10">
        <f>IFERROR(ROUND((Q1887/R1887),2),"NA")</f>
        <v>0.48</v>
      </c>
      <c r="U1887">
        <f t="shared" si="29"/>
        <v>5.25</v>
      </c>
    </row>
    <row r="1888" spans="7:21" x14ac:dyDescent="0.2">
      <c r="G1888" s="9" t="s">
        <v>1397</v>
      </c>
      <c r="H1888">
        <v>0</v>
      </c>
      <c r="M1888" s="1" t="s">
        <v>1397</v>
      </c>
      <c r="N1888" s="1">
        <v>298</v>
      </c>
      <c r="P1888" s="1" t="s">
        <v>1397</v>
      </c>
      <c r="Q1888" s="42">
        <v>0</v>
      </c>
      <c r="R1888" s="42">
        <v>298</v>
      </c>
      <c r="S1888" s="42">
        <v>0.28000000000000003</v>
      </c>
      <c r="T1888" s="10">
        <f>IFERROR(ROUND((Q1888/R1888),2),"NA")</f>
        <v>0</v>
      </c>
      <c r="U1888">
        <f t="shared" si="29"/>
        <v>0</v>
      </c>
    </row>
    <row r="1889" spans="7:21" x14ac:dyDescent="0.2">
      <c r="G1889" s="9" t="s">
        <v>2881</v>
      </c>
      <c r="H1889">
        <v>120</v>
      </c>
      <c r="M1889" s="1" t="s">
        <v>2881</v>
      </c>
      <c r="N1889" s="1">
        <v>423</v>
      </c>
      <c r="P1889" s="1" t="s">
        <v>2881</v>
      </c>
      <c r="Q1889" s="42">
        <v>120</v>
      </c>
      <c r="R1889" s="42">
        <v>423</v>
      </c>
      <c r="S1889" s="42">
        <v>0.25</v>
      </c>
      <c r="T1889" s="10">
        <f>IFERROR(ROUND((Q1889/R1889),2),"NA")</f>
        <v>0.28000000000000003</v>
      </c>
      <c r="U1889">
        <f t="shared" si="29"/>
        <v>30</v>
      </c>
    </row>
    <row r="1890" spans="7:21" x14ac:dyDescent="0.2">
      <c r="G1890" s="9" t="s">
        <v>1577</v>
      </c>
      <c r="H1890">
        <v>80</v>
      </c>
      <c r="M1890" s="1" t="s">
        <v>1577</v>
      </c>
      <c r="N1890" s="1">
        <v>132</v>
      </c>
      <c r="P1890" s="1" t="s">
        <v>1577</v>
      </c>
      <c r="Q1890" s="42">
        <v>80</v>
      </c>
      <c r="R1890" s="42">
        <v>132</v>
      </c>
      <c r="S1890" s="42">
        <v>0.1</v>
      </c>
      <c r="T1890" s="10">
        <f>IFERROR(ROUND((Q1890/R1890),2),"NA")</f>
        <v>0.61</v>
      </c>
      <c r="U1890">
        <f t="shared" si="29"/>
        <v>8</v>
      </c>
    </row>
    <row r="1891" spans="7:21" x14ac:dyDescent="0.2">
      <c r="G1891" s="9" t="s">
        <v>396</v>
      </c>
      <c r="H1891">
        <v>576</v>
      </c>
      <c r="M1891" s="1" t="s">
        <v>396</v>
      </c>
      <c r="N1891" s="1">
        <v>42</v>
      </c>
      <c r="P1891" s="1" t="s">
        <v>396</v>
      </c>
      <c r="Q1891" s="42">
        <v>576</v>
      </c>
      <c r="R1891" s="42">
        <v>42</v>
      </c>
      <c r="S1891" s="42">
        <v>0.11</v>
      </c>
      <c r="T1891" s="10">
        <f>IFERROR(ROUND((Q1891/R1891),2),"NA")</f>
        <v>13.71</v>
      </c>
      <c r="U1891">
        <f t="shared" si="29"/>
        <v>63.36</v>
      </c>
    </row>
    <row r="1892" spans="7:21" x14ac:dyDescent="0.2">
      <c r="G1892" s="9" t="s">
        <v>874</v>
      </c>
      <c r="H1892">
        <v>0</v>
      </c>
      <c r="M1892" s="1" t="s">
        <v>874</v>
      </c>
      <c r="N1892" s="1">
        <v>9</v>
      </c>
      <c r="P1892" s="1" t="s">
        <v>874</v>
      </c>
      <c r="Q1892" s="42">
        <v>0</v>
      </c>
      <c r="R1892" s="42">
        <v>9</v>
      </c>
      <c r="S1892" s="42">
        <v>0</v>
      </c>
      <c r="T1892" s="10">
        <f>IFERROR(ROUND((Q1892/R1892),2),"NA")</f>
        <v>0</v>
      </c>
      <c r="U1892">
        <f t="shared" si="29"/>
        <v>0</v>
      </c>
    </row>
    <row r="1893" spans="7:21" x14ac:dyDescent="0.2">
      <c r="G1893" s="9" t="s">
        <v>125</v>
      </c>
      <c r="H1893">
        <v>50</v>
      </c>
      <c r="M1893" s="1" t="s">
        <v>125</v>
      </c>
      <c r="N1893" s="1">
        <v>30</v>
      </c>
      <c r="P1893" s="1" t="s">
        <v>125</v>
      </c>
      <c r="Q1893" s="42">
        <v>50</v>
      </c>
      <c r="R1893" s="42">
        <v>30</v>
      </c>
      <c r="S1893" s="42">
        <v>0.5</v>
      </c>
      <c r="T1893" s="10">
        <f>IFERROR(ROUND((Q1893/R1893),2),"NA")</f>
        <v>1.67</v>
      </c>
      <c r="U1893">
        <f t="shared" si="29"/>
        <v>25</v>
      </c>
    </row>
    <row r="1894" spans="7:21" x14ac:dyDescent="0.2">
      <c r="G1894" s="9" t="s">
        <v>302</v>
      </c>
      <c r="H1894">
        <v>40</v>
      </c>
      <c r="M1894" s="1" t="s">
        <v>302</v>
      </c>
      <c r="N1894" s="1">
        <v>229</v>
      </c>
      <c r="P1894" s="1" t="s">
        <v>302</v>
      </c>
      <c r="Q1894" s="42">
        <v>40</v>
      </c>
      <c r="R1894" s="42">
        <v>229</v>
      </c>
      <c r="S1894" s="42">
        <v>0.06</v>
      </c>
      <c r="T1894" s="10">
        <f>IFERROR(ROUND((Q1894/R1894),2),"NA")</f>
        <v>0.17</v>
      </c>
      <c r="U1894">
        <f t="shared" si="29"/>
        <v>2.4</v>
      </c>
    </row>
    <row r="1895" spans="7:21" x14ac:dyDescent="0.2">
      <c r="G1895" s="9" t="s">
        <v>981</v>
      </c>
      <c r="H1895">
        <v>257</v>
      </c>
      <c r="M1895" s="1" t="s">
        <v>981</v>
      </c>
      <c r="N1895" s="1">
        <v>380</v>
      </c>
      <c r="P1895" s="1" t="s">
        <v>981</v>
      </c>
      <c r="Q1895" s="42">
        <v>257</v>
      </c>
      <c r="R1895" s="42">
        <v>380</v>
      </c>
      <c r="S1895" s="42">
        <v>0.3666666666666667</v>
      </c>
      <c r="T1895" s="10">
        <f>IFERROR(ROUND((Q1895/R1895),2),"NA")</f>
        <v>0.68</v>
      </c>
      <c r="U1895">
        <f t="shared" si="29"/>
        <v>94.233333333333334</v>
      </c>
    </row>
    <row r="1896" spans="7:21" x14ac:dyDescent="0.2">
      <c r="G1896" s="9" t="s">
        <v>93</v>
      </c>
      <c r="H1896">
        <v>1170</v>
      </c>
      <c r="M1896" s="1" t="s">
        <v>93</v>
      </c>
      <c r="N1896" s="1">
        <v>78000</v>
      </c>
      <c r="P1896" s="1" t="s">
        <v>93</v>
      </c>
      <c r="Q1896" s="42">
        <v>1170</v>
      </c>
      <c r="R1896" s="42">
        <v>78000</v>
      </c>
      <c r="S1896" s="42">
        <v>4.9999999999999996E-2</v>
      </c>
      <c r="T1896" s="10">
        <f>IFERROR(ROUND((Q1896/R1896),2),"NA")</f>
        <v>0.02</v>
      </c>
      <c r="U1896">
        <f t="shared" si="29"/>
        <v>58.499999999999993</v>
      </c>
    </row>
    <row r="1897" spans="7:21" x14ac:dyDescent="0.2">
      <c r="G1897" s="9" t="s">
        <v>777</v>
      </c>
      <c r="H1897">
        <v>24</v>
      </c>
      <c r="M1897" s="1" t="s">
        <v>777</v>
      </c>
      <c r="N1897" s="1">
        <v>0</v>
      </c>
      <c r="P1897" s="1" t="s">
        <v>777</v>
      </c>
      <c r="Q1897" s="42">
        <v>24</v>
      </c>
      <c r="R1897" s="42">
        <v>0</v>
      </c>
      <c r="S1897" s="42">
        <v>0.06</v>
      </c>
      <c r="T1897" s="10" t="str">
        <f>IFERROR(ROUND((Q1897/R1897),2),"NA")</f>
        <v>NA</v>
      </c>
      <c r="U1897">
        <f t="shared" si="29"/>
        <v>1.44</v>
      </c>
    </row>
    <row r="1898" spans="7:21" x14ac:dyDescent="0.2">
      <c r="G1898" s="9" t="s">
        <v>2328</v>
      </c>
      <c r="H1898">
        <v>0</v>
      </c>
      <c r="M1898" s="1" t="s">
        <v>2328</v>
      </c>
      <c r="N1898" s="1">
        <v>1000</v>
      </c>
      <c r="P1898" s="1" t="s">
        <v>2328</v>
      </c>
      <c r="Q1898" s="42">
        <v>0</v>
      </c>
      <c r="R1898" s="42">
        <v>1000</v>
      </c>
      <c r="S1898" s="42">
        <v>0.18</v>
      </c>
      <c r="T1898" s="10">
        <f>IFERROR(ROUND((Q1898/R1898),2),"NA")</f>
        <v>0</v>
      </c>
      <c r="U1898">
        <f t="shared" si="29"/>
        <v>0</v>
      </c>
    </row>
    <row r="1899" spans="7:21" x14ac:dyDescent="0.2">
      <c r="G1899" s="9" t="s">
        <v>708</v>
      </c>
      <c r="H1899">
        <v>1203</v>
      </c>
      <c r="M1899" s="1" t="s">
        <v>708</v>
      </c>
      <c r="N1899" s="1">
        <v>22400</v>
      </c>
      <c r="P1899" s="1" t="s">
        <v>708</v>
      </c>
      <c r="Q1899" s="42">
        <v>1203</v>
      </c>
      <c r="R1899" s="42">
        <v>22400</v>
      </c>
      <c r="S1899" s="42">
        <v>0.13</v>
      </c>
      <c r="T1899" s="10">
        <f>IFERROR(ROUND((Q1899/R1899),2),"NA")</f>
        <v>0.05</v>
      </c>
      <c r="U1899">
        <f t="shared" si="29"/>
        <v>156.39000000000001</v>
      </c>
    </row>
    <row r="1900" spans="7:21" x14ac:dyDescent="0.2">
      <c r="G1900" s="9" t="s">
        <v>702</v>
      </c>
      <c r="H1900">
        <v>30</v>
      </c>
      <c r="M1900" s="1" t="s">
        <v>702</v>
      </c>
      <c r="N1900" s="1">
        <v>857</v>
      </c>
      <c r="P1900" s="1" t="s">
        <v>702</v>
      </c>
      <c r="Q1900" s="42">
        <v>30</v>
      </c>
      <c r="R1900" s="42">
        <v>857</v>
      </c>
      <c r="S1900" s="42">
        <v>0</v>
      </c>
      <c r="T1900" s="10">
        <f>IFERROR(ROUND((Q1900/R1900),2),"NA")</f>
        <v>0.04</v>
      </c>
      <c r="U1900">
        <f t="shared" si="29"/>
        <v>0</v>
      </c>
    </row>
    <row r="1901" spans="7:21" x14ac:dyDescent="0.2">
      <c r="G1901" s="9" t="s">
        <v>627</v>
      </c>
      <c r="H1901">
        <v>15</v>
      </c>
      <c r="M1901" s="1" t="s">
        <v>627</v>
      </c>
      <c r="N1901" s="1">
        <v>0</v>
      </c>
      <c r="P1901" s="1" t="s">
        <v>627</v>
      </c>
      <c r="Q1901" s="42">
        <v>15</v>
      </c>
      <c r="R1901" s="42">
        <v>0</v>
      </c>
      <c r="S1901" s="42">
        <v>0</v>
      </c>
      <c r="T1901" s="10" t="str">
        <f>IFERROR(ROUND((Q1901/R1901),2),"NA")</f>
        <v>NA</v>
      </c>
      <c r="U1901">
        <f t="shared" si="29"/>
        <v>0</v>
      </c>
    </row>
    <row r="1902" spans="7:21" x14ac:dyDescent="0.2">
      <c r="G1902" s="9" t="s">
        <v>1618</v>
      </c>
      <c r="H1902">
        <v>100</v>
      </c>
      <c r="M1902" s="1" t="s">
        <v>1618</v>
      </c>
      <c r="N1902" s="1">
        <v>34.700000000000003</v>
      </c>
      <c r="P1902" s="1" t="s">
        <v>1618</v>
      </c>
      <c r="Q1902" s="42">
        <v>100</v>
      </c>
      <c r="R1902" s="42">
        <v>34.700000000000003</v>
      </c>
      <c r="S1902" s="42">
        <v>0.17499999999999999</v>
      </c>
      <c r="T1902" s="10">
        <f>IFERROR(ROUND((Q1902/R1902),2),"NA")</f>
        <v>2.88</v>
      </c>
      <c r="U1902">
        <f t="shared" si="29"/>
        <v>17.5</v>
      </c>
    </row>
    <row r="1903" spans="7:21" x14ac:dyDescent="0.2">
      <c r="G1903" s="9" t="s">
        <v>737</v>
      </c>
      <c r="H1903">
        <v>760</v>
      </c>
      <c r="M1903" s="1" t="s">
        <v>737</v>
      </c>
      <c r="N1903" s="1">
        <v>624</v>
      </c>
      <c r="P1903" s="1" t="s">
        <v>737</v>
      </c>
      <c r="Q1903" s="42">
        <v>760</v>
      </c>
      <c r="R1903" s="42">
        <v>624</v>
      </c>
      <c r="S1903" s="42">
        <v>7.6666666666666675E-2</v>
      </c>
      <c r="T1903" s="10">
        <f>IFERROR(ROUND((Q1903/R1903),2),"NA")</f>
        <v>1.22</v>
      </c>
      <c r="U1903">
        <f t="shared" si="29"/>
        <v>58.266666666666673</v>
      </c>
    </row>
    <row r="1904" spans="7:21" x14ac:dyDescent="0.2">
      <c r="G1904" s="9" t="s">
        <v>1253</v>
      </c>
      <c r="H1904">
        <v>0</v>
      </c>
      <c r="M1904" s="1" t="s">
        <v>1253</v>
      </c>
      <c r="N1904" s="1">
        <v>730</v>
      </c>
      <c r="P1904" s="1" t="s">
        <v>1253</v>
      </c>
      <c r="Q1904" s="42">
        <v>0</v>
      </c>
      <c r="R1904" s="42">
        <v>730</v>
      </c>
      <c r="S1904" s="42">
        <v>0.23500000000000001</v>
      </c>
      <c r="T1904" s="10">
        <f>IFERROR(ROUND((Q1904/R1904),2),"NA")</f>
        <v>0</v>
      </c>
      <c r="U1904">
        <f t="shared" si="29"/>
        <v>0</v>
      </c>
    </row>
    <row r="1905" spans="7:21" x14ac:dyDescent="0.2">
      <c r="G1905" s="9" t="s">
        <v>1896</v>
      </c>
      <c r="H1905">
        <v>467</v>
      </c>
      <c r="M1905" s="1" t="s">
        <v>1896</v>
      </c>
      <c r="N1905" s="1">
        <v>1054</v>
      </c>
      <c r="P1905" s="1" t="s">
        <v>1896</v>
      </c>
      <c r="Q1905" s="42">
        <v>467</v>
      </c>
      <c r="R1905" s="42">
        <v>1054</v>
      </c>
      <c r="S1905" s="42">
        <v>0.2</v>
      </c>
      <c r="T1905" s="10">
        <f>IFERROR(ROUND((Q1905/R1905),2),"NA")</f>
        <v>0.44</v>
      </c>
      <c r="U1905">
        <f t="shared" si="29"/>
        <v>93.4</v>
      </c>
    </row>
    <row r="1906" spans="7:21" x14ac:dyDescent="0.2">
      <c r="G1906" s="9" t="s">
        <v>1754</v>
      </c>
      <c r="H1906">
        <v>0</v>
      </c>
      <c r="M1906" s="1" t="s">
        <v>1754</v>
      </c>
      <c r="N1906" s="1">
        <v>481</v>
      </c>
      <c r="P1906" s="1" t="s">
        <v>1754</v>
      </c>
      <c r="Q1906" s="42">
        <v>0</v>
      </c>
      <c r="R1906" s="42">
        <v>481</v>
      </c>
      <c r="S1906" s="42">
        <v>0</v>
      </c>
      <c r="T1906" s="10">
        <f>IFERROR(ROUND((Q1906/R1906),2),"NA")</f>
        <v>0</v>
      </c>
      <c r="U1906">
        <f t="shared" si="29"/>
        <v>0</v>
      </c>
    </row>
    <row r="1907" spans="7:21" x14ac:dyDescent="0.2">
      <c r="G1907" s="9" t="s">
        <v>2867</v>
      </c>
      <c r="H1907">
        <v>194</v>
      </c>
      <c r="M1907" s="1" t="s">
        <v>2867</v>
      </c>
      <c r="N1907" s="1">
        <v>310</v>
      </c>
      <c r="P1907" s="1" t="s">
        <v>2867</v>
      </c>
      <c r="Q1907" s="42">
        <v>194</v>
      </c>
      <c r="R1907" s="42">
        <v>310</v>
      </c>
      <c r="S1907" s="42">
        <v>0</v>
      </c>
      <c r="T1907" s="10">
        <f>IFERROR(ROUND((Q1907/R1907),2),"NA")</f>
        <v>0.63</v>
      </c>
      <c r="U1907">
        <f t="shared" si="29"/>
        <v>0</v>
      </c>
    </row>
    <row r="1908" spans="7:21" x14ac:dyDescent="0.2">
      <c r="G1908" s="9" t="s">
        <v>2295</v>
      </c>
      <c r="H1908">
        <v>18</v>
      </c>
      <c r="M1908" s="1" t="s">
        <v>2295</v>
      </c>
      <c r="N1908" s="1">
        <v>25</v>
      </c>
      <c r="P1908" s="1" t="s">
        <v>2295</v>
      </c>
      <c r="Q1908" s="42">
        <v>18</v>
      </c>
      <c r="R1908" s="42">
        <v>25</v>
      </c>
      <c r="S1908" s="42">
        <v>0.3</v>
      </c>
      <c r="T1908" s="10">
        <f>IFERROR(ROUND((Q1908/R1908),2),"NA")</f>
        <v>0.72</v>
      </c>
      <c r="U1908">
        <f t="shared" si="29"/>
        <v>5.3999999999999995</v>
      </c>
    </row>
    <row r="1909" spans="7:21" x14ac:dyDescent="0.2">
      <c r="G1909" s="9" t="s">
        <v>1836</v>
      </c>
      <c r="H1909">
        <v>0</v>
      </c>
      <c r="M1909" s="1" t="s">
        <v>1836</v>
      </c>
      <c r="N1909" s="1">
        <v>205</v>
      </c>
      <c r="P1909" s="1" t="s">
        <v>1836</v>
      </c>
      <c r="Q1909" s="42">
        <v>0</v>
      </c>
      <c r="R1909" s="42">
        <v>205</v>
      </c>
      <c r="S1909" s="42">
        <v>0</v>
      </c>
      <c r="T1909" s="10">
        <f>IFERROR(ROUND((Q1909/R1909),2),"NA")</f>
        <v>0</v>
      </c>
      <c r="U1909">
        <f t="shared" si="29"/>
        <v>0</v>
      </c>
    </row>
    <row r="1910" spans="7:21" x14ac:dyDescent="0.2">
      <c r="G1910" s="9" t="s">
        <v>2524</v>
      </c>
      <c r="H1910">
        <v>0</v>
      </c>
      <c r="M1910" s="1" t="s">
        <v>2524</v>
      </c>
      <c r="N1910" s="1">
        <v>14</v>
      </c>
      <c r="P1910" s="1" t="s">
        <v>2524</v>
      </c>
      <c r="Q1910" s="42">
        <v>0</v>
      </c>
      <c r="R1910" s="42">
        <v>14</v>
      </c>
      <c r="S1910" s="42">
        <v>1</v>
      </c>
      <c r="T1910" s="10">
        <f>IFERROR(ROUND((Q1910/R1910),2),"NA")</f>
        <v>0</v>
      </c>
      <c r="U1910">
        <f t="shared" si="29"/>
        <v>0</v>
      </c>
    </row>
    <row r="1911" spans="7:21" x14ac:dyDescent="0.2">
      <c r="G1911" s="9" t="s">
        <v>2666</v>
      </c>
      <c r="H1911">
        <v>50</v>
      </c>
      <c r="M1911" s="1" t="s">
        <v>2666</v>
      </c>
      <c r="N1911" s="1">
        <v>60</v>
      </c>
      <c r="P1911" s="1" t="s">
        <v>2666</v>
      </c>
      <c r="Q1911" s="42">
        <v>50</v>
      </c>
      <c r="R1911" s="42">
        <v>60</v>
      </c>
      <c r="S1911" s="42">
        <v>0.08</v>
      </c>
      <c r="T1911" s="10">
        <f>IFERROR(ROUND((Q1911/R1911),2),"NA")</f>
        <v>0.83</v>
      </c>
      <c r="U1911">
        <f t="shared" si="29"/>
        <v>4</v>
      </c>
    </row>
    <row r="1912" spans="7:21" x14ac:dyDescent="0.2">
      <c r="G1912" s="9" t="s">
        <v>1869</v>
      </c>
      <c r="H1912">
        <v>0</v>
      </c>
      <c r="M1912" s="1" t="s">
        <v>1869</v>
      </c>
      <c r="N1912" s="1">
        <v>382</v>
      </c>
      <c r="P1912" s="1" t="s">
        <v>1869</v>
      </c>
      <c r="Q1912" s="42">
        <v>0</v>
      </c>
      <c r="R1912" s="42">
        <v>382</v>
      </c>
      <c r="S1912" s="42">
        <v>0.11</v>
      </c>
      <c r="T1912" s="10">
        <f>IFERROR(ROUND((Q1912/R1912),2),"NA")</f>
        <v>0</v>
      </c>
      <c r="U1912">
        <f t="shared" si="29"/>
        <v>0</v>
      </c>
    </row>
    <row r="1913" spans="7:21" x14ac:dyDescent="0.2">
      <c r="G1913" s="9" t="s">
        <v>1926</v>
      </c>
      <c r="H1913">
        <v>160</v>
      </c>
      <c r="M1913" s="1" t="s">
        <v>1926</v>
      </c>
      <c r="N1913" s="1">
        <v>890</v>
      </c>
      <c r="P1913" s="1" t="s">
        <v>1926</v>
      </c>
      <c r="Q1913" s="42">
        <v>160</v>
      </c>
      <c r="R1913" s="42">
        <v>890</v>
      </c>
      <c r="S1913" s="42">
        <v>0.75</v>
      </c>
      <c r="T1913" s="10">
        <f>IFERROR(ROUND((Q1913/R1913),2),"NA")</f>
        <v>0.18</v>
      </c>
      <c r="U1913">
        <f t="shared" si="29"/>
        <v>120</v>
      </c>
    </row>
    <row r="1914" spans="7:21" x14ac:dyDescent="0.2">
      <c r="G1914" s="9" t="s">
        <v>2630</v>
      </c>
      <c r="H1914">
        <v>57</v>
      </c>
      <c r="M1914" s="1" t="s">
        <v>2630</v>
      </c>
      <c r="N1914" s="1">
        <v>553</v>
      </c>
      <c r="P1914" s="1" t="s">
        <v>2630</v>
      </c>
      <c r="Q1914" s="42">
        <v>57</v>
      </c>
      <c r="R1914" s="42">
        <v>553</v>
      </c>
      <c r="S1914" s="42">
        <v>0</v>
      </c>
      <c r="T1914" s="10">
        <f>IFERROR(ROUND((Q1914/R1914),2),"NA")</f>
        <v>0.1</v>
      </c>
      <c r="U1914">
        <f t="shared" si="29"/>
        <v>0</v>
      </c>
    </row>
    <row r="1915" spans="7:21" x14ac:dyDescent="0.2">
      <c r="G1915" s="9" t="s">
        <v>1480</v>
      </c>
      <c r="H1915">
        <v>100</v>
      </c>
      <c r="M1915" s="1" t="s">
        <v>1480</v>
      </c>
      <c r="N1915" s="1">
        <v>0</v>
      </c>
      <c r="P1915" s="1" t="s">
        <v>1480</v>
      </c>
      <c r="Q1915" s="42">
        <v>100</v>
      </c>
      <c r="R1915" s="42">
        <v>0</v>
      </c>
      <c r="S1915" s="42">
        <v>0</v>
      </c>
      <c r="T1915" s="10" t="str">
        <f>IFERROR(ROUND((Q1915/R1915),2),"NA")</f>
        <v>NA</v>
      </c>
      <c r="U1915">
        <f t="shared" si="29"/>
        <v>0</v>
      </c>
    </row>
    <row r="1916" spans="7:21" x14ac:dyDescent="0.2">
      <c r="G1916" s="9" t="s">
        <v>1267</v>
      </c>
      <c r="H1916">
        <v>70</v>
      </c>
      <c r="M1916" s="1" t="s">
        <v>1267</v>
      </c>
      <c r="N1916" s="1">
        <v>0</v>
      </c>
      <c r="P1916" s="1" t="s">
        <v>1267</v>
      </c>
      <c r="Q1916" s="42">
        <v>70</v>
      </c>
      <c r="R1916" s="42">
        <v>0</v>
      </c>
      <c r="S1916" s="42">
        <v>0.28000000000000003</v>
      </c>
      <c r="T1916" s="10" t="str">
        <f>IFERROR(ROUND((Q1916/R1916),2),"NA")</f>
        <v>NA</v>
      </c>
      <c r="U1916">
        <f t="shared" si="29"/>
        <v>19.600000000000001</v>
      </c>
    </row>
    <row r="1917" spans="7:21" x14ac:dyDescent="0.2">
      <c r="G1917" s="9" t="s">
        <v>2070</v>
      </c>
      <c r="H1917">
        <v>230</v>
      </c>
      <c r="M1917" s="1" t="s">
        <v>2070</v>
      </c>
      <c r="N1917" s="1">
        <v>344</v>
      </c>
      <c r="P1917" s="1" t="s">
        <v>2070</v>
      </c>
      <c r="Q1917" s="42">
        <v>230</v>
      </c>
      <c r="R1917" s="42">
        <v>344</v>
      </c>
      <c r="S1917" s="42">
        <v>0.15</v>
      </c>
      <c r="T1917" s="10">
        <f>IFERROR(ROUND((Q1917/R1917),2),"NA")</f>
        <v>0.67</v>
      </c>
      <c r="U1917">
        <f t="shared" si="29"/>
        <v>34.5</v>
      </c>
    </row>
    <row r="1918" spans="7:21" x14ac:dyDescent="0.2">
      <c r="G1918" s="9" t="s">
        <v>887</v>
      </c>
      <c r="H1918">
        <v>0</v>
      </c>
      <c r="M1918" s="1" t="s">
        <v>887</v>
      </c>
      <c r="N1918" s="1">
        <v>0</v>
      </c>
      <c r="P1918" s="1" t="s">
        <v>887</v>
      </c>
      <c r="Q1918" s="42">
        <v>0</v>
      </c>
      <c r="R1918" s="42">
        <v>0</v>
      </c>
      <c r="S1918" s="42">
        <v>0</v>
      </c>
      <c r="T1918" s="10" t="str">
        <f>IFERROR(ROUND((Q1918/R1918),2),"NA")</f>
        <v>NA</v>
      </c>
      <c r="U1918">
        <f t="shared" si="29"/>
        <v>0</v>
      </c>
    </row>
    <row r="1919" spans="7:21" x14ac:dyDescent="0.2">
      <c r="G1919" s="9" t="s">
        <v>1112</v>
      </c>
      <c r="H1919">
        <v>1100</v>
      </c>
      <c r="M1919" s="1" t="s">
        <v>1112</v>
      </c>
      <c r="N1919" s="1">
        <v>1700</v>
      </c>
      <c r="P1919" s="1" t="s">
        <v>1112</v>
      </c>
      <c r="Q1919" s="42">
        <v>1100</v>
      </c>
      <c r="R1919" s="42">
        <v>1700</v>
      </c>
      <c r="S1919" s="42">
        <v>0.15</v>
      </c>
      <c r="T1919" s="10">
        <f>IFERROR(ROUND((Q1919/R1919),2),"NA")</f>
        <v>0.65</v>
      </c>
      <c r="U1919">
        <f t="shared" si="29"/>
        <v>165</v>
      </c>
    </row>
    <row r="1920" spans="7:21" x14ac:dyDescent="0.2">
      <c r="G1920" s="9" t="s">
        <v>1910</v>
      </c>
      <c r="H1920">
        <v>0</v>
      </c>
      <c r="M1920" s="1" t="s">
        <v>1910</v>
      </c>
      <c r="N1920" s="1">
        <v>0</v>
      </c>
      <c r="P1920" s="1" t="s">
        <v>1910</v>
      </c>
      <c r="Q1920" s="42">
        <v>0</v>
      </c>
      <c r="R1920" s="42">
        <v>0</v>
      </c>
      <c r="S1920" s="42">
        <v>0.11</v>
      </c>
      <c r="T1920" s="10" t="str">
        <f>IFERROR(ROUND((Q1920/R1920),2),"NA")</f>
        <v>NA</v>
      </c>
      <c r="U1920">
        <f t="shared" si="29"/>
        <v>0</v>
      </c>
    </row>
    <row r="1921" spans="7:21" x14ac:dyDescent="0.2">
      <c r="G1921" s="9" t="s">
        <v>2314</v>
      </c>
      <c r="H1921">
        <v>27</v>
      </c>
      <c r="M1921" s="1" t="s">
        <v>2314</v>
      </c>
      <c r="N1921" s="1">
        <v>61</v>
      </c>
      <c r="P1921" s="1" t="s">
        <v>2314</v>
      </c>
      <c r="Q1921" s="42">
        <v>27</v>
      </c>
      <c r="R1921" s="42">
        <v>61</v>
      </c>
      <c r="S1921" s="42">
        <v>0.25</v>
      </c>
      <c r="T1921" s="10">
        <f>IFERROR(ROUND((Q1921/R1921),2),"NA")</f>
        <v>0.44</v>
      </c>
      <c r="U1921">
        <f t="shared" si="29"/>
        <v>6.75</v>
      </c>
    </row>
    <row r="1922" spans="7:21" x14ac:dyDescent="0.2">
      <c r="G1922" s="9" t="s">
        <v>2793</v>
      </c>
      <c r="H1922">
        <v>340</v>
      </c>
      <c r="M1922" s="1" t="s">
        <v>2793</v>
      </c>
      <c r="N1922" s="1">
        <v>438</v>
      </c>
      <c r="P1922" s="1" t="s">
        <v>2793</v>
      </c>
      <c r="Q1922" s="42">
        <v>340</v>
      </c>
      <c r="R1922" s="42">
        <v>438</v>
      </c>
      <c r="S1922" s="42">
        <v>0.53</v>
      </c>
      <c r="T1922" s="10">
        <f>IFERROR(ROUND((Q1922/R1922),2),"NA")</f>
        <v>0.78</v>
      </c>
      <c r="U1922">
        <f t="shared" si="29"/>
        <v>180.20000000000002</v>
      </c>
    </row>
    <row r="1923" spans="7:21" x14ac:dyDescent="0.2">
      <c r="G1923" s="9" t="s">
        <v>714</v>
      </c>
      <c r="H1923">
        <v>290</v>
      </c>
      <c r="M1923" s="1" t="s">
        <v>714</v>
      </c>
      <c r="N1923" s="1">
        <v>438</v>
      </c>
      <c r="P1923" s="1" t="s">
        <v>714</v>
      </c>
      <c r="Q1923" s="42">
        <v>290</v>
      </c>
      <c r="R1923" s="42">
        <v>438</v>
      </c>
      <c r="S1923" s="42">
        <v>0</v>
      </c>
      <c r="T1923" s="10">
        <f>IFERROR(ROUND((Q1923/R1923),2),"NA")</f>
        <v>0.66</v>
      </c>
      <c r="U1923">
        <f t="shared" si="29"/>
        <v>0</v>
      </c>
    </row>
    <row r="1924" spans="7:21" x14ac:dyDescent="0.2">
      <c r="G1924" s="9" t="s">
        <v>1534</v>
      </c>
      <c r="H1924">
        <v>100</v>
      </c>
      <c r="M1924" s="1" t="s">
        <v>1534</v>
      </c>
      <c r="N1924" s="1">
        <v>965</v>
      </c>
      <c r="P1924" s="1" t="s">
        <v>1534</v>
      </c>
      <c r="Q1924" s="42">
        <v>100</v>
      </c>
      <c r="R1924" s="42">
        <v>965</v>
      </c>
      <c r="S1924" s="42">
        <v>0.05</v>
      </c>
      <c r="T1924" s="10">
        <f>IFERROR(ROUND((Q1924/R1924),2),"NA")</f>
        <v>0.1</v>
      </c>
      <c r="U1924">
        <f t="shared" si="29"/>
        <v>5</v>
      </c>
    </row>
    <row r="1925" spans="7:21" x14ac:dyDescent="0.2">
      <c r="G1925" s="9" t="s">
        <v>1969</v>
      </c>
      <c r="H1925">
        <v>20</v>
      </c>
      <c r="M1925" s="1" t="s">
        <v>1969</v>
      </c>
      <c r="N1925" s="1">
        <v>5</v>
      </c>
      <c r="P1925" s="1" t="s">
        <v>1969</v>
      </c>
      <c r="Q1925" s="42">
        <v>20</v>
      </c>
      <c r="R1925" s="42">
        <v>5</v>
      </c>
      <c r="S1925" s="42">
        <v>0</v>
      </c>
      <c r="T1925" s="10">
        <f>IFERROR(ROUND((Q1925/R1925),2),"NA")</f>
        <v>4</v>
      </c>
      <c r="U1925">
        <f t="shared" ref="U1925:U1988" si="30">Q1925*S1925</f>
        <v>0</v>
      </c>
    </row>
    <row r="1926" spans="7:21" x14ac:dyDescent="0.2">
      <c r="G1926" s="9" t="s">
        <v>368</v>
      </c>
      <c r="H1926">
        <v>10840</v>
      </c>
      <c r="M1926" s="1" t="s">
        <v>368</v>
      </c>
      <c r="N1926" s="1">
        <v>390.4</v>
      </c>
      <c r="P1926" s="1" t="s">
        <v>368</v>
      </c>
      <c r="Q1926" s="42">
        <v>10840</v>
      </c>
      <c r="R1926" s="42">
        <v>390.4</v>
      </c>
      <c r="S1926" s="42">
        <v>0.04</v>
      </c>
      <c r="T1926" s="10">
        <f>IFERROR(ROUND((Q1926/R1926),2),"NA")</f>
        <v>27.77</v>
      </c>
      <c r="U1926">
        <f t="shared" si="30"/>
        <v>433.6</v>
      </c>
    </row>
    <row r="1927" spans="7:21" x14ac:dyDescent="0.2">
      <c r="G1927" s="9" t="s">
        <v>1416</v>
      </c>
      <c r="H1927">
        <v>155</v>
      </c>
      <c r="M1927" s="1" t="s">
        <v>1416</v>
      </c>
      <c r="N1927" s="1">
        <v>390</v>
      </c>
      <c r="P1927" s="1" t="s">
        <v>1416</v>
      </c>
      <c r="Q1927" s="42">
        <v>155</v>
      </c>
      <c r="R1927" s="42">
        <v>390</v>
      </c>
      <c r="S1927" s="42">
        <v>0.1</v>
      </c>
      <c r="T1927" s="10">
        <f>IFERROR(ROUND((Q1927/R1927),2),"NA")</f>
        <v>0.4</v>
      </c>
      <c r="U1927">
        <f t="shared" si="30"/>
        <v>15.5</v>
      </c>
    </row>
    <row r="1928" spans="7:21" x14ac:dyDescent="0.2">
      <c r="G1928" s="9" t="s">
        <v>617</v>
      </c>
      <c r="H1928">
        <v>260</v>
      </c>
      <c r="M1928" s="1" t="s">
        <v>617</v>
      </c>
      <c r="N1928" s="1">
        <v>1002</v>
      </c>
      <c r="P1928" s="1" t="s">
        <v>617</v>
      </c>
      <c r="Q1928" s="42">
        <v>260</v>
      </c>
      <c r="R1928" s="42">
        <v>1002</v>
      </c>
      <c r="S1928" s="42">
        <v>0.12</v>
      </c>
      <c r="T1928" s="10">
        <f>IFERROR(ROUND((Q1928/R1928),2),"NA")</f>
        <v>0.26</v>
      </c>
      <c r="U1928">
        <f t="shared" si="30"/>
        <v>31.2</v>
      </c>
    </row>
    <row r="1929" spans="7:21" x14ac:dyDescent="0.2">
      <c r="G1929" s="9" t="s">
        <v>2053</v>
      </c>
      <c r="H1929">
        <v>0</v>
      </c>
      <c r="M1929" s="1" t="s">
        <v>2053</v>
      </c>
      <c r="N1929" s="1">
        <v>84</v>
      </c>
      <c r="P1929" s="1" t="s">
        <v>2053</v>
      </c>
      <c r="Q1929" s="42">
        <v>0</v>
      </c>
      <c r="R1929" s="42">
        <v>84</v>
      </c>
      <c r="S1929" s="42">
        <v>0</v>
      </c>
      <c r="T1929" s="10">
        <f>IFERROR(ROUND((Q1929/R1929),2),"NA")</f>
        <v>0</v>
      </c>
      <c r="U1929">
        <f t="shared" si="30"/>
        <v>0</v>
      </c>
    </row>
    <row r="1930" spans="7:21" x14ac:dyDescent="0.2">
      <c r="G1930" s="9" t="s">
        <v>2357</v>
      </c>
      <c r="H1930">
        <v>75</v>
      </c>
      <c r="M1930" s="1" t="s">
        <v>2357</v>
      </c>
      <c r="N1930" s="1">
        <v>36</v>
      </c>
      <c r="P1930" s="1" t="s">
        <v>2357</v>
      </c>
      <c r="Q1930" s="42">
        <v>75</v>
      </c>
      <c r="R1930" s="42">
        <v>36</v>
      </c>
      <c r="S1930" s="42">
        <v>0.15</v>
      </c>
      <c r="T1930" s="10">
        <f>IFERROR(ROUND((Q1930/R1930),2),"NA")</f>
        <v>2.08</v>
      </c>
      <c r="U1930">
        <f t="shared" si="30"/>
        <v>11.25</v>
      </c>
    </row>
    <row r="1931" spans="7:21" x14ac:dyDescent="0.2">
      <c r="G1931" s="9" t="s">
        <v>2625</v>
      </c>
      <c r="H1931">
        <v>300</v>
      </c>
      <c r="M1931" s="1" t="s">
        <v>2625</v>
      </c>
      <c r="N1931" s="1">
        <v>530</v>
      </c>
      <c r="P1931" s="1" t="s">
        <v>2625</v>
      </c>
      <c r="Q1931" s="42">
        <v>300</v>
      </c>
      <c r="R1931" s="42">
        <v>530</v>
      </c>
      <c r="S1931" s="42">
        <v>0.18</v>
      </c>
      <c r="T1931" s="10">
        <f>IFERROR(ROUND((Q1931/R1931),2),"NA")</f>
        <v>0.56999999999999995</v>
      </c>
      <c r="U1931">
        <f t="shared" si="30"/>
        <v>54</v>
      </c>
    </row>
    <row r="1932" spans="7:21" x14ac:dyDescent="0.2">
      <c r="G1932" s="9" t="s">
        <v>1280</v>
      </c>
      <c r="H1932">
        <v>30</v>
      </c>
      <c r="M1932" s="1" t="s">
        <v>1280</v>
      </c>
      <c r="N1932" s="1">
        <v>0</v>
      </c>
      <c r="P1932" s="1" t="s">
        <v>1280</v>
      </c>
      <c r="Q1932" s="42">
        <v>30</v>
      </c>
      <c r="R1932" s="42">
        <v>0</v>
      </c>
      <c r="S1932" s="42">
        <v>0</v>
      </c>
      <c r="T1932" s="10" t="str">
        <f>IFERROR(ROUND((Q1932/R1932),2),"NA")</f>
        <v>NA</v>
      </c>
      <c r="U1932">
        <f t="shared" si="30"/>
        <v>0</v>
      </c>
    </row>
    <row r="1933" spans="7:21" x14ac:dyDescent="0.2">
      <c r="G1933" s="9" t="s">
        <v>1781</v>
      </c>
      <c r="H1933">
        <v>0</v>
      </c>
      <c r="M1933" s="1" t="s">
        <v>1781</v>
      </c>
      <c r="N1933" s="1">
        <v>700</v>
      </c>
      <c r="P1933" s="1" t="s">
        <v>1781</v>
      </c>
      <c r="Q1933" s="42">
        <v>0</v>
      </c>
      <c r="R1933" s="42">
        <v>700</v>
      </c>
      <c r="S1933" s="42">
        <v>0.15</v>
      </c>
      <c r="T1933" s="10">
        <f>IFERROR(ROUND((Q1933/R1933),2),"NA")</f>
        <v>0</v>
      </c>
      <c r="U1933">
        <f t="shared" si="30"/>
        <v>0</v>
      </c>
    </row>
    <row r="1934" spans="7:21" x14ac:dyDescent="0.2">
      <c r="G1934" s="9" t="s">
        <v>610</v>
      </c>
      <c r="H1934">
        <v>73</v>
      </c>
      <c r="M1934" s="1" t="s">
        <v>610</v>
      </c>
      <c r="N1934" s="1">
        <v>212</v>
      </c>
      <c r="P1934" s="1" t="s">
        <v>610</v>
      </c>
      <c r="Q1934" s="42">
        <v>73</v>
      </c>
      <c r="R1934" s="42">
        <v>212</v>
      </c>
      <c r="S1934" s="42">
        <v>0.34499999999999997</v>
      </c>
      <c r="T1934" s="10">
        <f>IFERROR(ROUND((Q1934/R1934),2),"NA")</f>
        <v>0.34</v>
      </c>
      <c r="U1934">
        <f t="shared" si="30"/>
        <v>25.184999999999999</v>
      </c>
    </row>
    <row r="1935" spans="7:21" x14ac:dyDescent="0.2">
      <c r="G1935" s="9" t="s">
        <v>2365</v>
      </c>
      <c r="H1935">
        <v>60</v>
      </c>
      <c r="M1935" s="1" t="s">
        <v>2365</v>
      </c>
      <c r="N1935" s="1">
        <v>11</v>
      </c>
      <c r="P1935" s="1" t="s">
        <v>2365</v>
      </c>
      <c r="Q1935" s="42">
        <v>60</v>
      </c>
      <c r="R1935" s="42">
        <v>11</v>
      </c>
      <c r="S1935" s="42">
        <v>0.2</v>
      </c>
      <c r="T1935" s="10">
        <f>IFERROR(ROUND((Q1935/R1935),2),"NA")</f>
        <v>5.45</v>
      </c>
      <c r="U1935">
        <f t="shared" si="30"/>
        <v>12</v>
      </c>
    </row>
    <row r="1936" spans="7:21" x14ac:dyDescent="0.2">
      <c r="G1936" s="9" t="s">
        <v>2685</v>
      </c>
      <c r="H1936">
        <v>80</v>
      </c>
      <c r="M1936" s="1" t="s">
        <v>2685</v>
      </c>
      <c r="N1936" s="1">
        <v>82</v>
      </c>
      <c r="P1936" s="1" t="s">
        <v>2685</v>
      </c>
      <c r="Q1936" s="42">
        <v>80</v>
      </c>
      <c r="R1936" s="42">
        <v>82</v>
      </c>
      <c r="S1936" s="42">
        <v>0.8</v>
      </c>
      <c r="T1936" s="10">
        <f>IFERROR(ROUND((Q1936/R1936),2),"NA")</f>
        <v>0.98</v>
      </c>
      <c r="U1936">
        <f t="shared" si="30"/>
        <v>64</v>
      </c>
    </row>
    <row r="1937" spans="7:21" x14ac:dyDescent="0.2">
      <c r="G1937" s="9" t="s">
        <v>385</v>
      </c>
      <c r="H1937">
        <v>11000</v>
      </c>
      <c r="M1937" s="1" t="s">
        <v>385</v>
      </c>
      <c r="N1937" s="1">
        <v>2600</v>
      </c>
      <c r="P1937" s="1" t="s">
        <v>385</v>
      </c>
      <c r="Q1937" s="42">
        <v>11000</v>
      </c>
      <c r="R1937" s="42">
        <v>2600</v>
      </c>
      <c r="S1937" s="42">
        <v>0.05</v>
      </c>
      <c r="T1937" s="10">
        <f>IFERROR(ROUND((Q1937/R1937),2),"NA")</f>
        <v>4.2300000000000004</v>
      </c>
      <c r="U1937">
        <f t="shared" si="30"/>
        <v>550</v>
      </c>
    </row>
    <row r="1938" spans="7:21" x14ac:dyDescent="0.2">
      <c r="G1938" s="9" t="s">
        <v>1332</v>
      </c>
      <c r="H1938">
        <v>300</v>
      </c>
      <c r="M1938" s="1" t="s">
        <v>1332</v>
      </c>
      <c r="N1938" s="1">
        <v>1300</v>
      </c>
      <c r="P1938" s="1" t="s">
        <v>1332</v>
      </c>
      <c r="Q1938" s="42">
        <v>300</v>
      </c>
      <c r="R1938" s="42">
        <v>1300</v>
      </c>
      <c r="S1938" s="42">
        <v>0</v>
      </c>
      <c r="T1938" s="10">
        <f>IFERROR(ROUND((Q1938/R1938),2),"NA")</f>
        <v>0.23</v>
      </c>
      <c r="U1938">
        <f t="shared" si="30"/>
        <v>0</v>
      </c>
    </row>
    <row r="1939" spans="7:21" x14ac:dyDescent="0.2">
      <c r="G1939" s="9" t="s">
        <v>577</v>
      </c>
      <c r="H1939">
        <v>225</v>
      </c>
      <c r="M1939" s="1" t="s">
        <v>577</v>
      </c>
      <c r="N1939" s="1">
        <v>632</v>
      </c>
      <c r="P1939" s="1" t="s">
        <v>577</v>
      </c>
      <c r="Q1939" s="42">
        <v>225</v>
      </c>
      <c r="R1939" s="42">
        <v>632</v>
      </c>
      <c r="S1939" s="42">
        <v>0.25</v>
      </c>
      <c r="T1939" s="10">
        <f>IFERROR(ROUND((Q1939/R1939),2),"NA")</f>
        <v>0.36</v>
      </c>
      <c r="U1939">
        <f t="shared" si="30"/>
        <v>56.25</v>
      </c>
    </row>
    <row r="1940" spans="7:21" x14ac:dyDescent="0.2">
      <c r="G1940" s="9" t="s">
        <v>908</v>
      </c>
      <c r="H1940">
        <v>250</v>
      </c>
      <c r="M1940" s="1" t="s">
        <v>908</v>
      </c>
      <c r="N1940" s="1">
        <v>0</v>
      </c>
      <c r="P1940" s="1" t="s">
        <v>908</v>
      </c>
      <c r="Q1940" s="42">
        <v>250</v>
      </c>
      <c r="R1940" s="42">
        <v>0</v>
      </c>
      <c r="S1940" s="42">
        <v>0</v>
      </c>
      <c r="T1940" s="10" t="str">
        <f>IFERROR(ROUND((Q1940/R1940),2),"NA")</f>
        <v>NA</v>
      </c>
      <c r="U1940">
        <f t="shared" si="30"/>
        <v>0</v>
      </c>
    </row>
    <row r="1941" spans="7:21" x14ac:dyDescent="0.2">
      <c r="G1941" s="9" t="s">
        <v>2836</v>
      </c>
      <c r="H1941">
        <v>30</v>
      </c>
      <c r="M1941" s="1" t="s">
        <v>2836</v>
      </c>
      <c r="N1941" s="1">
        <v>151</v>
      </c>
      <c r="P1941" s="1" t="s">
        <v>2836</v>
      </c>
      <c r="Q1941" s="42">
        <v>30</v>
      </c>
      <c r="R1941" s="42">
        <v>151</v>
      </c>
      <c r="S1941" s="42">
        <v>0.15</v>
      </c>
      <c r="T1941" s="10">
        <f>IFERROR(ROUND((Q1941/R1941),2),"NA")</f>
        <v>0.2</v>
      </c>
      <c r="U1941">
        <f t="shared" si="30"/>
        <v>4.5</v>
      </c>
    </row>
    <row r="1942" spans="7:21" x14ac:dyDescent="0.2">
      <c r="G1942" s="9" t="s">
        <v>1180</v>
      </c>
      <c r="H1942">
        <v>0</v>
      </c>
      <c r="M1942" s="1" t="s">
        <v>1180</v>
      </c>
      <c r="N1942" s="1">
        <v>278</v>
      </c>
      <c r="P1942" s="1" t="s">
        <v>1180</v>
      </c>
      <c r="Q1942" s="42">
        <v>0</v>
      </c>
      <c r="R1942" s="42">
        <v>278</v>
      </c>
      <c r="S1942" s="42">
        <v>0.05</v>
      </c>
      <c r="T1942" s="10">
        <f>IFERROR(ROUND((Q1942/R1942),2),"NA")</f>
        <v>0</v>
      </c>
      <c r="U1942">
        <f t="shared" si="30"/>
        <v>0</v>
      </c>
    </row>
    <row r="1943" spans="7:21" x14ac:dyDescent="0.2">
      <c r="G1943" s="9" t="s">
        <v>1641</v>
      </c>
      <c r="H1943">
        <v>0</v>
      </c>
      <c r="M1943" s="1" t="s">
        <v>1641</v>
      </c>
      <c r="N1943" s="1">
        <v>602</v>
      </c>
      <c r="P1943" s="1" t="s">
        <v>1641</v>
      </c>
      <c r="Q1943" s="42">
        <v>0</v>
      </c>
      <c r="R1943" s="42">
        <v>602</v>
      </c>
      <c r="S1943" s="42">
        <v>0.2</v>
      </c>
      <c r="T1943" s="10">
        <f>IFERROR(ROUND((Q1943/R1943),2),"NA")</f>
        <v>0</v>
      </c>
      <c r="U1943">
        <f t="shared" si="30"/>
        <v>0</v>
      </c>
    </row>
    <row r="1944" spans="7:21" x14ac:dyDescent="0.2">
      <c r="G1944" s="9" t="s">
        <v>2586</v>
      </c>
      <c r="H1944">
        <v>90</v>
      </c>
      <c r="M1944" s="1" t="s">
        <v>2586</v>
      </c>
      <c r="N1944" s="1">
        <v>103</v>
      </c>
      <c r="P1944" s="1" t="s">
        <v>2586</v>
      </c>
      <c r="Q1944" s="42">
        <v>90</v>
      </c>
      <c r="R1944" s="42">
        <v>103</v>
      </c>
      <c r="S1944" s="42">
        <v>0.9</v>
      </c>
      <c r="T1944" s="10">
        <f>IFERROR(ROUND((Q1944/R1944),2),"NA")</f>
        <v>0.87</v>
      </c>
      <c r="U1944">
        <f t="shared" si="30"/>
        <v>81</v>
      </c>
    </row>
    <row r="1945" spans="7:21" x14ac:dyDescent="0.2">
      <c r="G1945" s="9" t="s">
        <v>2597</v>
      </c>
      <c r="H1945">
        <v>120</v>
      </c>
      <c r="M1945" s="1" t="s">
        <v>2597</v>
      </c>
      <c r="N1945" s="1">
        <v>0</v>
      </c>
      <c r="P1945" s="1" t="s">
        <v>2597</v>
      </c>
      <c r="Q1945" s="42">
        <v>120</v>
      </c>
      <c r="R1945" s="42">
        <v>0</v>
      </c>
      <c r="S1945" s="42">
        <v>0.1</v>
      </c>
      <c r="T1945" s="10" t="str">
        <f>IFERROR(ROUND((Q1945/R1945),2),"NA")</f>
        <v>NA</v>
      </c>
      <c r="U1945">
        <f t="shared" si="30"/>
        <v>12</v>
      </c>
    </row>
    <row r="1946" spans="7:21" x14ac:dyDescent="0.2">
      <c r="G1946" s="9" t="s">
        <v>176</v>
      </c>
      <c r="H1946">
        <v>150</v>
      </c>
      <c r="M1946" s="1" t="s">
        <v>176</v>
      </c>
      <c r="N1946" s="1">
        <v>55</v>
      </c>
      <c r="P1946" s="1" t="s">
        <v>176</v>
      </c>
      <c r="Q1946" s="42">
        <v>150</v>
      </c>
      <c r="R1946" s="42">
        <v>55</v>
      </c>
      <c r="S1946" s="42">
        <v>0</v>
      </c>
      <c r="T1946" s="10">
        <f>IFERROR(ROUND((Q1946/R1946),2),"NA")</f>
        <v>2.73</v>
      </c>
      <c r="U1946">
        <f t="shared" si="30"/>
        <v>0</v>
      </c>
    </row>
    <row r="1947" spans="7:21" x14ac:dyDescent="0.2">
      <c r="G1947" s="9" t="s">
        <v>675</v>
      </c>
      <c r="H1947">
        <v>29</v>
      </c>
      <c r="M1947" s="1" t="s">
        <v>675</v>
      </c>
      <c r="N1947" s="1">
        <v>8</v>
      </c>
      <c r="P1947" s="1" t="s">
        <v>675</v>
      </c>
      <c r="Q1947" s="42">
        <v>29</v>
      </c>
      <c r="R1947" s="42">
        <v>8</v>
      </c>
      <c r="S1947" s="42">
        <v>0.14000000000000001</v>
      </c>
      <c r="T1947" s="10">
        <f>IFERROR(ROUND((Q1947/R1947),2),"NA")</f>
        <v>3.63</v>
      </c>
      <c r="U1947">
        <f t="shared" si="30"/>
        <v>4.0600000000000005</v>
      </c>
    </row>
    <row r="1948" spans="7:21" x14ac:dyDescent="0.2">
      <c r="G1948" s="9" t="s">
        <v>1188</v>
      </c>
      <c r="H1948">
        <v>140</v>
      </c>
      <c r="M1948" s="1" t="s">
        <v>1188</v>
      </c>
      <c r="N1948" s="1">
        <v>347</v>
      </c>
      <c r="P1948" s="1" t="s">
        <v>1188</v>
      </c>
      <c r="Q1948" s="42">
        <v>140</v>
      </c>
      <c r="R1948" s="42">
        <v>347</v>
      </c>
      <c r="S1948" s="42">
        <v>0</v>
      </c>
      <c r="T1948" s="10">
        <f>IFERROR(ROUND((Q1948/R1948),2),"NA")</f>
        <v>0.4</v>
      </c>
      <c r="U1948">
        <f t="shared" si="30"/>
        <v>0</v>
      </c>
    </row>
    <row r="1949" spans="7:21" x14ac:dyDescent="0.2">
      <c r="G1949" s="9" t="s">
        <v>1877</v>
      </c>
      <c r="H1949">
        <v>90</v>
      </c>
      <c r="M1949" s="1" t="s">
        <v>1877</v>
      </c>
      <c r="N1949" s="1">
        <v>347</v>
      </c>
      <c r="P1949" s="1" t="s">
        <v>1877</v>
      </c>
      <c r="Q1949" s="42">
        <v>90</v>
      </c>
      <c r="R1949" s="42">
        <v>347</v>
      </c>
      <c r="S1949" s="42">
        <v>0</v>
      </c>
      <c r="T1949" s="10">
        <f>IFERROR(ROUND((Q1949/R1949),2),"NA")</f>
        <v>0.26</v>
      </c>
      <c r="U1949">
        <f t="shared" si="30"/>
        <v>0</v>
      </c>
    </row>
    <row r="1950" spans="7:21" x14ac:dyDescent="0.2">
      <c r="G1950" s="9" t="s">
        <v>2522</v>
      </c>
      <c r="H1950">
        <v>92</v>
      </c>
      <c r="M1950" s="1" t="s">
        <v>2522</v>
      </c>
      <c r="N1950" s="1">
        <v>190</v>
      </c>
      <c r="P1950" s="1" t="s">
        <v>2522</v>
      </c>
      <c r="Q1950" s="42">
        <v>92</v>
      </c>
      <c r="R1950" s="42">
        <v>190</v>
      </c>
      <c r="S1950" s="42">
        <v>0.33</v>
      </c>
      <c r="T1950" s="10">
        <f>IFERROR(ROUND((Q1950/R1950),2),"NA")</f>
        <v>0.48</v>
      </c>
      <c r="U1950">
        <f t="shared" si="30"/>
        <v>30.360000000000003</v>
      </c>
    </row>
    <row r="1951" spans="7:21" x14ac:dyDescent="0.2">
      <c r="G1951" s="9" t="s">
        <v>1515</v>
      </c>
      <c r="H1951">
        <v>0</v>
      </c>
      <c r="M1951" s="1" t="s">
        <v>1515</v>
      </c>
      <c r="N1951" s="1">
        <v>23</v>
      </c>
      <c r="P1951" s="1" t="s">
        <v>1515</v>
      </c>
      <c r="Q1951" s="42">
        <v>0</v>
      </c>
      <c r="R1951" s="42">
        <v>23</v>
      </c>
      <c r="S1951" s="42">
        <v>0.09</v>
      </c>
      <c r="T1951" s="10">
        <f>IFERROR(ROUND((Q1951/R1951),2),"NA")</f>
        <v>0</v>
      </c>
      <c r="U1951">
        <f t="shared" si="30"/>
        <v>0</v>
      </c>
    </row>
    <row r="1952" spans="7:21" x14ac:dyDescent="0.2">
      <c r="G1952" s="9" t="s">
        <v>1113</v>
      </c>
      <c r="H1952">
        <v>90</v>
      </c>
      <c r="M1952" s="1" t="s">
        <v>1113</v>
      </c>
      <c r="N1952" s="1">
        <v>0</v>
      </c>
      <c r="P1952" s="1" t="s">
        <v>1113</v>
      </c>
      <c r="Q1952" s="42">
        <v>90</v>
      </c>
      <c r="R1952" s="42">
        <v>0</v>
      </c>
      <c r="S1952" s="42">
        <v>1</v>
      </c>
      <c r="T1952" s="10" t="str">
        <f>IFERROR(ROUND((Q1952/R1952),2),"NA")</f>
        <v>NA</v>
      </c>
      <c r="U1952">
        <f t="shared" si="30"/>
        <v>90</v>
      </c>
    </row>
    <row r="1953" spans="7:21" x14ac:dyDescent="0.2">
      <c r="G1953" s="9" t="s">
        <v>2079</v>
      </c>
      <c r="H1953">
        <v>350</v>
      </c>
      <c r="M1953" s="1" t="s">
        <v>2079</v>
      </c>
      <c r="N1953" s="1">
        <v>17200</v>
      </c>
      <c r="P1953" s="1" t="s">
        <v>2079</v>
      </c>
      <c r="Q1953" s="42">
        <v>350</v>
      </c>
      <c r="R1953" s="42">
        <v>17200</v>
      </c>
      <c r="S1953" s="42">
        <v>0</v>
      </c>
      <c r="T1953" s="10">
        <f>IFERROR(ROUND((Q1953/R1953),2),"NA")</f>
        <v>0.02</v>
      </c>
      <c r="U1953">
        <f t="shared" si="30"/>
        <v>0</v>
      </c>
    </row>
    <row r="1954" spans="7:21" x14ac:dyDescent="0.2">
      <c r="G1954" s="9" t="s">
        <v>1228</v>
      </c>
      <c r="H1954">
        <v>3480</v>
      </c>
      <c r="M1954" s="1" t="s">
        <v>1228</v>
      </c>
      <c r="N1954" s="1">
        <v>0</v>
      </c>
      <c r="P1954" s="1" t="s">
        <v>1228</v>
      </c>
      <c r="Q1954" s="42">
        <v>3480</v>
      </c>
      <c r="R1954" s="42">
        <v>0</v>
      </c>
      <c r="S1954" s="42">
        <v>0.08</v>
      </c>
      <c r="T1954" s="10" t="str">
        <f>IFERROR(ROUND((Q1954/R1954),2),"NA")</f>
        <v>NA</v>
      </c>
      <c r="U1954">
        <f t="shared" si="30"/>
        <v>278.40000000000003</v>
      </c>
    </row>
    <row r="1955" spans="7:21" x14ac:dyDescent="0.2">
      <c r="G1955" s="9" t="s">
        <v>2289</v>
      </c>
      <c r="H1955">
        <v>0</v>
      </c>
      <c r="M1955" s="1" t="s">
        <v>2289</v>
      </c>
      <c r="N1955" s="1">
        <v>7</v>
      </c>
      <c r="P1955" s="1" t="s">
        <v>2289</v>
      </c>
      <c r="Q1955" s="42">
        <v>0</v>
      </c>
      <c r="R1955" s="42">
        <v>7</v>
      </c>
      <c r="S1955" s="42">
        <v>0</v>
      </c>
      <c r="T1955" s="10">
        <f>IFERROR(ROUND((Q1955/R1955),2),"NA")</f>
        <v>0</v>
      </c>
      <c r="U1955">
        <f t="shared" si="30"/>
        <v>0</v>
      </c>
    </row>
    <row r="1956" spans="7:21" x14ac:dyDescent="0.2">
      <c r="G1956" s="9" t="s">
        <v>2442</v>
      </c>
      <c r="H1956">
        <v>32</v>
      </c>
      <c r="M1956" s="1" t="s">
        <v>2442</v>
      </c>
      <c r="N1956" s="1">
        <v>37</v>
      </c>
      <c r="P1956" s="1" t="s">
        <v>2442</v>
      </c>
      <c r="Q1956" s="42">
        <v>32</v>
      </c>
      <c r="R1956" s="42">
        <v>37</v>
      </c>
      <c r="S1956" s="42">
        <v>0</v>
      </c>
      <c r="T1956" s="10">
        <f>IFERROR(ROUND((Q1956/R1956),2),"NA")</f>
        <v>0.86</v>
      </c>
      <c r="U1956">
        <f t="shared" si="30"/>
        <v>0</v>
      </c>
    </row>
    <row r="1957" spans="7:21" x14ac:dyDescent="0.2">
      <c r="G1957" s="9" t="s">
        <v>800</v>
      </c>
      <c r="H1957">
        <v>512</v>
      </c>
      <c r="M1957" s="1" t="s">
        <v>800</v>
      </c>
      <c r="N1957" s="1">
        <v>166</v>
      </c>
      <c r="P1957" s="1" t="s">
        <v>800</v>
      </c>
      <c r="Q1957" s="42">
        <v>512</v>
      </c>
      <c r="R1957" s="42">
        <v>166</v>
      </c>
      <c r="S1957" s="42">
        <v>0.12</v>
      </c>
      <c r="T1957" s="10">
        <f>IFERROR(ROUND((Q1957/R1957),2),"NA")</f>
        <v>3.08</v>
      </c>
      <c r="U1957">
        <f t="shared" si="30"/>
        <v>61.44</v>
      </c>
    </row>
    <row r="1958" spans="7:21" x14ac:dyDescent="0.2">
      <c r="G1958" s="9" t="s">
        <v>395</v>
      </c>
      <c r="H1958">
        <v>15</v>
      </c>
      <c r="M1958" s="1" t="s">
        <v>395</v>
      </c>
      <c r="N1958" s="1">
        <v>28</v>
      </c>
      <c r="P1958" s="1" t="s">
        <v>395</v>
      </c>
      <c r="Q1958" s="42">
        <v>15</v>
      </c>
      <c r="R1958" s="42">
        <v>28</v>
      </c>
      <c r="S1958" s="42">
        <v>0</v>
      </c>
      <c r="T1958" s="10">
        <f>IFERROR(ROUND((Q1958/R1958),2),"NA")</f>
        <v>0.54</v>
      </c>
      <c r="U1958">
        <f t="shared" si="30"/>
        <v>0</v>
      </c>
    </row>
    <row r="1959" spans="7:21" x14ac:dyDescent="0.2">
      <c r="G1959" s="9" t="s">
        <v>2161</v>
      </c>
      <c r="H1959">
        <v>90</v>
      </c>
      <c r="M1959" s="1" t="s">
        <v>2161</v>
      </c>
      <c r="N1959" s="1">
        <v>107</v>
      </c>
      <c r="P1959" s="1" t="s">
        <v>2161</v>
      </c>
      <c r="Q1959" s="42">
        <v>90</v>
      </c>
      <c r="R1959" s="42">
        <v>107</v>
      </c>
      <c r="S1959" s="42">
        <v>0</v>
      </c>
      <c r="T1959" s="10">
        <f>IFERROR(ROUND((Q1959/R1959),2),"NA")</f>
        <v>0.84</v>
      </c>
      <c r="U1959">
        <f t="shared" si="30"/>
        <v>0</v>
      </c>
    </row>
    <row r="1960" spans="7:21" x14ac:dyDescent="0.2">
      <c r="G1960" s="9" t="s">
        <v>83</v>
      </c>
      <c r="H1960">
        <v>16</v>
      </c>
      <c r="M1960" s="1" t="s">
        <v>83</v>
      </c>
      <c r="N1960" s="1">
        <v>0</v>
      </c>
      <c r="P1960" s="1" t="s">
        <v>83</v>
      </c>
      <c r="Q1960" s="42">
        <v>16</v>
      </c>
      <c r="R1960" s="42">
        <v>0</v>
      </c>
      <c r="S1960" s="42">
        <v>0.185</v>
      </c>
      <c r="T1960" s="10" t="str">
        <f>IFERROR(ROUND((Q1960/R1960),2),"NA")</f>
        <v>NA</v>
      </c>
      <c r="U1960">
        <f t="shared" si="30"/>
        <v>2.96</v>
      </c>
    </row>
    <row r="1961" spans="7:21" x14ac:dyDescent="0.2">
      <c r="G1961" s="9" t="s">
        <v>2667</v>
      </c>
      <c r="H1961">
        <v>50</v>
      </c>
      <c r="M1961" s="1" t="s">
        <v>2667</v>
      </c>
      <c r="N1961" s="1">
        <v>283</v>
      </c>
      <c r="P1961" s="1" t="s">
        <v>2667</v>
      </c>
      <c r="Q1961" s="42">
        <v>50</v>
      </c>
      <c r="R1961" s="42">
        <v>283</v>
      </c>
      <c r="S1961" s="42">
        <v>0.1</v>
      </c>
      <c r="T1961" s="10">
        <f>IFERROR(ROUND((Q1961/R1961),2),"NA")</f>
        <v>0.18</v>
      </c>
      <c r="U1961">
        <f t="shared" si="30"/>
        <v>5</v>
      </c>
    </row>
    <row r="1962" spans="7:21" x14ac:dyDescent="0.2">
      <c r="G1962" s="9" t="s">
        <v>967</v>
      </c>
      <c r="H1962">
        <v>350</v>
      </c>
      <c r="M1962" s="1" t="s">
        <v>967</v>
      </c>
      <c r="N1962" s="1">
        <v>612</v>
      </c>
      <c r="P1962" s="1" t="s">
        <v>967</v>
      </c>
      <c r="Q1962" s="42">
        <v>350</v>
      </c>
      <c r="R1962" s="42">
        <v>612</v>
      </c>
      <c r="S1962" s="42">
        <v>0</v>
      </c>
      <c r="T1962" s="10">
        <f>IFERROR(ROUND((Q1962/R1962),2),"NA")</f>
        <v>0.56999999999999995</v>
      </c>
      <c r="U1962">
        <f t="shared" si="30"/>
        <v>0</v>
      </c>
    </row>
    <row r="1963" spans="7:21" x14ac:dyDescent="0.2">
      <c r="G1963" s="9" t="s">
        <v>2221</v>
      </c>
      <c r="H1963">
        <v>28</v>
      </c>
      <c r="M1963" s="1" t="s">
        <v>2221</v>
      </c>
      <c r="N1963" s="1">
        <v>766</v>
      </c>
      <c r="P1963" s="1" t="s">
        <v>2221</v>
      </c>
      <c r="Q1963" s="42">
        <v>28</v>
      </c>
      <c r="R1963" s="42">
        <v>766</v>
      </c>
      <c r="S1963" s="42">
        <v>0</v>
      </c>
      <c r="T1963" s="10">
        <f>IFERROR(ROUND((Q1963/R1963),2),"NA")</f>
        <v>0.04</v>
      </c>
      <c r="U1963">
        <f t="shared" si="30"/>
        <v>0</v>
      </c>
    </row>
    <row r="1964" spans="7:21" x14ac:dyDescent="0.2">
      <c r="G1964" s="9" t="s">
        <v>1872</v>
      </c>
      <c r="H1964">
        <v>750</v>
      </c>
      <c r="M1964" s="1" t="s">
        <v>1872</v>
      </c>
      <c r="N1964" s="1">
        <v>1582</v>
      </c>
      <c r="P1964" s="1" t="s">
        <v>1872</v>
      </c>
      <c r="Q1964" s="42">
        <v>750</v>
      </c>
      <c r="R1964" s="42">
        <v>1582</v>
      </c>
      <c r="S1964" s="42">
        <v>0.13</v>
      </c>
      <c r="T1964" s="10">
        <f>IFERROR(ROUND((Q1964/R1964),2),"NA")</f>
        <v>0.47</v>
      </c>
      <c r="U1964">
        <f t="shared" si="30"/>
        <v>97.5</v>
      </c>
    </row>
    <row r="1965" spans="7:21" x14ac:dyDescent="0.2">
      <c r="G1965" s="9" t="s">
        <v>2449</v>
      </c>
      <c r="H1965">
        <v>300</v>
      </c>
      <c r="M1965" s="1" t="s">
        <v>2449</v>
      </c>
      <c r="N1965" s="1">
        <v>3</v>
      </c>
      <c r="P1965" s="1" t="s">
        <v>2449</v>
      </c>
      <c r="Q1965" s="42">
        <v>300</v>
      </c>
      <c r="R1965" s="42">
        <v>3</v>
      </c>
      <c r="S1965" s="42">
        <v>1</v>
      </c>
      <c r="T1965" s="10">
        <f>IFERROR(ROUND((Q1965/R1965),2),"NA")</f>
        <v>100</v>
      </c>
      <c r="U1965">
        <f t="shared" si="30"/>
        <v>300</v>
      </c>
    </row>
    <row r="1966" spans="7:21" x14ac:dyDescent="0.2">
      <c r="G1966" s="9" t="s">
        <v>1891</v>
      </c>
      <c r="H1966">
        <v>0</v>
      </c>
      <c r="M1966" s="1" t="s">
        <v>1891</v>
      </c>
      <c r="N1966" s="1">
        <v>200</v>
      </c>
      <c r="P1966" s="1" t="s">
        <v>1891</v>
      </c>
      <c r="Q1966" s="42">
        <v>0</v>
      </c>
      <c r="R1966" s="42">
        <v>200</v>
      </c>
      <c r="S1966" s="42">
        <v>0.1</v>
      </c>
      <c r="T1966" s="10">
        <f>IFERROR(ROUND((Q1966/R1966),2),"NA")</f>
        <v>0</v>
      </c>
      <c r="U1966">
        <f t="shared" si="30"/>
        <v>0</v>
      </c>
    </row>
    <row r="1967" spans="7:21" x14ac:dyDescent="0.2">
      <c r="G1967" s="9" t="s">
        <v>2270</v>
      </c>
      <c r="H1967">
        <v>27</v>
      </c>
      <c r="M1967" s="1" t="s">
        <v>2270</v>
      </c>
      <c r="N1967" s="1">
        <v>69</v>
      </c>
      <c r="P1967" s="1" t="s">
        <v>2270</v>
      </c>
      <c r="Q1967" s="42">
        <v>27</v>
      </c>
      <c r="R1967" s="42">
        <v>69</v>
      </c>
      <c r="S1967" s="42">
        <v>0.12</v>
      </c>
      <c r="T1967" s="10">
        <f>IFERROR(ROUND((Q1967/R1967),2),"NA")</f>
        <v>0.39</v>
      </c>
      <c r="U1967">
        <f t="shared" si="30"/>
        <v>3.2399999999999998</v>
      </c>
    </row>
    <row r="1968" spans="7:21" x14ac:dyDescent="0.2">
      <c r="G1968" s="9" t="s">
        <v>682</v>
      </c>
      <c r="H1968">
        <v>0</v>
      </c>
      <c r="M1968" s="1" t="s">
        <v>682</v>
      </c>
      <c r="N1968" s="1">
        <v>304</v>
      </c>
      <c r="P1968" s="1" t="s">
        <v>682</v>
      </c>
      <c r="Q1968" s="42">
        <v>0</v>
      </c>
      <c r="R1968" s="42">
        <v>304</v>
      </c>
      <c r="S1968" s="42">
        <v>0.14000000000000001</v>
      </c>
      <c r="T1968" s="10">
        <f>IFERROR(ROUND((Q1968/R1968),2),"NA")</f>
        <v>0</v>
      </c>
      <c r="U1968">
        <f t="shared" si="30"/>
        <v>0</v>
      </c>
    </row>
    <row r="1969" spans="7:21" x14ac:dyDescent="0.2">
      <c r="G1969" s="9" t="s">
        <v>824</v>
      </c>
      <c r="H1969">
        <v>84</v>
      </c>
      <c r="M1969" s="1" t="s">
        <v>824</v>
      </c>
      <c r="N1969" s="1">
        <v>78</v>
      </c>
      <c r="P1969" s="1" t="s">
        <v>824</v>
      </c>
      <c r="Q1969" s="42">
        <v>84</v>
      </c>
      <c r="R1969" s="42">
        <v>78</v>
      </c>
      <c r="S1969" s="42">
        <v>0.43333333333333335</v>
      </c>
      <c r="T1969" s="10">
        <f>IFERROR(ROUND((Q1969/R1969),2),"NA")</f>
        <v>1.08</v>
      </c>
      <c r="U1969">
        <f t="shared" si="30"/>
        <v>36.4</v>
      </c>
    </row>
    <row r="1970" spans="7:21" x14ac:dyDescent="0.2">
      <c r="G1970" s="9" t="s">
        <v>767</v>
      </c>
      <c r="H1970">
        <v>0</v>
      </c>
      <c r="M1970" s="1" t="s">
        <v>767</v>
      </c>
      <c r="N1970" s="1">
        <v>2600</v>
      </c>
      <c r="P1970" s="1" t="s">
        <v>767</v>
      </c>
      <c r="Q1970" s="42">
        <v>0</v>
      </c>
      <c r="R1970" s="42">
        <v>2600</v>
      </c>
      <c r="S1970" s="42">
        <v>0</v>
      </c>
      <c r="T1970" s="10">
        <f>IFERROR(ROUND((Q1970/R1970),2),"NA")</f>
        <v>0</v>
      </c>
      <c r="U1970">
        <f t="shared" si="30"/>
        <v>0</v>
      </c>
    </row>
    <row r="1971" spans="7:21" x14ac:dyDescent="0.2">
      <c r="G1971" s="9" t="s">
        <v>2855</v>
      </c>
      <c r="H1971">
        <v>17</v>
      </c>
      <c r="M1971" s="1" t="s">
        <v>2855</v>
      </c>
      <c r="N1971" s="1">
        <v>50</v>
      </c>
      <c r="P1971" s="1" t="s">
        <v>2855</v>
      </c>
      <c r="Q1971" s="42">
        <v>17</v>
      </c>
      <c r="R1971" s="42">
        <v>50</v>
      </c>
      <c r="S1971" s="42">
        <v>0.2</v>
      </c>
      <c r="T1971" s="10">
        <f>IFERROR(ROUND((Q1971/R1971),2),"NA")</f>
        <v>0.34</v>
      </c>
      <c r="U1971">
        <f t="shared" si="30"/>
        <v>3.4000000000000004</v>
      </c>
    </row>
    <row r="1972" spans="7:21" x14ac:dyDescent="0.2">
      <c r="G1972" s="9" t="s">
        <v>734</v>
      </c>
      <c r="H1972">
        <v>0</v>
      </c>
      <c r="M1972" s="1" t="s">
        <v>734</v>
      </c>
      <c r="N1972" s="1">
        <v>46</v>
      </c>
      <c r="P1972" s="1" t="s">
        <v>734</v>
      </c>
      <c r="Q1972" s="42">
        <v>0</v>
      </c>
      <c r="R1972" s="42">
        <v>46</v>
      </c>
      <c r="S1972" s="42">
        <v>0</v>
      </c>
      <c r="T1972" s="10">
        <f>IFERROR(ROUND((Q1972/R1972),2),"NA")</f>
        <v>0</v>
      </c>
      <c r="U1972">
        <f t="shared" si="30"/>
        <v>0</v>
      </c>
    </row>
    <row r="1973" spans="7:21" x14ac:dyDescent="0.2">
      <c r="G1973" s="9" t="s">
        <v>1046</v>
      </c>
      <c r="H1973">
        <v>0</v>
      </c>
      <c r="M1973" s="1" t="s">
        <v>1046</v>
      </c>
      <c r="N1973" s="1">
        <v>696</v>
      </c>
      <c r="P1973" s="1" t="s">
        <v>1046</v>
      </c>
      <c r="Q1973" s="42">
        <v>0</v>
      </c>
      <c r="R1973" s="42">
        <v>696</v>
      </c>
      <c r="S1973" s="42">
        <v>0.05</v>
      </c>
      <c r="T1973" s="10">
        <f>IFERROR(ROUND((Q1973/R1973),2),"NA")</f>
        <v>0</v>
      </c>
      <c r="U1973">
        <f t="shared" si="30"/>
        <v>0</v>
      </c>
    </row>
    <row r="1974" spans="7:21" x14ac:dyDescent="0.2">
      <c r="G1974" s="9" t="s">
        <v>2943</v>
      </c>
      <c r="H1974">
        <v>0</v>
      </c>
      <c r="M1974" s="1" t="s">
        <v>2943</v>
      </c>
      <c r="N1974" s="1">
        <v>10.1</v>
      </c>
      <c r="P1974" s="1" t="s">
        <v>2943</v>
      </c>
      <c r="Q1974" s="42">
        <v>0</v>
      </c>
      <c r="R1974" s="42">
        <v>10.1</v>
      </c>
      <c r="S1974" s="42">
        <v>1</v>
      </c>
      <c r="T1974" s="10">
        <f>IFERROR(ROUND((Q1974/R1974),2),"NA")</f>
        <v>0</v>
      </c>
      <c r="U1974">
        <f t="shared" si="30"/>
        <v>0</v>
      </c>
    </row>
    <row r="1975" spans="7:21" x14ac:dyDescent="0.2">
      <c r="G1975" s="9" t="s">
        <v>1367</v>
      </c>
      <c r="H1975">
        <v>221</v>
      </c>
      <c r="M1975" s="1" t="s">
        <v>1367</v>
      </c>
      <c r="N1975" s="1">
        <v>1100</v>
      </c>
      <c r="P1975" s="1" t="s">
        <v>1367</v>
      </c>
      <c r="Q1975" s="42">
        <v>221</v>
      </c>
      <c r="R1975" s="42">
        <v>1100</v>
      </c>
      <c r="S1975" s="42">
        <v>0.08</v>
      </c>
      <c r="T1975" s="10">
        <f>IFERROR(ROUND((Q1975/R1975),2),"NA")</f>
        <v>0.2</v>
      </c>
      <c r="U1975">
        <f t="shared" si="30"/>
        <v>17.68</v>
      </c>
    </row>
    <row r="1976" spans="7:21" x14ac:dyDescent="0.2">
      <c r="G1976" s="9" t="s">
        <v>2478</v>
      </c>
      <c r="H1976">
        <v>0</v>
      </c>
      <c r="M1976" s="1" t="s">
        <v>2478</v>
      </c>
      <c r="N1976" s="1">
        <v>301</v>
      </c>
      <c r="P1976" s="1" t="s">
        <v>2478</v>
      </c>
      <c r="Q1976" s="42">
        <v>0</v>
      </c>
      <c r="R1976" s="42">
        <v>301</v>
      </c>
      <c r="S1976" s="42">
        <v>0.2</v>
      </c>
      <c r="T1976" s="10">
        <f>IFERROR(ROUND((Q1976/R1976),2),"NA")</f>
        <v>0</v>
      </c>
      <c r="U1976">
        <f t="shared" si="30"/>
        <v>0</v>
      </c>
    </row>
    <row r="1977" spans="7:21" x14ac:dyDescent="0.2">
      <c r="G1977" s="9" t="s">
        <v>1484</v>
      </c>
      <c r="H1977">
        <v>21</v>
      </c>
      <c r="M1977" s="1" t="s">
        <v>1484</v>
      </c>
      <c r="N1977" s="1">
        <v>45</v>
      </c>
      <c r="P1977" s="1" t="s">
        <v>1484</v>
      </c>
      <c r="Q1977" s="42">
        <v>21</v>
      </c>
      <c r="R1977" s="42">
        <v>45</v>
      </c>
      <c r="S1977" s="42">
        <v>0.25</v>
      </c>
      <c r="T1977" s="10">
        <f>IFERROR(ROUND((Q1977/R1977),2),"NA")</f>
        <v>0.47</v>
      </c>
      <c r="U1977">
        <f t="shared" si="30"/>
        <v>5.25</v>
      </c>
    </row>
    <row r="1978" spans="7:21" x14ac:dyDescent="0.2">
      <c r="G1978" s="9" t="s">
        <v>1714</v>
      </c>
      <c r="H1978">
        <v>150</v>
      </c>
      <c r="M1978" s="1" t="s">
        <v>1714</v>
      </c>
      <c r="N1978" s="1">
        <v>0</v>
      </c>
      <c r="P1978" s="1" t="s">
        <v>1714</v>
      </c>
      <c r="Q1978" s="42">
        <v>150</v>
      </c>
      <c r="R1978" s="42">
        <v>0</v>
      </c>
      <c r="S1978" s="42">
        <v>0.36</v>
      </c>
      <c r="T1978" s="10" t="str">
        <f>IFERROR(ROUND((Q1978/R1978),2),"NA")</f>
        <v>NA</v>
      </c>
      <c r="U1978">
        <f t="shared" si="30"/>
        <v>54</v>
      </c>
    </row>
    <row r="1979" spans="7:21" x14ac:dyDescent="0.2">
      <c r="G1979" s="9" t="s">
        <v>485</v>
      </c>
      <c r="H1979">
        <v>901</v>
      </c>
      <c r="M1979" s="1" t="s">
        <v>485</v>
      </c>
      <c r="N1979" s="1">
        <v>5322</v>
      </c>
      <c r="P1979" s="1" t="s">
        <v>485</v>
      </c>
      <c r="Q1979" s="42">
        <v>901</v>
      </c>
      <c r="R1979" s="42">
        <v>5322</v>
      </c>
      <c r="S1979" s="42">
        <v>0.19999999999999998</v>
      </c>
      <c r="T1979" s="10">
        <f>IFERROR(ROUND((Q1979/R1979),2),"NA")</f>
        <v>0.17</v>
      </c>
      <c r="U1979">
        <f t="shared" si="30"/>
        <v>180.2</v>
      </c>
    </row>
    <row r="1980" spans="7:21" x14ac:dyDescent="0.2">
      <c r="G1980" s="9" t="s">
        <v>1439</v>
      </c>
      <c r="H1980">
        <v>0</v>
      </c>
      <c r="M1980" s="1" t="s">
        <v>1439</v>
      </c>
      <c r="N1980" s="1">
        <v>60</v>
      </c>
      <c r="P1980" s="1" t="s">
        <v>1439</v>
      </c>
      <c r="Q1980" s="42">
        <v>0</v>
      </c>
      <c r="R1980" s="42">
        <v>60</v>
      </c>
      <c r="S1980" s="42">
        <v>0</v>
      </c>
      <c r="T1980" s="10">
        <f>IFERROR(ROUND((Q1980/R1980),2),"NA")</f>
        <v>0</v>
      </c>
      <c r="U1980">
        <f t="shared" si="30"/>
        <v>0</v>
      </c>
    </row>
    <row r="1981" spans="7:21" x14ac:dyDescent="0.2">
      <c r="G1981" s="9" t="s">
        <v>2577</v>
      </c>
      <c r="H1981">
        <v>18</v>
      </c>
      <c r="M1981" s="1" t="s">
        <v>2577</v>
      </c>
      <c r="N1981" s="1">
        <v>38</v>
      </c>
      <c r="P1981" s="1" t="s">
        <v>2577</v>
      </c>
      <c r="Q1981" s="42">
        <v>18</v>
      </c>
      <c r="R1981" s="42">
        <v>38</v>
      </c>
      <c r="S1981" s="42">
        <v>0</v>
      </c>
      <c r="T1981" s="10">
        <f>IFERROR(ROUND((Q1981/R1981),2),"NA")</f>
        <v>0.47</v>
      </c>
      <c r="U1981">
        <f t="shared" si="30"/>
        <v>0</v>
      </c>
    </row>
    <row r="1982" spans="7:21" x14ac:dyDescent="0.2">
      <c r="G1982" s="9" t="s">
        <v>2401</v>
      </c>
      <c r="H1982">
        <v>29</v>
      </c>
      <c r="M1982" s="1" t="s">
        <v>2401</v>
      </c>
      <c r="N1982" s="1">
        <v>28</v>
      </c>
      <c r="P1982" s="1" t="s">
        <v>2401</v>
      </c>
      <c r="Q1982" s="42">
        <v>29</v>
      </c>
      <c r="R1982" s="42">
        <v>28</v>
      </c>
      <c r="S1982" s="42">
        <v>0</v>
      </c>
      <c r="T1982" s="10">
        <f>IFERROR(ROUND((Q1982/R1982),2),"NA")</f>
        <v>1.04</v>
      </c>
      <c r="U1982">
        <f t="shared" si="30"/>
        <v>0</v>
      </c>
    </row>
    <row r="1983" spans="7:21" x14ac:dyDescent="0.2">
      <c r="G1983" s="9" t="s">
        <v>2176</v>
      </c>
      <c r="H1983">
        <v>43</v>
      </c>
      <c r="M1983" s="1" t="s">
        <v>2176</v>
      </c>
      <c r="N1983" s="1">
        <v>58</v>
      </c>
      <c r="P1983" s="1" t="s">
        <v>2176</v>
      </c>
      <c r="Q1983" s="42">
        <v>43</v>
      </c>
      <c r="R1983" s="42">
        <v>58</v>
      </c>
      <c r="S1983" s="42">
        <v>0</v>
      </c>
      <c r="T1983" s="10">
        <f>IFERROR(ROUND((Q1983/R1983),2),"NA")</f>
        <v>0.74</v>
      </c>
      <c r="U1983">
        <f t="shared" si="30"/>
        <v>0</v>
      </c>
    </row>
    <row r="1984" spans="7:21" x14ac:dyDescent="0.2">
      <c r="G1984" s="9" t="s">
        <v>2178</v>
      </c>
      <c r="H1984">
        <v>22</v>
      </c>
      <c r="M1984" s="1" t="s">
        <v>2178</v>
      </c>
      <c r="N1984" s="1">
        <v>11</v>
      </c>
      <c r="P1984" s="1" t="s">
        <v>2178</v>
      </c>
      <c r="Q1984" s="42">
        <v>22</v>
      </c>
      <c r="R1984" s="42">
        <v>11</v>
      </c>
      <c r="S1984" s="42">
        <v>0</v>
      </c>
      <c r="T1984" s="10">
        <f>IFERROR(ROUND((Q1984/R1984),2),"NA")</f>
        <v>2</v>
      </c>
      <c r="U1984">
        <f t="shared" si="30"/>
        <v>0</v>
      </c>
    </row>
    <row r="1985" spans="7:21" x14ac:dyDescent="0.2">
      <c r="G1985" s="9" t="s">
        <v>672</v>
      </c>
      <c r="H1985">
        <v>0</v>
      </c>
      <c r="M1985" s="1" t="s">
        <v>672</v>
      </c>
      <c r="N1985" s="1">
        <v>2016</v>
      </c>
      <c r="P1985" s="1" t="s">
        <v>672</v>
      </c>
      <c r="Q1985" s="42">
        <v>0</v>
      </c>
      <c r="R1985" s="42">
        <v>2016</v>
      </c>
      <c r="S1985" s="42">
        <v>0.54666666666666675</v>
      </c>
      <c r="T1985" s="10">
        <f>IFERROR(ROUND((Q1985/R1985),2),"NA")</f>
        <v>0</v>
      </c>
      <c r="U1985">
        <f t="shared" si="30"/>
        <v>0</v>
      </c>
    </row>
    <row r="1986" spans="7:21" x14ac:dyDescent="0.2">
      <c r="G1986" s="9" t="s">
        <v>807</v>
      </c>
      <c r="H1986">
        <v>59</v>
      </c>
      <c r="M1986" s="1" t="s">
        <v>807</v>
      </c>
      <c r="N1986" s="1">
        <v>672</v>
      </c>
      <c r="P1986" s="1" t="s">
        <v>807</v>
      </c>
      <c r="Q1986" s="42">
        <v>59</v>
      </c>
      <c r="R1986" s="42">
        <v>672</v>
      </c>
      <c r="S1986" s="42">
        <v>0</v>
      </c>
      <c r="T1986" s="10">
        <f>IFERROR(ROUND((Q1986/R1986),2),"NA")</f>
        <v>0.09</v>
      </c>
      <c r="U1986">
        <f t="shared" si="30"/>
        <v>0</v>
      </c>
    </row>
    <row r="1987" spans="7:21" x14ac:dyDescent="0.2">
      <c r="G1987" s="9" t="s">
        <v>2096</v>
      </c>
      <c r="H1987">
        <v>0</v>
      </c>
      <c r="M1987" s="1" t="s">
        <v>2096</v>
      </c>
      <c r="N1987" s="1">
        <v>330</v>
      </c>
      <c r="P1987" s="1" t="s">
        <v>2096</v>
      </c>
      <c r="Q1987" s="42">
        <v>0</v>
      </c>
      <c r="R1987" s="42">
        <v>330</v>
      </c>
      <c r="S1987" s="42">
        <v>7.0000000000000007E-2</v>
      </c>
      <c r="T1987" s="10">
        <f>IFERROR(ROUND((Q1987/R1987),2),"NA")</f>
        <v>0</v>
      </c>
      <c r="U1987">
        <f t="shared" si="30"/>
        <v>0</v>
      </c>
    </row>
    <row r="1988" spans="7:21" x14ac:dyDescent="0.2">
      <c r="G1988" s="9" t="s">
        <v>1923</v>
      </c>
      <c r="H1988">
        <v>60</v>
      </c>
      <c r="M1988" s="1" t="s">
        <v>1923</v>
      </c>
      <c r="N1988" s="1">
        <v>154</v>
      </c>
      <c r="P1988" s="1" t="s">
        <v>1923</v>
      </c>
      <c r="Q1988" s="42">
        <v>60</v>
      </c>
      <c r="R1988" s="42">
        <v>154</v>
      </c>
      <c r="S1988" s="42">
        <v>0.2</v>
      </c>
      <c r="T1988" s="10">
        <f>IFERROR(ROUND((Q1988/R1988),2),"NA")</f>
        <v>0.39</v>
      </c>
      <c r="U1988">
        <f t="shared" si="30"/>
        <v>12</v>
      </c>
    </row>
    <row r="1989" spans="7:21" x14ac:dyDescent="0.2">
      <c r="G1989" s="9" t="s">
        <v>2703</v>
      </c>
      <c r="H1989">
        <v>20</v>
      </c>
      <c r="M1989" s="1" t="s">
        <v>2703</v>
      </c>
      <c r="N1989" s="1">
        <v>2</v>
      </c>
      <c r="P1989" s="1" t="s">
        <v>2703</v>
      </c>
      <c r="Q1989" s="42">
        <v>20</v>
      </c>
      <c r="R1989" s="42">
        <v>2</v>
      </c>
      <c r="S1989" s="42">
        <v>0.5</v>
      </c>
      <c r="T1989" s="10">
        <f>IFERROR(ROUND((Q1989/R1989),2),"NA")</f>
        <v>10</v>
      </c>
      <c r="U1989">
        <f t="shared" ref="U1989:U2052" si="31">Q1989*S1989</f>
        <v>10</v>
      </c>
    </row>
    <row r="1990" spans="7:21" x14ac:dyDescent="0.2">
      <c r="G1990" s="9" t="s">
        <v>625</v>
      </c>
      <c r="H1990">
        <v>0</v>
      </c>
      <c r="M1990" s="1" t="s">
        <v>625</v>
      </c>
      <c r="N1990" s="1">
        <v>65</v>
      </c>
      <c r="P1990" s="1" t="s">
        <v>625</v>
      </c>
      <c r="Q1990" s="42">
        <v>0</v>
      </c>
      <c r="R1990" s="42">
        <v>65</v>
      </c>
      <c r="S1990" s="42">
        <v>0.03</v>
      </c>
      <c r="T1990" s="10">
        <f>IFERROR(ROUND((Q1990/R1990),2),"NA")</f>
        <v>0</v>
      </c>
      <c r="U1990">
        <f t="shared" si="31"/>
        <v>0</v>
      </c>
    </row>
    <row r="1991" spans="7:21" x14ac:dyDescent="0.2">
      <c r="G1991" s="9" t="s">
        <v>2136</v>
      </c>
      <c r="H1991">
        <v>48</v>
      </c>
      <c r="M1991" s="1" t="s">
        <v>2136</v>
      </c>
      <c r="N1991" s="1">
        <v>114</v>
      </c>
      <c r="P1991" s="1" t="s">
        <v>2136</v>
      </c>
      <c r="Q1991" s="42">
        <v>48</v>
      </c>
      <c r="R1991" s="42">
        <v>114</v>
      </c>
      <c r="S1991" s="42">
        <v>0.3</v>
      </c>
      <c r="T1991" s="10">
        <f>IFERROR(ROUND((Q1991/R1991),2),"NA")</f>
        <v>0.42</v>
      </c>
      <c r="U1991">
        <f t="shared" si="31"/>
        <v>14.399999999999999</v>
      </c>
    </row>
    <row r="1992" spans="7:21" x14ac:dyDescent="0.2">
      <c r="G1992" s="9" t="s">
        <v>2750</v>
      </c>
      <c r="H1992">
        <v>200</v>
      </c>
      <c r="M1992" s="1" t="s">
        <v>2750</v>
      </c>
      <c r="N1992" s="1">
        <v>19</v>
      </c>
      <c r="P1992" s="1" t="s">
        <v>2750</v>
      </c>
      <c r="Q1992" s="42">
        <v>200</v>
      </c>
      <c r="R1992" s="42">
        <v>19</v>
      </c>
      <c r="S1992" s="42">
        <v>0.4</v>
      </c>
      <c r="T1992" s="10">
        <f>IFERROR(ROUND((Q1992/R1992),2),"NA")</f>
        <v>10.53</v>
      </c>
      <c r="U1992">
        <f t="shared" si="31"/>
        <v>80</v>
      </c>
    </row>
    <row r="1993" spans="7:21" x14ac:dyDescent="0.2">
      <c r="G1993" s="9" t="s">
        <v>216</v>
      </c>
      <c r="H1993">
        <v>195</v>
      </c>
      <c r="M1993" s="1" t="s">
        <v>216</v>
      </c>
      <c r="N1993" s="1">
        <v>355</v>
      </c>
      <c r="P1993" s="1" t="s">
        <v>216</v>
      </c>
      <c r="Q1993" s="42">
        <v>195</v>
      </c>
      <c r="R1993" s="42">
        <v>355</v>
      </c>
      <c r="S1993" s="42">
        <v>0.24</v>
      </c>
      <c r="T1993" s="10">
        <f>IFERROR(ROUND((Q1993/R1993),2),"NA")</f>
        <v>0.55000000000000004</v>
      </c>
      <c r="U1993">
        <f t="shared" si="31"/>
        <v>46.8</v>
      </c>
    </row>
    <row r="1994" spans="7:21" x14ac:dyDescent="0.2">
      <c r="G1994" s="9" t="s">
        <v>1286</v>
      </c>
      <c r="H1994">
        <v>200</v>
      </c>
      <c r="M1994" s="1" t="s">
        <v>1286</v>
      </c>
      <c r="N1994" s="1">
        <v>0</v>
      </c>
      <c r="P1994" s="1" t="s">
        <v>1286</v>
      </c>
      <c r="Q1994" s="42">
        <v>200</v>
      </c>
      <c r="R1994" s="42">
        <v>0</v>
      </c>
      <c r="S1994" s="42">
        <v>0</v>
      </c>
      <c r="T1994" s="10" t="str">
        <f>IFERROR(ROUND((Q1994/R1994),2),"NA")</f>
        <v>NA</v>
      </c>
      <c r="U1994">
        <f t="shared" si="31"/>
        <v>0</v>
      </c>
    </row>
    <row r="1995" spans="7:21" x14ac:dyDescent="0.2">
      <c r="G1995" s="9" t="s">
        <v>1111</v>
      </c>
      <c r="H1995">
        <v>3450</v>
      </c>
      <c r="M1995" s="1" t="s">
        <v>1111</v>
      </c>
      <c r="N1995" s="1">
        <v>610.29999999999995</v>
      </c>
      <c r="P1995" s="1" t="s">
        <v>1111</v>
      </c>
      <c r="Q1995" s="42">
        <v>3450</v>
      </c>
      <c r="R1995" s="42">
        <v>610.29999999999995</v>
      </c>
      <c r="S1995" s="42">
        <v>0.15000000000000002</v>
      </c>
      <c r="T1995" s="10">
        <f>IFERROR(ROUND((Q1995/R1995),2),"NA")</f>
        <v>5.65</v>
      </c>
      <c r="U1995">
        <f t="shared" si="31"/>
        <v>517.50000000000011</v>
      </c>
    </row>
    <row r="1996" spans="7:21" x14ac:dyDescent="0.2">
      <c r="G1996" s="9" t="s">
        <v>2107</v>
      </c>
      <c r="H1996">
        <v>0</v>
      </c>
      <c r="M1996" s="1" t="s">
        <v>2107</v>
      </c>
      <c r="N1996" s="1">
        <v>56</v>
      </c>
      <c r="P1996" s="1" t="s">
        <v>2107</v>
      </c>
      <c r="Q1996" s="42">
        <v>0</v>
      </c>
      <c r="R1996" s="42">
        <v>56</v>
      </c>
      <c r="S1996" s="42">
        <v>1</v>
      </c>
      <c r="T1996" s="10">
        <f>IFERROR(ROUND((Q1996/R1996),2),"NA")</f>
        <v>0</v>
      </c>
      <c r="U1996">
        <f t="shared" si="31"/>
        <v>0</v>
      </c>
    </row>
    <row r="1997" spans="7:21" x14ac:dyDescent="0.2">
      <c r="G1997" s="9" t="s">
        <v>150</v>
      </c>
      <c r="H1997">
        <v>102</v>
      </c>
      <c r="M1997" s="1" t="s">
        <v>150</v>
      </c>
      <c r="N1997" s="1">
        <v>318</v>
      </c>
      <c r="P1997" s="1" t="s">
        <v>150</v>
      </c>
      <c r="Q1997" s="42">
        <v>102</v>
      </c>
      <c r="R1997" s="42">
        <v>318</v>
      </c>
      <c r="S1997" s="42">
        <v>0.11</v>
      </c>
      <c r="T1997" s="10">
        <f>IFERROR(ROUND((Q1997/R1997),2),"NA")</f>
        <v>0.32</v>
      </c>
      <c r="U1997">
        <f t="shared" si="31"/>
        <v>11.22</v>
      </c>
    </row>
    <row r="1998" spans="7:21" x14ac:dyDescent="0.2">
      <c r="G1998" s="9" t="s">
        <v>806</v>
      </c>
      <c r="H1998">
        <v>1406</v>
      </c>
      <c r="M1998" s="1" t="s">
        <v>806</v>
      </c>
      <c r="N1998" s="1">
        <v>150</v>
      </c>
      <c r="P1998" s="1" t="s">
        <v>806</v>
      </c>
      <c r="Q1998" s="42">
        <v>1406</v>
      </c>
      <c r="R1998" s="42">
        <v>150</v>
      </c>
      <c r="S1998" s="42">
        <v>0</v>
      </c>
      <c r="T1998" s="10">
        <f>IFERROR(ROUND((Q1998/R1998),2),"NA")</f>
        <v>9.3699999999999992</v>
      </c>
      <c r="U1998">
        <f t="shared" si="31"/>
        <v>0</v>
      </c>
    </row>
    <row r="1999" spans="7:21" x14ac:dyDescent="0.2">
      <c r="G1999" s="9" t="s">
        <v>2832</v>
      </c>
      <c r="H1999">
        <v>40</v>
      </c>
      <c r="M1999" s="1" t="s">
        <v>2832</v>
      </c>
      <c r="N1999" s="1">
        <v>122</v>
      </c>
      <c r="P1999" s="1" t="s">
        <v>2832</v>
      </c>
      <c r="Q1999" s="42">
        <v>40</v>
      </c>
      <c r="R1999" s="42">
        <v>122</v>
      </c>
      <c r="S1999" s="42">
        <v>0</v>
      </c>
      <c r="T1999" s="10">
        <f>IFERROR(ROUND((Q1999/R1999),2),"NA")</f>
        <v>0.33</v>
      </c>
      <c r="U1999">
        <f t="shared" si="31"/>
        <v>0</v>
      </c>
    </row>
    <row r="2000" spans="7:21" x14ac:dyDescent="0.2">
      <c r="G2000" s="9" t="s">
        <v>1975</v>
      </c>
      <c r="H2000">
        <v>0</v>
      </c>
      <c r="M2000" s="1" t="s">
        <v>1975</v>
      </c>
      <c r="N2000" s="1">
        <v>626</v>
      </c>
      <c r="P2000" s="1" t="s">
        <v>1975</v>
      </c>
      <c r="Q2000" s="42">
        <v>0</v>
      </c>
      <c r="R2000" s="42">
        <v>626</v>
      </c>
      <c r="S2000" s="42">
        <v>0.1</v>
      </c>
      <c r="T2000" s="10">
        <f>IFERROR(ROUND((Q2000/R2000),2),"NA")</f>
        <v>0</v>
      </c>
      <c r="U2000">
        <f t="shared" si="31"/>
        <v>0</v>
      </c>
    </row>
    <row r="2001" spans="7:21" x14ac:dyDescent="0.2">
      <c r="G2001" s="9" t="s">
        <v>2305</v>
      </c>
      <c r="H2001">
        <v>110</v>
      </c>
      <c r="M2001" s="1" t="s">
        <v>2305</v>
      </c>
      <c r="N2001" s="1">
        <v>163</v>
      </c>
      <c r="P2001" s="1" t="s">
        <v>2305</v>
      </c>
      <c r="Q2001" s="42">
        <v>110</v>
      </c>
      <c r="R2001" s="42">
        <v>163</v>
      </c>
      <c r="S2001" s="42">
        <v>0.4</v>
      </c>
      <c r="T2001" s="10">
        <f>IFERROR(ROUND((Q2001/R2001),2),"NA")</f>
        <v>0.67</v>
      </c>
      <c r="U2001">
        <f t="shared" si="31"/>
        <v>44</v>
      </c>
    </row>
    <row r="2002" spans="7:21" x14ac:dyDescent="0.2">
      <c r="G2002" s="9" t="s">
        <v>565</v>
      </c>
      <c r="H2002">
        <v>115</v>
      </c>
      <c r="M2002" s="1" t="s">
        <v>565</v>
      </c>
      <c r="N2002" s="1">
        <v>1700</v>
      </c>
      <c r="P2002" s="1" t="s">
        <v>565</v>
      </c>
      <c r="Q2002" s="42">
        <v>115</v>
      </c>
      <c r="R2002" s="42">
        <v>1700</v>
      </c>
      <c r="S2002" s="42">
        <v>0</v>
      </c>
      <c r="T2002" s="10">
        <f>IFERROR(ROUND((Q2002/R2002),2),"NA")</f>
        <v>7.0000000000000007E-2</v>
      </c>
      <c r="U2002">
        <f t="shared" si="31"/>
        <v>0</v>
      </c>
    </row>
    <row r="2003" spans="7:21" x14ac:dyDescent="0.2">
      <c r="G2003" s="9" t="s">
        <v>623</v>
      </c>
      <c r="H2003">
        <v>130</v>
      </c>
      <c r="M2003" s="1" t="s">
        <v>623</v>
      </c>
      <c r="N2003" s="1">
        <v>365</v>
      </c>
      <c r="P2003" s="1" t="s">
        <v>623</v>
      </c>
      <c r="Q2003" s="42">
        <v>130</v>
      </c>
      <c r="R2003" s="42">
        <v>365</v>
      </c>
      <c r="S2003" s="42">
        <v>0.2</v>
      </c>
      <c r="T2003" s="10">
        <f>IFERROR(ROUND((Q2003/R2003),2),"NA")</f>
        <v>0.36</v>
      </c>
      <c r="U2003">
        <f t="shared" si="31"/>
        <v>26</v>
      </c>
    </row>
    <row r="2004" spans="7:21" x14ac:dyDescent="0.2">
      <c r="G2004" s="9" t="s">
        <v>2640</v>
      </c>
      <c r="H2004">
        <v>0</v>
      </c>
      <c r="M2004" s="1" t="s">
        <v>2640</v>
      </c>
      <c r="N2004" s="1">
        <v>106</v>
      </c>
      <c r="P2004" s="1" t="s">
        <v>2640</v>
      </c>
      <c r="Q2004" s="42">
        <v>0</v>
      </c>
      <c r="R2004" s="42">
        <v>106</v>
      </c>
      <c r="S2004" s="42">
        <v>0</v>
      </c>
      <c r="T2004" s="10">
        <f>IFERROR(ROUND((Q2004/R2004),2),"NA")</f>
        <v>0</v>
      </c>
      <c r="U2004">
        <f t="shared" si="31"/>
        <v>0</v>
      </c>
    </row>
    <row r="2005" spans="7:21" x14ac:dyDescent="0.2">
      <c r="G2005" s="9" t="s">
        <v>2458</v>
      </c>
      <c r="H2005">
        <v>64</v>
      </c>
      <c r="M2005" s="1" t="s">
        <v>2458</v>
      </c>
      <c r="N2005" s="1">
        <v>277</v>
      </c>
      <c r="P2005" s="1" t="s">
        <v>2458</v>
      </c>
      <c r="Q2005" s="42">
        <v>64</v>
      </c>
      <c r="R2005" s="42">
        <v>277</v>
      </c>
      <c r="S2005" s="42">
        <v>0</v>
      </c>
      <c r="T2005" s="10">
        <f>IFERROR(ROUND((Q2005/R2005),2),"NA")</f>
        <v>0.23</v>
      </c>
      <c r="U2005">
        <f t="shared" si="31"/>
        <v>0</v>
      </c>
    </row>
    <row r="2006" spans="7:21" x14ac:dyDescent="0.2">
      <c r="G2006" s="9" t="s">
        <v>95</v>
      </c>
      <c r="H2006">
        <v>40</v>
      </c>
      <c r="M2006" s="1" t="s">
        <v>95</v>
      </c>
      <c r="N2006" s="1">
        <v>124</v>
      </c>
      <c r="P2006" s="1" t="s">
        <v>95</v>
      </c>
      <c r="Q2006" s="42">
        <v>40</v>
      </c>
      <c r="R2006" s="42">
        <v>124</v>
      </c>
      <c r="S2006" s="42">
        <v>0.3</v>
      </c>
      <c r="T2006" s="10">
        <f>IFERROR(ROUND((Q2006/R2006),2),"NA")</f>
        <v>0.32</v>
      </c>
      <c r="U2006">
        <f t="shared" si="31"/>
        <v>12</v>
      </c>
    </row>
    <row r="2007" spans="7:21" x14ac:dyDescent="0.2">
      <c r="G2007" s="9" t="s">
        <v>1937</v>
      </c>
      <c r="H2007">
        <v>0</v>
      </c>
      <c r="M2007" s="1" t="s">
        <v>1937</v>
      </c>
      <c r="N2007" s="1">
        <v>8</v>
      </c>
      <c r="P2007" s="1" t="s">
        <v>1937</v>
      </c>
      <c r="Q2007" s="42">
        <v>0</v>
      </c>
      <c r="R2007" s="42">
        <v>8</v>
      </c>
      <c r="S2007" s="42">
        <v>0</v>
      </c>
      <c r="T2007" s="10">
        <f>IFERROR(ROUND((Q2007/R2007),2),"NA")</f>
        <v>0</v>
      </c>
      <c r="U2007">
        <f t="shared" si="31"/>
        <v>0</v>
      </c>
    </row>
    <row r="2008" spans="7:21" x14ac:dyDescent="0.2">
      <c r="G2008" s="9" t="s">
        <v>65</v>
      </c>
      <c r="H2008">
        <v>0</v>
      </c>
      <c r="M2008" s="1" t="s">
        <v>65</v>
      </c>
      <c r="N2008" s="1">
        <v>272</v>
      </c>
      <c r="P2008" s="1" t="s">
        <v>65</v>
      </c>
      <c r="Q2008" s="42">
        <v>0</v>
      </c>
      <c r="R2008" s="42">
        <v>272</v>
      </c>
      <c r="S2008" s="42">
        <v>0.3</v>
      </c>
      <c r="T2008" s="10">
        <f>IFERROR(ROUND((Q2008/R2008),2),"NA")</f>
        <v>0</v>
      </c>
      <c r="U2008">
        <f t="shared" si="31"/>
        <v>0</v>
      </c>
    </row>
    <row r="2009" spans="7:21" x14ac:dyDescent="0.2">
      <c r="G2009" s="9" t="s">
        <v>846</v>
      </c>
      <c r="H2009">
        <v>0</v>
      </c>
      <c r="M2009" s="1" t="s">
        <v>846</v>
      </c>
      <c r="N2009" s="1">
        <v>19</v>
      </c>
      <c r="P2009" s="1" t="s">
        <v>846</v>
      </c>
      <c r="Q2009" s="42">
        <v>0</v>
      </c>
      <c r="R2009" s="42">
        <v>19</v>
      </c>
      <c r="S2009" s="42">
        <v>1</v>
      </c>
      <c r="T2009" s="10">
        <f>IFERROR(ROUND((Q2009/R2009),2),"NA")</f>
        <v>0</v>
      </c>
      <c r="U2009">
        <f t="shared" si="31"/>
        <v>0</v>
      </c>
    </row>
    <row r="2010" spans="7:21" x14ac:dyDescent="0.2">
      <c r="G2010" s="9" t="s">
        <v>1099</v>
      </c>
      <c r="H2010">
        <v>180</v>
      </c>
      <c r="M2010" s="1" t="s">
        <v>1099</v>
      </c>
      <c r="N2010" s="1">
        <v>470</v>
      </c>
      <c r="P2010" s="1" t="s">
        <v>1099</v>
      </c>
      <c r="Q2010" s="42">
        <v>180</v>
      </c>
      <c r="R2010" s="42">
        <v>470</v>
      </c>
      <c r="S2010" s="42">
        <v>0.08</v>
      </c>
      <c r="T2010" s="10">
        <f>IFERROR(ROUND((Q2010/R2010),2),"NA")</f>
        <v>0.38</v>
      </c>
      <c r="U2010">
        <f t="shared" si="31"/>
        <v>14.4</v>
      </c>
    </row>
    <row r="2011" spans="7:21" x14ac:dyDescent="0.2">
      <c r="G2011" s="9" t="s">
        <v>2720</v>
      </c>
      <c r="H2011">
        <v>6</v>
      </c>
      <c r="M2011" s="1" t="s">
        <v>2720</v>
      </c>
      <c r="N2011" s="1">
        <v>68</v>
      </c>
      <c r="P2011" s="1" t="s">
        <v>2720</v>
      </c>
      <c r="Q2011" s="42">
        <v>6</v>
      </c>
      <c r="R2011" s="42">
        <v>68</v>
      </c>
      <c r="S2011" s="42">
        <v>0</v>
      </c>
      <c r="T2011" s="10">
        <f>IFERROR(ROUND((Q2011/R2011),2),"NA")</f>
        <v>0.09</v>
      </c>
      <c r="U2011">
        <f t="shared" si="31"/>
        <v>0</v>
      </c>
    </row>
    <row r="2012" spans="7:21" x14ac:dyDescent="0.2">
      <c r="G2012" s="9" t="s">
        <v>99</v>
      </c>
      <c r="H2012">
        <v>250</v>
      </c>
      <c r="M2012" s="1" t="s">
        <v>99</v>
      </c>
      <c r="N2012" s="1">
        <v>143</v>
      </c>
      <c r="P2012" s="1" t="s">
        <v>99</v>
      </c>
      <c r="Q2012" s="42">
        <v>250</v>
      </c>
      <c r="R2012" s="42">
        <v>143</v>
      </c>
      <c r="S2012" s="42">
        <v>0.2</v>
      </c>
      <c r="T2012" s="10">
        <f>IFERROR(ROUND((Q2012/R2012),2),"NA")</f>
        <v>1.75</v>
      </c>
      <c r="U2012">
        <f t="shared" si="31"/>
        <v>50</v>
      </c>
    </row>
    <row r="2013" spans="7:21" x14ac:dyDescent="0.2">
      <c r="G2013" s="9" t="s">
        <v>2512</v>
      </c>
      <c r="H2013">
        <v>0</v>
      </c>
      <c r="M2013" s="1" t="s">
        <v>2512</v>
      </c>
      <c r="N2013" s="1">
        <v>15</v>
      </c>
      <c r="P2013" s="1" t="s">
        <v>2512</v>
      </c>
      <c r="Q2013" s="42">
        <v>0</v>
      </c>
      <c r="R2013" s="42">
        <v>15</v>
      </c>
      <c r="S2013" s="42">
        <v>1</v>
      </c>
      <c r="T2013" s="10">
        <f>IFERROR(ROUND((Q2013/R2013),2),"NA")</f>
        <v>0</v>
      </c>
      <c r="U2013">
        <f t="shared" si="31"/>
        <v>0</v>
      </c>
    </row>
    <row r="2014" spans="7:21" x14ac:dyDescent="0.2">
      <c r="G2014" s="9" t="s">
        <v>2069</v>
      </c>
      <c r="H2014">
        <v>150</v>
      </c>
      <c r="M2014" s="1" t="s">
        <v>2069</v>
      </c>
      <c r="N2014" s="1">
        <v>173</v>
      </c>
      <c r="P2014" s="1" t="s">
        <v>2069</v>
      </c>
      <c r="Q2014" s="42">
        <v>150</v>
      </c>
      <c r="R2014" s="42">
        <v>173</v>
      </c>
      <c r="S2014" s="42">
        <v>1</v>
      </c>
      <c r="T2014" s="10">
        <f>IFERROR(ROUND((Q2014/R2014),2),"NA")</f>
        <v>0.87</v>
      </c>
      <c r="U2014">
        <f t="shared" si="31"/>
        <v>150</v>
      </c>
    </row>
    <row r="2015" spans="7:21" x14ac:dyDescent="0.2">
      <c r="G2015" s="9" t="s">
        <v>519</v>
      </c>
      <c r="H2015">
        <v>200</v>
      </c>
      <c r="M2015" s="1" t="s">
        <v>519</v>
      </c>
      <c r="N2015" s="1">
        <v>76</v>
      </c>
      <c r="P2015" s="1" t="s">
        <v>519</v>
      </c>
      <c r="Q2015" s="42">
        <v>200</v>
      </c>
      <c r="R2015" s="42">
        <v>76</v>
      </c>
      <c r="S2015" s="42">
        <v>0</v>
      </c>
      <c r="T2015" s="10">
        <f>IFERROR(ROUND((Q2015/R2015),2),"NA")</f>
        <v>2.63</v>
      </c>
      <c r="U2015">
        <f t="shared" si="31"/>
        <v>0</v>
      </c>
    </row>
    <row r="2016" spans="7:21" x14ac:dyDescent="0.2">
      <c r="G2016" s="9" t="s">
        <v>1986</v>
      </c>
      <c r="H2016">
        <v>150</v>
      </c>
      <c r="M2016" s="1" t="s">
        <v>1986</v>
      </c>
      <c r="N2016" s="1">
        <v>1500</v>
      </c>
      <c r="P2016" s="1" t="s">
        <v>1986</v>
      </c>
      <c r="Q2016" s="42">
        <v>150</v>
      </c>
      <c r="R2016" s="42">
        <v>1500</v>
      </c>
      <c r="S2016" s="42">
        <v>0</v>
      </c>
      <c r="T2016" s="10">
        <f>IFERROR(ROUND((Q2016/R2016),2),"NA")</f>
        <v>0.1</v>
      </c>
      <c r="U2016">
        <f t="shared" si="31"/>
        <v>0</v>
      </c>
    </row>
    <row r="2017" spans="7:21" x14ac:dyDescent="0.2">
      <c r="G2017" s="9" t="s">
        <v>2722</v>
      </c>
      <c r="H2017">
        <v>0</v>
      </c>
      <c r="M2017" s="1" t="s">
        <v>2722</v>
      </c>
      <c r="N2017" s="1">
        <v>50</v>
      </c>
      <c r="P2017" s="1" t="s">
        <v>2722</v>
      </c>
      <c r="Q2017" s="42">
        <v>0</v>
      </c>
      <c r="R2017" s="42">
        <v>50</v>
      </c>
      <c r="S2017" s="42">
        <v>0</v>
      </c>
      <c r="T2017" s="10">
        <f>IFERROR(ROUND((Q2017/R2017),2),"NA")</f>
        <v>0</v>
      </c>
      <c r="U2017">
        <f t="shared" si="31"/>
        <v>0</v>
      </c>
    </row>
    <row r="2018" spans="7:21" x14ac:dyDescent="0.2">
      <c r="G2018" s="9" t="s">
        <v>221</v>
      </c>
      <c r="H2018">
        <v>0</v>
      </c>
      <c r="M2018" s="1" t="s">
        <v>221</v>
      </c>
      <c r="N2018" s="1">
        <v>352</v>
      </c>
      <c r="P2018" s="1" t="s">
        <v>221</v>
      </c>
      <c r="Q2018" s="42">
        <v>0</v>
      </c>
      <c r="R2018" s="42">
        <v>352</v>
      </c>
      <c r="S2018" s="42">
        <v>0.15000000000000002</v>
      </c>
      <c r="T2018" s="10">
        <f>IFERROR(ROUND((Q2018/R2018),2),"NA")</f>
        <v>0</v>
      </c>
      <c r="U2018">
        <f t="shared" si="31"/>
        <v>0</v>
      </c>
    </row>
    <row r="2019" spans="7:21" x14ac:dyDescent="0.2">
      <c r="G2019" s="9" t="s">
        <v>87</v>
      </c>
      <c r="H2019">
        <v>85</v>
      </c>
      <c r="M2019" s="1" t="s">
        <v>87</v>
      </c>
      <c r="N2019" s="1">
        <v>98</v>
      </c>
      <c r="P2019" s="1" t="s">
        <v>87</v>
      </c>
      <c r="Q2019" s="42">
        <v>85</v>
      </c>
      <c r="R2019" s="42">
        <v>98</v>
      </c>
      <c r="S2019" s="42">
        <v>0.35</v>
      </c>
      <c r="T2019" s="10">
        <f>IFERROR(ROUND((Q2019/R2019),2),"NA")</f>
        <v>0.87</v>
      </c>
      <c r="U2019">
        <f t="shared" si="31"/>
        <v>29.749999999999996</v>
      </c>
    </row>
    <row r="2020" spans="7:21" x14ac:dyDescent="0.2">
      <c r="G2020" s="9" t="s">
        <v>1818</v>
      </c>
      <c r="H2020">
        <v>160</v>
      </c>
      <c r="M2020" s="1" t="s">
        <v>1818</v>
      </c>
      <c r="N2020" s="1">
        <v>92</v>
      </c>
      <c r="P2020" s="1" t="s">
        <v>1818</v>
      </c>
      <c r="Q2020" s="42">
        <v>160</v>
      </c>
      <c r="R2020" s="42">
        <v>92</v>
      </c>
      <c r="S2020" s="42">
        <v>0.08</v>
      </c>
      <c r="T2020" s="10">
        <f>IFERROR(ROUND((Q2020/R2020),2),"NA")</f>
        <v>1.74</v>
      </c>
      <c r="U2020">
        <f t="shared" si="31"/>
        <v>12.8</v>
      </c>
    </row>
    <row r="2021" spans="7:21" x14ac:dyDescent="0.2">
      <c r="G2021" s="9" t="s">
        <v>1503</v>
      </c>
      <c r="H2021">
        <v>130</v>
      </c>
      <c r="M2021" s="1" t="s">
        <v>1503</v>
      </c>
      <c r="N2021" s="1">
        <v>171</v>
      </c>
      <c r="P2021" s="1" t="s">
        <v>1503</v>
      </c>
      <c r="Q2021" s="42">
        <v>130</v>
      </c>
      <c r="R2021" s="42">
        <v>171</v>
      </c>
      <c r="S2021" s="42">
        <v>0.15</v>
      </c>
      <c r="T2021" s="10">
        <f>IFERROR(ROUND((Q2021/R2021),2),"NA")</f>
        <v>0.76</v>
      </c>
      <c r="U2021">
        <f t="shared" si="31"/>
        <v>19.5</v>
      </c>
    </row>
    <row r="2022" spans="7:21" x14ac:dyDescent="0.2">
      <c r="G2022" s="9" t="s">
        <v>306</v>
      </c>
      <c r="H2022">
        <v>635</v>
      </c>
      <c r="M2022" s="1" t="s">
        <v>306</v>
      </c>
      <c r="N2022" s="1">
        <v>1050</v>
      </c>
      <c r="P2022" s="1" t="s">
        <v>306</v>
      </c>
      <c r="Q2022" s="42">
        <v>635</v>
      </c>
      <c r="R2022" s="42">
        <v>1050</v>
      </c>
      <c r="S2022" s="42">
        <v>5.5E-2</v>
      </c>
      <c r="T2022" s="10">
        <f>IFERROR(ROUND((Q2022/R2022),2),"NA")</f>
        <v>0.6</v>
      </c>
      <c r="U2022">
        <f t="shared" si="31"/>
        <v>34.924999999999997</v>
      </c>
    </row>
    <row r="2023" spans="7:21" x14ac:dyDescent="0.2">
      <c r="G2023" s="9" t="s">
        <v>408</v>
      </c>
      <c r="H2023">
        <v>60</v>
      </c>
      <c r="M2023" s="1" t="s">
        <v>408</v>
      </c>
      <c r="N2023" s="1">
        <v>0</v>
      </c>
      <c r="P2023" s="1" t="s">
        <v>408</v>
      </c>
      <c r="Q2023" s="42">
        <v>60</v>
      </c>
      <c r="R2023" s="42">
        <v>0</v>
      </c>
      <c r="S2023" s="42">
        <v>0</v>
      </c>
      <c r="T2023" s="10" t="str">
        <f>IFERROR(ROUND((Q2023/R2023),2),"NA")</f>
        <v>NA</v>
      </c>
      <c r="U2023">
        <f t="shared" si="31"/>
        <v>0</v>
      </c>
    </row>
    <row r="2024" spans="7:21" x14ac:dyDescent="0.2">
      <c r="G2024" s="9" t="s">
        <v>432</v>
      </c>
      <c r="H2024">
        <v>240</v>
      </c>
      <c r="M2024" s="1" t="s">
        <v>432</v>
      </c>
      <c r="N2024" s="1">
        <v>822</v>
      </c>
      <c r="P2024" s="1" t="s">
        <v>432</v>
      </c>
      <c r="Q2024" s="42">
        <v>240</v>
      </c>
      <c r="R2024" s="42">
        <v>822</v>
      </c>
      <c r="S2024" s="42">
        <v>0.12333333333333334</v>
      </c>
      <c r="T2024" s="10">
        <f>IFERROR(ROUND((Q2024/R2024),2),"NA")</f>
        <v>0.28999999999999998</v>
      </c>
      <c r="U2024">
        <f t="shared" si="31"/>
        <v>29.6</v>
      </c>
    </row>
    <row r="2025" spans="7:21" x14ac:dyDescent="0.2">
      <c r="G2025" s="9" t="s">
        <v>2872</v>
      </c>
      <c r="H2025">
        <v>40</v>
      </c>
      <c r="M2025" s="1" t="s">
        <v>2872</v>
      </c>
      <c r="N2025" s="1">
        <v>55</v>
      </c>
      <c r="P2025" s="1" t="s">
        <v>2872</v>
      </c>
      <c r="Q2025" s="42">
        <v>40</v>
      </c>
      <c r="R2025" s="42">
        <v>55</v>
      </c>
      <c r="S2025" s="42">
        <v>0</v>
      </c>
      <c r="T2025" s="10">
        <f>IFERROR(ROUND((Q2025/R2025),2),"NA")</f>
        <v>0.73</v>
      </c>
      <c r="U2025">
        <f t="shared" si="31"/>
        <v>0</v>
      </c>
    </row>
    <row r="2026" spans="7:21" x14ac:dyDescent="0.2">
      <c r="G2026" s="9" t="s">
        <v>2192</v>
      </c>
      <c r="H2026">
        <v>30</v>
      </c>
      <c r="M2026" s="1" t="s">
        <v>2192</v>
      </c>
      <c r="N2026" s="1">
        <v>60</v>
      </c>
      <c r="P2026" s="1" t="s">
        <v>2192</v>
      </c>
      <c r="Q2026" s="42">
        <v>30</v>
      </c>
      <c r="R2026" s="42">
        <v>60</v>
      </c>
      <c r="S2026" s="42">
        <v>0.04</v>
      </c>
      <c r="T2026" s="10">
        <f>IFERROR(ROUND((Q2026/R2026),2),"NA")</f>
        <v>0.5</v>
      </c>
      <c r="U2026">
        <f t="shared" si="31"/>
        <v>1.2</v>
      </c>
    </row>
    <row r="2027" spans="7:21" x14ac:dyDescent="0.2">
      <c r="G2027" s="9" t="s">
        <v>2101</v>
      </c>
      <c r="H2027">
        <v>31</v>
      </c>
      <c r="M2027" s="1" t="s">
        <v>2101</v>
      </c>
      <c r="N2027" s="1">
        <v>114</v>
      </c>
      <c r="P2027" s="1" t="s">
        <v>2101</v>
      </c>
      <c r="Q2027" s="42">
        <v>31</v>
      </c>
      <c r="R2027" s="42">
        <v>114</v>
      </c>
      <c r="S2027" s="42">
        <v>0.08</v>
      </c>
      <c r="T2027" s="10">
        <f>IFERROR(ROUND((Q2027/R2027),2),"NA")</f>
        <v>0.27</v>
      </c>
      <c r="U2027">
        <f t="shared" si="31"/>
        <v>2.48</v>
      </c>
    </row>
    <row r="2028" spans="7:21" x14ac:dyDescent="0.2">
      <c r="G2028" s="9" t="s">
        <v>1989</v>
      </c>
      <c r="H2028">
        <v>80</v>
      </c>
      <c r="M2028" s="1" t="s">
        <v>1989</v>
      </c>
      <c r="N2028" s="1">
        <v>20</v>
      </c>
      <c r="P2028" s="1" t="s">
        <v>1989</v>
      </c>
      <c r="Q2028" s="42">
        <v>80</v>
      </c>
      <c r="R2028" s="42">
        <v>20</v>
      </c>
      <c r="S2028" s="42">
        <v>0</v>
      </c>
      <c r="T2028" s="10">
        <f>IFERROR(ROUND((Q2028/R2028),2),"NA")</f>
        <v>4</v>
      </c>
      <c r="U2028">
        <f t="shared" si="31"/>
        <v>0</v>
      </c>
    </row>
    <row r="2029" spans="7:21" x14ac:dyDescent="0.2">
      <c r="G2029" s="9" t="s">
        <v>900</v>
      </c>
      <c r="H2029">
        <v>600</v>
      </c>
      <c r="M2029" s="1" t="s">
        <v>900</v>
      </c>
      <c r="N2029" s="1">
        <v>34</v>
      </c>
      <c r="P2029" s="1" t="s">
        <v>900</v>
      </c>
      <c r="Q2029" s="42">
        <v>600</v>
      </c>
      <c r="R2029" s="42">
        <v>34</v>
      </c>
      <c r="S2029" s="42">
        <v>0</v>
      </c>
      <c r="T2029" s="10">
        <f>IFERROR(ROUND((Q2029/R2029),2),"NA")</f>
        <v>17.649999999999999</v>
      </c>
      <c r="U2029">
        <f t="shared" si="31"/>
        <v>0</v>
      </c>
    </row>
    <row r="2030" spans="7:21" x14ac:dyDescent="0.2">
      <c r="G2030" s="9" t="s">
        <v>2105</v>
      </c>
      <c r="H2030">
        <v>31</v>
      </c>
      <c r="M2030" s="1" t="s">
        <v>2105</v>
      </c>
      <c r="N2030" s="1">
        <v>272</v>
      </c>
      <c r="P2030" s="1" t="s">
        <v>2105</v>
      </c>
      <c r="Q2030" s="42">
        <v>31</v>
      </c>
      <c r="R2030" s="42">
        <v>272</v>
      </c>
      <c r="S2030" s="42">
        <v>0</v>
      </c>
      <c r="T2030" s="10">
        <f>IFERROR(ROUND((Q2030/R2030),2),"NA")</f>
        <v>0.11</v>
      </c>
      <c r="U2030">
        <f t="shared" si="31"/>
        <v>0</v>
      </c>
    </row>
    <row r="2031" spans="7:21" x14ac:dyDescent="0.2">
      <c r="G2031" s="9" t="s">
        <v>2093</v>
      </c>
      <c r="H2031">
        <v>91</v>
      </c>
      <c r="M2031" s="1" t="s">
        <v>2093</v>
      </c>
      <c r="N2031" s="1">
        <v>706</v>
      </c>
      <c r="P2031" s="1" t="s">
        <v>2093</v>
      </c>
      <c r="Q2031" s="42">
        <v>91</v>
      </c>
      <c r="R2031" s="42">
        <v>706</v>
      </c>
      <c r="S2031" s="42">
        <v>0.1</v>
      </c>
      <c r="T2031" s="10">
        <f>IFERROR(ROUND((Q2031/R2031),2),"NA")</f>
        <v>0.13</v>
      </c>
      <c r="U2031">
        <f t="shared" si="31"/>
        <v>9.1</v>
      </c>
    </row>
    <row r="2032" spans="7:21" x14ac:dyDescent="0.2">
      <c r="G2032" s="9" t="s">
        <v>2054</v>
      </c>
      <c r="H2032">
        <v>350</v>
      </c>
      <c r="M2032" s="1" t="s">
        <v>2054</v>
      </c>
      <c r="N2032" s="1">
        <v>6</v>
      </c>
      <c r="P2032" s="1" t="s">
        <v>2054</v>
      </c>
      <c r="Q2032" s="42">
        <v>350</v>
      </c>
      <c r="R2032" s="42">
        <v>6</v>
      </c>
      <c r="S2032" s="42">
        <v>0</v>
      </c>
      <c r="T2032" s="10">
        <f>IFERROR(ROUND((Q2032/R2032),2),"NA")</f>
        <v>58.33</v>
      </c>
      <c r="U2032">
        <f t="shared" si="31"/>
        <v>0</v>
      </c>
    </row>
    <row r="2033" spans="7:21" x14ac:dyDescent="0.2">
      <c r="G2033" s="9" t="s">
        <v>1607</v>
      </c>
      <c r="H2033">
        <v>115</v>
      </c>
      <c r="M2033" s="1" t="s">
        <v>1607</v>
      </c>
      <c r="N2033" s="1">
        <v>28</v>
      </c>
      <c r="P2033" s="1" t="s">
        <v>1607</v>
      </c>
      <c r="Q2033" s="42">
        <v>115</v>
      </c>
      <c r="R2033" s="42">
        <v>28</v>
      </c>
      <c r="S2033" s="42">
        <v>0</v>
      </c>
      <c r="T2033" s="10">
        <f>IFERROR(ROUND((Q2033/R2033),2),"NA")</f>
        <v>4.1100000000000003</v>
      </c>
      <c r="U2033">
        <f t="shared" si="31"/>
        <v>0</v>
      </c>
    </row>
    <row r="2034" spans="7:21" x14ac:dyDescent="0.2">
      <c r="G2034" s="9" t="s">
        <v>758</v>
      </c>
      <c r="H2034">
        <v>140</v>
      </c>
      <c r="M2034" s="1" t="s">
        <v>758</v>
      </c>
      <c r="N2034" s="1">
        <v>198</v>
      </c>
      <c r="P2034" s="1" t="s">
        <v>758</v>
      </c>
      <c r="Q2034" s="42">
        <v>140</v>
      </c>
      <c r="R2034" s="42">
        <v>198</v>
      </c>
      <c r="S2034" s="42">
        <v>0</v>
      </c>
      <c r="T2034" s="10">
        <f>IFERROR(ROUND((Q2034/R2034),2),"NA")</f>
        <v>0.71</v>
      </c>
      <c r="U2034">
        <f t="shared" si="31"/>
        <v>0</v>
      </c>
    </row>
    <row r="2035" spans="7:21" x14ac:dyDescent="0.2">
      <c r="G2035" s="9" t="s">
        <v>2572</v>
      </c>
      <c r="H2035">
        <v>300</v>
      </c>
      <c r="M2035" s="1" t="s">
        <v>2572</v>
      </c>
      <c r="N2035" s="1">
        <v>197.2</v>
      </c>
      <c r="P2035" s="1" t="s">
        <v>2572</v>
      </c>
      <c r="Q2035" s="42">
        <v>300</v>
      </c>
      <c r="R2035" s="42">
        <v>197.2</v>
      </c>
      <c r="S2035" s="42">
        <v>0.2</v>
      </c>
      <c r="T2035" s="10">
        <f>IFERROR(ROUND((Q2035/R2035),2),"NA")</f>
        <v>1.52</v>
      </c>
      <c r="U2035">
        <f t="shared" si="31"/>
        <v>60</v>
      </c>
    </row>
    <row r="2036" spans="7:21" x14ac:dyDescent="0.2">
      <c r="G2036" s="9" t="s">
        <v>2871</v>
      </c>
      <c r="H2036">
        <v>50</v>
      </c>
      <c r="M2036" s="1" t="s">
        <v>2871</v>
      </c>
      <c r="N2036" s="1">
        <v>0</v>
      </c>
      <c r="P2036" s="1" t="s">
        <v>2871</v>
      </c>
      <c r="Q2036" s="42">
        <v>50</v>
      </c>
      <c r="R2036" s="42">
        <v>0</v>
      </c>
      <c r="S2036" s="42">
        <v>0.25</v>
      </c>
      <c r="T2036" s="10" t="str">
        <f>IFERROR(ROUND((Q2036/R2036),2),"NA")</f>
        <v>NA</v>
      </c>
      <c r="U2036">
        <f t="shared" si="31"/>
        <v>12.5</v>
      </c>
    </row>
    <row r="2037" spans="7:21" x14ac:dyDescent="0.2">
      <c r="G2037" s="9" t="s">
        <v>2789</v>
      </c>
      <c r="H2037">
        <v>0</v>
      </c>
      <c r="M2037" s="1" t="s">
        <v>2789</v>
      </c>
      <c r="N2037" s="1">
        <v>35</v>
      </c>
      <c r="P2037" s="1" t="s">
        <v>2789</v>
      </c>
      <c r="Q2037" s="42">
        <v>0</v>
      </c>
      <c r="R2037" s="42">
        <v>35</v>
      </c>
      <c r="S2037" s="42">
        <v>0</v>
      </c>
      <c r="T2037" s="10">
        <f>IFERROR(ROUND((Q2037/R2037),2),"NA")</f>
        <v>0</v>
      </c>
      <c r="U2037">
        <f t="shared" si="31"/>
        <v>0</v>
      </c>
    </row>
    <row r="2038" spans="7:21" x14ac:dyDescent="0.2">
      <c r="G2038" s="9" t="s">
        <v>1091</v>
      </c>
      <c r="H2038">
        <v>79</v>
      </c>
      <c r="M2038" s="1" t="s">
        <v>1091</v>
      </c>
      <c r="N2038" s="1">
        <v>0</v>
      </c>
      <c r="P2038" s="1" t="s">
        <v>1091</v>
      </c>
      <c r="Q2038" s="42">
        <v>79</v>
      </c>
      <c r="R2038" s="42">
        <v>0</v>
      </c>
      <c r="S2038" s="42">
        <v>0.33</v>
      </c>
      <c r="T2038" s="10" t="str">
        <f>IFERROR(ROUND((Q2038/R2038),2),"NA")</f>
        <v>NA</v>
      </c>
      <c r="U2038">
        <f t="shared" si="31"/>
        <v>26.07</v>
      </c>
    </row>
    <row r="2039" spans="7:21" x14ac:dyDescent="0.2">
      <c r="G2039" s="9" t="s">
        <v>1245</v>
      </c>
      <c r="H2039">
        <v>10</v>
      </c>
      <c r="M2039" s="1" t="s">
        <v>1245</v>
      </c>
      <c r="N2039" s="1">
        <v>15</v>
      </c>
      <c r="P2039" s="1" t="s">
        <v>1245</v>
      </c>
      <c r="Q2039" s="42">
        <v>10</v>
      </c>
      <c r="R2039" s="42">
        <v>15</v>
      </c>
      <c r="S2039" s="42">
        <v>0.25</v>
      </c>
      <c r="T2039" s="10">
        <f>IFERROR(ROUND((Q2039/R2039),2),"NA")</f>
        <v>0.67</v>
      </c>
      <c r="U2039">
        <f t="shared" si="31"/>
        <v>2.5</v>
      </c>
    </row>
    <row r="2040" spans="7:21" x14ac:dyDescent="0.2">
      <c r="G2040" s="9" t="s">
        <v>622</v>
      </c>
      <c r="H2040">
        <v>0</v>
      </c>
      <c r="M2040" s="1" t="s">
        <v>622</v>
      </c>
      <c r="N2040" s="1">
        <v>152</v>
      </c>
      <c r="P2040" s="1" t="s">
        <v>622</v>
      </c>
      <c r="Q2040" s="42">
        <v>0</v>
      </c>
      <c r="R2040" s="42">
        <v>152</v>
      </c>
      <c r="S2040" s="42">
        <v>1</v>
      </c>
      <c r="T2040" s="10">
        <f>IFERROR(ROUND((Q2040/R2040),2),"NA")</f>
        <v>0</v>
      </c>
      <c r="U2040">
        <f t="shared" si="31"/>
        <v>0</v>
      </c>
    </row>
    <row r="2041" spans="7:21" x14ac:dyDescent="0.2">
      <c r="G2041" s="9" t="s">
        <v>337</v>
      </c>
      <c r="H2041">
        <v>0</v>
      </c>
      <c r="M2041" s="1" t="s">
        <v>337</v>
      </c>
      <c r="N2041" s="1">
        <v>10</v>
      </c>
      <c r="P2041" s="1" t="s">
        <v>337</v>
      </c>
      <c r="Q2041" s="42">
        <v>0</v>
      </c>
      <c r="R2041" s="42">
        <v>10</v>
      </c>
      <c r="S2041" s="42">
        <v>1</v>
      </c>
      <c r="T2041" s="10">
        <f>IFERROR(ROUND((Q2041/R2041),2),"NA")</f>
        <v>0</v>
      </c>
      <c r="U2041">
        <f t="shared" si="31"/>
        <v>0</v>
      </c>
    </row>
    <row r="2042" spans="7:21" x14ac:dyDescent="0.2">
      <c r="G2042" s="9" t="s">
        <v>1259</v>
      </c>
      <c r="H2042">
        <v>15</v>
      </c>
      <c r="M2042" s="1" t="s">
        <v>1259</v>
      </c>
      <c r="N2042" s="1">
        <v>62</v>
      </c>
      <c r="P2042" s="1" t="s">
        <v>1259</v>
      </c>
      <c r="Q2042" s="42">
        <v>15</v>
      </c>
      <c r="R2042" s="42">
        <v>62</v>
      </c>
      <c r="S2042" s="42">
        <v>0.04</v>
      </c>
      <c r="T2042" s="10">
        <f>IFERROR(ROUND((Q2042/R2042),2),"NA")</f>
        <v>0.24</v>
      </c>
      <c r="U2042">
        <f t="shared" si="31"/>
        <v>0.6</v>
      </c>
    </row>
    <row r="2043" spans="7:21" x14ac:dyDescent="0.2">
      <c r="G2043" s="9" t="s">
        <v>2211</v>
      </c>
      <c r="H2043">
        <v>0</v>
      </c>
      <c r="M2043" s="1" t="s">
        <v>2211</v>
      </c>
      <c r="N2043" s="1">
        <v>0</v>
      </c>
      <c r="P2043" s="1" t="s">
        <v>2211</v>
      </c>
      <c r="Q2043" s="42">
        <v>0</v>
      </c>
      <c r="R2043" s="42">
        <v>0</v>
      </c>
      <c r="S2043" s="42">
        <v>0</v>
      </c>
      <c r="T2043" s="10" t="str">
        <f>IFERROR(ROUND((Q2043/R2043),2),"NA")</f>
        <v>NA</v>
      </c>
      <c r="U2043">
        <f t="shared" si="31"/>
        <v>0</v>
      </c>
    </row>
    <row r="2044" spans="7:21" x14ac:dyDescent="0.2">
      <c r="G2044" s="9" t="s">
        <v>1047</v>
      </c>
      <c r="H2044">
        <v>0</v>
      </c>
      <c r="M2044" s="1" t="s">
        <v>1047</v>
      </c>
      <c r="N2044" s="1">
        <v>161</v>
      </c>
      <c r="P2044" s="1" t="s">
        <v>1047</v>
      </c>
      <c r="Q2044" s="42">
        <v>0</v>
      </c>
      <c r="R2044" s="42">
        <v>161</v>
      </c>
      <c r="S2044" s="42">
        <v>0.19</v>
      </c>
      <c r="T2044" s="10">
        <f>IFERROR(ROUND((Q2044/R2044),2),"NA")</f>
        <v>0</v>
      </c>
      <c r="U2044">
        <f t="shared" si="31"/>
        <v>0</v>
      </c>
    </row>
    <row r="2045" spans="7:21" x14ac:dyDescent="0.2">
      <c r="G2045" s="9" t="s">
        <v>1606</v>
      </c>
      <c r="H2045">
        <v>120</v>
      </c>
      <c r="M2045" s="1" t="s">
        <v>1606</v>
      </c>
      <c r="N2045" s="1">
        <v>410</v>
      </c>
      <c r="P2045" s="1" t="s">
        <v>1606</v>
      </c>
      <c r="Q2045" s="42">
        <v>120</v>
      </c>
      <c r="R2045" s="42">
        <v>410</v>
      </c>
      <c r="S2045" s="42">
        <v>0.4</v>
      </c>
      <c r="T2045" s="10">
        <f>IFERROR(ROUND((Q2045/R2045),2),"NA")</f>
        <v>0.28999999999999998</v>
      </c>
      <c r="U2045">
        <f t="shared" si="31"/>
        <v>48</v>
      </c>
    </row>
    <row r="2046" spans="7:21" x14ac:dyDescent="0.2">
      <c r="G2046" s="9" t="s">
        <v>1365</v>
      </c>
      <c r="H2046">
        <v>85</v>
      </c>
      <c r="M2046" s="1" t="s">
        <v>1365</v>
      </c>
      <c r="N2046" s="1">
        <v>152</v>
      </c>
      <c r="P2046" s="1" t="s">
        <v>1365</v>
      </c>
      <c r="Q2046" s="42">
        <v>85</v>
      </c>
      <c r="R2046" s="42">
        <v>152</v>
      </c>
      <c r="S2046" s="42">
        <v>0.03</v>
      </c>
      <c r="T2046" s="10">
        <f>IFERROR(ROUND((Q2046/R2046),2),"NA")</f>
        <v>0.56000000000000005</v>
      </c>
      <c r="U2046">
        <f t="shared" si="31"/>
        <v>2.5499999999999998</v>
      </c>
    </row>
    <row r="2047" spans="7:21" x14ac:dyDescent="0.2">
      <c r="G2047" s="9" t="s">
        <v>1932</v>
      </c>
      <c r="H2047">
        <v>200</v>
      </c>
      <c r="M2047" s="1" t="s">
        <v>1932</v>
      </c>
      <c r="N2047" s="1">
        <v>376</v>
      </c>
      <c r="P2047" s="1" t="s">
        <v>1932</v>
      </c>
      <c r="Q2047" s="42">
        <v>200</v>
      </c>
      <c r="R2047" s="42">
        <v>376</v>
      </c>
      <c r="S2047" s="42">
        <v>0.125</v>
      </c>
      <c r="T2047" s="10">
        <f>IFERROR(ROUND((Q2047/R2047),2),"NA")</f>
        <v>0.53</v>
      </c>
      <c r="U2047">
        <f t="shared" si="31"/>
        <v>25</v>
      </c>
    </row>
    <row r="2048" spans="7:21" x14ac:dyDescent="0.2">
      <c r="G2048" s="9" t="s">
        <v>514</v>
      </c>
      <c r="H2048">
        <v>0</v>
      </c>
      <c r="M2048" s="1" t="s">
        <v>514</v>
      </c>
      <c r="N2048" s="1">
        <v>694</v>
      </c>
      <c r="P2048" s="1" t="s">
        <v>514</v>
      </c>
      <c r="Q2048" s="42">
        <v>0</v>
      </c>
      <c r="R2048" s="42">
        <v>694</v>
      </c>
      <c r="S2048" s="42">
        <v>1</v>
      </c>
      <c r="T2048" s="10">
        <f>IFERROR(ROUND((Q2048/R2048),2),"NA")</f>
        <v>0</v>
      </c>
      <c r="U2048">
        <f t="shared" si="31"/>
        <v>0</v>
      </c>
    </row>
    <row r="2049" spans="7:21" x14ac:dyDescent="0.2">
      <c r="G2049" s="9" t="s">
        <v>2086</v>
      </c>
      <c r="H2049">
        <v>0</v>
      </c>
      <c r="M2049" s="1" t="s">
        <v>2086</v>
      </c>
      <c r="N2049" s="1">
        <v>221</v>
      </c>
      <c r="P2049" s="1" t="s">
        <v>2086</v>
      </c>
      <c r="Q2049" s="42">
        <v>0</v>
      </c>
      <c r="R2049" s="42">
        <v>221</v>
      </c>
      <c r="S2049" s="42">
        <v>0</v>
      </c>
      <c r="T2049" s="10">
        <f>IFERROR(ROUND((Q2049/R2049),2),"NA")</f>
        <v>0</v>
      </c>
      <c r="U2049">
        <f t="shared" si="31"/>
        <v>0</v>
      </c>
    </row>
    <row r="2050" spans="7:21" x14ac:dyDescent="0.2">
      <c r="G2050" s="9" t="s">
        <v>324</v>
      </c>
      <c r="H2050">
        <v>1970</v>
      </c>
      <c r="M2050" s="1" t="s">
        <v>324</v>
      </c>
      <c r="N2050" s="1">
        <v>19600</v>
      </c>
      <c r="P2050" s="1" t="s">
        <v>324</v>
      </c>
      <c r="Q2050" s="42">
        <v>1970</v>
      </c>
      <c r="R2050" s="42">
        <v>19600</v>
      </c>
      <c r="S2050" s="42">
        <v>0.15000000000000002</v>
      </c>
      <c r="T2050" s="10">
        <f>IFERROR(ROUND((Q2050/R2050),2),"NA")</f>
        <v>0.1</v>
      </c>
      <c r="U2050">
        <f t="shared" si="31"/>
        <v>295.50000000000006</v>
      </c>
    </row>
    <row r="2051" spans="7:21" x14ac:dyDescent="0.2">
      <c r="G2051" s="9" t="s">
        <v>2879</v>
      </c>
      <c r="H2051">
        <v>0</v>
      </c>
      <c r="M2051" s="1" t="s">
        <v>2879</v>
      </c>
      <c r="N2051" s="1">
        <v>0</v>
      </c>
      <c r="P2051" s="1" t="s">
        <v>2879</v>
      </c>
      <c r="Q2051" s="42">
        <v>0</v>
      </c>
      <c r="R2051" s="42">
        <v>0</v>
      </c>
      <c r="S2051" s="42">
        <v>0</v>
      </c>
      <c r="T2051" s="10" t="str">
        <f>IFERROR(ROUND((Q2051/R2051),2),"NA")</f>
        <v>NA</v>
      </c>
      <c r="U2051">
        <f t="shared" si="31"/>
        <v>0</v>
      </c>
    </row>
    <row r="2052" spans="7:21" x14ac:dyDescent="0.2">
      <c r="G2052" s="9" t="s">
        <v>1928</v>
      </c>
      <c r="H2052">
        <v>0</v>
      </c>
      <c r="M2052" s="1" t="s">
        <v>1928</v>
      </c>
      <c r="N2052" s="1">
        <v>506</v>
      </c>
      <c r="P2052" s="1" t="s">
        <v>1928</v>
      </c>
      <c r="Q2052" s="42">
        <v>0</v>
      </c>
      <c r="R2052" s="42">
        <v>506</v>
      </c>
      <c r="S2052" s="42">
        <v>0.125</v>
      </c>
      <c r="T2052" s="10">
        <f>IFERROR(ROUND((Q2052/R2052),2),"NA")</f>
        <v>0</v>
      </c>
      <c r="U2052">
        <f t="shared" si="31"/>
        <v>0</v>
      </c>
    </row>
    <row r="2053" spans="7:21" x14ac:dyDescent="0.2">
      <c r="G2053" s="9" t="s">
        <v>1595</v>
      </c>
      <c r="H2053">
        <v>100</v>
      </c>
      <c r="M2053" s="1" t="s">
        <v>1595</v>
      </c>
      <c r="N2053" s="1">
        <v>104</v>
      </c>
      <c r="P2053" s="1" t="s">
        <v>1595</v>
      </c>
      <c r="Q2053" s="42">
        <v>100</v>
      </c>
      <c r="R2053" s="42">
        <v>104</v>
      </c>
      <c r="S2053" s="42">
        <v>0.3</v>
      </c>
      <c r="T2053" s="10">
        <f>IFERROR(ROUND((Q2053/R2053),2),"NA")</f>
        <v>0.96</v>
      </c>
      <c r="U2053">
        <f t="shared" ref="U2053:U2116" si="32">Q2053*S2053</f>
        <v>30</v>
      </c>
    </row>
    <row r="2054" spans="7:21" x14ac:dyDescent="0.2">
      <c r="G2054" s="9" t="s">
        <v>2570</v>
      </c>
      <c r="H2054">
        <v>0</v>
      </c>
      <c r="M2054" s="1" t="s">
        <v>2570</v>
      </c>
      <c r="N2054" s="1">
        <v>22.4</v>
      </c>
      <c r="P2054" s="1" t="s">
        <v>2570</v>
      </c>
      <c r="Q2054" s="42">
        <v>0</v>
      </c>
      <c r="R2054" s="42">
        <v>22.4</v>
      </c>
      <c r="S2054" s="42">
        <v>0</v>
      </c>
      <c r="T2054" s="10">
        <f>IFERROR(ROUND((Q2054/R2054),2),"NA")</f>
        <v>0</v>
      </c>
      <c r="U2054">
        <f t="shared" si="32"/>
        <v>0</v>
      </c>
    </row>
    <row r="2055" spans="7:21" x14ac:dyDescent="0.2">
      <c r="G2055" s="9" t="s">
        <v>1436</v>
      </c>
      <c r="H2055">
        <v>40</v>
      </c>
      <c r="M2055" s="1" t="s">
        <v>1436</v>
      </c>
      <c r="N2055" s="1">
        <v>55</v>
      </c>
      <c r="P2055" s="1" t="s">
        <v>1436</v>
      </c>
      <c r="Q2055" s="42">
        <v>40</v>
      </c>
      <c r="R2055" s="42">
        <v>55</v>
      </c>
      <c r="S2055" s="42">
        <v>0</v>
      </c>
      <c r="T2055" s="10">
        <f>IFERROR(ROUND((Q2055/R2055),2),"NA")</f>
        <v>0.73</v>
      </c>
      <c r="U2055">
        <f t="shared" si="32"/>
        <v>0</v>
      </c>
    </row>
    <row r="2056" spans="7:21" x14ac:dyDescent="0.2">
      <c r="G2056" s="9" t="s">
        <v>1181</v>
      </c>
      <c r="H2056">
        <v>356</v>
      </c>
      <c r="M2056" s="1" t="s">
        <v>1181</v>
      </c>
      <c r="N2056" s="1">
        <v>2547</v>
      </c>
      <c r="P2056" s="1" t="s">
        <v>1181</v>
      </c>
      <c r="Q2056" s="42">
        <v>356</v>
      </c>
      <c r="R2056" s="42">
        <v>2547</v>
      </c>
      <c r="S2056" s="42">
        <v>0.14000000000000001</v>
      </c>
      <c r="T2056" s="10">
        <f>IFERROR(ROUND((Q2056/R2056),2),"NA")</f>
        <v>0.14000000000000001</v>
      </c>
      <c r="U2056">
        <f t="shared" si="32"/>
        <v>49.84</v>
      </c>
    </row>
    <row r="2057" spans="7:21" x14ac:dyDescent="0.2">
      <c r="G2057" s="9" t="s">
        <v>1654</v>
      </c>
      <c r="H2057">
        <v>173</v>
      </c>
      <c r="M2057" s="1" t="s">
        <v>1654</v>
      </c>
      <c r="N2057" s="1">
        <v>1292</v>
      </c>
      <c r="P2057" s="1" t="s">
        <v>1654</v>
      </c>
      <c r="Q2057" s="42">
        <v>173</v>
      </c>
      <c r="R2057" s="42">
        <v>1292</v>
      </c>
      <c r="S2057" s="42">
        <v>0.16</v>
      </c>
      <c r="T2057" s="10">
        <f>IFERROR(ROUND((Q2057/R2057),2),"NA")</f>
        <v>0.13</v>
      </c>
      <c r="U2057">
        <f t="shared" si="32"/>
        <v>27.68</v>
      </c>
    </row>
    <row r="2058" spans="7:21" x14ac:dyDescent="0.2">
      <c r="G2058" s="9" t="s">
        <v>444</v>
      </c>
      <c r="H2058">
        <v>112</v>
      </c>
      <c r="M2058" s="1" t="s">
        <v>444</v>
      </c>
      <c r="N2058" s="1">
        <v>8500</v>
      </c>
      <c r="P2058" s="1" t="s">
        <v>444</v>
      </c>
      <c r="Q2058" s="42">
        <v>112</v>
      </c>
      <c r="R2058" s="42">
        <v>8500</v>
      </c>
      <c r="S2058" s="42">
        <v>5.5000000000000007E-2</v>
      </c>
      <c r="T2058" s="10">
        <f>IFERROR(ROUND((Q2058/R2058),2),"NA")</f>
        <v>0.01</v>
      </c>
      <c r="U2058">
        <f t="shared" si="32"/>
        <v>6.160000000000001</v>
      </c>
    </row>
    <row r="2059" spans="7:21" x14ac:dyDescent="0.2">
      <c r="G2059" s="9" t="s">
        <v>1457</v>
      </c>
      <c r="H2059">
        <v>200</v>
      </c>
      <c r="M2059" s="1" t="s">
        <v>1457</v>
      </c>
      <c r="N2059" s="1">
        <v>344</v>
      </c>
      <c r="P2059" s="1" t="s">
        <v>1457</v>
      </c>
      <c r="Q2059" s="42">
        <v>200</v>
      </c>
      <c r="R2059" s="42">
        <v>344</v>
      </c>
      <c r="S2059" s="42">
        <v>0.04</v>
      </c>
      <c r="T2059" s="10">
        <f>IFERROR(ROUND((Q2059/R2059),2),"NA")</f>
        <v>0.57999999999999996</v>
      </c>
      <c r="U2059">
        <f t="shared" si="32"/>
        <v>8</v>
      </c>
    </row>
    <row r="2060" spans="7:21" x14ac:dyDescent="0.2">
      <c r="G2060" s="9" t="s">
        <v>510</v>
      </c>
      <c r="H2060">
        <v>300</v>
      </c>
      <c r="M2060" s="1" t="s">
        <v>510</v>
      </c>
      <c r="N2060" s="1">
        <v>334</v>
      </c>
      <c r="P2060" s="1" t="s">
        <v>510</v>
      </c>
      <c r="Q2060" s="42">
        <v>300</v>
      </c>
      <c r="R2060" s="42">
        <v>334</v>
      </c>
      <c r="S2060" s="42">
        <v>0.35</v>
      </c>
      <c r="T2060" s="10">
        <f>IFERROR(ROUND((Q2060/R2060),2),"NA")</f>
        <v>0.9</v>
      </c>
      <c r="U2060">
        <f t="shared" si="32"/>
        <v>105</v>
      </c>
    </row>
    <row r="2061" spans="7:21" x14ac:dyDescent="0.2">
      <c r="G2061" s="9" t="s">
        <v>402</v>
      </c>
      <c r="H2061">
        <v>900</v>
      </c>
      <c r="M2061" s="1" t="s">
        <v>402</v>
      </c>
      <c r="N2061" s="1">
        <v>155</v>
      </c>
      <c r="P2061" s="1" t="s">
        <v>402</v>
      </c>
      <c r="Q2061" s="42">
        <v>900</v>
      </c>
      <c r="R2061" s="42">
        <v>155</v>
      </c>
      <c r="S2061" s="42">
        <v>0.16</v>
      </c>
      <c r="T2061" s="10">
        <f>IFERROR(ROUND((Q2061/R2061),2),"NA")</f>
        <v>5.81</v>
      </c>
      <c r="U2061">
        <f t="shared" si="32"/>
        <v>144</v>
      </c>
    </row>
    <row r="2062" spans="7:21" x14ac:dyDescent="0.2">
      <c r="G2062" s="9" t="s">
        <v>498</v>
      </c>
      <c r="H2062">
        <v>20</v>
      </c>
      <c r="M2062" s="1" t="s">
        <v>498</v>
      </c>
      <c r="N2062" s="1">
        <v>770</v>
      </c>
      <c r="P2062" s="1" t="s">
        <v>498</v>
      </c>
      <c r="Q2062" s="42">
        <v>20</v>
      </c>
      <c r="R2062" s="42">
        <v>770</v>
      </c>
      <c r="S2062" s="42">
        <v>0.1</v>
      </c>
      <c r="T2062" s="10">
        <f>IFERROR(ROUND((Q2062/R2062),2),"NA")</f>
        <v>0.03</v>
      </c>
      <c r="U2062">
        <f t="shared" si="32"/>
        <v>2</v>
      </c>
    </row>
    <row r="2063" spans="7:21" x14ac:dyDescent="0.2">
      <c r="G2063" s="9" t="s">
        <v>933</v>
      </c>
      <c r="H2063">
        <v>98</v>
      </c>
      <c r="M2063" s="1" t="s">
        <v>933</v>
      </c>
      <c r="N2063" s="1">
        <v>0</v>
      </c>
      <c r="P2063" s="1" t="s">
        <v>933</v>
      </c>
      <c r="Q2063" s="42">
        <v>98</v>
      </c>
      <c r="R2063" s="42">
        <v>0</v>
      </c>
      <c r="S2063" s="42">
        <v>0</v>
      </c>
      <c r="T2063" s="10" t="str">
        <f>IFERROR(ROUND((Q2063/R2063),2),"NA")</f>
        <v>NA</v>
      </c>
      <c r="U2063">
        <f t="shared" si="32"/>
        <v>0</v>
      </c>
    </row>
    <row r="2064" spans="7:21" x14ac:dyDescent="0.2">
      <c r="G2064" s="9" t="s">
        <v>2197</v>
      </c>
      <c r="H2064">
        <v>120</v>
      </c>
      <c r="M2064" s="1" t="s">
        <v>2197</v>
      </c>
      <c r="N2064" s="1">
        <v>18</v>
      </c>
      <c r="P2064" s="1" t="s">
        <v>2197</v>
      </c>
      <c r="Q2064" s="42">
        <v>120</v>
      </c>
      <c r="R2064" s="42">
        <v>18</v>
      </c>
      <c r="S2064" s="42">
        <v>1</v>
      </c>
      <c r="T2064" s="10">
        <f>IFERROR(ROUND((Q2064/R2064),2),"NA")</f>
        <v>6.67</v>
      </c>
      <c r="U2064">
        <f t="shared" si="32"/>
        <v>120</v>
      </c>
    </row>
    <row r="2065" spans="7:21" x14ac:dyDescent="0.2">
      <c r="G2065" s="9" t="s">
        <v>1101</v>
      </c>
      <c r="H2065">
        <v>100</v>
      </c>
      <c r="M2065" s="1" t="s">
        <v>1101</v>
      </c>
      <c r="N2065" s="1">
        <v>154</v>
      </c>
      <c r="P2065" s="1" t="s">
        <v>1101</v>
      </c>
      <c r="Q2065" s="42">
        <v>100</v>
      </c>
      <c r="R2065" s="42">
        <v>154</v>
      </c>
      <c r="S2065" s="42">
        <v>0.14000000000000001</v>
      </c>
      <c r="T2065" s="10">
        <f>IFERROR(ROUND((Q2065/R2065),2),"NA")</f>
        <v>0.65</v>
      </c>
      <c r="U2065">
        <f t="shared" si="32"/>
        <v>14.000000000000002</v>
      </c>
    </row>
    <row r="2066" spans="7:21" x14ac:dyDescent="0.2">
      <c r="G2066" s="9" t="s">
        <v>289</v>
      </c>
      <c r="H2066">
        <v>856</v>
      </c>
      <c r="M2066" s="1" t="s">
        <v>289</v>
      </c>
      <c r="N2066" s="1">
        <v>2876</v>
      </c>
      <c r="P2066" s="1" t="s">
        <v>289</v>
      </c>
      <c r="Q2066" s="42">
        <v>856</v>
      </c>
      <c r="R2066" s="42">
        <v>2876</v>
      </c>
      <c r="S2066" s="42">
        <v>0.21250000000000002</v>
      </c>
      <c r="T2066" s="10">
        <f>IFERROR(ROUND((Q2066/R2066),2),"NA")</f>
        <v>0.3</v>
      </c>
      <c r="U2066">
        <f t="shared" si="32"/>
        <v>181.9</v>
      </c>
    </row>
    <row r="2067" spans="7:21" x14ac:dyDescent="0.2">
      <c r="G2067" s="9" t="s">
        <v>409</v>
      </c>
      <c r="H2067">
        <v>49</v>
      </c>
      <c r="M2067" s="1" t="s">
        <v>409</v>
      </c>
      <c r="N2067" s="1">
        <v>366</v>
      </c>
      <c r="P2067" s="1" t="s">
        <v>409</v>
      </c>
      <c r="Q2067" s="42">
        <v>49</v>
      </c>
      <c r="R2067" s="42">
        <v>366</v>
      </c>
      <c r="S2067" s="42">
        <v>0.16</v>
      </c>
      <c r="T2067" s="10">
        <f>IFERROR(ROUND((Q2067/R2067),2),"NA")</f>
        <v>0.13</v>
      </c>
      <c r="U2067">
        <f t="shared" si="32"/>
        <v>7.84</v>
      </c>
    </row>
    <row r="2068" spans="7:21" x14ac:dyDescent="0.2">
      <c r="G2068" s="9" t="s">
        <v>687</v>
      </c>
      <c r="H2068">
        <v>300</v>
      </c>
      <c r="M2068" s="1" t="s">
        <v>687</v>
      </c>
      <c r="N2068" s="1">
        <v>253</v>
      </c>
      <c r="P2068" s="1" t="s">
        <v>687</v>
      </c>
      <c r="Q2068" s="42">
        <v>300</v>
      </c>
      <c r="R2068" s="42">
        <v>253</v>
      </c>
      <c r="S2068" s="42">
        <v>0</v>
      </c>
      <c r="T2068" s="10">
        <f>IFERROR(ROUND((Q2068/R2068),2),"NA")</f>
        <v>1.19</v>
      </c>
      <c r="U2068">
        <f t="shared" si="32"/>
        <v>0</v>
      </c>
    </row>
    <row r="2069" spans="7:21" x14ac:dyDescent="0.2">
      <c r="G2069" s="9" t="s">
        <v>568</v>
      </c>
      <c r="H2069">
        <v>304</v>
      </c>
      <c r="M2069" s="1" t="s">
        <v>568</v>
      </c>
      <c r="N2069" s="1">
        <v>1365.6</v>
      </c>
      <c r="P2069" s="1" t="s">
        <v>568</v>
      </c>
      <c r="Q2069" s="42">
        <v>304</v>
      </c>
      <c r="R2069" s="42">
        <v>1365.6</v>
      </c>
      <c r="S2069" s="42">
        <v>9.5000000000000001E-2</v>
      </c>
      <c r="T2069" s="10">
        <f>IFERROR(ROUND((Q2069/R2069),2),"NA")</f>
        <v>0.22</v>
      </c>
      <c r="U2069">
        <f t="shared" si="32"/>
        <v>28.88</v>
      </c>
    </row>
    <row r="2070" spans="7:21" x14ac:dyDescent="0.2">
      <c r="G2070" s="9" t="s">
        <v>262</v>
      </c>
      <c r="H2070">
        <v>900</v>
      </c>
      <c r="M2070" s="1" t="s">
        <v>262</v>
      </c>
      <c r="N2070" s="1">
        <v>0</v>
      </c>
      <c r="P2070" s="1" t="s">
        <v>262</v>
      </c>
      <c r="Q2070" s="42">
        <v>900</v>
      </c>
      <c r="R2070" s="42">
        <v>0</v>
      </c>
      <c r="S2070" s="42">
        <v>0.08</v>
      </c>
      <c r="T2070" s="10" t="str">
        <f>IFERROR(ROUND((Q2070/R2070),2),"NA")</f>
        <v>NA</v>
      </c>
      <c r="U2070">
        <f t="shared" si="32"/>
        <v>72</v>
      </c>
    </row>
    <row r="2071" spans="7:21" x14ac:dyDescent="0.2">
      <c r="G2071" s="9" t="s">
        <v>1546</v>
      </c>
      <c r="H2071">
        <v>450</v>
      </c>
      <c r="M2071" s="1" t="s">
        <v>1546</v>
      </c>
      <c r="N2071" s="1">
        <v>125</v>
      </c>
      <c r="P2071" s="1" t="s">
        <v>1546</v>
      </c>
      <c r="Q2071" s="42">
        <v>450</v>
      </c>
      <c r="R2071" s="42">
        <v>125</v>
      </c>
      <c r="S2071" s="42">
        <v>0.1</v>
      </c>
      <c r="T2071" s="10">
        <f>IFERROR(ROUND((Q2071/R2071),2),"NA")</f>
        <v>3.6</v>
      </c>
      <c r="U2071">
        <f t="shared" si="32"/>
        <v>45</v>
      </c>
    </row>
    <row r="2072" spans="7:21" x14ac:dyDescent="0.2">
      <c r="G2072" s="9" t="s">
        <v>2567</v>
      </c>
      <c r="H2072">
        <v>0</v>
      </c>
      <c r="M2072" s="1" t="s">
        <v>2567</v>
      </c>
      <c r="N2072" s="1">
        <v>27</v>
      </c>
      <c r="P2072" s="1" t="s">
        <v>2567</v>
      </c>
      <c r="Q2072" s="42">
        <v>0</v>
      </c>
      <c r="R2072" s="42">
        <v>27</v>
      </c>
      <c r="S2072" s="42">
        <v>1</v>
      </c>
      <c r="T2072" s="10">
        <f>IFERROR(ROUND((Q2072/R2072),2),"NA")</f>
        <v>0</v>
      </c>
      <c r="U2072">
        <f t="shared" si="32"/>
        <v>0</v>
      </c>
    </row>
    <row r="2073" spans="7:21" x14ac:dyDescent="0.2">
      <c r="G2073" s="9" t="s">
        <v>240</v>
      </c>
      <c r="H2073">
        <v>22</v>
      </c>
      <c r="M2073" s="1" t="s">
        <v>240</v>
      </c>
      <c r="N2073" s="1">
        <v>739</v>
      </c>
      <c r="P2073" s="1" t="s">
        <v>240</v>
      </c>
      <c r="Q2073" s="42">
        <v>22</v>
      </c>
      <c r="R2073" s="42">
        <v>739</v>
      </c>
      <c r="S2073" s="42">
        <v>0.13</v>
      </c>
      <c r="T2073" s="10">
        <f>IFERROR(ROUND((Q2073/R2073),2),"NA")</f>
        <v>0.03</v>
      </c>
      <c r="U2073">
        <f t="shared" si="32"/>
        <v>2.8600000000000003</v>
      </c>
    </row>
    <row r="2074" spans="7:21" x14ac:dyDescent="0.2">
      <c r="G2074" s="9" t="s">
        <v>1068</v>
      </c>
      <c r="H2074">
        <v>0</v>
      </c>
      <c r="M2074" s="1" t="s">
        <v>1068</v>
      </c>
      <c r="N2074" s="1">
        <v>1084</v>
      </c>
      <c r="P2074" s="1" t="s">
        <v>1068</v>
      </c>
      <c r="Q2074" s="42">
        <v>0</v>
      </c>
      <c r="R2074" s="42">
        <v>1084</v>
      </c>
      <c r="S2074" s="42">
        <v>0.14000000000000001</v>
      </c>
      <c r="T2074" s="10">
        <f>IFERROR(ROUND((Q2074/R2074),2),"NA")</f>
        <v>0</v>
      </c>
      <c r="U2074">
        <f t="shared" si="32"/>
        <v>0</v>
      </c>
    </row>
    <row r="2075" spans="7:21" x14ac:dyDescent="0.2">
      <c r="G2075" s="9" t="s">
        <v>1653</v>
      </c>
      <c r="H2075">
        <v>245</v>
      </c>
      <c r="M2075" s="1" t="s">
        <v>1653</v>
      </c>
      <c r="N2075" s="1">
        <v>652</v>
      </c>
      <c r="P2075" s="1" t="s">
        <v>1653</v>
      </c>
      <c r="Q2075" s="42">
        <v>245</v>
      </c>
      <c r="R2075" s="42">
        <v>652</v>
      </c>
      <c r="S2075" s="42">
        <v>0.3</v>
      </c>
      <c r="T2075" s="10">
        <f>IFERROR(ROUND((Q2075/R2075),2),"NA")</f>
        <v>0.38</v>
      </c>
      <c r="U2075">
        <f t="shared" si="32"/>
        <v>73.5</v>
      </c>
    </row>
    <row r="2076" spans="7:21" x14ac:dyDescent="0.2">
      <c r="G2076" s="9" t="s">
        <v>1491</v>
      </c>
      <c r="H2076">
        <v>0</v>
      </c>
      <c r="M2076" s="1" t="s">
        <v>1491</v>
      </c>
      <c r="N2076" s="1">
        <v>0</v>
      </c>
      <c r="P2076" s="1" t="s">
        <v>1491</v>
      </c>
      <c r="Q2076" s="42">
        <v>0</v>
      </c>
      <c r="R2076" s="42">
        <v>0</v>
      </c>
      <c r="S2076" s="42">
        <v>0.08</v>
      </c>
      <c r="T2076" s="10" t="str">
        <f>IFERROR(ROUND((Q2076/R2076),2),"NA")</f>
        <v>NA</v>
      </c>
      <c r="U2076">
        <f t="shared" si="32"/>
        <v>0</v>
      </c>
    </row>
    <row r="2077" spans="7:21" x14ac:dyDescent="0.2">
      <c r="G2077" s="9" t="s">
        <v>2333</v>
      </c>
      <c r="H2077">
        <v>24</v>
      </c>
      <c r="M2077" s="1" t="s">
        <v>2333</v>
      </c>
      <c r="N2077" s="1">
        <v>248</v>
      </c>
      <c r="P2077" s="1" t="s">
        <v>2333</v>
      </c>
      <c r="Q2077" s="42">
        <v>24</v>
      </c>
      <c r="R2077" s="42">
        <v>248</v>
      </c>
      <c r="S2077" s="42">
        <v>0.08</v>
      </c>
      <c r="T2077" s="10">
        <f>IFERROR(ROUND((Q2077/R2077),2),"NA")</f>
        <v>0.1</v>
      </c>
      <c r="U2077">
        <f t="shared" si="32"/>
        <v>1.92</v>
      </c>
    </row>
    <row r="2078" spans="7:21" x14ac:dyDescent="0.2">
      <c r="G2078" s="9" t="s">
        <v>2550</v>
      </c>
      <c r="H2078">
        <v>0</v>
      </c>
      <c r="M2078" s="1" t="s">
        <v>2550</v>
      </c>
      <c r="N2078" s="1">
        <v>9.5</v>
      </c>
      <c r="P2078" s="1" t="s">
        <v>2550</v>
      </c>
      <c r="Q2078" s="42">
        <v>0</v>
      </c>
      <c r="R2078" s="42">
        <v>9.5</v>
      </c>
      <c r="S2078" s="42">
        <v>0</v>
      </c>
      <c r="T2078" s="10">
        <f>IFERROR(ROUND((Q2078/R2078),2),"NA")</f>
        <v>0</v>
      </c>
      <c r="U2078">
        <f t="shared" si="32"/>
        <v>0</v>
      </c>
    </row>
    <row r="2079" spans="7:21" x14ac:dyDescent="0.2">
      <c r="G2079" s="9" t="s">
        <v>1544</v>
      </c>
      <c r="H2079">
        <v>0</v>
      </c>
      <c r="M2079" s="1" t="s">
        <v>1544</v>
      </c>
      <c r="N2079" s="1">
        <v>41</v>
      </c>
      <c r="P2079" s="1" t="s">
        <v>1544</v>
      </c>
      <c r="Q2079" s="42">
        <v>0</v>
      </c>
      <c r="R2079" s="42">
        <v>41</v>
      </c>
      <c r="S2079" s="42">
        <v>0</v>
      </c>
      <c r="T2079" s="10">
        <f>IFERROR(ROUND((Q2079/R2079),2),"NA")</f>
        <v>0</v>
      </c>
      <c r="U2079">
        <f t="shared" si="32"/>
        <v>0</v>
      </c>
    </row>
    <row r="2080" spans="7:21" x14ac:dyDescent="0.2">
      <c r="G2080" s="9" t="s">
        <v>789</v>
      </c>
      <c r="H2080">
        <v>125</v>
      </c>
      <c r="M2080" s="1" t="s">
        <v>789</v>
      </c>
      <c r="N2080" s="1">
        <v>0</v>
      </c>
      <c r="P2080" s="1" t="s">
        <v>789</v>
      </c>
      <c r="Q2080" s="42">
        <v>125</v>
      </c>
      <c r="R2080" s="42">
        <v>0</v>
      </c>
      <c r="S2080" s="42">
        <v>0.4</v>
      </c>
      <c r="T2080" s="10" t="str">
        <f>IFERROR(ROUND((Q2080/R2080),2),"NA")</f>
        <v>NA</v>
      </c>
      <c r="U2080">
        <f t="shared" si="32"/>
        <v>50</v>
      </c>
    </row>
    <row r="2081" spans="7:21" x14ac:dyDescent="0.2">
      <c r="G2081" s="9" t="s">
        <v>2012</v>
      </c>
      <c r="H2081">
        <v>78</v>
      </c>
      <c r="M2081" s="1" t="s">
        <v>2012</v>
      </c>
      <c r="N2081" s="1">
        <v>16</v>
      </c>
      <c r="P2081" s="1" t="s">
        <v>2012</v>
      </c>
      <c r="Q2081" s="42">
        <v>78</v>
      </c>
      <c r="R2081" s="42">
        <v>16</v>
      </c>
      <c r="S2081" s="42">
        <v>0.17499999999999999</v>
      </c>
      <c r="T2081" s="10">
        <f>IFERROR(ROUND((Q2081/R2081),2),"NA")</f>
        <v>4.88</v>
      </c>
      <c r="U2081">
        <f t="shared" si="32"/>
        <v>13.649999999999999</v>
      </c>
    </row>
    <row r="2082" spans="7:21" x14ac:dyDescent="0.2">
      <c r="G2082" s="9" t="s">
        <v>835</v>
      </c>
      <c r="H2082">
        <v>300</v>
      </c>
      <c r="M2082" s="1" t="s">
        <v>835</v>
      </c>
      <c r="N2082" s="1">
        <v>513</v>
      </c>
      <c r="P2082" s="1" t="s">
        <v>835</v>
      </c>
      <c r="Q2082" s="42">
        <v>300</v>
      </c>
      <c r="R2082" s="42">
        <v>513</v>
      </c>
      <c r="S2082" s="42">
        <v>0.05</v>
      </c>
      <c r="T2082" s="10">
        <f>IFERROR(ROUND((Q2082/R2082),2),"NA")</f>
        <v>0.57999999999999996</v>
      </c>
      <c r="U2082">
        <f t="shared" si="32"/>
        <v>15</v>
      </c>
    </row>
    <row r="2083" spans="7:21" x14ac:dyDescent="0.2">
      <c r="G2083" s="9" t="s">
        <v>2217</v>
      </c>
      <c r="H2083">
        <v>23</v>
      </c>
      <c r="M2083" s="1" t="s">
        <v>2217</v>
      </c>
      <c r="N2083" s="1">
        <v>159</v>
      </c>
      <c r="P2083" s="1" t="s">
        <v>2217</v>
      </c>
      <c r="Q2083" s="42">
        <v>23</v>
      </c>
      <c r="R2083" s="42">
        <v>159</v>
      </c>
      <c r="S2083" s="42">
        <v>0</v>
      </c>
      <c r="T2083" s="10">
        <f>IFERROR(ROUND((Q2083/R2083),2),"NA")</f>
        <v>0.14000000000000001</v>
      </c>
      <c r="U2083">
        <f t="shared" si="32"/>
        <v>0</v>
      </c>
    </row>
    <row r="2084" spans="7:21" x14ac:dyDescent="0.2">
      <c r="G2084" s="9" t="s">
        <v>608</v>
      </c>
      <c r="H2084">
        <v>895</v>
      </c>
      <c r="M2084" s="1" t="s">
        <v>608</v>
      </c>
      <c r="N2084" s="1">
        <v>4840</v>
      </c>
      <c r="P2084" s="1" t="s">
        <v>608</v>
      </c>
      <c r="Q2084" s="42">
        <v>895</v>
      </c>
      <c r="R2084" s="42">
        <v>4840</v>
      </c>
      <c r="S2084" s="42">
        <v>0.04</v>
      </c>
      <c r="T2084" s="10">
        <f>IFERROR(ROUND((Q2084/R2084),2),"NA")</f>
        <v>0.18</v>
      </c>
      <c r="U2084">
        <f t="shared" si="32"/>
        <v>35.800000000000004</v>
      </c>
    </row>
    <row r="2085" spans="7:21" x14ac:dyDescent="0.2">
      <c r="G2085" s="9" t="s">
        <v>1832</v>
      </c>
      <c r="H2085">
        <v>57</v>
      </c>
      <c r="M2085" s="1" t="s">
        <v>1832</v>
      </c>
      <c r="N2085" s="1">
        <v>34</v>
      </c>
      <c r="P2085" s="1" t="s">
        <v>1832</v>
      </c>
      <c r="Q2085" s="42">
        <v>57</v>
      </c>
      <c r="R2085" s="42">
        <v>34</v>
      </c>
      <c r="S2085" s="42">
        <v>0</v>
      </c>
      <c r="T2085" s="10">
        <f>IFERROR(ROUND((Q2085/R2085),2),"NA")</f>
        <v>1.68</v>
      </c>
      <c r="U2085">
        <f t="shared" si="32"/>
        <v>0</v>
      </c>
    </row>
    <row r="2086" spans="7:21" x14ac:dyDescent="0.2">
      <c r="G2086" s="9" t="s">
        <v>1803</v>
      </c>
      <c r="H2086">
        <v>0</v>
      </c>
      <c r="M2086" s="1" t="s">
        <v>1803</v>
      </c>
      <c r="N2086" s="1">
        <v>4</v>
      </c>
      <c r="P2086" s="1" t="s">
        <v>1803</v>
      </c>
      <c r="Q2086" s="42">
        <v>0</v>
      </c>
      <c r="R2086" s="42">
        <v>4</v>
      </c>
      <c r="S2086" s="42">
        <v>1</v>
      </c>
      <c r="T2086" s="10">
        <f>IFERROR(ROUND((Q2086/R2086),2),"NA")</f>
        <v>0</v>
      </c>
      <c r="U2086">
        <f t="shared" si="32"/>
        <v>0</v>
      </c>
    </row>
    <row r="2087" spans="7:21" x14ac:dyDescent="0.2">
      <c r="G2087" s="9" t="s">
        <v>604</v>
      </c>
      <c r="H2087">
        <v>0</v>
      </c>
      <c r="M2087" s="1" t="s">
        <v>604</v>
      </c>
      <c r="N2087" s="1">
        <v>84</v>
      </c>
      <c r="P2087" s="1" t="s">
        <v>604</v>
      </c>
      <c r="Q2087" s="42">
        <v>0</v>
      </c>
      <c r="R2087" s="42">
        <v>84</v>
      </c>
      <c r="S2087" s="42">
        <v>0.1</v>
      </c>
      <c r="T2087" s="10">
        <f>IFERROR(ROUND((Q2087/R2087),2),"NA")</f>
        <v>0</v>
      </c>
      <c r="U2087">
        <f t="shared" si="32"/>
        <v>0</v>
      </c>
    </row>
    <row r="2088" spans="7:21" x14ac:dyDescent="0.2">
      <c r="G2088" s="9" t="s">
        <v>2607</v>
      </c>
      <c r="H2088">
        <v>40</v>
      </c>
      <c r="M2088" s="1" t="s">
        <v>2607</v>
      </c>
      <c r="N2088" s="1">
        <v>234</v>
      </c>
      <c r="P2088" s="1" t="s">
        <v>2607</v>
      </c>
      <c r="Q2088" s="42">
        <v>40</v>
      </c>
      <c r="R2088" s="42">
        <v>234</v>
      </c>
      <c r="S2088" s="42">
        <v>0.21</v>
      </c>
      <c r="T2088" s="10">
        <f>IFERROR(ROUND((Q2088/R2088),2),"NA")</f>
        <v>0.17</v>
      </c>
      <c r="U2088">
        <f t="shared" si="32"/>
        <v>8.4</v>
      </c>
    </row>
    <row r="2089" spans="7:21" x14ac:dyDescent="0.2">
      <c r="G2089" s="9" t="s">
        <v>530</v>
      </c>
      <c r="H2089">
        <v>2315</v>
      </c>
      <c r="M2089" s="1" t="s">
        <v>530</v>
      </c>
      <c r="N2089" s="1">
        <v>12600</v>
      </c>
      <c r="P2089" s="1" t="s">
        <v>530</v>
      </c>
      <c r="Q2089" s="42">
        <v>2315</v>
      </c>
      <c r="R2089" s="42">
        <v>12600</v>
      </c>
      <c r="S2089" s="42">
        <v>8.3333333333333329E-2</v>
      </c>
      <c r="T2089" s="10">
        <f>IFERROR(ROUND((Q2089/R2089),2),"NA")</f>
        <v>0.18</v>
      </c>
      <c r="U2089">
        <f t="shared" si="32"/>
        <v>192.91666666666666</v>
      </c>
    </row>
    <row r="2090" spans="7:21" x14ac:dyDescent="0.2">
      <c r="G2090" s="9" t="s">
        <v>1954</v>
      </c>
      <c r="H2090">
        <v>0</v>
      </c>
      <c r="M2090" s="1" t="s">
        <v>1954</v>
      </c>
      <c r="N2090" s="1">
        <v>0</v>
      </c>
      <c r="P2090" s="1" t="s">
        <v>1954</v>
      </c>
      <c r="Q2090" s="42">
        <v>0</v>
      </c>
      <c r="R2090" s="42">
        <v>0</v>
      </c>
      <c r="S2090" s="42">
        <v>0</v>
      </c>
      <c r="T2090" s="10" t="str">
        <f>IFERROR(ROUND((Q2090/R2090),2),"NA")</f>
        <v>NA</v>
      </c>
      <c r="U2090">
        <f t="shared" si="32"/>
        <v>0</v>
      </c>
    </row>
    <row r="2091" spans="7:21" x14ac:dyDescent="0.2">
      <c r="G2091" s="9" t="s">
        <v>2248</v>
      </c>
      <c r="H2091">
        <v>0</v>
      </c>
      <c r="M2091" s="1" t="s">
        <v>2248</v>
      </c>
      <c r="N2091" s="1">
        <v>61</v>
      </c>
      <c r="P2091" s="1" t="s">
        <v>2248</v>
      </c>
      <c r="Q2091" s="42">
        <v>0</v>
      </c>
      <c r="R2091" s="42">
        <v>61</v>
      </c>
      <c r="S2091" s="42">
        <v>0</v>
      </c>
      <c r="T2091" s="10">
        <f>IFERROR(ROUND((Q2091/R2091),2),"NA")</f>
        <v>0</v>
      </c>
      <c r="U2091">
        <f t="shared" si="32"/>
        <v>0</v>
      </c>
    </row>
    <row r="2092" spans="7:21" x14ac:dyDescent="0.2">
      <c r="G2092" s="9" t="s">
        <v>1766</v>
      </c>
      <c r="H2092">
        <v>37</v>
      </c>
      <c r="M2092" s="1" t="s">
        <v>1766</v>
      </c>
      <c r="N2092" s="1">
        <v>32</v>
      </c>
      <c r="P2092" s="1" t="s">
        <v>1766</v>
      </c>
      <c r="Q2092" s="42">
        <v>37</v>
      </c>
      <c r="R2092" s="42">
        <v>32</v>
      </c>
      <c r="S2092" s="42">
        <v>0.23</v>
      </c>
      <c r="T2092" s="10">
        <f>IFERROR(ROUND((Q2092/R2092),2),"NA")</f>
        <v>1.1599999999999999</v>
      </c>
      <c r="U2092">
        <f t="shared" si="32"/>
        <v>8.51</v>
      </c>
    </row>
    <row r="2093" spans="7:21" x14ac:dyDescent="0.2">
      <c r="G2093" s="9" t="s">
        <v>1950</v>
      </c>
      <c r="H2093">
        <v>0</v>
      </c>
      <c r="M2093" s="1" t="s">
        <v>1950</v>
      </c>
      <c r="N2093" s="1">
        <v>11</v>
      </c>
      <c r="P2093" s="1" t="s">
        <v>1950</v>
      </c>
      <c r="Q2093" s="42">
        <v>0</v>
      </c>
      <c r="R2093" s="42">
        <v>11</v>
      </c>
      <c r="S2093" s="42">
        <v>0</v>
      </c>
      <c r="T2093" s="10">
        <f>IFERROR(ROUND((Q2093/R2093),2),"NA")</f>
        <v>0</v>
      </c>
      <c r="U2093">
        <f t="shared" si="32"/>
        <v>0</v>
      </c>
    </row>
    <row r="2094" spans="7:21" x14ac:dyDescent="0.2">
      <c r="G2094" s="9" t="s">
        <v>112</v>
      </c>
      <c r="H2094">
        <v>266</v>
      </c>
      <c r="M2094" s="1" t="s">
        <v>112</v>
      </c>
      <c r="N2094" s="1">
        <v>1515</v>
      </c>
      <c r="P2094" s="1" t="s">
        <v>112</v>
      </c>
      <c r="Q2094" s="42">
        <v>266</v>
      </c>
      <c r="R2094" s="42">
        <v>1515</v>
      </c>
      <c r="S2094" s="42">
        <v>3.5000000000000003E-2</v>
      </c>
      <c r="T2094" s="10">
        <f>IFERROR(ROUND((Q2094/R2094),2),"NA")</f>
        <v>0.18</v>
      </c>
      <c r="U2094">
        <f t="shared" si="32"/>
        <v>9.31</v>
      </c>
    </row>
    <row r="2095" spans="7:21" x14ac:dyDescent="0.2">
      <c r="G2095" s="9" t="s">
        <v>122</v>
      </c>
      <c r="H2095">
        <v>0</v>
      </c>
      <c r="M2095" s="1" t="s">
        <v>122</v>
      </c>
      <c r="N2095" s="1">
        <v>38</v>
      </c>
      <c r="P2095" s="1" t="s">
        <v>122</v>
      </c>
      <c r="Q2095" s="42">
        <v>0</v>
      </c>
      <c r="R2095" s="42">
        <v>38</v>
      </c>
      <c r="S2095" s="42">
        <v>1</v>
      </c>
      <c r="T2095" s="10">
        <f>IFERROR(ROUND((Q2095/R2095),2),"NA")</f>
        <v>0</v>
      </c>
      <c r="U2095">
        <f t="shared" si="32"/>
        <v>0</v>
      </c>
    </row>
    <row r="2096" spans="7:21" x14ac:dyDescent="0.2">
      <c r="G2096" s="9" t="s">
        <v>2786</v>
      </c>
      <c r="H2096">
        <v>4</v>
      </c>
      <c r="M2096" s="1" t="s">
        <v>2786</v>
      </c>
      <c r="N2096" s="1">
        <v>26</v>
      </c>
      <c r="P2096" s="1" t="s">
        <v>2786</v>
      </c>
      <c r="Q2096" s="42">
        <v>4</v>
      </c>
      <c r="R2096" s="42">
        <v>26</v>
      </c>
      <c r="S2096" s="42">
        <v>0.12</v>
      </c>
      <c r="T2096" s="10">
        <f>IFERROR(ROUND((Q2096/R2096),2),"NA")</f>
        <v>0.15</v>
      </c>
      <c r="U2096">
        <f t="shared" si="32"/>
        <v>0.48</v>
      </c>
    </row>
    <row r="2097" spans="7:21" x14ac:dyDescent="0.2">
      <c r="G2097" s="9" t="s">
        <v>2261</v>
      </c>
      <c r="H2097">
        <v>30</v>
      </c>
      <c r="M2097" s="1" t="s">
        <v>2261</v>
      </c>
      <c r="N2097" s="1">
        <v>77</v>
      </c>
      <c r="P2097" s="1" t="s">
        <v>2261</v>
      </c>
      <c r="Q2097" s="42">
        <v>30</v>
      </c>
      <c r="R2097" s="42">
        <v>77</v>
      </c>
      <c r="S2097" s="42">
        <v>0.18</v>
      </c>
      <c r="T2097" s="10">
        <f>IFERROR(ROUND((Q2097/R2097),2),"NA")</f>
        <v>0.39</v>
      </c>
      <c r="U2097">
        <f t="shared" si="32"/>
        <v>5.3999999999999995</v>
      </c>
    </row>
    <row r="2098" spans="7:21" x14ac:dyDescent="0.2">
      <c r="G2098" s="9" t="s">
        <v>2749</v>
      </c>
      <c r="H2098">
        <v>0</v>
      </c>
      <c r="M2098" s="1" t="s">
        <v>2749</v>
      </c>
      <c r="N2098" s="1">
        <v>2</v>
      </c>
      <c r="P2098" s="1" t="s">
        <v>2749</v>
      </c>
      <c r="Q2098" s="42">
        <v>0</v>
      </c>
      <c r="R2098" s="42">
        <v>2</v>
      </c>
      <c r="S2098" s="42">
        <v>0</v>
      </c>
      <c r="T2098" s="10">
        <f>IFERROR(ROUND((Q2098/R2098),2),"NA")</f>
        <v>0</v>
      </c>
      <c r="U2098">
        <f t="shared" si="32"/>
        <v>0</v>
      </c>
    </row>
    <row r="2099" spans="7:21" x14ac:dyDescent="0.2">
      <c r="G2099" s="9" t="s">
        <v>893</v>
      </c>
      <c r="H2099">
        <v>0</v>
      </c>
      <c r="M2099" s="1" t="s">
        <v>893</v>
      </c>
      <c r="N2099" s="1">
        <v>91</v>
      </c>
      <c r="P2099" s="1" t="s">
        <v>893</v>
      </c>
      <c r="Q2099" s="42">
        <v>0</v>
      </c>
      <c r="R2099" s="42">
        <v>91</v>
      </c>
      <c r="S2099" s="42">
        <v>0</v>
      </c>
      <c r="T2099" s="10">
        <f>IFERROR(ROUND((Q2099/R2099),2),"NA")</f>
        <v>0</v>
      </c>
      <c r="U2099">
        <f t="shared" si="32"/>
        <v>0</v>
      </c>
    </row>
    <row r="2100" spans="7:21" x14ac:dyDescent="0.2">
      <c r="G2100" s="9" t="s">
        <v>1767</v>
      </c>
      <c r="H2100">
        <v>0</v>
      </c>
      <c r="M2100" s="1" t="s">
        <v>1767</v>
      </c>
      <c r="N2100" s="1">
        <v>229</v>
      </c>
      <c r="P2100" s="1" t="s">
        <v>1767</v>
      </c>
      <c r="Q2100" s="42">
        <v>0</v>
      </c>
      <c r="R2100" s="42">
        <v>229</v>
      </c>
      <c r="S2100" s="42">
        <v>0.6</v>
      </c>
      <c r="T2100" s="10">
        <f>IFERROR(ROUND((Q2100/R2100),2),"NA")</f>
        <v>0</v>
      </c>
      <c r="U2100">
        <f t="shared" si="32"/>
        <v>0</v>
      </c>
    </row>
    <row r="2101" spans="7:21" x14ac:dyDescent="0.2">
      <c r="G2101" s="9" t="s">
        <v>1479</v>
      </c>
      <c r="H2101">
        <v>138</v>
      </c>
      <c r="M2101" s="1" t="s">
        <v>1479</v>
      </c>
      <c r="N2101" s="1">
        <v>0</v>
      </c>
      <c r="P2101" s="1" t="s">
        <v>1479</v>
      </c>
      <c r="Q2101" s="42">
        <v>138</v>
      </c>
      <c r="R2101" s="42">
        <v>0</v>
      </c>
      <c r="S2101" s="42">
        <v>7.0000000000000007E-2</v>
      </c>
      <c r="T2101" s="10" t="str">
        <f>IFERROR(ROUND((Q2101/R2101),2),"NA")</f>
        <v>NA</v>
      </c>
      <c r="U2101">
        <f t="shared" si="32"/>
        <v>9.66</v>
      </c>
    </row>
    <row r="2102" spans="7:21" x14ac:dyDescent="0.2">
      <c r="G2102" s="9" t="s">
        <v>153</v>
      </c>
      <c r="H2102">
        <v>20</v>
      </c>
      <c r="M2102" s="1" t="s">
        <v>153</v>
      </c>
      <c r="N2102" s="1">
        <v>174</v>
      </c>
      <c r="P2102" s="1" t="s">
        <v>153</v>
      </c>
      <c r="Q2102" s="42">
        <v>20</v>
      </c>
      <c r="R2102" s="42">
        <v>174</v>
      </c>
      <c r="S2102" s="42">
        <v>0</v>
      </c>
      <c r="T2102" s="10">
        <f>IFERROR(ROUND((Q2102/R2102),2),"NA")</f>
        <v>0.11</v>
      </c>
      <c r="U2102">
        <f t="shared" si="32"/>
        <v>0</v>
      </c>
    </row>
    <row r="2103" spans="7:21" x14ac:dyDescent="0.2">
      <c r="G2103" s="9" t="s">
        <v>649</v>
      </c>
      <c r="H2103">
        <v>98</v>
      </c>
      <c r="M2103" s="1" t="s">
        <v>649</v>
      </c>
      <c r="N2103" s="1">
        <v>374</v>
      </c>
      <c r="P2103" s="1" t="s">
        <v>649</v>
      </c>
      <c r="Q2103" s="42">
        <v>98</v>
      </c>
      <c r="R2103" s="42">
        <v>374</v>
      </c>
      <c r="S2103" s="42">
        <v>0.17666666666666667</v>
      </c>
      <c r="T2103" s="10">
        <f>IFERROR(ROUND((Q2103/R2103),2),"NA")</f>
        <v>0.26</v>
      </c>
      <c r="U2103">
        <f t="shared" si="32"/>
        <v>17.313333333333333</v>
      </c>
    </row>
    <row r="2104" spans="7:21" x14ac:dyDescent="0.2">
      <c r="G2104" s="9" t="s">
        <v>1036</v>
      </c>
      <c r="H2104">
        <v>90</v>
      </c>
      <c r="M2104" s="1" t="s">
        <v>1036</v>
      </c>
      <c r="N2104" s="1">
        <v>307</v>
      </c>
      <c r="P2104" s="1" t="s">
        <v>1036</v>
      </c>
      <c r="Q2104" s="42">
        <v>90</v>
      </c>
      <c r="R2104" s="42">
        <v>307</v>
      </c>
      <c r="S2104" s="42">
        <v>0</v>
      </c>
      <c r="T2104" s="10">
        <f>IFERROR(ROUND((Q2104/R2104),2),"NA")</f>
        <v>0.28999999999999998</v>
      </c>
      <c r="U2104">
        <f t="shared" si="32"/>
        <v>0</v>
      </c>
    </row>
    <row r="2105" spans="7:21" x14ac:dyDescent="0.2">
      <c r="G2105" s="9" t="s">
        <v>965</v>
      </c>
      <c r="H2105">
        <v>0</v>
      </c>
      <c r="M2105" s="1" t="s">
        <v>965</v>
      </c>
      <c r="N2105" s="1">
        <v>414</v>
      </c>
      <c r="P2105" s="1" t="s">
        <v>965</v>
      </c>
      <c r="Q2105" s="42">
        <v>0</v>
      </c>
      <c r="R2105" s="42">
        <v>414</v>
      </c>
      <c r="S2105" s="42">
        <v>0.15</v>
      </c>
      <c r="T2105" s="10">
        <f>IFERROR(ROUND((Q2105/R2105),2),"NA")</f>
        <v>0</v>
      </c>
      <c r="U2105">
        <f t="shared" si="32"/>
        <v>0</v>
      </c>
    </row>
    <row r="2106" spans="7:21" x14ac:dyDescent="0.2">
      <c r="G2106" s="9" t="s">
        <v>1554</v>
      </c>
      <c r="H2106">
        <v>100</v>
      </c>
      <c r="M2106" s="1" t="s">
        <v>1554</v>
      </c>
      <c r="N2106" s="1">
        <v>520</v>
      </c>
      <c r="P2106" s="1" t="s">
        <v>1554</v>
      </c>
      <c r="Q2106" s="42">
        <v>100</v>
      </c>
      <c r="R2106" s="42">
        <v>520</v>
      </c>
      <c r="S2106" s="42">
        <v>0.37</v>
      </c>
      <c r="T2106" s="10">
        <f>IFERROR(ROUND((Q2106/R2106),2),"NA")</f>
        <v>0.19</v>
      </c>
      <c r="U2106">
        <f t="shared" si="32"/>
        <v>37</v>
      </c>
    </row>
    <row r="2107" spans="7:21" x14ac:dyDescent="0.2">
      <c r="G2107" s="9" t="s">
        <v>2378</v>
      </c>
      <c r="H2107">
        <v>0</v>
      </c>
      <c r="M2107" s="1" t="s">
        <v>2378</v>
      </c>
      <c r="N2107" s="1">
        <v>197</v>
      </c>
      <c r="P2107" s="1" t="s">
        <v>2378</v>
      </c>
      <c r="Q2107" s="42">
        <v>0</v>
      </c>
      <c r="R2107" s="42">
        <v>197</v>
      </c>
      <c r="S2107" s="42">
        <v>0.11</v>
      </c>
      <c r="T2107" s="10">
        <f>IFERROR(ROUND((Q2107/R2107),2),"NA")</f>
        <v>0</v>
      </c>
      <c r="U2107">
        <f t="shared" si="32"/>
        <v>0</v>
      </c>
    </row>
    <row r="2108" spans="7:21" x14ac:dyDescent="0.2">
      <c r="G2108" s="9" t="s">
        <v>2887</v>
      </c>
      <c r="H2108">
        <v>30</v>
      </c>
      <c r="M2108" s="1" t="s">
        <v>2887</v>
      </c>
      <c r="N2108" s="1">
        <v>82</v>
      </c>
      <c r="P2108" s="1" t="s">
        <v>2887</v>
      </c>
      <c r="Q2108" s="42">
        <v>30</v>
      </c>
      <c r="R2108" s="42">
        <v>82</v>
      </c>
      <c r="S2108" s="42">
        <v>0</v>
      </c>
      <c r="T2108" s="10">
        <f>IFERROR(ROUND((Q2108/R2108),2),"NA")</f>
        <v>0.37</v>
      </c>
      <c r="U2108">
        <f t="shared" si="32"/>
        <v>0</v>
      </c>
    </row>
    <row r="2109" spans="7:21" x14ac:dyDescent="0.2">
      <c r="G2109" s="9" t="s">
        <v>231</v>
      </c>
      <c r="H2109">
        <v>152</v>
      </c>
      <c r="M2109" s="1" t="s">
        <v>231</v>
      </c>
      <c r="N2109" s="1">
        <v>1440</v>
      </c>
      <c r="P2109" s="1" t="s">
        <v>231</v>
      </c>
      <c r="Q2109" s="42">
        <v>152</v>
      </c>
      <c r="R2109" s="42">
        <v>1440</v>
      </c>
      <c r="S2109" s="42">
        <v>0.14333333333333334</v>
      </c>
      <c r="T2109" s="10">
        <f>IFERROR(ROUND((Q2109/R2109),2),"NA")</f>
        <v>0.11</v>
      </c>
      <c r="U2109">
        <f t="shared" si="32"/>
        <v>21.786666666666669</v>
      </c>
    </row>
    <row r="2110" spans="7:21" x14ac:dyDescent="0.2">
      <c r="G2110" s="9" t="s">
        <v>2284</v>
      </c>
      <c r="H2110">
        <v>40</v>
      </c>
      <c r="M2110" s="1" t="s">
        <v>2284</v>
      </c>
      <c r="N2110" s="1">
        <v>480</v>
      </c>
      <c r="P2110" s="1" t="s">
        <v>2284</v>
      </c>
      <c r="Q2110" s="42">
        <v>40</v>
      </c>
      <c r="R2110" s="42">
        <v>480</v>
      </c>
      <c r="S2110" s="42">
        <v>0.08</v>
      </c>
      <c r="T2110" s="10">
        <f>IFERROR(ROUND((Q2110/R2110),2),"NA")</f>
        <v>0.08</v>
      </c>
      <c r="U2110">
        <f t="shared" si="32"/>
        <v>3.2</v>
      </c>
    </row>
    <row r="2111" spans="7:21" x14ac:dyDescent="0.2">
      <c r="G2111" s="9" t="s">
        <v>2376</v>
      </c>
      <c r="H2111">
        <v>31</v>
      </c>
      <c r="M2111" s="1" t="s">
        <v>2376</v>
      </c>
      <c r="N2111" s="1">
        <v>61</v>
      </c>
      <c r="P2111" s="1" t="s">
        <v>2376</v>
      </c>
      <c r="Q2111" s="42">
        <v>31</v>
      </c>
      <c r="R2111" s="42">
        <v>61</v>
      </c>
      <c r="S2111" s="42">
        <v>0.14000000000000001</v>
      </c>
      <c r="T2111" s="10">
        <f>IFERROR(ROUND((Q2111/R2111),2),"NA")</f>
        <v>0.51</v>
      </c>
      <c r="U2111">
        <f t="shared" si="32"/>
        <v>4.3400000000000007</v>
      </c>
    </row>
    <row r="2112" spans="7:21" x14ac:dyDescent="0.2">
      <c r="G2112" s="9" t="s">
        <v>1336</v>
      </c>
      <c r="H2112">
        <v>24</v>
      </c>
      <c r="M2112" s="1" t="s">
        <v>1336</v>
      </c>
      <c r="N2112" s="1">
        <v>263</v>
      </c>
      <c r="P2112" s="1" t="s">
        <v>1336</v>
      </c>
      <c r="Q2112" s="42">
        <v>24</v>
      </c>
      <c r="R2112" s="42">
        <v>263</v>
      </c>
      <c r="S2112" s="42">
        <v>0</v>
      </c>
      <c r="T2112" s="10">
        <f>IFERROR(ROUND((Q2112/R2112),2),"NA")</f>
        <v>0.09</v>
      </c>
      <c r="U2112">
        <f t="shared" si="32"/>
        <v>0</v>
      </c>
    </row>
    <row r="2113" spans="7:21" x14ac:dyDescent="0.2">
      <c r="G2113" s="9" t="s">
        <v>2626</v>
      </c>
      <c r="H2113">
        <v>221</v>
      </c>
      <c r="M2113" s="1" t="s">
        <v>2626</v>
      </c>
      <c r="N2113" s="1">
        <v>62</v>
      </c>
      <c r="P2113" s="1" t="s">
        <v>2626</v>
      </c>
      <c r="Q2113" s="42">
        <v>221</v>
      </c>
      <c r="R2113" s="42">
        <v>62</v>
      </c>
      <c r="S2113" s="42">
        <v>1</v>
      </c>
      <c r="T2113" s="10">
        <f>IFERROR(ROUND((Q2113/R2113),2),"NA")</f>
        <v>3.56</v>
      </c>
      <c r="U2113">
        <f t="shared" si="32"/>
        <v>221</v>
      </c>
    </row>
    <row r="2114" spans="7:21" x14ac:dyDescent="0.2">
      <c r="G2114" s="9" t="s">
        <v>2164</v>
      </c>
      <c r="H2114">
        <v>23</v>
      </c>
      <c r="M2114" s="1" t="s">
        <v>2164</v>
      </c>
      <c r="N2114" s="1">
        <v>75</v>
      </c>
      <c r="P2114" s="1" t="s">
        <v>2164</v>
      </c>
      <c r="Q2114" s="42">
        <v>23</v>
      </c>
      <c r="R2114" s="42">
        <v>75</v>
      </c>
      <c r="S2114" s="42">
        <v>0.3</v>
      </c>
      <c r="T2114" s="10">
        <f>IFERROR(ROUND((Q2114/R2114),2),"NA")</f>
        <v>0.31</v>
      </c>
      <c r="U2114">
        <f t="shared" si="32"/>
        <v>6.8999999999999995</v>
      </c>
    </row>
    <row r="2115" spans="7:21" x14ac:dyDescent="0.2">
      <c r="G2115" s="9" t="s">
        <v>503</v>
      </c>
      <c r="H2115">
        <v>0</v>
      </c>
      <c r="M2115" s="1" t="s">
        <v>503</v>
      </c>
      <c r="N2115" s="1">
        <v>25</v>
      </c>
      <c r="P2115" s="1" t="s">
        <v>503</v>
      </c>
      <c r="Q2115" s="42">
        <v>0</v>
      </c>
      <c r="R2115" s="42">
        <v>25</v>
      </c>
      <c r="S2115" s="42">
        <v>0.5</v>
      </c>
      <c r="T2115" s="10">
        <f>IFERROR(ROUND((Q2115/R2115),2),"NA")</f>
        <v>0</v>
      </c>
      <c r="U2115">
        <f t="shared" si="32"/>
        <v>0</v>
      </c>
    </row>
    <row r="2116" spans="7:21" x14ac:dyDescent="0.2">
      <c r="G2116" s="9" t="s">
        <v>633</v>
      </c>
      <c r="H2116">
        <v>21</v>
      </c>
      <c r="M2116" s="1" t="s">
        <v>633</v>
      </c>
      <c r="N2116" s="1">
        <v>16</v>
      </c>
      <c r="P2116" s="1" t="s">
        <v>633</v>
      </c>
      <c r="Q2116" s="42">
        <v>21</v>
      </c>
      <c r="R2116" s="42">
        <v>16</v>
      </c>
      <c r="S2116" s="42">
        <v>0.28000000000000003</v>
      </c>
      <c r="T2116" s="10">
        <f>IFERROR(ROUND((Q2116/R2116),2),"NA")</f>
        <v>1.31</v>
      </c>
      <c r="U2116">
        <f t="shared" si="32"/>
        <v>5.8800000000000008</v>
      </c>
    </row>
    <row r="2117" spans="7:21" x14ac:dyDescent="0.2">
      <c r="G2117" s="9" t="s">
        <v>612</v>
      </c>
      <c r="H2117">
        <v>215</v>
      </c>
      <c r="M2117" s="1" t="s">
        <v>612</v>
      </c>
      <c r="N2117" s="1">
        <v>0</v>
      </c>
      <c r="P2117" s="1" t="s">
        <v>612</v>
      </c>
      <c r="Q2117" s="42">
        <v>215</v>
      </c>
      <c r="R2117" s="42">
        <v>0</v>
      </c>
      <c r="S2117" s="42">
        <v>0.05</v>
      </c>
      <c r="T2117" s="10" t="str">
        <f>IFERROR(ROUND((Q2117/R2117),2),"NA")</f>
        <v>NA</v>
      </c>
      <c r="U2117">
        <f t="shared" ref="U2117:U2180" si="33">Q2117*S2117</f>
        <v>10.75</v>
      </c>
    </row>
    <row r="2118" spans="7:21" x14ac:dyDescent="0.2">
      <c r="G2118" s="9" t="s">
        <v>2222</v>
      </c>
      <c r="H2118">
        <v>28</v>
      </c>
      <c r="M2118" s="1" t="s">
        <v>2222</v>
      </c>
      <c r="N2118" s="1">
        <v>0</v>
      </c>
      <c r="P2118" s="1" t="s">
        <v>2222</v>
      </c>
      <c r="Q2118" s="42">
        <v>28</v>
      </c>
      <c r="R2118" s="42">
        <v>0</v>
      </c>
      <c r="S2118" s="42">
        <v>0.2</v>
      </c>
      <c r="T2118" s="10" t="str">
        <f>IFERROR(ROUND((Q2118/R2118),2),"NA")</f>
        <v>NA</v>
      </c>
      <c r="U2118">
        <f t="shared" si="33"/>
        <v>5.6000000000000005</v>
      </c>
    </row>
    <row r="2119" spans="7:21" x14ac:dyDescent="0.2">
      <c r="G2119" s="9" t="s">
        <v>405</v>
      </c>
      <c r="H2119">
        <v>2688</v>
      </c>
      <c r="M2119" s="1" t="s">
        <v>405</v>
      </c>
      <c r="N2119" s="1">
        <v>474</v>
      </c>
      <c r="P2119" s="1" t="s">
        <v>405</v>
      </c>
      <c r="Q2119" s="42">
        <v>2688</v>
      </c>
      <c r="R2119" s="42">
        <v>474</v>
      </c>
      <c r="S2119" s="42">
        <v>0.17666666666666667</v>
      </c>
      <c r="T2119" s="10">
        <f>IFERROR(ROUND((Q2119/R2119),2),"NA")</f>
        <v>5.67</v>
      </c>
      <c r="U2119">
        <f t="shared" si="33"/>
        <v>474.88</v>
      </c>
    </row>
    <row r="2120" spans="7:21" x14ac:dyDescent="0.2">
      <c r="G2120" s="9" t="s">
        <v>884</v>
      </c>
      <c r="H2120">
        <v>80</v>
      </c>
      <c r="M2120" s="1" t="s">
        <v>884</v>
      </c>
      <c r="N2120" s="1">
        <v>0</v>
      </c>
      <c r="P2120" s="1" t="s">
        <v>884</v>
      </c>
      <c r="Q2120" s="42">
        <v>80</v>
      </c>
      <c r="R2120" s="42">
        <v>0</v>
      </c>
      <c r="S2120" s="42">
        <v>0.8</v>
      </c>
      <c r="T2120" s="10" t="str">
        <f>IFERROR(ROUND((Q2120/R2120),2),"NA")</f>
        <v>NA</v>
      </c>
      <c r="U2120">
        <f t="shared" si="33"/>
        <v>64</v>
      </c>
    </row>
    <row r="2121" spans="7:21" x14ac:dyDescent="0.2">
      <c r="G2121" s="9" t="s">
        <v>2595</v>
      </c>
      <c r="H2121">
        <v>0</v>
      </c>
      <c r="M2121" s="1" t="s">
        <v>2595</v>
      </c>
      <c r="N2121" s="1">
        <v>10</v>
      </c>
      <c r="P2121" s="1" t="s">
        <v>2595</v>
      </c>
      <c r="Q2121" s="42">
        <v>0</v>
      </c>
      <c r="R2121" s="42">
        <v>10</v>
      </c>
      <c r="S2121" s="42">
        <v>1</v>
      </c>
      <c r="T2121" s="10">
        <f>IFERROR(ROUND((Q2121/R2121),2),"NA")</f>
        <v>0</v>
      </c>
      <c r="U2121">
        <f t="shared" si="33"/>
        <v>0</v>
      </c>
    </row>
    <row r="2122" spans="7:21" x14ac:dyDescent="0.2">
      <c r="G2122" s="9" t="s">
        <v>2304</v>
      </c>
      <c r="H2122">
        <v>300</v>
      </c>
      <c r="M2122" s="1" t="s">
        <v>2304</v>
      </c>
      <c r="N2122" s="1">
        <v>1540</v>
      </c>
      <c r="P2122" s="1" t="s">
        <v>2304</v>
      </c>
      <c r="Q2122" s="42">
        <v>300</v>
      </c>
      <c r="R2122" s="42">
        <v>1540</v>
      </c>
      <c r="S2122" s="42">
        <v>0.1</v>
      </c>
      <c r="T2122" s="10">
        <f>IFERROR(ROUND((Q2122/R2122),2),"NA")</f>
        <v>0.19</v>
      </c>
      <c r="U2122">
        <f t="shared" si="33"/>
        <v>30</v>
      </c>
    </row>
    <row r="2123" spans="7:21" x14ac:dyDescent="0.2">
      <c r="G2123" s="9" t="s">
        <v>2652</v>
      </c>
      <c r="H2123">
        <v>1300</v>
      </c>
      <c r="M2123" s="1" t="s">
        <v>2652</v>
      </c>
      <c r="N2123" s="1">
        <v>0</v>
      </c>
      <c r="P2123" s="1" t="s">
        <v>2652</v>
      </c>
      <c r="Q2123" s="42">
        <v>1300</v>
      </c>
      <c r="R2123" s="42">
        <v>0</v>
      </c>
      <c r="S2123" s="42">
        <v>0.2</v>
      </c>
      <c r="T2123" s="10" t="str">
        <f>IFERROR(ROUND((Q2123/R2123),2),"NA")</f>
        <v>NA</v>
      </c>
      <c r="U2123">
        <f t="shared" si="33"/>
        <v>260</v>
      </c>
    </row>
    <row r="2124" spans="7:21" x14ac:dyDescent="0.2">
      <c r="G2124" s="9" t="s">
        <v>2707</v>
      </c>
      <c r="H2124">
        <v>250</v>
      </c>
      <c r="M2124" s="1" t="s">
        <v>2707</v>
      </c>
      <c r="N2124" s="1">
        <v>0</v>
      </c>
      <c r="P2124" s="1" t="s">
        <v>2707</v>
      </c>
      <c r="Q2124" s="42">
        <v>250</v>
      </c>
      <c r="R2124" s="42">
        <v>0</v>
      </c>
      <c r="S2124" s="42">
        <v>1</v>
      </c>
      <c r="T2124" s="10" t="str">
        <f>IFERROR(ROUND((Q2124/R2124),2),"NA")</f>
        <v>NA</v>
      </c>
      <c r="U2124">
        <f t="shared" si="33"/>
        <v>250</v>
      </c>
    </row>
    <row r="2125" spans="7:21" x14ac:dyDescent="0.2">
      <c r="G2125" s="9" t="s">
        <v>2399</v>
      </c>
      <c r="H2125">
        <v>59</v>
      </c>
      <c r="M2125" s="1" t="s">
        <v>2399</v>
      </c>
      <c r="N2125" s="1">
        <v>325</v>
      </c>
      <c r="P2125" s="1" t="s">
        <v>2399</v>
      </c>
      <c r="Q2125" s="42">
        <v>59</v>
      </c>
      <c r="R2125" s="42">
        <v>325</v>
      </c>
      <c r="S2125" s="42">
        <v>0.08</v>
      </c>
      <c r="T2125" s="10">
        <f>IFERROR(ROUND((Q2125/R2125),2),"NA")</f>
        <v>0.18</v>
      </c>
      <c r="U2125">
        <f t="shared" si="33"/>
        <v>4.72</v>
      </c>
    </row>
    <row r="2126" spans="7:21" x14ac:dyDescent="0.2">
      <c r="G2126" s="9" t="s">
        <v>1837</v>
      </c>
      <c r="H2126">
        <v>0</v>
      </c>
      <c r="M2126" s="1" t="s">
        <v>1837</v>
      </c>
      <c r="N2126" s="1">
        <v>18</v>
      </c>
      <c r="P2126" s="1" t="s">
        <v>1837</v>
      </c>
      <c r="Q2126" s="42">
        <v>0</v>
      </c>
      <c r="R2126" s="42">
        <v>18</v>
      </c>
      <c r="S2126" s="42">
        <v>0.25</v>
      </c>
      <c r="T2126" s="10">
        <f>IFERROR(ROUND((Q2126/R2126),2),"NA")</f>
        <v>0</v>
      </c>
      <c r="U2126">
        <f t="shared" si="33"/>
        <v>0</v>
      </c>
    </row>
    <row r="2127" spans="7:21" x14ac:dyDescent="0.2">
      <c r="G2127" s="9" t="s">
        <v>290</v>
      </c>
      <c r="H2127">
        <v>260</v>
      </c>
      <c r="M2127" s="1" t="s">
        <v>290</v>
      </c>
      <c r="N2127" s="1">
        <v>862</v>
      </c>
      <c r="P2127" s="1" t="s">
        <v>290</v>
      </c>
      <c r="Q2127" s="42">
        <v>260</v>
      </c>
      <c r="R2127" s="42">
        <v>862</v>
      </c>
      <c r="S2127" s="42">
        <v>0.12</v>
      </c>
      <c r="T2127" s="10">
        <f>IFERROR(ROUND((Q2127/R2127),2),"NA")</f>
        <v>0.3</v>
      </c>
      <c r="U2127">
        <f t="shared" si="33"/>
        <v>31.2</v>
      </c>
    </row>
    <row r="2128" spans="7:21" x14ac:dyDescent="0.2">
      <c r="G2128" s="9" t="s">
        <v>479</v>
      </c>
      <c r="H2128">
        <v>0</v>
      </c>
      <c r="M2128" s="1" t="s">
        <v>479</v>
      </c>
      <c r="N2128" s="1">
        <v>0</v>
      </c>
      <c r="P2128" s="1" t="s">
        <v>479</v>
      </c>
      <c r="Q2128" s="42">
        <v>0</v>
      </c>
      <c r="R2128" s="42">
        <v>0</v>
      </c>
      <c r="S2128" s="42">
        <v>1</v>
      </c>
      <c r="T2128" s="10" t="str">
        <f>IFERROR(ROUND((Q2128/R2128),2),"NA")</f>
        <v>NA</v>
      </c>
      <c r="U2128">
        <f t="shared" si="33"/>
        <v>0</v>
      </c>
    </row>
    <row r="2129" spans="7:21" x14ac:dyDescent="0.2">
      <c r="G2129" s="9" t="s">
        <v>1768</v>
      </c>
      <c r="H2129">
        <v>0</v>
      </c>
      <c r="M2129" s="1" t="s">
        <v>1768</v>
      </c>
      <c r="N2129" s="1">
        <v>151</v>
      </c>
      <c r="P2129" s="1" t="s">
        <v>1768</v>
      </c>
      <c r="Q2129" s="42">
        <v>0</v>
      </c>
      <c r="R2129" s="42">
        <v>151</v>
      </c>
      <c r="S2129" s="42">
        <v>0.14000000000000001</v>
      </c>
      <c r="T2129" s="10">
        <f>IFERROR(ROUND((Q2129/R2129),2),"NA")</f>
        <v>0</v>
      </c>
      <c r="U2129">
        <f t="shared" si="33"/>
        <v>0</v>
      </c>
    </row>
    <row r="2130" spans="7:21" x14ac:dyDescent="0.2">
      <c r="G2130" s="9" t="s">
        <v>2285</v>
      </c>
      <c r="H2130">
        <v>20</v>
      </c>
      <c r="M2130" s="1" t="s">
        <v>2285</v>
      </c>
      <c r="N2130" s="1">
        <v>58</v>
      </c>
      <c r="P2130" s="1" t="s">
        <v>2285</v>
      </c>
      <c r="Q2130" s="42">
        <v>20</v>
      </c>
      <c r="R2130" s="42">
        <v>58</v>
      </c>
      <c r="S2130" s="42">
        <v>0.12</v>
      </c>
      <c r="T2130" s="10">
        <f>IFERROR(ROUND((Q2130/R2130),2),"NA")</f>
        <v>0.34</v>
      </c>
      <c r="U2130">
        <f t="shared" si="33"/>
        <v>2.4</v>
      </c>
    </row>
    <row r="2131" spans="7:21" x14ac:dyDescent="0.2">
      <c r="G2131" s="9" t="s">
        <v>797</v>
      </c>
      <c r="H2131">
        <v>100</v>
      </c>
      <c r="M2131" s="1" t="s">
        <v>797</v>
      </c>
      <c r="N2131" s="1">
        <v>333</v>
      </c>
      <c r="P2131" s="1" t="s">
        <v>797</v>
      </c>
      <c r="Q2131" s="42">
        <v>100</v>
      </c>
      <c r="R2131" s="42">
        <v>333</v>
      </c>
      <c r="S2131" s="42">
        <v>0.25</v>
      </c>
      <c r="T2131" s="10">
        <f>IFERROR(ROUND((Q2131/R2131),2),"NA")</f>
        <v>0.3</v>
      </c>
      <c r="U2131">
        <f t="shared" si="33"/>
        <v>25</v>
      </c>
    </row>
    <row r="2132" spans="7:21" x14ac:dyDescent="0.2">
      <c r="G2132" s="9" t="s">
        <v>2551</v>
      </c>
      <c r="H2132">
        <v>0</v>
      </c>
      <c r="M2132" s="1" t="s">
        <v>2551</v>
      </c>
      <c r="N2132" s="1">
        <v>76.2</v>
      </c>
      <c r="P2132" s="1" t="s">
        <v>2551</v>
      </c>
      <c r="Q2132" s="42">
        <v>0</v>
      </c>
      <c r="R2132" s="42">
        <v>76.2</v>
      </c>
      <c r="S2132" s="42">
        <v>0</v>
      </c>
      <c r="T2132" s="10">
        <f>IFERROR(ROUND((Q2132/R2132),2),"NA")</f>
        <v>0</v>
      </c>
      <c r="U2132">
        <f t="shared" si="33"/>
        <v>0</v>
      </c>
    </row>
    <row r="2133" spans="7:21" x14ac:dyDescent="0.2">
      <c r="G2133" s="9" t="s">
        <v>1685</v>
      </c>
      <c r="H2133">
        <v>0</v>
      </c>
      <c r="M2133" s="1" t="s">
        <v>1685</v>
      </c>
      <c r="N2133" s="1">
        <v>63</v>
      </c>
      <c r="P2133" s="1" t="s">
        <v>1685</v>
      </c>
      <c r="Q2133" s="42">
        <v>0</v>
      </c>
      <c r="R2133" s="42">
        <v>63</v>
      </c>
      <c r="S2133" s="42">
        <v>0</v>
      </c>
      <c r="T2133" s="10">
        <f>IFERROR(ROUND((Q2133/R2133),2),"NA")</f>
        <v>0</v>
      </c>
      <c r="U2133">
        <f t="shared" si="33"/>
        <v>0</v>
      </c>
    </row>
    <row r="2134" spans="7:21" x14ac:dyDescent="0.2">
      <c r="G2134" s="9" t="s">
        <v>958</v>
      </c>
      <c r="H2134">
        <v>1050</v>
      </c>
      <c r="M2134" s="1" t="s">
        <v>958</v>
      </c>
      <c r="N2134" s="1">
        <v>13300</v>
      </c>
      <c r="P2134" s="1" t="s">
        <v>958</v>
      </c>
      <c r="Q2134" s="42">
        <v>1050</v>
      </c>
      <c r="R2134" s="42">
        <v>13300</v>
      </c>
      <c r="S2134" s="42">
        <v>0.14000000000000001</v>
      </c>
      <c r="T2134" s="10">
        <f>IFERROR(ROUND((Q2134/R2134),2),"NA")</f>
        <v>0.08</v>
      </c>
      <c r="U2134">
        <f t="shared" si="33"/>
        <v>147</v>
      </c>
    </row>
    <row r="2135" spans="7:21" x14ac:dyDescent="0.2">
      <c r="G2135" s="9" t="s">
        <v>1342</v>
      </c>
      <c r="H2135">
        <v>40</v>
      </c>
      <c r="M2135" s="1" t="s">
        <v>1342</v>
      </c>
      <c r="N2135" s="1">
        <v>76</v>
      </c>
      <c r="P2135" s="1" t="s">
        <v>1342</v>
      </c>
      <c r="Q2135" s="42">
        <v>40</v>
      </c>
      <c r="R2135" s="42">
        <v>76</v>
      </c>
      <c r="S2135" s="42">
        <v>0</v>
      </c>
      <c r="T2135" s="10">
        <f>IFERROR(ROUND((Q2135/R2135),2),"NA")</f>
        <v>0.53</v>
      </c>
      <c r="U2135">
        <f t="shared" si="33"/>
        <v>0</v>
      </c>
    </row>
    <row r="2136" spans="7:21" x14ac:dyDescent="0.2">
      <c r="G2136" s="9" t="s">
        <v>2153</v>
      </c>
      <c r="H2136">
        <v>200</v>
      </c>
      <c r="M2136" s="1" t="s">
        <v>2153</v>
      </c>
      <c r="N2136" s="1">
        <v>78</v>
      </c>
      <c r="P2136" s="1" t="s">
        <v>2153</v>
      </c>
      <c r="Q2136" s="42">
        <v>200</v>
      </c>
      <c r="R2136" s="42">
        <v>78</v>
      </c>
      <c r="S2136" s="42">
        <v>0</v>
      </c>
      <c r="T2136" s="10">
        <f>IFERROR(ROUND((Q2136/R2136),2),"NA")</f>
        <v>2.56</v>
      </c>
      <c r="U2136">
        <f t="shared" si="33"/>
        <v>0</v>
      </c>
    </row>
    <row r="2137" spans="7:21" x14ac:dyDescent="0.2">
      <c r="G2137" s="9" t="s">
        <v>1929</v>
      </c>
      <c r="H2137">
        <v>33</v>
      </c>
      <c r="M2137" s="1" t="s">
        <v>1929</v>
      </c>
      <c r="N2137" s="1">
        <v>100</v>
      </c>
      <c r="P2137" s="1" t="s">
        <v>1929</v>
      </c>
      <c r="Q2137" s="42">
        <v>33</v>
      </c>
      <c r="R2137" s="42">
        <v>100</v>
      </c>
      <c r="S2137" s="42">
        <v>0.4</v>
      </c>
      <c r="T2137" s="10">
        <f>IFERROR(ROUND((Q2137/R2137),2),"NA")</f>
        <v>0.33</v>
      </c>
      <c r="U2137">
        <f t="shared" si="33"/>
        <v>13.200000000000001</v>
      </c>
    </row>
    <row r="2138" spans="7:21" x14ac:dyDescent="0.2">
      <c r="G2138" s="9" t="s">
        <v>1776</v>
      </c>
      <c r="H2138">
        <v>70</v>
      </c>
      <c r="M2138" s="1" t="s">
        <v>1776</v>
      </c>
      <c r="N2138" s="1">
        <v>64</v>
      </c>
      <c r="P2138" s="1" t="s">
        <v>1776</v>
      </c>
      <c r="Q2138" s="42">
        <v>70</v>
      </c>
      <c r="R2138" s="42">
        <v>64</v>
      </c>
      <c r="S2138" s="42">
        <v>0</v>
      </c>
      <c r="T2138" s="10">
        <f>IFERROR(ROUND((Q2138/R2138),2),"NA")</f>
        <v>1.0900000000000001</v>
      </c>
      <c r="U2138">
        <f t="shared" si="33"/>
        <v>0</v>
      </c>
    </row>
    <row r="2139" spans="7:21" x14ac:dyDescent="0.2">
      <c r="G2139" s="9" t="s">
        <v>817</v>
      </c>
      <c r="H2139">
        <v>0</v>
      </c>
      <c r="M2139" s="1" t="s">
        <v>817</v>
      </c>
      <c r="N2139" s="1">
        <v>80</v>
      </c>
      <c r="P2139" s="1" t="s">
        <v>817</v>
      </c>
      <c r="Q2139" s="42">
        <v>0</v>
      </c>
      <c r="R2139" s="42">
        <v>80</v>
      </c>
      <c r="S2139" s="42">
        <v>0.17</v>
      </c>
      <c r="T2139" s="10">
        <f>IFERROR(ROUND((Q2139/R2139),2),"NA")</f>
        <v>0</v>
      </c>
      <c r="U2139">
        <f t="shared" si="33"/>
        <v>0</v>
      </c>
    </row>
    <row r="2140" spans="7:21" x14ac:dyDescent="0.2">
      <c r="G2140" s="9" t="s">
        <v>1328</v>
      </c>
      <c r="H2140">
        <v>19</v>
      </c>
      <c r="M2140" s="1" t="s">
        <v>1328</v>
      </c>
      <c r="N2140" s="1">
        <v>126</v>
      </c>
      <c r="P2140" s="1" t="s">
        <v>1328</v>
      </c>
      <c r="Q2140" s="42">
        <v>19</v>
      </c>
      <c r="R2140" s="42">
        <v>126</v>
      </c>
      <c r="S2140" s="42">
        <v>0.25</v>
      </c>
      <c r="T2140" s="10">
        <f>IFERROR(ROUND((Q2140/R2140),2),"NA")</f>
        <v>0.15</v>
      </c>
      <c r="U2140">
        <f t="shared" si="33"/>
        <v>4.75</v>
      </c>
    </row>
    <row r="2141" spans="7:21" x14ac:dyDescent="0.2">
      <c r="G2141" s="9" t="s">
        <v>2708</v>
      </c>
      <c r="H2141">
        <v>30</v>
      </c>
      <c r="M2141" s="1" t="s">
        <v>2708</v>
      </c>
      <c r="N2141" s="1">
        <v>17</v>
      </c>
      <c r="P2141" s="1" t="s">
        <v>2708</v>
      </c>
      <c r="Q2141" s="42">
        <v>30</v>
      </c>
      <c r="R2141" s="42">
        <v>17</v>
      </c>
      <c r="S2141" s="42">
        <v>0.2</v>
      </c>
      <c r="T2141" s="10">
        <f>IFERROR(ROUND((Q2141/R2141),2),"NA")</f>
        <v>1.76</v>
      </c>
      <c r="U2141">
        <f t="shared" si="33"/>
        <v>6</v>
      </c>
    </row>
    <row r="2142" spans="7:21" x14ac:dyDescent="0.2">
      <c r="G2142" s="9" t="s">
        <v>2441</v>
      </c>
      <c r="H2142">
        <v>0</v>
      </c>
      <c r="M2142" s="1" t="s">
        <v>2441</v>
      </c>
      <c r="N2142" s="1">
        <v>0</v>
      </c>
      <c r="P2142" s="1" t="s">
        <v>2441</v>
      </c>
      <c r="Q2142" s="42">
        <v>0</v>
      </c>
      <c r="R2142" s="42">
        <v>0</v>
      </c>
      <c r="S2142" s="42">
        <v>1</v>
      </c>
      <c r="T2142" s="10" t="str">
        <f>IFERROR(ROUND((Q2142/R2142),2),"NA")</f>
        <v>NA</v>
      </c>
      <c r="U2142">
        <f t="shared" si="33"/>
        <v>0</v>
      </c>
    </row>
    <row r="2143" spans="7:21" x14ac:dyDescent="0.2">
      <c r="G2143" s="9" t="s">
        <v>2297</v>
      </c>
      <c r="H2143">
        <v>13</v>
      </c>
      <c r="M2143" s="1" t="s">
        <v>2297</v>
      </c>
      <c r="N2143" s="1">
        <v>82</v>
      </c>
      <c r="P2143" s="1" t="s">
        <v>2297</v>
      </c>
      <c r="Q2143" s="42">
        <v>13</v>
      </c>
      <c r="R2143" s="42">
        <v>82</v>
      </c>
      <c r="S2143" s="42">
        <v>0.14000000000000001</v>
      </c>
      <c r="T2143" s="10">
        <f>IFERROR(ROUND((Q2143/R2143),2),"NA")</f>
        <v>0.16</v>
      </c>
      <c r="U2143">
        <f t="shared" si="33"/>
        <v>1.8200000000000003</v>
      </c>
    </row>
    <row r="2144" spans="7:21" x14ac:dyDescent="0.2">
      <c r="G2144" s="9" t="s">
        <v>2337</v>
      </c>
      <c r="H2144">
        <v>101</v>
      </c>
      <c r="M2144" s="1" t="s">
        <v>2337</v>
      </c>
      <c r="N2144" s="1">
        <v>7</v>
      </c>
      <c r="P2144" s="1" t="s">
        <v>2337</v>
      </c>
      <c r="Q2144" s="42">
        <v>101</v>
      </c>
      <c r="R2144" s="42">
        <v>7</v>
      </c>
      <c r="S2144" s="42">
        <v>1</v>
      </c>
      <c r="T2144" s="10">
        <f>IFERROR(ROUND((Q2144/R2144),2),"NA")</f>
        <v>14.43</v>
      </c>
      <c r="U2144">
        <f t="shared" si="33"/>
        <v>101</v>
      </c>
    </row>
    <row r="2145" spans="7:21" x14ac:dyDescent="0.2">
      <c r="G2145" s="9" t="s">
        <v>1022</v>
      </c>
      <c r="H2145">
        <v>79</v>
      </c>
      <c r="M2145" s="1" t="s">
        <v>1022</v>
      </c>
      <c r="N2145" s="1">
        <v>340</v>
      </c>
      <c r="P2145" s="1" t="s">
        <v>1022</v>
      </c>
      <c r="Q2145" s="42">
        <v>79</v>
      </c>
      <c r="R2145" s="42">
        <v>340</v>
      </c>
      <c r="S2145" s="42">
        <v>0</v>
      </c>
      <c r="T2145" s="10">
        <f>IFERROR(ROUND((Q2145/R2145),2),"NA")</f>
        <v>0.23</v>
      </c>
      <c r="U2145">
        <f t="shared" si="33"/>
        <v>0</v>
      </c>
    </row>
    <row r="2146" spans="7:21" x14ac:dyDescent="0.2">
      <c r="G2146" s="9" t="s">
        <v>2418</v>
      </c>
      <c r="H2146">
        <v>100</v>
      </c>
      <c r="M2146" s="1" t="s">
        <v>2418</v>
      </c>
      <c r="N2146" s="1">
        <v>103</v>
      </c>
      <c r="P2146" s="1" t="s">
        <v>2418</v>
      </c>
      <c r="Q2146" s="42">
        <v>100</v>
      </c>
      <c r="R2146" s="42">
        <v>103</v>
      </c>
      <c r="S2146" s="42">
        <v>0.03</v>
      </c>
      <c r="T2146" s="10">
        <f>IFERROR(ROUND((Q2146/R2146),2),"NA")</f>
        <v>0.97</v>
      </c>
      <c r="U2146">
        <f t="shared" si="33"/>
        <v>3</v>
      </c>
    </row>
    <row r="2147" spans="7:21" x14ac:dyDescent="0.2">
      <c r="G2147" s="9" t="s">
        <v>2290</v>
      </c>
      <c r="H2147">
        <v>0</v>
      </c>
      <c r="M2147" s="1" t="s">
        <v>2290</v>
      </c>
      <c r="N2147" s="1">
        <v>135</v>
      </c>
      <c r="P2147" s="1" t="s">
        <v>2290</v>
      </c>
      <c r="Q2147" s="42">
        <v>0</v>
      </c>
      <c r="R2147" s="42">
        <v>135</v>
      </c>
      <c r="S2147" s="42">
        <v>0.15</v>
      </c>
      <c r="T2147" s="10">
        <f>IFERROR(ROUND((Q2147/R2147),2),"NA")</f>
        <v>0</v>
      </c>
      <c r="U2147">
        <f t="shared" si="33"/>
        <v>0</v>
      </c>
    </row>
    <row r="2148" spans="7:21" x14ac:dyDescent="0.2">
      <c r="G2148" s="9" t="s">
        <v>2249</v>
      </c>
      <c r="H2148">
        <v>24</v>
      </c>
      <c r="M2148" s="1" t="s">
        <v>2249</v>
      </c>
      <c r="N2148" s="1">
        <v>74</v>
      </c>
      <c r="P2148" s="1" t="s">
        <v>2249</v>
      </c>
      <c r="Q2148" s="42">
        <v>24</v>
      </c>
      <c r="R2148" s="42">
        <v>74</v>
      </c>
      <c r="S2148" s="42">
        <v>0.13</v>
      </c>
      <c r="T2148" s="10">
        <f>IFERROR(ROUND((Q2148/R2148),2),"NA")</f>
        <v>0.32</v>
      </c>
      <c r="U2148">
        <f t="shared" si="33"/>
        <v>3.12</v>
      </c>
    </row>
    <row r="2149" spans="7:21" x14ac:dyDescent="0.2">
      <c r="G2149" s="9" t="s">
        <v>516</v>
      </c>
      <c r="H2149">
        <v>0</v>
      </c>
      <c r="M2149" s="1" t="s">
        <v>516</v>
      </c>
      <c r="N2149" s="1">
        <v>32</v>
      </c>
      <c r="P2149" s="1" t="s">
        <v>516</v>
      </c>
      <c r="Q2149" s="42">
        <v>0</v>
      </c>
      <c r="R2149" s="42">
        <v>32</v>
      </c>
      <c r="S2149" s="42">
        <v>1</v>
      </c>
      <c r="T2149" s="10">
        <f>IFERROR(ROUND((Q2149/R2149),2),"NA")</f>
        <v>0</v>
      </c>
      <c r="U2149">
        <f t="shared" si="33"/>
        <v>0</v>
      </c>
    </row>
    <row r="2150" spans="7:21" x14ac:dyDescent="0.2">
      <c r="G2150" s="9" t="s">
        <v>2392</v>
      </c>
      <c r="H2150">
        <v>23</v>
      </c>
      <c r="M2150" s="1" t="s">
        <v>2392</v>
      </c>
      <c r="N2150" s="1">
        <v>108</v>
      </c>
      <c r="P2150" s="1" t="s">
        <v>2392</v>
      </c>
      <c r="Q2150" s="42">
        <v>23</v>
      </c>
      <c r="R2150" s="42">
        <v>108</v>
      </c>
      <c r="S2150" s="42">
        <v>0.22</v>
      </c>
      <c r="T2150" s="10">
        <f>IFERROR(ROUND((Q2150/R2150),2),"NA")</f>
        <v>0.21</v>
      </c>
      <c r="U2150">
        <f t="shared" si="33"/>
        <v>5.0599999999999996</v>
      </c>
    </row>
    <row r="2151" spans="7:21" x14ac:dyDescent="0.2">
      <c r="G2151" s="9" t="s">
        <v>2335</v>
      </c>
      <c r="H2151">
        <v>0</v>
      </c>
      <c r="M2151" s="1" t="s">
        <v>2335</v>
      </c>
      <c r="N2151" s="1">
        <v>0</v>
      </c>
      <c r="P2151" s="1" t="s">
        <v>2335</v>
      </c>
      <c r="Q2151" s="42">
        <v>0</v>
      </c>
      <c r="R2151" s="42">
        <v>0</v>
      </c>
      <c r="S2151" s="42">
        <v>1</v>
      </c>
      <c r="T2151" s="10" t="str">
        <f>IFERROR(ROUND((Q2151/R2151),2),"NA")</f>
        <v>NA</v>
      </c>
      <c r="U2151">
        <f t="shared" si="33"/>
        <v>0</v>
      </c>
    </row>
    <row r="2152" spans="7:21" x14ac:dyDescent="0.2">
      <c r="G2152" s="9" t="s">
        <v>2549</v>
      </c>
      <c r="H2152">
        <v>30</v>
      </c>
      <c r="M2152" s="1" t="s">
        <v>2549</v>
      </c>
      <c r="N2152" s="1">
        <v>36</v>
      </c>
      <c r="P2152" s="1" t="s">
        <v>2549</v>
      </c>
      <c r="Q2152" s="42">
        <v>30</v>
      </c>
      <c r="R2152" s="42">
        <v>36</v>
      </c>
      <c r="S2152" s="42">
        <v>0</v>
      </c>
      <c r="T2152" s="10">
        <f>IFERROR(ROUND((Q2152/R2152),2),"NA")</f>
        <v>0.83</v>
      </c>
      <c r="U2152">
        <f t="shared" si="33"/>
        <v>0</v>
      </c>
    </row>
    <row r="2153" spans="7:21" x14ac:dyDescent="0.2">
      <c r="G2153" s="9" t="s">
        <v>496</v>
      </c>
      <c r="H2153">
        <v>35</v>
      </c>
      <c r="M2153" s="1" t="s">
        <v>496</v>
      </c>
      <c r="N2153" s="1">
        <v>523</v>
      </c>
      <c r="P2153" s="1" t="s">
        <v>496</v>
      </c>
      <c r="Q2153" s="42">
        <v>35</v>
      </c>
      <c r="R2153" s="42">
        <v>523</v>
      </c>
      <c r="S2153" s="42">
        <v>7.0000000000000007E-2</v>
      </c>
      <c r="T2153" s="10">
        <f>IFERROR(ROUND((Q2153/R2153),2),"NA")</f>
        <v>7.0000000000000007E-2</v>
      </c>
      <c r="U2153">
        <f t="shared" si="33"/>
        <v>2.4500000000000002</v>
      </c>
    </row>
    <row r="2154" spans="7:21" x14ac:dyDescent="0.2">
      <c r="G2154" s="9" t="s">
        <v>1651</v>
      </c>
      <c r="H2154">
        <v>0</v>
      </c>
      <c r="M2154" s="1" t="s">
        <v>1651</v>
      </c>
      <c r="N2154" s="1">
        <v>9</v>
      </c>
      <c r="P2154" s="1" t="s">
        <v>1651</v>
      </c>
      <c r="Q2154" s="42">
        <v>0</v>
      </c>
      <c r="R2154" s="42">
        <v>9</v>
      </c>
      <c r="S2154" s="42">
        <v>0.3</v>
      </c>
      <c r="T2154" s="10">
        <f>IFERROR(ROUND((Q2154/R2154),2),"NA")</f>
        <v>0</v>
      </c>
      <c r="U2154">
        <f t="shared" si="33"/>
        <v>0</v>
      </c>
    </row>
    <row r="2155" spans="7:21" x14ac:dyDescent="0.2">
      <c r="G2155" s="9" t="s">
        <v>2345</v>
      </c>
      <c r="H2155">
        <v>250</v>
      </c>
      <c r="M2155" s="1" t="s">
        <v>2345</v>
      </c>
      <c r="N2155" s="1">
        <v>169</v>
      </c>
      <c r="P2155" s="1" t="s">
        <v>2345</v>
      </c>
      <c r="Q2155" s="42">
        <v>250</v>
      </c>
      <c r="R2155" s="42">
        <v>169</v>
      </c>
      <c r="S2155" s="42">
        <v>0.17</v>
      </c>
      <c r="T2155" s="10">
        <f>IFERROR(ROUND((Q2155/R2155),2),"NA")</f>
        <v>1.48</v>
      </c>
      <c r="U2155">
        <f t="shared" si="33"/>
        <v>42.5</v>
      </c>
    </row>
    <row r="2156" spans="7:21" x14ac:dyDescent="0.2">
      <c r="G2156" s="9" t="s">
        <v>2755</v>
      </c>
      <c r="H2156">
        <v>0</v>
      </c>
      <c r="M2156" s="1" t="s">
        <v>2755</v>
      </c>
      <c r="N2156" s="1">
        <v>7</v>
      </c>
      <c r="P2156" s="1" t="s">
        <v>2755</v>
      </c>
      <c r="Q2156" s="42">
        <v>0</v>
      </c>
      <c r="R2156" s="42">
        <v>7</v>
      </c>
      <c r="S2156" s="42">
        <v>0.3</v>
      </c>
      <c r="T2156" s="10">
        <f>IFERROR(ROUND((Q2156/R2156),2),"NA")</f>
        <v>0</v>
      </c>
      <c r="U2156">
        <f t="shared" si="33"/>
        <v>0</v>
      </c>
    </row>
    <row r="2157" spans="7:21" x14ac:dyDescent="0.2">
      <c r="G2157" s="9" t="s">
        <v>2141</v>
      </c>
      <c r="H2157">
        <v>35</v>
      </c>
      <c r="M2157" s="1" t="s">
        <v>2141</v>
      </c>
      <c r="N2157" s="1">
        <v>956</v>
      </c>
      <c r="P2157" s="1" t="s">
        <v>2141</v>
      </c>
      <c r="Q2157" s="42">
        <v>35</v>
      </c>
      <c r="R2157" s="42">
        <v>956</v>
      </c>
      <c r="S2157" s="42">
        <v>0.1</v>
      </c>
      <c r="T2157" s="10">
        <f>IFERROR(ROUND((Q2157/R2157),2),"NA")</f>
        <v>0.04</v>
      </c>
      <c r="U2157">
        <f t="shared" si="33"/>
        <v>3.5</v>
      </c>
    </row>
    <row r="2158" spans="7:21" x14ac:dyDescent="0.2">
      <c r="G2158" s="9" t="s">
        <v>371</v>
      </c>
      <c r="H2158">
        <v>3280</v>
      </c>
      <c r="M2158" s="1" t="s">
        <v>371</v>
      </c>
      <c r="N2158" s="1">
        <v>15600</v>
      </c>
      <c r="P2158" s="1" t="s">
        <v>371</v>
      </c>
      <c r="Q2158" s="42">
        <v>3280</v>
      </c>
      <c r="R2158" s="42">
        <v>15600</v>
      </c>
      <c r="S2158" s="42">
        <v>7.0000000000000007E-2</v>
      </c>
      <c r="T2158" s="10">
        <f>IFERROR(ROUND((Q2158/R2158),2),"NA")</f>
        <v>0.21</v>
      </c>
      <c r="U2158">
        <f t="shared" si="33"/>
        <v>229.60000000000002</v>
      </c>
    </row>
    <row r="2159" spans="7:21" x14ac:dyDescent="0.2">
      <c r="G2159" s="9" t="s">
        <v>2542</v>
      </c>
      <c r="H2159">
        <v>0</v>
      </c>
      <c r="M2159" s="1" t="s">
        <v>2542</v>
      </c>
      <c r="N2159" s="1">
        <v>22.8</v>
      </c>
      <c r="P2159" s="1" t="s">
        <v>2542</v>
      </c>
      <c r="Q2159" s="42">
        <v>0</v>
      </c>
      <c r="R2159" s="42">
        <v>22.8</v>
      </c>
      <c r="S2159" s="42">
        <v>0</v>
      </c>
      <c r="T2159" s="10">
        <f>IFERROR(ROUND((Q2159/R2159),2),"NA")</f>
        <v>0</v>
      </c>
      <c r="U2159">
        <f t="shared" si="33"/>
        <v>0</v>
      </c>
    </row>
    <row r="2160" spans="7:21" x14ac:dyDescent="0.2">
      <c r="G2160" s="9" t="s">
        <v>1815</v>
      </c>
      <c r="H2160">
        <v>400</v>
      </c>
      <c r="M2160" s="1" t="s">
        <v>1815</v>
      </c>
      <c r="N2160" s="1">
        <v>396</v>
      </c>
      <c r="P2160" s="1" t="s">
        <v>1815</v>
      </c>
      <c r="Q2160" s="42">
        <v>400</v>
      </c>
      <c r="R2160" s="42">
        <v>396</v>
      </c>
      <c r="S2160" s="42">
        <v>0.41000000000000003</v>
      </c>
      <c r="T2160" s="10">
        <f>IFERROR(ROUND((Q2160/R2160),2),"NA")</f>
        <v>1.01</v>
      </c>
      <c r="U2160">
        <f t="shared" si="33"/>
        <v>164</v>
      </c>
    </row>
    <row r="2161" spans="7:21" x14ac:dyDescent="0.2">
      <c r="G2161" s="9" t="s">
        <v>2352</v>
      </c>
      <c r="H2161">
        <v>10</v>
      </c>
      <c r="M2161" s="1" t="s">
        <v>2352</v>
      </c>
      <c r="N2161" s="1">
        <v>20</v>
      </c>
      <c r="P2161" s="1" t="s">
        <v>2352</v>
      </c>
      <c r="Q2161" s="42">
        <v>10</v>
      </c>
      <c r="R2161" s="42">
        <v>20</v>
      </c>
      <c r="S2161" s="42">
        <v>0.3</v>
      </c>
      <c r="T2161" s="10">
        <f>IFERROR(ROUND((Q2161/R2161),2),"NA")</f>
        <v>0.5</v>
      </c>
      <c r="U2161">
        <f t="shared" si="33"/>
        <v>3</v>
      </c>
    </row>
    <row r="2162" spans="7:21" x14ac:dyDescent="0.2">
      <c r="G2162" s="9" t="s">
        <v>1750</v>
      </c>
      <c r="H2162">
        <v>164</v>
      </c>
      <c r="M2162" s="1" t="s">
        <v>1750</v>
      </c>
      <c r="N2162" s="1">
        <v>0</v>
      </c>
      <c r="P2162" s="1" t="s">
        <v>1750</v>
      </c>
      <c r="Q2162" s="42">
        <v>164</v>
      </c>
      <c r="R2162" s="42">
        <v>0</v>
      </c>
      <c r="S2162" s="42">
        <v>0.30499999999999999</v>
      </c>
      <c r="T2162" s="10" t="str">
        <f>IFERROR(ROUND((Q2162/R2162),2),"NA")</f>
        <v>NA</v>
      </c>
      <c r="U2162">
        <f t="shared" si="33"/>
        <v>50.019999999999996</v>
      </c>
    </row>
    <row r="2163" spans="7:21" x14ac:dyDescent="0.2">
      <c r="G2163" s="9" t="s">
        <v>1395</v>
      </c>
      <c r="H2163">
        <v>30</v>
      </c>
      <c r="M2163" s="1" t="s">
        <v>1395</v>
      </c>
      <c r="N2163" s="1">
        <v>0</v>
      </c>
      <c r="P2163" s="1" t="s">
        <v>1395</v>
      </c>
      <c r="Q2163" s="42">
        <v>30</v>
      </c>
      <c r="R2163" s="42">
        <v>0</v>
      </c>
      <c r="S2163" s="42">
        <v>0.2</v>
      </c>
      <c r="T2163" s="10" t="str">
        <f>IFERROR(ROUND((Q2163/R2163),2),"NA")</f>
        <v>NA</v>
      </c>
      <c r="U2163">
        <f t="shared" si="33"/>
        <v>6</v>
      </c>
    </row>
    <row r="2164" spans="7:21" x14ac:dyDescent="0.2">
      <c r="G2164" s="9" t="s">
        <v>1265</v>
      </c>
      <c r="H2164">
        <v>50</v>
      </c>
      <c r="M2164" s="1" t="s">
        <v>1265</v>
      </c>
      <c r="N2164" s="1">
        <v>296</v>
      </c>
      <c r="P2164" s="1" t="s">
        <v>1265</v>
      </c>
      <c r="Q2164" s="42">
        <v>50</v>
      </c>
      <c r="R2164" s="42">
        <v>296</v>
      </c>
      <c r="S2164" s="42">
        <v>0.19</v>
      </c>
      <c r="T2164" s="10">
        <f>IFERROR(ROUND((Q2164/R2164),2),"NA")</f>
        <v>0.17</v>
      </c>
      <c r="U2164">
        <f t="shared" si="33"/>
        <v>9.5</v>
      </c>
    </row>
    <row r="2165" spans="7:21" x14ac:dyDescent="0.2">
      <c r="G2165" s="9" t="s">
        <v>1345</v>
      </c>
      <c r="H2165">
        <v>200</v>
      </c>
      <c r="M2165" s="1" t="s">
        <v>1345</v>
      </c>
      <c r="N2165" s="1">
        <v>0</v>
      </c>
      <c r="P2165" s="1" t="s">
        <v>1345</v>
      </c>
      <c r="Q2165" s="42">
        <v>200</v>
      </c>
      <c r="R2165" s="42">
        <v>0</v>
      </c>
      <c r="S2165" s="42">
        <v>0.12</v>
      </c>
      <c r="T2165" s="10" t="str">
        <f>IFERROR(ROUND((Q2165/R2165),2),"NA")</f>
        <v>NA</v>
      </c>
      <c r="U2165">
        <f t="shared" si="33"/>
        <v>24</v>
      </c>
    </row>
    <row r="2166" spans="7:21" x14ac:dyDescent="0.2">
      <c r="G2166" s="9" t="s">
        <v>684</v>
      </c>
      <c r="H2166">
        <v>86</v>
      </c>
      <c r="M2166" s="1" t="s">
        <v>684</v>
      </c>
      <c r="N2166" s="1">
        <v>100</v>
      </c>
      <c r="P2166" s="1" t="s">
        <v>684</v>
      </c>
      <c r="Q2166" s="42">
        <v>86</v>
      </c>
      <c r="R2166" s="42">
        <v>100</v>
      </c>
      <c r="S2166" s="42">
        <v>0.29000000000000004</v>
      </c>
      <c r="T2166" s="10">
        <f>IFERROR(ROUND((Q2166/R2166),2),"NA")</f>
        <v>0.86</v>
      </c>
      <c r="U2166">
        <f t="shared" si="33"/>
        <v>24.940000000000005</v>
      </c>
    </row>
    <row r="2167" spans="7:21" x14ac:dyDescent="0.2">
      <c r="G2167" s="9" t="s">
        <v>2596</v>
      </c>
      <c r="H2167">
        <v>63</v>
      </c>
      <c r="M2167" s="1" t="s">
        <v>2596</v>
      </c>
      <c r="N2167" s="1">
        <v>50</v>
      </c>
      <c r="P2167" s="1" t="s">
        <v>2596</v>
      </c>
      <c r="Q2167" s="42">
        <v>63</v>
      </c>
      <c r="R2167" s="42">
        <v>50</v>
      </c>
      <c r="S2167" s="42">
        <v>0.48</v>
      </c>
      <c r="T2167" s="10">
        <f>IFERROR(ROUND((Q2167/R2167),2),"NA")</f>
        <v>1.26</v>
      </c>
      <c r="U2167">
        <f t="shared" si="33"/>
        <v>30.24</v>
      </c>
    </row>
    <row r="2168" spans="7:21" x14ac:dyDescent="0.2">
      <c r="G2168" s="9" t="s">
        <v>1965</v>
      </c>
      <c r="H2168">
        <v>30</v>
      </c>
      <c r="M2168" s="1" t="s">
        <v>1965</v>
      </c>
      <c r="N2168" s="1">
        <v>4</v>
      </c>
      <c r="P2168" s="1" t="s">
        <v>1965</v>
      </c>
      <c r="Q2168" s="42">
        <v>30</v>
      </c>
      <c r="R2168" s="42">
        <v>4</v>
      </c>
      <c r="S2168" s="42">
        <v>0.3</v>
      </c>
      <c r="T2168" s="10">
        <f>IFERROR(ROUND((Q2168/R2168),2),"NA")</f>
        <v>7.5</v>
      </c>
      <c r="U2168">
        <f t="shared" si="33"/>
        <v>9</v>
      </c>
    </row>
    <row r="2169" spans="7:21" x14ac:dyDescent="0.2">
      <c r="G2169" s="9" t="s">
        <v>210</v>
      </c>
      <c r="H2169">
        <v>17</v>
      </c>
      <c r="M2169" s="1" t="s">
        <v>210</v>
      </c>
      <c r="N2169" s="1">
        <v>79</v>
      </c>
      <c r="P2169" s="1" t="s">
        <v>210</v>
      </c>
      <c r="Q2169" s="42">
        <v>17</v>
      </c>
      <c r="R2169" s="42">
        <v>79</v>
      </c>
      <c r="S2169" s="42">
        <v>0.15</v>
      </c>
      <c r="T2169" s="10">
        <f>IFERROR(ROUND((Q2169/R2169),2),"NA")</f>
        <v>0.22</v>
      </c>
      <c r="U2169">
        <f t="shared" si="33"/>
        <v>2.5499999999999998</v>
      </c>
    </row>
    <row r="2170" spans="7:21" x14ac:dyDescent="0.2">
      <c r="G2170" s="9" t="s">
        <v>2840</v>
      </c>
      <c r="H2170">
        <v>5</v>
      </c>
      <c r="M2170" s="1" t="s">
        <v>2840</v>
      </c>
      <c r="N2170" s="1">
        <v>6</v>
      </c>
      <c r="P2170" s="1" t="s">
        <v>2840</v>
      </c>
      <c r="Q2170" s="42">
        <v>5</v>
      </c>
      <c r="R2170" s="42">
        <v>6</v>
      </c>
      <c r="S2170" s="42">
        <v>7.0000000000000007E-2</v>
      </c>
      <c r="T2170" s="10">
        <f>IFERROR(ROUND((Q2170/R2170),2),"NA")</f>
        <v>0.83</v>
      </c>
      <c r="U2170">
        <f t="shared" si="33"/>
        <v>0.35000000000000003</v>
      </c>
    </row>
    <row r="2171" spans="7:21" x14ac:dyDescent="0.2">
      <c r="G2171" s="9" t="s">
        <v>1769</v>
      </c>
      <c r="H2171">
        <v>0</v>
      </c>
      <c r="M2171" s="1" t="s">
        <v>1769</v>
      </c>
      <c r="N2171" s="1">
        <v>321</v>
      </c>
      <c r="P2171" s="1" t="s">
        <v>1769</v>
      </c>
      <c r="Q2171" s="42">
        <v>0</v>
      </c>
      <c r="R2171" s="42">
        <v>321</v>
      </c>
      <c r="S2171" s="42">
        <v>0.25</v>
      </c>
      <c r="T2171" s="10">
        <f>IFERROR(ROUND((Q2171/R2171),2),"NA")</f>
        <v>0</v>
      </c>
      <c r="U2171">
        <f t="shared" si="33"/>
        <v>0</v>
      </c>
    </row>
    <row r="2172" spans="7:21" x14ac:dyDescent="0.2">
      <c r="G2172" s="9" t="s">
        <v>1481</v>
      </c>
      <c r="H2172">
        <v>100</v>
      </c>
      <c r="M2172" s="1" t="s">
        <v>1481</v>
      </c>
      <c r="N2172" s="1">
        <v>0</v>
      </c>
      <c r="P2172" s="1" t="s">
        <v>1481</v>
      </c>
      <c r="Q2172" s="42">
        <v>100</v>
      </c>
      <c r="R2172" s="42">
        <v>0</v>
      </c>
      <c r="S2172" s="42">
        <v>0</v>
      </c>
      <c r="T2172" s="10" t="str">
        <f>IFERROR(ROUND((Q2172/R2172),2),"NA")</f>
        <v>NA</v>
      </c>
      <c r="U2172">
        <f t="shared" si="33"/>
        <v>0</v>
      </c>
    </row>
    <row r="2173" spans="7:21" x14ac:dyDescent="0.2">
      <c r="G2173" s="9" t="s">
        <v>1831</v>
      </c>
      <c r="H2173">
        <v>105</v>
      </c>
      <c r="M2173" s="1" t="s">
        <v>1831</v>
      </c>
      <c r="N2173" s="1">
        <v>459</v>
      </c>
      <c r="P2173" s="1" t="s">
        <v>1831</v>
      </c>
      <c r="Q2173" s="42">
        <v>105</v>
      </c>
      <c r="R2173" s="42">
        <v>459</v>
      </c>
      <c r="S2173" s="42">
        <v>0.2</v>
      </c>
      <c r="T2173" s="10">
        <f>IFERROR(ROUND((Q2173/R2173),2),"NA")</f>
        <v>0.23</v>
      </c>
      <c r="U2173">
        <f t="shared" si="33"/>
        <v>21</v>
      </c>
    </row>
    <row r="2174" spans="7:21" x14ac:dyDescent="0.2">
      <c r="G2174" s="9" t="s">
        <v>2267</v>
      </c>
      <c r="H2174">
        <v>13</v>
      </c>
      <c r="M2174" s="1" t="s">
        <v>2267</v>
      </c>
      <c r="N2174" s="1">
        <v>71</v>
      </c>
      <c r="P2174" s="1" t="s">
        <v>2267</v>
      </c>
      <c r="Q2174" s="42">
        <v>13</v>
      </c>
      <c r="R2174" s="42">
        <v>71</v>
      </c>
      <c r="S2174" s="42">
        <v>0.08</v>
      </c>
      <c r="T2174" s="10">
        <f>IFERROR(ROUND((Q2174/R2174),2),"NA")</f>
        <v>0.18</v>
      </c>
      <c r="U2174">
        <f t="shared" si="33"/>
        <v>1.04</v>
      </c>
    </row>
    <row r="2175" spans="7:21" x14ac:dyDescent="0.2">
      <c r="G2175" s="9" t="s">
        <v>2044</v>
      </c>
      <c r="H2175">
        <v>100</v>
      </c>
      <c r="M2175" s="1" t="s">
        <v>2044</v>
      </c>
      <c r="N2175" s="1">
        <v>445</v>
      </c>
      <c r="P2175" s="1" t="s">
        <v>2044</v>
      </c>
      <c r="Q2175" s="42">
        <v>100</v>
      </c>
      <c r="R2175" s="42">
        <v>445</v>
      </c>
      <c r="S2175" s="42">
        <v>0.06</v>
      </c>
      <c r="T2175" s="10">
        <f>IFERROR(ROUND((Q2175/R2175),2),"NA")</f>
        <v>0.22</v>
      </c>
      <c r="U2175">
        <f t="shared" si="33"/>
        <v>6</v>
      </c>
    </row>
    <row r="2176" spans="7:21" x14ac:dyDescent="0.2">
      <c r="G2176" s="9" t="s">
        <v>1373</v>
      </c>
      <c r="H2176">
        <v>0</v>
      </c>
      <c r="M2176" s="1" t="s">
        <v>1373</v>
      </c>
      <c r="N2176" s="1">
        <v>148</v>
      </c>
      <c r="P2176" s="1" t="s">
        <v>1373</v>
      </c>
      <c r="Q2176" s="42">
        <v>0</v>
      </c>
      <c r="R2176" s="42">
        <v>148</v>
      </c>
      <c r="S2176" s="42">
        <v>0.15</v>
      </c>
      <c r="T2176" s="10">
        <f>IFERROR(ROUND((Q2176/R2176),2),"NA")</f>
        <v>0</v>
      </c>
      <c r="U2176">
        <f t="shared" si="33"/>
        <v>0</v>
      </c>
    </row>
    <row r="2177" spans="7:21" x14ac:dyDescent="0.2">
      <c r="G2177" s="9" t="s">
        <v>980</v>
      </c>
      <c r="H2177">
        <v>75</v>
      </c>
      <c r="M2177" s="1" t="s">
        <v>980</v>
      </c>
      <c r="N2177" s="1">
        <v>148</v>
      </c>
      <c r="P2177" s="1" t="s">
        <v>980</v>
      </c>
      <c r="Q2177" s="42">
        <v>75</v>
      </c>
      <c r="R2177" s="42">
        <v>148</v>
      </c>
      <c r="S2177" s="42">
        <v>0</v>
      </c>
      <c r="T2177" s="10">
        <f>IFERROR(ROUND((Q2177/R2177),2),"NA")</f>
        <v>0.51</v>
      </c>
      <c r="U2177">
        <f t="shared" si="33"/>
        <v>0</v>
      </c>
    </row>
    <row r="2178" spans="7:21" x14ac:dyDescent="0.2">
      <c r="G2178" s="9" t="s">
        <v>996</v>
      </c>
      <c r="H2178">
        <v>45</v>
      </c>
      <c r="M2178" s="1" t="s">
        <v>996</v>
      </c>
      <c r="N2178" s="1">
        <v>0</v>
      </c>
      <c r="P2178" s="1" t="s">
        <v>996</v>
      </c>
      <c r="Q2178" s="42">
        <v>45</v>
      </c>
      <c r="R2178" s="42">
        <v>0</v>
      </c>
      <c r="S2178" s="42">
        <v>0.6</v>
      </c>
      <c r="T2178" s="10" t="str">
        <f>IFERROR(ROUND((Q2178/R2178),2),"NA")</f>
        <v>NA</v>
      </c>
      <c r="U2178">
        <f t="shared" si="33"/>
        <v>27</v>
      </c>
    </row>
    <row r="2179" spans="7:21" x14ac:dyDescent="0.2">
      <c r="G2179" s="9" t="s">
        <v>279</v>
      </c>
      <c r="H2179">
        <v>55</v>
      </c>
      <c r="M2179" s="1" t="s">
        <v>279</v>
      </c>
      <c r="N2179" s="1">
        <v>5</v>
      </c>
      <c r="P2179" s="1" t="s">
        <v>279</v>
      </c>
      <c r="Q2179" s="42">
        <v>55</v>
      </c>
      <c r="R2179" s="42">
        <v>5</v>
      </c>
      <c r="S2179" s="42">
        <v>0.25</v>
      </c>
      <c r="T2179" s="10">
        <f>IFERROR(ROUND((Q2179/R2179),2),"NA")</f>
        <v>11</v>
      </c>
      <c r="U2179">
        <f t="shared" si="33"/>
        <v>13.75</v>
      </c>
    </row>
    <row r="2180" spans="7:21" x14ac:dyDescent="0.2">
      <c r="G2180" s="9" t="s">
        <v>159</v>
      </c>
      <c r="H2180">
        <v>579</v>
      </c>
      <c r="M2180" s="1" t="s">
        <v>159</v>
      </c>
      <c r="N2180" s="1">
        <v>4100</v>
      </c>
      <c r="P2180" s="1" t="s">
        <v>159</v>
      </c>
      <c r="Q2180" s="42">
        <v>579</v>
      </c>
      <c r="R2180" s="42">
        <v>4100</v>
      </c>
      <c r="S2180" s="42">
        <v>0.05</v>
      </c>
      <c r="T2180" s="10">
        <f>IFERROR(ROUND((Q2180/R2180),2),"NA")</f>
        <v>0.14000000000000001</v>
      </c>
      <c r="U2180">
        <f t="shared" si="33"/>
        <v>28.950000000000003</v>
      </c>
    </row>
    <row r="2181" spans="7:21" x14ac:dyDescent="0.2">
      <c r="G2181" s="9" t="s">
        <v>1294</v>
      </c>
      <c r="H2181">
        <v>0</v>
      </c>
      <c r="M2181" s="1" t="s">
        <v>1294</v>
      </c>
      <c r="N2181" s="1">
        <v>2700</v>
      </c>
      <c r="P2181" s="1" t="s">
        <v>1294</v>
      </c>
      <c r="Q2181" s="42">
        <v>0</v>
      </c>
      <c r="R2181" s="42">
        <v>2700</v>
      </c>
      <c r="S2181" s="42">
        <v>0</v>
      </c>
      <c r="T2181" s="10">
        <f>IFERROR(ROUND((Q2181/R2181),2),"NA")</f>
        <v>0</v>
      </c>
      <c r="U2181">
        <f t="shared" ref="U2181:U2244" si="34">Q2181*S2181</f>
        <v>0</v>
      </c>
    </row>
    <row r="2182" spans="7:21" x14ac:dyDescent="0.2">
      <c r="G2182" s="9" t="s">
        <v>1242</v>
      </c>
      <c r="H2182">
        <v>50</v>
      </c>
      <c r="M2182" s="1" t="s">
        <v>1242</v>
      </c>
      <c r="N2182" s="1">
        <v>146</v>
      </c>
      <c r="P2182" s="1" t="s">
        <v>1242</v>
      </c>
      <c r="Q2182" s="42">
        <v>50</v>
      </c>
      <c r="R2182" s="42">
        <v>146</v>
      </c>
      <c r="S2182" s="42">
        <v>0</v>
      </c>
      <c r="T2182" s="10">
        <f>IFERROR(ROUND((Q2182/R2182),2),"NA")</f>
        <v>0.34</v>
      </c>
      <c r="U2182">
        <f t="shared" si="34"/>
        <v>0</v>
      </c>
    </row>
    <row r="2183" spans="7:21" x14ac:dyDescent="0.2">
      <c r="G2183" s="9" t="s">
        <v>2927</v>
      </c>
      <c r="H2183">
        <v>130</v>
      </c>
      <c r="M2183" s="1" t="s">
        <v>2927</v>
      </c>
      <c r="N2183" s="1">
        <v>0</v>
      </c>
      <c r="P2183" s="1" t="s">
        <v>2927</v>
      </c>
      <c r="Q2183" s="42">
        <v>130</v>
      </c>
      <c r="R2183" s="42">
        <v>0</v>
      </c>
      <c r="S2183" s="42">
        <v>0</v>
      </c>
      <c r="T2183" s="10" t="str">
        <f>IFERROR(ROUND((Q2183/R2183),2),"NA")</f>
        <v>NA</v>
      </c>
      <c r="U2183">
        <f t="shared" si="34"/>
        <v>0</v>
      </c>
    </row>
    <row r="2184" spans="7:21" x14ac:dyDescent="0.2">
      <c r="G2184" s="9" t="s">
        <v>745</v>
      </c>
      <c r="H2184">
        <v>86</v>
      </c>
      <c r="M2184" s="1" t="s">
        <v>745</v>
      </c>
      <c r="N2184" s="1">
        <v>300</v>
      </c>
      <c r="P2184" s="1" t="s">
        <v>745</v>
      </c>
      <c r="Q2184" s="42">
        <v>86</v>
      </c>
      <c r="R2184" s="42">
        <v>300</v>
      </c>
      <c r="S2184" s="42">
        <v>0.18</v>
      </c>
      <c r="T2184" s="10">
        <f>IFERROR(ROUND((Q2184/R2184),2),"NA")</f>
        <v>0.28999999999999998</v>
      </c>
      <c r="U2184">
        <f t="shared" si="34"/>
        <v>15.479999999999999</v>
      </c>
    </row>
    <row r="2185" spans="7:21" x14ac:dyDescent="0.2">
      <c r="G2185" s="9" t="s">
        <v>2477</v>
      </c>
      <c r="H2185">
        <v>0</v>
      </c>
      <c r="M2185" s="1" t="s">
        <v>2477</v>
      </c>
      <c r="N2185" s="1">
        <v>8</v>
      </c>
      <c r="P2185" s="1" t="s">
        <v>2477</v>
      </c>
      <c r="Q2185" s="42">
        <v>0</v>
      </c>
      <c r="R2185" s="42">
        <v>8</v>
      </c>
      <c r="S2185" s="42">
        <v>0.25</v>
      </c>
      <c r="T2185" s="10">
        <f>IFERROR(ROUND((Q2185/R2185),2),"NA")</f>
        <v>0</v>
      </c>
      <c r="U2185">
        <f t="shared" si="34"/>
        <v>0</v>
      </c>
    </row>
    <row r="2186" spans="7:21" x14ac:dyDescent="0.2">
      <c r="G2186" s="9" t="s">
        <v>698</v>
      </c>
      <c r="H2186">
        <v>0</v>
      </c>
      <c r="M2186" s="1" t="s">
        <v>698</v>
      </c>
      <c r="N2186" s="1">
        <v>1491</v>
      </c>
      <c r="P2186" s="1" t="s">
        <v>698</v>
      </c>
      <c r="Q2186" s="42">
        <v>0</v>
      </c>
      <c r="R2186" s="42">
        <v>1491</v>
      </c>
      <c r="S2186" s="42">
        <v>0</v>
      </c>
      <c r="T2186" s="10">
        <f>IFERROR(ROUND((Q2186/R2186),2),"NA")</f>
        <v>0</v>
      </c>
      <c r="U2186">
        <f t="shared" si="34"/>
        <v>0</v>
      </c>
    </row>
    <row r="2187" spans="7:21" x14ac:dyDescent="0.2">
      <c r="G2187" s="9" t="s">
        <v>2160</v>
      </c>
      <c r="H2187">
        <v>0</v>
      </c>
      <c r="M2187" s="1" t="s">
        <v>2160</v>
      </c>
      <c r="N2187" s="1">
        <v>9</v>
      </c>
      <c r="P2187" s="1" t="s">
        <v>2160</v>
      </c>
      <c r="Q2187" s="42">
        <v>0</v>
      </c>
      <c r="R2187" s="42">
        <v>9</v>
      </c>
      <c r="S2187" s="42">
        <v>0.15</v>
      </c>
      <c r="T2187" s="10">
        <f>IFERROR(ROUND((Q2187/R2187),2),"NA")</f>
        <v>0</v>
      </c>
      <c r="U2187">
        <f t="shared" si="34"/>
        <v>0</v>
      </c>
    </row>
    <row r="2188" spans="7:21" x14ac:dyDescent="0.2">
      <c r="G2188" s="9" t="s">
        <v>2662</v>
      </c>
      <c r="H2188">
        <v>28</v>
      </c>
      <c r="M2188" s="1" t="s">
        <v>2662</v>
      </c>
      <c r="N2188" s="1">
        <v>92</v>
      </c>
      <c r="P2188" s="1" t="s">
        <v>2662</v>
      </c>
      <c r="Q2188" s="42">
        <v>28</v>
      </c>
      <c r="R2188" s="42">
        <v>92</v>
      </c>
      <c r="S2188" s="42">
        <v>0.23</v>
      </c>
      <c r="T2188" s="10">
        <f>IFERROR(ROUND((Q2188/R2188),2),"NA")</f>
        <v>0.3</v>
      </c>
      <c r="U2188">
        <f t="shared" si="34"/>
        <v>6.44</v>
      </c>
    </row>
    <row r="2189" spans="7:21" x14ac:dyDescent="0.2">
      <c r="G2189" s="9" t="s">
        <v>2953</v>
      </c>
      <c r="H2189">
        <v>20</v>
      </c>
      <c r="M2189" s="1" t="s">
        <v>2953</v>
      </c>
      <c r="N2189" s="1">
        <v>90</v>
      </c>
      <c r="P2189" s="1" t="s">
        <v>2953</v>
      </c>
      <c r="Q2189" s="42">
        <v>20</v>
      </c>
      <c r="R2189" s="42">
        <v>90</v>
      </c>
      <c r="S2189" s="42">
        <v>0.4</v>
      </c>
      <c r="T2189" s="10">
        <f>IFERROR(ROUND((Q2189/R2189),2),"NA")</f>
        <v>0.22</v>
      </c>
      <c r="U2189">
        <f t="shared" si="34"/>
        <v>8</v>
      </c>
    </row>
    <row r="2190" spans="7:21" x14ac:dyDescent="0.2">
      <c r="G2190" s="9" t="s">
        <v>2495</v>
      </c>
      <c r="H2190">
        <v>30</v>
      </c>
      <c r="M2190" s="1" t="s">
        <v>2495</v>
      </c>
      <c r="N2190" s="1">
        <v>1000</v>
      </c>
      <c r="P2190" s="1" t="s">
        <v>2495</v>
      </c>
      <c r="Q2190" s="42">
        <v>30</v>
      </c>
      <c r="R2190" s="42">
        <v>1000</v>
      </c>
      <c r="S2190" s="42">
        <v>0</v>
      </c>
      <c r="T2190" s="10">
        <f>IFERROR(ROUND((Q2190/R2190),2),"NA")</f>
        <v>0.03</v>
      </c>
      <c r="U2190">
        <f t="shared" si="34"/>
        <v>0</v>
      </c>
    </row>
    <row r="2191" spans="7:21" x14ac:dyDescent="0.2">
      <c r="G2191" s="9" t="s">
        <v>2189</v>
      </c>
      <c r="H2191">
        <v>0</v>
      </c>
      <c r="M2191" s="1" t="s">
        <v>2189</v>
      </c>
      <c r="N2191" s="1">
        <v>17</v>
      </c>
      <c r="P2191" s="1" t="s">
        <v>2189</v>
      </c>
      <c r="Q2191" s="42">
        <v>0</v>
      </c>
      <c r="R2191" s="42">
        <v>17</v>
      </c>
      <c r="S2191" s="42">
        <v>0</v>
      </c>
      <c r="T2191" s="10">
        <f>IFERROR(ROUND((Q2191/R2191),2),"NA")</f>
        <v>0</v>
      </c>
      <c r="U2191">
        <f t="shared" si="34"/>
        <v>0</v>
      </c>
    </row>
    <row r="2192" spans="7:21" x14ac:dyDescent="0.2">
      <c r="G2192" s="9" t="s">
        <v>1942</v>
      </c>
      <c r="H2192">
        <v>10</v>
      </c>
      <c r="M2192" s="1" t="s">
        <v>1942</v>
      </c>
      <c r="N2192" s="1">
        <v>0</v>
      </c>
      <c r="P2192" s="1" t="s">
        <v>1942</v>
      </c>
      <c r="Q2192" s="42">
        <v>10</v>
      </c>
      <c r="R2192" s="42">
        <v>0</v>
      </c>
      <c r="S2192" s="42">
        <v>0</v>
      </c>
      <c r="T2192" s="10" t="str">
        <f>IFERROR(ROUND((Q2192/R2192),2),"NA")</f>
        <v>NA</v>
      </c>
      <c r="U2192">
        <f t="shared" si="34"/>
        <v>0</v>
      </c>
    </row>
    <row r="2193" spans="7:21" x14ac:dyDescent="0.2">
      <c r="G2193" s="9" t="s">
        <v>1346</v>
      </c>
      <c r="H2193">
        <v>238</v>
      </c>
      <c r="M2193" s="1" t="s">
        <v>1346</v>
      </c>
      <c r="N2193" s="1">
        <v>558</v>
      </c>
      <c r="P2193" s="1" t="s">
        <v>1346</v>
      </c>
      <c r="Q2193" s="42">
        <v>238</v>
      </c>
      <c r="R2193" s="42">
        <v>558</v>
      </c>
      <c r="S2193" s="42">
        <v>0</v>
      </c>
      <c r="T2193" s="10">
        <f>IFERROR(ROUND((Q2193/R2193),2),"NA")</f>
        <v>0.43</v>
      </c>
      <c r="U2193">
        <f t="shared" si="34"/>
        <v>0</v>
      </c>
    </row>
    <row r="2194" spans="7:21" x14ac:dyDescent="0.2">
      <c r="G2194" s="9" t="s">
        <v>1012</v>
      </c>
      <c r="H2194">
        <v>80</v>
      </c>
      <c r="M2194" s="1" t="s">
        <v>1012</v>
      </c>
      <c r="N2194" s="1">
        <v>488</v>
      </c>
      <c r="P2194" s="1" t="s">
        <v>1012</v>
      </c>
      <c r="Q2194" s="42">
        <v>80</v>
      </c>
      <c r="R2194" s="42">
        <v>488</v>
      </c>
      <c r="S2194" s="42">
        <v>0.4</v>
      </c>
      <c r="T2194" s="10">
        <f>IFERROR(ROUND((Q2194/R2194),2),"NA")</f>
        <v>0.16</v>
      </c>
      <c r="U2194">
        <f t="shared" si="34"/>
        <v>32</v>
      </c>
    </row>
    <row r="2195" spans="7:21" x14ac:dyDescent="0.2">
      <c r="G2195" s="9" t="s">
        <v>1051</v>
      </c>
      <c r="H2195">
        <v>120</v>
      </c>
      <c r="M2195" s="1" t="s">
        <v>1051</v>
      </c>
      <c r="N2195" s="1">
        <v>330</v>
      </c>
      <c r="P2195" s="1" t="s">
        <v>1051</v>
      </c>
      <c r="Q2195" s="42">
        <v>120</v>
      </c>
      <c r="R2195" s="42">
        <v>330</v>
      </c>
      <c r="S2195" s="42">
        <v>0.2</v>
      </c>
      <c r="T2195" s="10">
        <f>IFERROR(ROUND((Q2195/R2195),2),"NA")</f>
        <v>0.36</v>
      </c>
      <c r="U2195">
        <f t="shared" si="34"/>
        <v>24</v>
      </c>
    </row>
    <row r="2196" spans="7:21" x14ac:dyDescent="0.2">
      <c r="G2196" s="9" t="s">
        <v>1664</v>
      </c>
      <c r="H2196">
        <v>30</v>
      </c>
      <c r="M2196" s="1" t="s">
        <v>1664</v>
      </c>
      <c r="N2196" s="1">
        <v>346</v>
      </c>
      <c r="P2196" s="1" t="s">
        <v>1664</v>
      </c>
      <c r="Q2196" s="42">
        <v>30</v>
      </c>
      <c r="R2196" s="42">
        <v>346</v>
      </c>
      <c r="S2196" s="42">
        <v>0.30000000000000004</v>
      </c>
      <c r="T2196" s="10">
        <f>IFERROR(ROUND((Q2196/R2196),2),"NA")</f>
        <v>0.09</v>
      </c>
      <c r="U2196">
        <f t="shared" si="34"/>
        <v>9.0000000000000018</v>
      </c>
    </row>
    <row r="2197" spans="7:21" x14ac:dyDescent="0.2">
      <c r="G2197" s="9" t="s">
        <v>1109</v>
      </c>
      <c r="H2197">
        <v>115</v>
      </c>
      <c r="M2197" s="1" t="s">
        <v>1109</v>
      </c>
      <c r="N2197" s="1">
        <v>236</v>
      </c>
      <c r="P2197" s="1" t="s">
        <v>1109</v>
      </c>
      <c r="Q2197" s="42">
        <v>115</v>
      </c>
      <c r="R2197" s="42">
        <v>236</v>
      </c>
      <c r="S2197" s="42">
        <v>0.05</v>
      </c>
      <c r="T2197" s="10">
        <f>IFERROR(ROUND((Q2197/R2197),2),"NA")</f>
        <v>0.49</v>
      </c>
      <c r="U2197">
        <f t="shared" si="34"/>
        <v>5.75</v>
      </c>
    </row>
    <row r="2198" spans="7:21" x14ac:dyDescent="0.2">
      <c r="G2198" s="9" t="s">
        <v>1843</v>
      </c>
      <c r="H2198">
        <v>34</v>
      </c>
      <c r="M2198" s="1" t="s">
        <v>1843</v>
      </c>
      <c r="N2198" s="1">
        <v>73</v>
      </c>
      <c r="P2198" s="1" t="s">
        <v>1843</v>
      </c>
      <c r="Q2198" s="42">
        <v>34</v>
      </c>
      <c r="R2198" s="42">
        <v>73</v>
      </c>
      <c r="S2198" s="42">
        <v>0.19</v>
      </c>
      <c r="T2198" s="10">
        <f>IFERROR(ROUND((Q2198/R2198),2),"NA")</f>
        <v>0.47</v>
      </c>
      <c r="U2198">
        <f t="shared" si="34"/>
        <v>6.46</v>
      </c>
    </row>
    <row r="2199" spans="7:21" x14ac:dyDescent="0.2">
      <c r="G2199" s="9" t="s">
        <v>1146</v>
      </c>
      <c r="H2199">
        <v>30</v>
      </c>
      <c r="M2199" s="1" t="s">
        <v>1146</v>
      </c>
      <c r="N2199" s="1">
        <v>79</v>
      </c>
      <c r="P2199" s="1" t="s">
        <v>1146</v>
      </c>
      <c r="Q2199" s="42">
        <v>30</v>
      </c>
      <c r="R2199" s="42">
        <v>79</v>
      </c>
      <c r="S2199" s="42">
        <v>0.33</v>
      </c>
      <c r="T2199" s="10">
        <f>IFERROR(ROUND((Q2199/R2199),2),"NA")</f>
        <v>0.38</v>
      </c>
      <c r="U2199">
        <f t="shared" si="34"/>
        <v>9.9</v>
      </c>
    </row>
    <row r="2200" spans="7:21" x14ac:dyDescent="0.2">
      <c r="G2200" s="9" t="s">
        <v>2619</v>
      </c>
      <c r="H2200">
        <v>21</v>
      </c>
      <c r="M2200" s="1" t="s">
        <v>2619</v>
      </c>
      <c r="N2200" s="1">
        <v>0</v>
      </c>
      <c r="P2200" s="1" t="s">
        <v>2619</v>
      </c>
      <c r="Q2200" s="42">
        <v>21</v>
      </c>
      <c r="R2200" s="42">
        <v>0</v>
      </c>
      <c r="S2200" s="42">
        <v>0</v>
      </c>
      <c r="T2200" s="10" t="str">
        <f>IFERROR(ROUND((Q2200/R2200),2),"NA")</f>
        <v>NA</v>
      </c>
      <c r="U2200">
        <f t="shared" si="34"/>
        <v>0</v>
      </c>
    </row>
    <row r="2201" spans="7:21" x14ac:dyDescent="0.2">
      <c r="G2201" s="9" t="s">
        <v>2790</v>
      </c>
      <c r="H2201">
        <v>0</v>
      </c>
      <c r="M2201" s="1" t="s">
        <v>2790</v>
      </c>
      <c r="N2201" s="1">
        <v>1</v>
      </c>
      <c r="P2201" s="1" t="s">
        <v>2790</v>
      </c>
      <c r="Q2201" s="42">
        <v>0</v>
      </c>
      <c r="R2201" s="42">
        <v>1</v>
      </c>
      <c r="S2201" s="42">
        <v>0</v>
      </c>
      <c r="T2201" s="10">
        <f>IFERROR(ROUND((Q2201/R2201),2),"NA")</f>
        <v>0</v>
      </c>
      <c r="U2201">
        <f t="shared" si="34"/>
        <v>0</v>
      </c>
    </row>
    <row r="2202" spans="7:21" x14ac:dyDescent="0.2">
      <c r="G2202" s="9" t="s">
        <v>359</v>
      </c>
      <c r="H2202">
        <v>7</v>
      </c>
      <c r="M2202" s="1" t="s">
        <v>359</v>
      </c>
      <c r="N2202" s="1">
        <v>0</v>
      </c>
      <c r="P2202" s="1" t="s">
        <v>359</v>
      </c>
      <c r="Q2202" s="42">
        <v>7</v>
      </c>
      <c r="R2202" s="42">
        <v>0</v>
      </c>
      <c r="S2202" s="42">
        <v>0</v>
      </c>
      <c r="T2202" s="10" t="str">
        <f>IFERROR(ROUND((Q2202/R2202),2),"NA")</f>
        <v>NA</v>
      </c>
      <c r="U2202">
        <f t="shared" si="34"/>
        <v>0</v>
      </c>
    </row>
    <row r="2203" spans="7:21" x14ac:dyDescent="0.2">
      <c r="G2203" s="9" t="s">
        <v>1724</v>
      </c>
      <c r="H2203">
        <v>60</v>
      </c>
      <c r="M2203" s="1" t="s">
        <v>1724</v>
      </c>
      <c r="N2203" s="1">
        <v>115</v>
      </c>
      <c r="P2203" s="1" t="s">
        <v>1724</v>
      </c>
      <c r="Q2203" s="42">
        <v>60</v>
      </c>
      <c r="R2203" s="42">
        <v>115</v>
      </c>
      <c r="S2203" s="42">
        <v>0.05</v>
      </c>
      <c r="T2203" s="10">
        <f>IFERROR(ROUND((Q2203/R2203),2),"NA")</f>
        <v>0.52</v>
      </c>
      <c r="U2203">
        <f t="shared" si="34"/>
        <v>3</v>
      </c>
    </row>
    <row r="2204" spans="7:21" x14ac:dyDescent="0.2">
      <c r="G2204" s="9" t="s">
        <v>836</v>
      </c>
      <c r="H2204">
        <v>300</v>
      </c>
      <c r="M2204" s="1" t="s">
        <v>836</v>
      </c>
      <c r="N2204" s="1">
        <v>435</v>
      </c>
      <c r="P2204" s="1" t="s">
        <v>836</v>
      </c>
      <c r="Q2204" s="42">
        <v>300</v>
      </c>
      <c r="R2204" s="42">
        <v>435</v>
      </c>
      <c r="S2204" s="42">
        <v>0.1</v>
      </c>
      <c r="T2204" s="10">
        <f>IFERROR(ROUND((Q2204/R2204),2),"NA")</f>
        <v>0.69</v>
      </c>
      <c r="U2204">
        <f t="shared" si="34"/>
        <v>30</v>
      </c>
    </row>
    <row r="2205" spans="7:21" x14ac:dyDescent="0.2">
      <c r="G2205" s="9" t="s">
        <v>1548</v>
      </c>
      <c r="H2205">
        <v>300</v>
      </c>
      <c r="M2205" s="1" t="s">
        <v>1548</v>
      </c>
      <c r="N2205" s="1">
        <v>172</v>
      </c>
      <c r="P2205" s="1" t="s">
        <v>1548</v>
      </c>
      <c r="Q2205" s="42">
        <v>300</v>
      </c>
      <c r="R2205" s="42">
        <v>172</v>
      </c>
      <c r="S2205" s="42">
        <v>0.06</v>
      </c>
      <c r="T2205" s="10">
        <f>IFERROR(ROUND((Q2205/R2205),2),"NA")</f>
        <v>1.74</v>
      </c>
      <c r="U2205">
        <f t="shared" si="34"/>
        <v>18</v>
      </c>
    </row>
    <row r="2206" spans="7:21" x14ac:dyDescent="0.2">
      <c r="G2206" s="9" t="s">
        <v>1088</v>
      </c>
      <c r="H2206">
        <v>172</v>
      </c>
      <c r="M2206" s="1" t="s">
        <v>1088</v>
      </c>
      <c r="N2206" s="1">
        <v>30</v>
      </c>
      <c r="P2206" s="1" t="s">
        <v>1088</v>
      </c>
      <c r="Q2206" s="42">
        <v>172</v>
      </c>
      <c r="R2206" s="42">
        <v>30</v>
      </c>
      <c r="S2206" s="42">
        <v>0</v>
      </c>
      <c r="T2206" s="10">
        <f>IFERROR(ROUND((Q2206/R2206),2),"NA")</f>
        <v>5.73</v>
      </c>
      <c r="U2206">
        <f t="shared" si="34"/>
        <v>0</v>
      </c>
    </row>
    <row r="2207" spans="7:21" x14ac:dyDescent="0.2">
      <c r="G2207" s="9" t="s">
        <v>2280</v>
      </c>
      <c r="H2207">
        <v>15</v>
      </c>
      <c r="M2207" s="1" t="s">
        <v>2280</v>
      </c>
      <c r="N2207" s="1">
        <v>169</v>
      </c>
      <c r="P2207" s="1" t="s">
        <v>2280</v>
      </c>
      <c r="Q2207" s="42">
        <v>15</v>
      </c>
      <c r="R2207" s="42">
        <v>169</v>
      </c>
      <c r="S2207" s="42">
        <v>0.06</v>
      </c>
      <c r="T2207" s="10">
        <f>IFERROR(ROUND((Q2207/R2207),2),"NA")</f>
        <v>0.09</v>
      </c>
      <c r="U2207">
        <f t="shared" si="34"/>
        <v>0.89999999999999991</v>
      </c>
    </row>
    <row r="2208" spans="7:21" x14ac:dyDescent="0.2">
      <c r="G2208" s="9" t="s">
        <v>2010</v>
      </c>
      <c r="H2208">
        <v>0</v>
      </c>
      <c r="M2208" s="1" t="s">
        <v>2010</v>
      </c>
      <c r="N2208" s="1">
        <v>298</v>
      </c>
      <c r="P2208" s="1" t="s">
        <v>2010</v>
      </c>
      <c r="Q2208" s="42">
        <v>0</v>
      </c>
      <c r="R2208" s="42">
        <v>298</v>
      </c>
      <c r="S2208" s="42">
        <v>0</v>
      </c>
      <c r="T2208" s="10">
        <f>IFERROR(ROUND((Q2208/R2208),2),"NA")</f>
        <v>0</v>
      </c>
      <c r="U2208">
        <f t="shared" si="34"/>
        <v>0</v>
      </c>
    </row>
    <row r="2209" spans="7:21" x14ac:dyDescent="0.2">
      <c r="G2209" s="9" t="s">
        <v>785</v>
      </c>
      <c r="H2209">
        <v>116</v>
      </c>
      <c r="M2209" s="1" t="s">
        <v>785</v>
      </c>
      <c r="N2209" s="1">
        <v>382</v>
      </c>
      <c r="P2209" s="1" t="s">
        <v>785</v>
      </c>
      <c r="Q2209" s="42">
        <v>116</v>
      </c>
      <c r="R2209" s="42">
        <v>382</v>
      </c>
      <c r="S2209" s="42">
        <v>0</v>
      </c>
      <c r="T2209" s="10">
        <f>IFERROR(ROUND((Q2209/R2209),2),"NA")</f>
        <v>0.3</v>
      </c>
      <c r="U2209">
        <f t="shared" si="34"/>
        <v>0</v>
      </c>
    </row>
    <row r="2210" spans="7:21" x14ac:dyDescent="0.2">
      <c r="G2210" s="9" t="s">
        <v>2419</v>
      </c>
      <c r="H2210">
        <v>0</v>
      </c>
      <c r="M2210" s="1" t="s">
        <v>2419</v>
      </c>
      <c r="N2210" s="1">
        <v>36</v>
      </c>
      <c r="P2210" s="1" t="s">
        <v>2419</v>
      </c>
      <c r="Q2210" s="42">
        <v>0</v>
      </c>
      <c r="R2210" s="42">
        <v>36</v>
      </c>
      <c r="S2210" s="42">
        <v>0</v>
      </c>
      <c r="T2210" s="10">
        <f>IFERROR(ROUND((Q2210/R2210),2),"NA")</f>
        <v>0</v>
      </c>
      <c r="U2210">
        <f t="shared" si="34"/>
        <v>0</v>
      </c>
    </row>
    <row r="2211" spans="7:21" x14ac:dyDescent="0.2">
      <c r="G2211" s="9" t="s">
        <v>1167</v>
      </c>
      <c r="H2211">
        <v>120</v>
      </c>
      <c r="M2211" s="1" t="s">
        <v>1167</v>
      </c>
      <c r="N2211" s="1">
        <v>0</v>
      </c>
      <c r="P2211" s="1" t="s">
        <v>1167</v>
      </c>
      <c r="Q2211" s="42">
        <v>120</v>
      </c>
      <c r="R2211" s="42">
        <v>0</v>
      </c>
      <c r="S2211" s="42">
        <v>0.25</v>
      </c>
      <c r="T2211" s="10" t="str">
        <f>IFERROR(ROUND((Q2211/R2211),2),"NA")</f>
        <v>NA</v>
      </c>
      <c r="U2211">
        <f t="shared" si="34"/>
        <v>30</v>
      </c>
    </row>
    <row r="2212" spans="7:21" x14ac:dyDescent="0.2">
      <c r="G2212" s="9" t="s">
        <v>317</v>
      </c>
      <c r="H2212">
        <v>0</v>
      </c>
      <c r="M2212" s="1" t="s">
        <v>317</v>
      </c>
      <c r="N2212" s="1">
        <v>565</v>
      </c>
      <c r="P2212" s="1" t="s">
        <v>317</v>
      </c>
      <c r="Q2212" s="42">
        <v>0</v>
      </c>
      <c r="R2212" s="42">
        <v>565</v>
      </c>
      <c r="S2212" s="42">
        <v>0.05</v>
      </c>
      <c r="T2212" s="10">
        <f>IFERROR(ROUND((Q2212/R2212),2),"NA")</f>
        <v>0</v>
      </c>
      <c r="U2212">
        <f t="shared" si="34"/>
        <v>0</v>
      </c>
    </row>
    <row r="2213" spans="7:21" x14ac:dyDescent="0.2">
      <c r="G2213" s="9" t="s">
        <v>1361</v>
      </c>
      <c r="H2213">
        <v>300</v>
      </c>
      <c r="M2213" s="1" t="s">
        <v>1361</v>
      </c>
      <c r="N2213" s="1">
        <v>25200</v>
      </c>
      <c r="P2213" s="1" t="s">
        <v>1361</v>
      </c>
      <c r="Q2213" s="42">
        <v>300</v>
      </c>
      <c r="R2213" s="42">
        <v>25200</v>
      </c>
      <c r="S2213" s="42">
        <v>0</v>
      </c>
      <c r="T2213" s="10">
        <f>IFERROR(ROUND((Q2213/R2213),2),"NA")</f>
        <v>0.01</v>
      </c>
      <c r="U2213">
        <f t="shared" si="34"/>
        <v>0</v>
      </c>
    </row>
    <row r="2214" spans="7:21" x14ac:dyDescent="0.2">
      <c r="G2214" s="9" t="s">
        <v>1425</v>
      </c>
      <c r="H2214">
        <v>0</v>
      </c>
      <c r="M2214" s="1" t="s">
        <v>1425</v>
      </c>
      <c r="N2214" s="1">
        <v>6</v>
      </c>
      <c r="P2214" s="1" t="s">
        <v>1425</v>
      </c>
      <c r="Q2214" s="42">
        <v>0</v>
      </c>
      <c r="R2214" s="42">
        <v>6</v>
      </c>
      <c r="S2214" s="42">
        <v>0</v>
      </c>
      <c r="T2214" s="10">
        <f>IFERROR(ROUND((Q2214/R2214),2),"NA")</f>
        <v>0</v>
      </c>
      <c r="U2214">
        <f t="shared" si="34"/>
        <v>0</v>
      </c>
    </row>
    <row r="2215" spans="7:21" x14ac:dyDescent="0.2">
      <c r="G2215" s="9" t="s">
        <v>2423</v>
      </c>
      <c r="H2215">
        <v>0</v>
      </c>
      <c r="M2215" s="1" t="s">
        <v>2423</v>
      </c>
      <c r="N2215" s="1">
        <v>312</v>
      </c>
      <c r="P2215" s="1" t="s">
        <v>2423</v>
      </c>
      <c r="Q2215" s="42">
        <v>0</v>
      </c>
      <c r="R2215" s="42">
        <v>312</v>
      </c>
      <c r="S2215" s="42">
        <v>0</v>
      </c>
      <c r="T2215" s="10">
        <f>IFERROR(ROUND((Q2215/R2215),2),"NA")</f>
        <v>0</v>
      </c>
      <c r="U2215">
        <f t="shared" si="34"/>
        <v>0</v>
      </c>
    </row>
    <row r="2216" spans="7:21" x14ac:dyDescent="0.2">
      <c r="G2216" s="9" t="s">
        <v>124</v>
      </c>
      <c r="H2216">
        <v>14500</v>
      </c>
      <c r="M2216" s="1" t="s">
        <v>124</v>
      </c>
      <c r="N2216" s="1">
        <v>60600</v>
      </c>
      <c r="P2216" s="1" t="s">
        <v>124</v>
      </c>
      <c r="Q2216" s="42">
        <v>14500</v>
      </c>
      <c r="R2216" s="42">
        <v>60600</v>
      </c>
      <c r="S2216" s="42">
        <v>0.1</v>
      </c>
      <c r="T2216" s="10">
        <f>IFERROR(ROUND((Q2216/R2216),2),"NA")</f>
        <v>0.24</v>
      </c>
      <c r="U2216">
        <f t="shared" si="34"/>
        <v>1450</v>
      </c>
    </row>
    <row r="2217" spans="7:21" x14ac:dyDescent="0.2">
      <c r="G2217" s="9" t="s">
        <v>1095</v>
      </c>
      <c r="H2217">
        <v>0</v>
      </c>
      <c r="M2217" s="1" t="s">
        <v>1095</v>
      </c>
      <c r="N2217" s="1">
        <v>43</v>
      </c>
      <c r="P2217" s="1" t="s">
        <v>1095</v>
      </c>
      <c r="Q2217" s="42">
        <v>0</v>
      </c>
      <c r="R2217" s="42">
        <v>43</v>
      </c>
      <c r="S2217" s="42">
        <v>1</v>
      </c>
      <c r="T2217" s="10">
        <f>IFERROR(ROUND((Q2217/R2217),2),"NA")</f>
        <v>0</v>
      </c>
      <c r="U2217">
        <f t="shared" si="34"/>
        <v>0</v>
      </c>
    </row>
    <row r="2218" spans="7:21" x14ac:dyDescent="0.2">
      <c r="G2218" s="9" t="s">
        <v>230</v>
      </c>
      <c r="H2218">
        <v>59</v>
      </c>
      <c r="M2218" s="1" t="s">
        <v>230</v>
      </c>
      <c r="N2218" s="1">
        <v>125</v>
      </c>
      <c r="P2218" s="1" t="s">
        <v>230</v>
      </c>
      <c r="Q2218" s="42">
        <v>59</v>
      </c>
      <c r="R2218" s="42">
        <v>125</v>
      </c>
      <c r="S2218" s="42">
        <v>0.16</v>
      </c>
      <c r="T2218" s="10">
        <f>IFERROR(ROUND((Q2218/R2218),2),"NA")</f>
        <v>0.47</v>
      </c>
      <c r="U2218">
        <f t="shared" si="34"/>
        <v>9.44</v>
      </c>
    </row>
    <row r="2219" spans="7:21" x14ac:dyDescent="0.2">
      <c r="G2219" s="9" t="s">
        <v>2185</v>
      </c>
      <c r="H2219">
        <v>22</v>
      </c>
      <c r="M2219" s="1" t="s">
        <v>2185</v>
      </c>
      <c r="N2219" s="1">
        <v>1</v>
      </c>
      <c r="P2219" s="1" t="s">
        <v>2185</v>
      </c>
      <c r="Q2219" s="42">
        <v>22</v>
      </c>
      <c r="R2219" s="42">
        <v>1</v>
      </c>
      <c r="S2219" s="42">
        <v>0</v>
      </c>
      <c r="T2219" s="10">
        <f>IFERROR(ROUND((Q2219/R2219),2),"NA")</f>
        <v>22</v>
      </c>
      <c r="U2219">
        <f t="shared" si="34"/>
        <v>0</v>
      </c>
    </row>
    <row r="2220" spans="7:21" x14ac:dyDescent="0.2">
      <c r="G2220" s="9" t="s">
        <v>2557</v>
      </c>
      <c r="H2220">
        <v>0</v>
      </c>
      <c r="M2220" s="1" t="s">
        <v>2557</v>
      </c>
      <c r="N2220" s="1">
        <v>1.8</v>
      </c>
      <c r="P2220" s="1" t="s">
        <v>2557</v>
      </c>
      <c r="Q2220" s="42">
        <v>0</v>
      </c>
      <c r="R2220" s="42">
        <v>1.8</v>
      </c>
      <c r="S2220" s="42">
        <v>0</v>
      </c>
      <c r="T2220" s="10">
        <f>IFERROR(ROUND((Q2220/R2220),2),"NA")</f>
        <v>0</v>
      </c>
      <c r="U2220">
        <f t="shared" si="34"/>
        <v>0</v>
      </c>
    </row>
    <row r="2221" spans="7:21" x14ac:dyDescent="0.2">
      <c r="G2221" s="9" t="s">
        <v>2602</v>
      </c>
      <c r="H2221">
        <v>46</v>
      </c>
      <c r="M2221" s="1" t="s">
        <v>2602</v>
      </c>
      <c r="N2221" s="1">
        <v>139</v>
      </c>
      <c r="P2221" s="1" t="s">
        <v>2602</v>
      </c>
      <c r="Q2221" s="42">
        <v>46</v>
      </c>
      <c r="R2221" s="42">
        <v>139</v>
      </c>
      <c r="S2221" s="42">
        <v>0.08</v>
      </c>
      <c r="T2221" s="10">
        <f>IFERROR(ROUND((Q2221/R2221),2),"NA")</f>
        <v>0.33</v>
      </c>
      <c r="U2221">
        <f t="shared" si="34"/>
        <v>3.68</v>
      </c>
    </row>
    <row r="2222" spans="7:21" x14ac:dyDescent="0.2">
      <c r="G2222" s="9" t="s">
        <v>149</v>
      </c>
      <c r="H2222">
        <v>150</v>
      </c>
      <c r="M2222" s="1" t="s">
        <v>149</v>
      </c>
      <c r="N2222" s="1">
        <v>180</v>
      </c>
      <c r="P2222" s="1" t="s">
        <v>149</v>
      </c>
      <c r="Q2222" s="42">
        <v>150</v>
      </c>
      <c r="R2222" s="42">
        <v>180</v>
      </c>
      <c r="S2222" s="42">
        <v>0.15</v>
      </c>
      <c r="T2222" s="10">
        <f>IFERROR(ROUND((Q2222/R2222),2),"NA")</f>
        <v>0.83</v>
      </c>
      <c r="U2222">
        <f t="shared" si="34"/>
        <v>22.5</v>
      </c>
    </row>
    <row r="2223" spans="7:21" x14ac:dyDescent="0.2">
      <c r="G2223" s="9" t="s">
        <v>2375</v>
      </c>
      <c r="H2223">
        <v>40</v>
      </c>
      <c r="M2223" s="1" t="s">
        <v>2375</v>
      </c>
      <c r="N2223" s="1">
        <v>5</v>
      </c>
      <c r="P2223" s="1" t="s">
        <v>2375</v>
      </c>
      <c r="Q2223" s="42">
        <v>40</v>
      </c>
      <c r="R2223" s="42">
        <v>5</v>
      </c>
      <c r="S2223" s="42">
        <v>1</v>
      </c>
      <c r="T2223" s="10">
        <f>IFERROR(ROUND((Q2223/R2223),2),"NA")</f>
        <v>8</v>
      </c>
      <c r="U2223">
        <f t="shared" si="34"/>
        <v>40</v>
      </c>
    </row>
    <row r="2224" spans="7:21" x14ac:dyDescent="0.2">
      <c r="G2224" s="9" t="s">
        <v>2932</v>
      </c>
      <c r="H2224">
        <v>38</v>
      </c>
      <c r="M2224" s="1" t="s">
        <v>2932</v>
      </c>
      <c r="N2224" s="1">
        <v>36</v>
      </c>
      <c r="P2224" s="1" t="s">
        <v>2932</v>
      </c>
      <c r="Q2224" s="42">
        <v>38</v>
      </c>
      <c r="R2224" s="42">
        <v>36</v>
      </c>
      <c r="S2224" s="42">
        <v>0.22</v>
      </c>
      <c r="T2224" s="10">
        <f>IFERROR(ROUND((Q2224/R2224),2),"NA")</f>
        <v>1.06</v>
      </c>
      <c r="U2224">
        <f t="shared" si="34"/>
        <v>8.36</v>
      </c>
    </row>
    <row r="2225" spans="7:21" x14ac:dyDescent="0.2">
      <c r="G2225" s="9" t="s">
        <v>1340</v>
      </c>
      <c r="H2225">
        <v>69</v>
      </c>
      <c r="M2225" s="1" t="s">
        <v>1340</v>
      </c>
      <c r="N2225" s="1">
        <v>0</v>
      </c>
      <c r="P2225" s="1" t="s">
        <v>1340</v>
      </c>
      <c r="Q2225" s="42">
        <v>69</v>
      </c>
      <c r="R2225" s="42">
        <v>0</v>
      </c>
      <c r="S2225" s="42">
        <v>0.06</v>
      </c>
      <c r="T2225" s="10" t="str">
        <f>IFERROR(ROUND((Q2225/R2225),2),"NA")</f>
        <v>NA</v>
      </c>
      <c r="U2225">
        <f t="shared" si="34"/>
        <v>4.1399999999999997</v>
      </c>
    </row>
    <row r="2226" spans="7:21" x14ac:dyDescent="0.2">
      <c r="G2226" s="9" t="s">
        <v>1239</v>
      </c>
      <c r="H2226">
        <v>0</v>
      </c>
      <c r="M2226" s="1" t="s">
        <v>1239</v>
      </c>
      <c r="N2226" s="1">
        <v>0</v>
      </c>
      <c r="P2226" s="1" t="s">
        <v>1239</v>
      </c>
      <c r="Q2226" s="42">
        <v>0</v>
      </c>
      <c r="R2226" s="42">
        <v>0</v>
      </c>
      <c r="S2226" s="42">
        <v>0</v>
      </c>
      <c r="T2226" s="10" t="str">
        <f>IFERROR(ROUND((Q2226/R2226),2),"NA")</f>
        <v>NA</v>
      </c>
      <c r="U2226">
        <f t="shared" si="34"/>
        <v>0</v>
      </c>
    </row>
    <row r="2227" spans="7:21" x14ac:dyDescent="0.2">
      <c r="G2227" s="9" t="s">
        <v>351</v>
      </c>
      <c r="H2227">
        <v>24</v>
      </c>
      <c r="M2227" s="1" t="s">
        <v>351</v>
      </c>
      <c r="N2227" s="1">
        <v>0</v>
      </c>
      <c r="P2227" s="1" t="s">
        <v>351</v>
      </c>
      <c r="Q2227" s="42">
        <v>24</v>
      </c>
      <c r="R2227" s="42">
        <v>0</v>
      </c>
      <c r="S2227" s="42">
        <v>1</v>
      </c>
      <c r="T2227" s="10" t="str">
        <f>IFERROR(ROUND((Q2227/R2227),2),"NA")</f>
        <v>NA</v>
      </c>
      <c r="U2227">
        <f t="shared" si="34"/>
        <v>24</v>
      </c>
    </row>
    <row r="2228" spans="7:21" x14ac:dyDescent="0.2">
      <c r="G2228" s="9" t="s">
        <v>2843</v>
      </c>
      <c r="H2228">
        <v>0</v>
      </c>
      <c r="M2228" s="1" t="s">
        <v>2843</v>
      </c>
      <c r="N2228" s="1">
        <v>0</v>
      </c>
      <c r="P2228" s="1" t="s">
        <v>2843</v>
      </c>
      <c r="Q2228" s="42">
        <v>0</v>
      </c>
      <c r="R2228" s="42">
        <v>0</v>
      </c>
      <c r="S2228" s="42">
        <v>1</v>
      </c>
      <c r="T2228" s="10" t="str">
        <f>IFERROR(ROUND((Q2228/R2228),2),"NA")</f>
        <v>NA</v>
      </c>
      <c r="U2228">
        <f t="shared" si="34"/>
        <v>0</v>
      </c>
    </row>
    <row r="2229" spans="7:21" x14ac:dyDescent="0.2">
      <c r="G2229" s="9" t="s">
        <v>2230</v>
      </c>
      <c r="H2229">
        <v>54</v>
      </c>
      <c r="M2229" s="1" t="s">
        <v>2230</v>
      </c>
      <c r="N2229" s="1">
        <v>115</v>
      </c>
      <c r="P2229" s="1" t="s">
        <v>2230</v>
      </c>
      <c r="Q2229" s="42">
        <v>54</v>
      </c>
      <c r="R2229" s="42">
        <v>115</v>
      </c>
      <c r="S2229" s="42">
        <v>0.15</v>
      </c>
      <c r="T2229" s="10">
        <f>IFERROR(ROUND((Q2229/R2229),2),"NA")</f>
        <v>0.47</v>
      </c>
      <c r="U2229">
        <f t="shared" si="34"/>
        <v>8.1</v>
      </c>
    </row>
    <row r="2230" spans="7:21" x14ac:dyDescent="0.2">
      <c r="G2230" s="9" t="s">
        <v>2826</v>
      </c>
      <c r="H2230">
        <v>0</v>
      </c>
      <c r="M2230" s="1" t="s">
        <v>2826</v>
      </c>
      <c r="N2230" s="1">
        <v>28</v>
      </c>
      <c r="P2230" s="1" t="s">
        <v>2826</v>
      </c>
      <c r="Q2230" s="42">
        <v>0</v>
      </c>
      <c r="R2230" s="42">
        <v>28</v>
      </c>
      <c r="S2230" s="42">
        <v>0</v>
      </c>
      <c r="T2230" s="10">
        <f>IFERROR(ROUND((Q2230/R2230),2),"NA")</f>
        <v>0</v>
      </c>
      <c r="U2230">
        <f t="shared" si="34"/>
        <v>0</v>
      </c>
    </row>
    <row r="2231" spans="7:21" x14ac:dyDescent="0.2">
      <c r="G2231" s="9" t="s">
        <v>2157</v>
      </c>
      <c r="H2231">
        <v>13</v>
      </c>
      <c r="M2231" s="1" t="s">
        <v>2157</v>
      </c>
      <c r="N2231" s="1">
        <v>39</v>
      </c>
      <c r="P2231" s="1" t="s">
        <v>2157</v>
      </c>
      <c r="Q2231" s="42">
        <v>13</v>
      </c>
      <c r="R2231" s="42">
        <v>39</v>
      </c>
      <c r="S2231" s="42">
        <v>0</v>
      </c>
      <c r="T2231" s="10">
        <f>IFERROR(ROUND((Q2231/R2231),2),"NA")</f>
        <v>0.33</v>
      </c>
      <c r="U2231">
        <f t="shared" si="34"/>
        <v>0</v>
      </c>
    </row>
    <row r="2232" spans="7:21" x14ac:dyDescent="0.2">
      <c r="G2232" s="9" t="s">
        <v>2163</v>
      </c>
      <c r="H2232">
        <v>99</v>
      </c>
      <c r="M2232" s="1" t="s">
        <v>2163</v>
      </c>
      <c r="N2232" s="1">
        <v>136</v>
      </c>
      <c r="P2232" s="1" t="s">
        <v>2163</v>
      </c>
      <c r="Q2232" s="42">
        <v>99</v>
      </c>
      <c r="R2232" s="42">
        <v>136</v>
      </c>
      <c r="S2232" s="42">
        <v>0.25</v>
      </c>
      <c r="T2232" s="10">
        <f>IFERROR(ROUND((Q2232/R2232),2),"NA")</f>
        <v>0.73</v>
      </c>
      <c r="U2232">
        <f t="shared" si="34"/>
        <v>24.75</v>
      </c>
    </row>
    <row r="2233" spans="7:21" x14ac:dyDescent="0.2">
      <c r="G2233" s="9" t="s">
        <v>1364</v>
      </c>
      <c r="H2233">
        <v>465</v>
      </c>
      <c r="M2233" s="1" t="s">
        <v>1364</v>
      </c>
      <c r="N2233" s="1">
        <v>714</v>
      </c>
      <c r="P2233" s="1" t="s">
        <v>1364</v>
      </c>
      <c r="Q2233" s="42">
        <v>465</v>
      </c>
      <c r="R2233" s="42">
        <v>714</v>
      </c>
      <c r="S2233" s="42">
        <v>8.5000000000000006E-2</v>
      </c>
      <c r="T2233" s="10">
        <f>IFERROR(ROUND((Q2233/R2233),2),"NA")</f>
        <v>0.65</v>
      </c>
      <c r="U2233">
        <f t="shared" si="34"/>
        <v>39.525000000000006</v>
      </c>
    </row>
    <row r="2234" spans="7:21" x14ac:dyDescent="0.2">
      <c r="G2234" s="9" t="s">
        <v>2615</v>
      </c>
      <c r="H2234">
        <v>20</v>
      </c>
      <c r="M2234" s="1" t="s">
        <v>2615</v>
      </c>
      <c r="N2234" s="1">
        <v>7</v>
      </c>
      <c r="P2234" s="1" t="s">
        <v>2615</v>
      </c>
      <c r="Q2234" s="42">
        <v>20</v>
      </c>
      <c r="R2234" s="42">
        <v>7</v>
      </c>
      <c r="S2234" s="42">
        <v>0.25</v>
      </c>
      <c r="T2234" s="10">
        <f>IFERROR(ROUND((Q2234/R2234),2),"NA")</f>
        <v>2.86</v>
      </c>
      <c r="U2234">
        <f t="shared" si="34"/>
        <v>5</v>
      </c>
    </row>
    <row r="2235" spans="7:21" x14ac:dyDescent="0.2">
      <c r="G2235" s="9" t="s">
        <v>2088</v>
      </c>
      <c r="H2235">
        <v>56</v>
      </c>
      <c r="M2235" s="1" t="s">
        <v>2088</v>
      </c>
      <c r="N2235" s="1">
        <v>351</v>
      </c>
      <c r="P2235" s="1" t="s">
        <v>2088</v>
      </c>
      <c r="Q2235" s="42">
        <v>56</v>
      </c>
      <c r="R2235" s="42">
        <v>351</v>
      </c>
      <c r="S2235" s="42">
        <v>0.75</v>
      </c>
      <c r="T2235" s="10">
        <f>IFERROR(ROUND((Q2235/R2235),2),"NA")</f>
        <v>0.16</v>
      </c>
      <c r="U2235">
        <f t="shared" si="34"/>
        <v>42</v>
      </c>
    </row>
    <row r="2236" spans="7:21" x14ac:dyDescent="0.2">
      <c r="G2236" s="9" t="s">
        <v>1860</v>
      </c>
      <c r="H2236">
        <v>90</v>
      </c>
      <c r="M2236" s="1" t="s">
        <v>1860</v>
      </c>
      <c r="N2236" s="1">
        <v>512</v>
      </c>
      <c r="P2236" s="1" t="s">
        <v>1860</v>
      </c>
      <c r="Q2236" s="42">
        <v>90</v>
      </c>
      <c r="R2236" s="42">
        <v>512</v>
      </c>
      <c r="S2236" s="42">
        <v>0</v>
      </c>
      <c r="T2236" s="10">
        <f>IFERROR(ROUND((Q2236/R2236),2),"NA")</f>
        <v>0.18</v>
      </c>
      <c r="U2236">
        <f t="shared" si="34"/>
        <v>0</v>
      </c>
    </row>
    <row r="2237" spans="7:21" x14ac:dyDescent="0.2">
      <c r="G2237" s="9" t="s">
        <v>202</v>
      </c>
      <c r="H2237">
        <v>0</v>
      </c>
      <c r="M2237" s="1" t="s">
        <v>202</v>
      </c>
      <c r="N2237" s="1">
        <v>2</v>
      </c>
      <c r="P2237" s="1" t="s">
        <v>202</v>
      </c>
      <c r="Q2237" s="42">
        <v>0</v>
      </c>
      <c r="R2237" s="42">
        <v>2</v>
      </c>
      <c r="S2237" s="42">
        <v>1</v>
      </c>
      <c r="T2237" s="10">
        <f>IFERROR(ROUND((Q2237/R2237),2),"NA")</f>
        <v>0</v>
      </c>
      <c r="U2237">
        <f t="shared" si="34"/>
        <v>0</v>
      </c>
    </row>
    <row r="2238" spans="7:21" x14ac:dyDescent="0.2">
      <c r="G2238" s="9" t="s">
        <v>1123</v>
      </c>
      <c r="H2238">
        <v>65</v>
      </c>
      <c r="M2238" s="1" t="s">
        <v>1123</v>
      </c>
      <c r="N2238" s="1">
        <v>84</v>
      </c>
      <c r="P2238" s="1" t="s">
        <v>1123</v>
      </c>
      <c r="Q2238" s="42">
        <v>65</v>
      </c>
      <c r="R2238" s="42">
        <v>84</v>
      </c>
      <c r="S2238" s="42">
        <v>0.14333333333333334</v>
      </c>
      <c r="T2238" s="10">
        <f>IFERROR(ROUND((Q2238/R2238),2),"NA")</f>
        <v>0.77</v>
      </c>
      <c r="U2238">
        <f t="shared" si="34"/>
        <v>9.3166666666666664</v>
      </c>
    </row>
    <row r="2239" spans="7:21" x14ac:dyDescent="0.2">
      <c r="G2239" s="9" t="s">
        <v>2534</v>
      </c>
      <c r="H2239">
        <v>0</v>
      </c>
      <c r="M2239" s="1" t="s">
        <v>2534</v>
      </c>
      <c r="N2239" s="1">
        <v>3.5</v>
      </c>
      <c r="P2239" s="1" t="s">
        <v>2534</v>
      </c>
      <c r="Q2239" s="42">
        <v>0</v>
      </c>
      <c r="R2239" s="42">
        <v>3.5</v>
      </c>
      <c r="S2239" s="42">
        <v>0</v>
      </c>
      <c r="T2239" s="10">
        <f>IFERROR(ROUND((Q2239/R2239),2),"NA")</f>
        <v>0</v>
      </c>
      <c r="U2239">
        <f t="shared" si="34"/>
        <v>0</v>
      </c>
    </row>
    <row r="2240" spans="7:21" x14ac:dyDescent="0.2">
      <c r="G2240" s="9" t="s">
        <v>2266</v>
      </c>
      <c r="H2240">
        <v>20</v>
      </c>
      <c r="M2240" s="1" t="s">
        <v>2266</v>
      </c>
      <c r="N2240" s="1">
        <v>28</v>
      </c>
      <c r="P2240" s="1" t="s">
        <v>2266</v>
      </c>
      <c r="Q2240" s="42">
        <v>20</v>
      </c>
      <c r="R2240" s="42">
        <v>28</v>
      </c>
      <c r="S2240" s="42">
        <v>0.33</v>
      </c>
      <c r="T2240" s="10">
        <f>IFERROR(ROUND((Q2240/R2240),2),"NA")</f>
        <v>0.71</v>
      </c>
      <c r="U2240">
        <f t="shared" si="34"/>
        <v>6.6000000000000005</v>
      </c>
    </row>
    <row r="2241" spans="7:21" x14ac:dyDescent="0.2">
      <c r="G2241" s="9" t="s">
        <v>1628</v>
      </c>
      <c r="H2241">
        <v>176</v>
      </c>
      <c r="M2241" s="1" t="s">
        <v>1628</v>
      </c>
      <c r="N2241" s="1">
        <v>66</v>
      </c>
      <c r="P2241" s="1" t="s">
        <v>1628</v>
      </c>
      <c r="Q2241" s="42">
        <v>176</v>
      </c>
      <c r="R2241" s="42">
        <v>66</v>
      </c>
      <c r="S2241" s="42">
        <v>0.19500000000000001</v>
      </c>
      <c r="T2241" s="10">
        <f>IFERROR(ROUND((Q2241/R2241),2),"NA")</f>
        <v>2.67</v>
      </c>
      <c r="U2241">
        <f t="shared" si="34"/>
        <v>34.32</v>
      </c>
    </row>
    <row r="2242" spans="7:21" x14ac:dyDescent="0.2">
      <c r="G2242" s="9" t="s">
        <v>349</v>
      </c>
      <c r="H2242">
        <v>95</v>
      </c>
      <c r="M2242" s="1" t="s">
        <v>349</v>
      </c>
      <c r="N2242" s="1">
        <v>26</v>
      </c>
      <c r="P2242" s="1" t="s">
        <v>349</v>
      </c>
      <c r="Q2242" s="42">
        <v>95</v>
      </c>
      <c r="R2242" s="42">
        <v>26</v>
      </c>
      <c r="S2242" s="42">
        <v>0</v>
      </c>
      <c r="T2242" s="10">
        <f>IFERROR(ROUND((Q2242/R2242),2),"NA")</f>
        <v>3.65</v>
      </c>
      <c r="U2242">
        <f t="shared" si="34"/>
        <v>0</v>
      </c>
    </row>
    <row r="2243" spans="7:21" x14ac:dyDescent="0.2">
      <c r="G2243" s="9" t="s">
        <v>2831</v>
      </c>
      <c r="H2243">
        <v>75</v>
      </c>
      <c r="M2243" s="1" t="s">
        <v>2831</v>
      </c>
      <c r="N2243" s="1">
        <v>136</v>
      </c>
      <c r="P2243" s="1" t="s">
        <v>2831</v>
      </c>
      <c r="Q2243" s="42">
        <v>75</v>
      </c>
      <c r="R2243" s="42">
        <v>136</v>
      </c>
      <c r="S2243" s="42">
        <v>0.3</v>
      </c>
      <c r="T2243" s="10">
        <f>IFERROR(ROUND((Q2243/R2243),2),"NA")</f>
        <v>0.55000000000000004</v>
      </c>
      <c r="U2243">
        <f t="shared" si="34"/>
        <v>22.5</v>
      </c>
    </row>
    <row r="2244" spans="7:21" x14ac:dyDescent="0.2">
      <c r="G2244" s="9" t="s">
        <v>2111</v>
      </c>
      <c r="H2244">
        <v>24</v>
      </c>
      <c r="M2244" s="1" t="s">
        <v>2111</v>
      </c>
      <c r="N2244" s="1">
        <v>418</v>
      </c>
      <c r="P2244" s="1" t="s">
        <v>2111</v>
      </c>
      <c r="Q2244" s="42">
        <v>24</v>
      </c>
      <c r="R2244" s="42">
        <v>418</v>
      </c>
      <c r="S2244" s="42">
        <v>0.1</v>
      </c>
      <c r="T2244" s="10">
        <f>IFERROR(ROUND((Q2244/R2244),2),"NA")</f>
        <v>0.06</v>
      </c>
      <c r="U2244">
        <f t="shared" si="34"/>
        <v>2.4000000000000004</v>
      </c>
    </row>
    <row r="2245" spans="7:21" x14ac:dyDescent="0.2">
      <c r="G2245" s="9" t="s">
        <v>2669</v>
      </c>
      <c r="H2245">
        <v>0</v>
      </c>
      <c r="M2245" s="1" t="s">
        <v>2669</v>
      </c>
      <c r="N2245" s="1">
        <v>743</v>
      </c>
      <c r="P2245" s="1" t="s">
        <v>2669</v>
      </c>
      <c r="Q2245" s="42">
        <v>0</v>
      </c>
      <c r="R2245" s="42">
        <v>743</v>
      </c>
      <c r="S2245" s="42">
        <v>0</v>
      </c>
      <c r="T2245" s="10">
        <f>IFERROR(ROUND((Q2245/R2245),2),"NA")</f>
        <v>0</v>
      </c>
      <c r="U2245">
        <f t="shared" ref="U2245:U2308" si="35">Q2245*S2245</f>
        <v>0</v>
      </c>
    </row>
    <row r="2246" spans="7:21" x14ac:dyDescent="0.2">
      <c r="G2246" s="9" t="s">
        <v>818</v>
      </c>
      <c r="H2246">
        <v>1079</v>
      </c>
      <c r="M2246" s="1" t="s">
        <v>818</v>
      </c>
      <c r="N2246" s="1">
        <v>1496</v>
      </c>
      <c r="P2246" s="1" t="s">
        <v>818</v>
      </c>
      <c r="Q2246" s="42">
        <v>1079</v>
      </c>
      <c r="R2246" s="42">
        <v>1496</v>
      </c>
      <c r="S2246" s="42">
        <v>4.4999999999999998E-2</v>
      </c>
      <c r="T2246" s="10">
        <f>IFERROR(ROUND((Q2246/R2246),2),"NA")</f>
        <v>0.72</v>
      </c>
      <c r="U2246">
        <f t="shared" si="35"/>
        <v>48.555</v>
      </c>
    </row>
    <row r="2247" spans="7:21" x14ac:dyDescent="0.2">
      <c r="G2247" s="9" t="s">
        <v>2455</v>
      </c>
      <c r="H2247">
        <v>0</v>
      </c>
      <c r="M2247" s="1" t="s">
        <v>2455</v>
      </c>
      <c r="N2247" s="1">
        <v>3400</v>
      </c>
      <c r="P2247" s="1" t="s">
        <v>2455</v>
      </c>
      <c r="Q2247" s="42">
        <v>0</v>
      </c>
      <c r="R2247" s="42">
        <v>3400</v>
      </c>
      <c r="S2247" s="42">
        <v>0</v>
      </c>
      <c r="T2247" s="10">
        <f>IFERROR(ROUND((Q2247/R2247),2),"NA")</f>
        <v>0</v>
      </c>
      <c r="U2247">
        <f t="shared" si="35"/>
        <v>0</v>
      </c>
    </row>
    <row r="2248" spans="7:21" x14ac:dyDescent="0.2">
      <c r="G2248" s="9" t="s">
        <v>1779</v>
      </c>
      <c r="H2248">
        <v>30</v>
      </c>
      <c r="M2248" s="1" t="s">
        <v>1779</v>
      </c>
      <c r="N2248" s="1">
        <v>40</v>
      </c>
      <c r="P2248" s="1" t="s">
        <v>1779</v>
      </c>
      <c r="Q2248" s="42">
        <v>30</v>
      </c>
      <c r="R2248" s="42">
        <v>40</v>
      </c>
      <c r="S2248" s="42">
        <v>0.5</v>
      </c>
      <c r="T2248" s="10">
        <f>IFERROR(ROUND((Q2248/R2248),2),"NA")</f>
        <v>0.75</v>
      </c>
      <c r="U2248">
        <f t="shared" si="35"/>
        <v>15</v>
      </c>
    </row>
    <row r="2249" spans="7:21" x14ac:dyDescent="0.2">
      <c r="G2249" s="9" t="s">
        <v>2121</v>
      </c>
      <c r="H2249">
        <v>243</v>
      </c>
      <c r="M2249" s="1" t="s">
        <v>2121</v>
      </c>
      <c r="N2249" s="1">
        <v>610</v>
      </c>
      <c r="P2249" s="1" t="s">
        <v>2121</v>
      </c>
      <c r="Q2249" s="42">
        <v>243</v>
      </c>
      <c r="R2249" s="42">
        <v>610</v>
      </c>
      <c r="S2249" s="42">
        <v>0.15</v>
      </c>
      <c r="T2249" s="10">
        <f>IFERROR(ROUND((Q2249/R2249),2),"NA")</f>
        <v>0.4</v>
      </c>
      <c r="U2249">
        <f t="shared" si="35"/>
        <v>36.449999999999996</v>
      </c>
    </row>
    <row r="2250" spans="7:21" x14ac:dyDescent="0.2">
      <c r="G2250" s="9" t="s">
        <v>2560</v>
      </c>
      <c r="H2250">
        <v>75</v>
      </c>
      <c r="M2250" s="1" t="s">
        <v>2560</v>
      </c>
      <c r="N2250" s="1">
        <v>53</v>
      </c>
      <c r="P2250" s="1" t="s">
        <v>2560</v>
      </c>
      <c r="Q2250" s="42">
        <v>75</v>
      </c>
      <c r="R2250" s="42">
        <v>53</v>
      </c>
      <c r="S2250" s="42">
        <v>0.5</v>
      </c>
      <c r="T2250" s="10">
        <f>IFERROR(ROUND((Q2250/R2250),2),"NA")</f>
        <v>1.42</v>
      </c>
      <c r="U2250">
        <f t="shared" si="35"/>
        <v>37.5</v>
      </c>
    </row>
    <row r="2251" spans="7:21" x14ac:dyDescent="0.2">
      <c r="G2251" s="9" t="s">
        <v>1702</v>
      </c>
      <c r="H2251">
        <v>410</v>
      </c>
      <c r="M2251" s="1" t="s">
        <v>1702</v>
      </c>
      <c r="N2251" s="1">
        <v>1121</v>
      </c>
      <c r="P2251" s="1" t="s">
        <v>1702</v>
      </c>
      <c r="Q2251" s="42">
        <v>410</v>
      </c>
      <c r="R2251" s="42">
        <v>1121</v>
      </c>
      <c r="S2251" s="42">
        <v>0.22</v>
      </c>
      <c r="T2251" s="10">
        <f>IFERROR(ROUND((Q2251/R2251),2),"NA")</f>
        <v>0.37</v>
      </c>
      <c r="U2251">
        <f t="shared" si="35"/>
        <v>90.2</v>
      </c>
    </row>
    <row r="2252" spans="7:21" x14ac:dyDescent="0.2">
      <c r="G2252" s="9" t="s">
        <v>968</v>
      </c>
      <c r="H2252">
        <v>50</v>
      </c>
      <c r="M2252" s="1" t="s">
        <v>968</v>
      </c>
      <c r="N2252" s="1">
        <v>181</v>
      </c>
      <c r="P2252" s="1" t="s">
        <v>968</v>
      </c>
      <c r="Q2252" s="42">
        <v>50</v>
      </c>
      <c r="R2252" s="42">
        <v>181</v>
      </c>
      <c r="S2252" s="42">
        <v>0</v>
      </c>
      <c r="T2252" s="10">
        <f>IFERROR(ROUND((Q2252/R2252),2),"NA")</f>
        <v>0.28000000000000003</v>
      </c>
      <c r="U2252">
        <f t="shared" si="35"/>
        <v>0</v>
      </c>
    </row>
    <row r="2253" spans="7:21" x14ac:dyDescent="0.2">
      <c r="G2253" s="9" t="s">
        <v>1142</v>
      </c>
      <c r="H2253">
        <v>29</v>
      </c>
      <c r="M2253" s="1" t="s">
        <v>1142</v>
      </c>
      <c r="N2253" s="1">
        <v>5</v>
      </c>
      <c r="P2253" s="1" t="s">
        <v>1142</v>
      </c>
      <c r="Q2253" s="42">
        <v>29</v>
      </c>
      <c r="R2253" s="42">
        <v>5</v>
      </c>
      <c r="S2253" s="42">
        <v>0.28999999999999998</v>
      </c>
      <c r="T2253" s="10">
        <f>IFERROR(ROUND((Q2253/R2253),2),"NA")</f>
        <v>5.8</v>
      </c>
      <c r="U2253">
        <f t="shared" si="35"/>
        <v>8.41</v>
      </c>
    </row>
    <row r="2254" spans="7:21" x14ac:dyDescent="0.2">
      <c r="G2254" s="9" t="s">
        <v>2641</v>
      </c>
      <c r="H2254">
        <v>0</v>
      </c>
      <c r="M2254" s="1" t="s">
        <v>2641</v>
      </c>
      <c r="N2254" s="1">
        <v>8</v>
      </c>
      <c r="P2254" s="1" t="s">
        <v>2641</v>
      </c>
      <c r="Q2254" s="42">
        <v>0</v>
      </c>
      <c r="R2254" s="42">
        <v>8</v>
      </c>
      <c r="S2254" s="42">
        <v>0.3</v>
      </c>
      <c r="T2254" s="10">
        <f>IFERROR(ROUND((Q2254/R2254),2),"NA")</f>
        <v>0</v>
      </c>
      <c r="U2254">
        <f t="shared" si="35"/>
        <v>0</v>
      </c>
    </row>
    <row r="2255" spans="7:21" x14ac:dyDescent="0.2">
      <c r="G2255" s="9" t="s">
        <v>521</v>
      </c>
      <c r="H2255">
        <v>40</v>
      </c>
      <c r="M2255" s="1" t="s">
        <v>521</v>
      </c>
      <c r="N2255" s="1">
        <v>0</v>
      </c>
      <c r="P2255" s="1" t="s">
        <v>521</v>
      </c>
      <c r="Q2255" s="42">
        <v>40</v>
      </c>
      <c r="R2255" s="42">
        <v>0</v>
      </c>
      <c r="S2255" s="42">
        <v>0.1</v>
      </c>
      <c r="T2255" s="10" t="str">
        <f>IFERROR(ROUND((Q2255/R2255),2),"NA")</f>
        <v>NA</v>
      </c>
      <c r="U2255">
        <f t="shared" si="35"/>
        <v>4</v>
      </c>
    </row>
    <row r="2256" spans="7:21" x14ac:dyDescent="0.2">
      <c r="G2256" s="9" t="s">
        <v>2520</v>
      </c>
      <c r="H2256">
        <v>18</v>
      </c>
      <c r="M2256" s="1" t="s">
        <v>2520</v>
      </c>
      <c r="N2256" s="1">
        <v>0</v>
      </c>
      <c r="P2256" s="1" t="s">
        <v>2520</v>
      </c>
      <c r="Q2256" s="42">
        <v>18</v>
      </c>
      <c r="R2256" s="42">
        <v>0</v>
      </c>
      <c r="S2256" s="42">
        <v>0.4</v>
      </c>
      <c r="T2256" s="10" t="str">
        <f>IFERROR(ROUND((Q2256/R2256),2),"NA")</f>
        <v>NA</v>
      </c>
      <c r="U2256">
        <f t="shared" si="35"/>
        <v>7.2</v>
      </c>
    </row>
    <row r="2257" spans="7:21" x14ac:dyDescent="0.2">
      <c r="G2257" s="9" t="s">
        <v>1977</v>
      </c>
      <c r="H2257">
        <v>50</v>
      </c>
      <c r="M2257" s="1" t="s">
        <v>1977</v>
      </c>
      <c r="N2257" s="1">
        <v>0</v>
      </c>
      <c r="P2257" s="1" t="s">
        <v>1977</v>
      </c>
      <c r="Q2257" s="42">
        <v>50</v>
      </c>
      <c r="R2257" s="42">
        <v>0</v>
      </c>
      <c r="S2257" s="42">
        <v>0.05</v>
      </c>
      <c r="T2257" s="10" t="str">
        <f>IFERROR(ROUND((Q2257/R2257),2),"NA")</f>
        <v>NA</v>
      </c>
      <c r="U2257">
        <f t="shared" si="35"/>
        <v>2.5</v>
      </c>
    </row>
    <row r="2258" spans="7:21" x14ac:dyDescent="0.2">
      <c r="G2258" s="9" t="s">
        <v>546</v>
      </c>
      <c r="H2258">
        <v>260</v>
      </c>
      <c r="M2258" s="1" t="s">
        <v>546</v>
      </c>
      <c r="N2258" s="1">
        <v>1938</v>
      </c>
      <c r="P2258" s="1" t="s">
        <v>546</v>
      </c>
      <c r="Q2258" s="42">
        <v>260</v>
      </c>
      <c r="R2258" s="42">
        <v>1938</v>
      </c>
      <c r="S2258" s="42">
        <v>0.15000000000000002</v>
      </c>
      <c r="T2258" s="10">
        <f>IFERROR(ROUND((Q2258/R2258),2),"NA")</f>
        <v>0.13</v>
      </c>
      <c r="U2258">
        <f t="shared" si="35"/>
        <v>39.000000000000007</v>
      </c>
    </row>
    <row r="2259" spans="7:21" x14ac:dyDescent="0.2">
      <c r="G2259" s="9" t="s">
        <v>2360</v>
      </c>
      <c r="H2259">
        <v>24</v>
      </c>
      <c r="M2259" s="1" t="s">
        <v>2360</v>
      </c>
      <c r="N2259" s="1">
        <v>204</v>
      </c>
      <c r="P2259" s="1" t="s">
        <v>2360</v>
      </c>
      <c r="Q2259" s="42">
        <v>24</v>
      </c>
      <c r="R2259" s="42">
        <v>204</v>
      </c>
      <c r="S2259" s="42">
        <v>0.1</v>
      </c>
      <c r="T2259" s="10">
        <f>IFERROR(ROUND((Q2259/R2259),2),"NA")</f>
        <v>0.12</v>
      </c>
      <c r="U2259">
        <f t="shared" si="35"/>
        <v>2.4000000000000004</v>
      </c>
    </row>
    <row r="2260" spans="7:21" x14ac:dyDescent="0.2">
      <c r="G2260" s="9" t="s">
        <v>1013</v>
      </c>
      <c r="H2260">
        <v>0</v>
      </c>
      <c r="M2260" s="1" t="s">
        <v>1013</v>
      </c>
      <c r="N2260" s="1">
        <v>0</v>
      </c>
      <c r="P2260" s="1" t="s">
        <v>1013</v>
      </c>
      <c r="Q2260" s="42">
        <v>0</v>
      </c>
      <c r="R2260" s="42">
        <v>0</v>
      </c>
      <c r="S2260" s="42">
        <v>1</v>
      </c>
      <c r="T2260" s="10" t="str">
        <f>IFERROR(ROUND((Q2260/R2260),2),"NA")</f>
        <v>NA</v>
      </c>
      <c r="U2260">
        <f t="shared" si="35"/>
        <v>0</v>
      </c>
    </row>
    <row r="2261" spans="7:21" x14ac:dyDescent="0.2">
      <c r="G2261" s="9" t="s">
        <v>166</v>
      </c>
      <c r="H2261">
        <v>310</v>
      </c>
      <c r="M2261" s="1" t="s">
        <v>166</v>
      </c>
      <c r="N2261" s="1">
        <v>0</v>
      </c>
      <c r="P2261" s="1" t="s">
        <v>166</v>
      </c>
      <c r="Q2261" s="42">
        <v>310</v>
      </c>
      <c r="R2261" s="42">
        <v>0</v>
      </c>
      <c r="S2261" s="42">
        <v>0</v>
      </c>
      <c r="T2261" s="10" t="str">
        <f>IFERROR(ROUND((Q2261/R2261),2),"NA")</f>
        <v>NA</v>
      </c>
      <c r="U2261">
        <f t="shared" si="35"/>
        <v>0</v>
      </c>
    </row>
    <row r="2262" spans="7:21" x14ac:dyDescent="0.2">
      <c r="G2262" s="9" t="s">
        <v>1394</v>
      </c>
      <c r="H2262">
        <v>40</v>
      </c>
      <c r="M2262" s="1" t="s">
        <v>1394</v>
      </c>
      <c r="N2262" s="1">
        <v>9400</v>
      </c>
      <c r="P2262" s="1" t="s">
        <v>1394</v>
      </c>
      <c r="Q2262" s="42">
        <v>40</v>
      </c>
      <c r="R2262" s="42">
        <v>9400</v>
      </c>
      <c r="S2262" s="42">
        <v>0</v>
      </c>
      <c r="T2262" s="10">
        <f>IFERROR(ROUND((Q2262/R2262),2),"NA")</f>
        <v>0</v>
      </c>
      <c r="U2262">
        <f t="shared" si="35"/>
        <v>0</v>
      </c>
    </row>
    <row r="2263" spans="7:21" x14ac:dyDescent="0.2">
      <c r="G2263" s="9" t="s">
        <v>890</v>
      </c>
      <c r="H2263">
        <v>28</v>
      </c>
      <c r="M2263" s="1" t="s">
        <v>890</v>
      </c>
      <c r="N2263" s="1">
        <v>32</v>
      </c>
      <c r="P2263" s="1" t="s">
        <v>890</v>
      </c>
      <c r="Q2263" s="42">
        <v>28</v>
      </c>
      <c r="R2263" s="42">
        <v>32</v>
      </c>
      <c r="S2263" s="42">
        <v>0.32</v>
      </c>
      <c r="T2263" s="10">
        <f>IFERROR(ROUND((Q2263/R2263),2),"NA")</f>
        <v>0.88</v>
      </c>
      <c r="U2263">
        <f t="shared" si="35"/>
        <v>8.9600000000000009</v>
      </c>
    </row>
    <row r="2264" spans="7:21" x14ac:dyDescent="0.2">
      <c r="G2264" s="9" t="s">
        <v>1626</v>
      </c>
      <c r="H2264">
        <v>120</v>
      </c>
      <c r="M2264" s="1" t="s">
        <v>1626</v>
      </c>
      <c r="N2264" s="1">
        <v>95</v>
      </c>
      <c r="P2264" s="1" t="s">
        <v>1626</v>
      </c>
      <c r="Q2264" s="42">
        <v>120</v>
      </c>
      <c r="R2264" s="42">
        <v>95</v>
      </c>
      <c r="S2264" s="42">
        <v>0</v>
      </c>
      <c r="T2264" s="10">
        <f>IFERROR(ROUND((Q2264/R2264),2),"NA")</f>
        <v>1.26</v>
      </c>
      <c r="U2264">
        <f t="shared" si="35"/>
        <v>0</v>
      </c>
    </row>
    <row r="2265" spans="7:21" x14ac:dyDescent="0.2">
      <c r="G2265" s="9" t="s">
        <v>1459</v>
      </c>
      <c r="H2265">
        <v>60</v>
      </c>
      <c r="M2265" s="1" t="s">
        <v>1459</v>
      </c>
      <c r="N2265" s="1">
        <v>235</v>
      </c>
      <c r="P2265" s="1" t="s">
        <v>1459</v>
      </c>
      <c r="Q2265" s="42">
        <v>60</v>
      </c>
      <c r="R2265" s="42">
        <v>235</v>
      </c>
      <c r="S2265" s="42">
        <v>0.14000000000000001</v>
      </c>
      <c r="T2265" s="10">
        <f>IFERROR(ROUND((Q2265/R2265),2),"NA")</f>
        <v>0.26</v>
      </c>
      <c r="U2265">
        <f t="shared" si="35"/>
        <v>8.4</v>
      </c>
    </row>
    <row r="2266" spans="7:21" x14ac:dyDescent="0.2">
      <c r="G2266" s="9" t="s">
        <v>791</v>
      </c>
      <c r="H2266">
        <v>100</v>
      </c>
      <c r="M2266" s="1" t="s">
        <v>791</v>
      </c>
      <c r="N2266" s="1">
        <v>0</v>
      </c>
      <c r="P2266" s="1" t="s">
        <v>791</v>
      </c>
      <c r="Q2266" s="42">
        <v>100</v>
      </c>
      <c r="R2266" s="42">
        <v>0</v>
      </c>
      <c r="S2266" s="42">
        <v>0.05</v>
      </c>
      <c r="T2266" s="10" t="str">
        <f>IFERROR(ROUND((Q2266/R2266),2),"NA")</f>
        <v>NA</v>
      </c>
      <c r="U2266">
        <f t="shared" si="35"/>
        <v>5</v>
      </c>
    </row>
    <row r="2267" spans="7:21" x14ac:dyDescent="0.2">
      <c r="G2267" s="9" t="s">
        <v>1619</v>
      </c>
      <c r="H2267">
        <v>123</v>
      </c>
      <c r="M2267" s="1" t="s">
        <v>1619</v>
      </c>
      <c r="N2267" s="1">
        <v>565</v>
      </c>
      <c r="P2267" s="1" t="s">
        <v>1619</v>
      </c>
      <c r="Q2267" s="42">
        <v>123</v>
      </c>
      <c r="R2267" s="42">
        <v>565</v>
      </c>
      <c r="S2267" s="42">
        <v>0.11</v>
      </c>
      <c r="T2267" s="10">
        <f>IFERROR(ROUND((Q2267/R2267),2),"NA")</f>
        <v>0.22</v>
      </c>
      <c r="U2267">
        <f t="shared" si="35"/>
        <v>13.53</v>
      </c>
    </row>
    <row r="2268" spans="7:21" x14ac:dyDescent="0.2">
      <c r="G2268" s="9" t="s">
        <v>1393</v>
      </c>
      <c r="H2268">
        <v>48</v>
      </c>
      <c r="M2268" s="1" t="s">
        <v>1393</v>
      </c>
      <c r="N2268" s="1">
        <v>278</v>
      </c>
      <c r="P2268" s="1" t="s">
        <v>1393</v>
      </c>
      <c r="Q2268" s="42">
        <v>48</v>
      </c>
      <c r="R2268" s="42">
        <v>278</v>
      </c>
      <c r="S2268" s="42">
        <v>0.72</v>
      </c>
      <c r="T2268" s="10">
        <f>IFERROR(ROUND((Q2268/R2268),2),"NA")</f>
        <v>0.17</v>
      </c>
      <c r="U2268">
        <f t="shared" si="35"/>
        <v>34.56</v>
      </c>
    </row>
    <row r="2269" spans="7:21" x14ac:dyDescent="0.2">
      <c r="G2269" s="9" t="s">
        <v>288</v>
      </c>
      <c r="H2269">
        <v>1850</v>
      </c>
      <c r="M2269" s="1" t="s">
        <v>288</v>
      </c>
      <c r="N2269" s="1">
        <v>1864</v>
      </c>
      <c r="P2269" s="1" t="s">
        <v>288</v>
      </c>
      <c r="Q2269" s="42">
        <v>1850</v>
      </c>
      <c r="R2269" s="42">
        <v>1864</v>
      </c>
      <c r="S2269" s="42">
        <v>0.3</v>
      </c>
      <c r="T2269" s="10">
        <f>IFERROR(ROUND((Q2269/R2269),2),"NA")</f>
        <v>0.99</v>
      </c>
      <c r="U2269">
        <f t="shared" si="35"/>
        <v>555</v>
      </c>
    </row>
    <row r="2270" spans="7:21" x14ac:dyDescent="0.2">
      <c r="G2270" s="9" t="s">
        <v>160</v>
      </c>
      <c r="H2270">
        <v>12</v>
      </c>
      <c r="M2270" s="1" t="s">
        <v>160</v>
      </c>
      <c r="N2270" s="1">
        <v>75</v>
      </c>
      <c r="P2270" s="1" t="s">
        <v>160</v>
      </c>
      <c r="Q2270" s="42">
        <v>12</v>
      </c>
      <c r="R2270" s="42">
        <v>75</v>
      </c>
      <c r="S2270" s="42">
        <v>0.25</v>
      </c>
      <c r="T2270" s="10">
        <f>IFERROR(ROUND((Q2270/R2270),2),"NA")</f>
        <v>0.16</v>
      </c>
      <c r="U2270">
        <f t="shared" si="35"/>
        <v>3</v>
      </c>
    </row>
    <row r="2271" spans="7:21" x14ac:dyDescent="0.2">
      <c r="G2271" s="9" t="s">
        <v>2414</v>
      </c>
      <c r="H2271">
        <v>44</v>
      </c>
      <c r="M2271" s="1" t="s">
        <v>2414</v>
      </c>
      <c r="N2271" s="1">
        <v>110</v>
      </c>
      <c r="P2271" s="1" t="s">
        <v>2414</v>
      </c>
      <c r="Q2271" s="42">
        <v>44</v>
      </c>
      <c r="R2271" s="42">
        <v>110</v>
      </c>
      <c r="S2271" s="42">
        <v>0.33</v>
      </c>
      <c r="T2271" s="10">
        <f>IFERROR(ROUND((Q2271/R2271),2),"NA")</f>
        <v>0.4</v>
      </c>
      <c r="U2271">
        <f t="shared" si="35"/>
        <v>14.520000000000001</v>
      </c>
    </row>
    <row r="2272" spans="7:21" x14ac:dyDescent="0.2">
      <c r="G2272" s="9" t="s">
        <v>1691</v>
      </c>
      <c r="H2272">
        <v>30</v>
      </c>
      <c r="M2272" s="1" t="s">
        <v>1691</v>
      </c>
      <c r="N2272" s="1">
        <v>29</v>
      </c>
      <c r="P2272" s="1" t="s">
        <v>1691</v>
      </c>
      <c r="Q2272" s="42">
        <v>30</v>
      </c>
      <c r="R2272" s="42">
        <v>29</v>
      </c>
      <c r="S2272" s="42">
        <v>0.25</v>
      </c>
      <c r="T2272" s="10">
        <f>IFERROR(ROUND((Q2272/R2272),2),"NA")</f>
        <v>1.03</v>
      </c>
      <c r="U2272">
        <f t="shared" si="35"/>
        <v>7.5</v>
      </c>
    </row>
    <row r="2273" spans="7:21" x14ac:dyDescent="0.2">
      <c r="G2273" s="9" t="s">
        <v>511</v>
      </c>
      <c r="H2273">
        <v>545</v>
      </c>
      <c r="M2273" s="1" t="s">
        <v>511</v>
      </c>
      <c r="N2273" s="1">
        <v>0</v>
      </c>
      <c r="P2273" s="1" t="s">
        <v>511</v>
      </c>
      <c r="Q2273" s="42">
        <v>545</v>
      </c>
      <c r="R2273" s="42">
        <v>0</v>
      </c>
      <c r="S2273" s="42">
        <v>0.1</v>
      </c>
      <c r="T2273" s="10" t="str">
        <f>IFERROR(ROUND((Q2273/R2273),2),"NA")</f>
        <v>NA</v>
      </c>
      <c r="U2273">
        <f t="shared" si="35"/>
        <v>54.5</v>
      </c>
    </row>
    <row r="2274" spans="7:21" x14ac:dyDescent="0.2">
      <c r="G2274" s="9" t="s">
        <v>2238</v>
      </c>
      <c r="H2274">
        <v>262</v>
      </c>
      <c r="M2274" s="1" t="s">
        <v>2238</v>
      </c>
      <c r="N2274" s="1">
        <v>450</v>
      </c>
      <c r="P2274" s="1" t="s">
        <v>2238</v>
      </c>
      <c r="Q2274" s="42">
        <v>262</v>
      </c>
      <c r="R2274" s="42">
        <v>450</v>
      </c>
      <c r="S2274" s="42">
        <v>0</v>
      </c>
      <c r="T2274" s="10">
        <f>IFERROR(ROUND((Q2274/R2274),2),"NA")</f>
        <v>0.57999999999999996</v>
      </c>
      <c r="U2274">
        <f t="shared" si="35"/>
        <v>0</v>
      </c>
    </row>
    <row r="2275" spans="7:21" x14ac:dyDescent="0.2">
      <c r="G2275" s="9" t="s">
        <v>256</v>
      </c>
      <c r="H2275">
        <v>0</v>
      </c>
      <c r="M2275" s="1" t="s">
        <v>256</v>
      </c>
      <c r="N2275" s="1">
        <v>175</v>
      </c>
      <c r="P2275" s="1" t="s">
        <v>256</v>
      </c>
      <c r="Q2275" s="42">
        <v>0</v>
      </c>
      <c r="R2275" s="42">
        <v>175</v>
      </c>
      <c r="S2275" s="42">
        <v>0</v>
      </c>
      <c r="T2275" s="10">
        <f>IFERROR(ROUND((Q2275/R2275),2),"NA")</f>
        <v>0</v>
      </c>
      <c r="U2275">
        <f t="shared" si="35"/>
        <v>0</v>
      </c>
    </row>
    <row r="2276" spans="7:21" x14ac:dyDescent="0.2">
      <c r="G2276" s="9" t="s">
        <v>2349</v>
      </c>
      <c r="H2276">
        <v>23</v>
      </c>
      <c r="M2276" s="1" t="s">
        <v>2349</v>
      </c>
      <c r="N2276" s="1">
        <v>83</v>
      </c>
      <c r="P2276" s="1" t="s">
        <v>2349</v>
      </c>
      <c r="Q2276" s="42">
        <v>23</v>
      </c>
      <c r="R2276" s="42">
        <v>83</v>
      </c>
      <c r="S2276" s="42">
        <v>0.23</v>
      </c>
      <c r="T2276" s="10">
        <f>IFERROR(ROUND((Q2276/R2276),2),"NA")</f>
        <v>0.28000000000000003</v>
      </c>
      <c r="U2276">
        <f t="shared" si="35"/>
        <v>5.29</v>
      </c>
    </row>
    <row r="2277" spans="7:21" x14ac:dyDescent="0.2">
      <c r="G2277" s="9" t="s">
        <v>1093</v>
      </c>
      <c r="H2277">
        <v>20</v>
      </c>
      <c r="M2277" s="1" t="s">
        <v>1093</v>
      </c>
      <c r="N2277" s="1">
        <v>87</v>
      </c>
      <c r="P2277" s="1" t="s">
        <v>1093</v>
      </c>
      <c r="Q2277" s="42">
        <v>20</v>
      </c>
      <c r="R2277" s="42">
        <v>87</v>
      </c>
      <c r="S2277" s="42">
        <v>0</v>
      </c>
      <c r="T2277" s="10">
        <f>IFERROR(ROUND((Q2277/R2277),2),"NA")</f>
        <v>0.23</v>
      </c>
      <c r="U2277">
        <f t="shared" si="35"/>
        <v>0</v>
      </c>
    </row>
    <row r="2278" spans="7:21" x14ac:dyDescent="0.2">
      <c r="G2278" s="9" t="s">
        <v>334</v>
      </c>
      <c r="H2278">
        <v>93</v>
      </c>
      <c r="M2278" s="1" t="s">
        <v>334</v>
      </c>
      <c r="N2278" s="1">
        <v>572</v>
      </c>
      <c r="P2278" s="1" t="s">
        <v>334</v>
      </c>
      <c r="Q2278" s="42">
        <v>93</v>
      </c>
      <c r="R2278" s="42">
        <v>572</v>
      </c>
      <c r="S2278" s="42">
        <v>5.6666666666666671E-2</v>
      </c>
      <c r="T2278" s="10">
        <f>IFERROR(ROUND((Q2278/R2278),2),"NA")</f>
        <v>0.16</v>
      </c>
      <c r="U2278">
        <f t="shared" si="35"/>
        <v>5.2700000000000005</v>
      </c>
    </row>
    <row r="2279" spans="7:21" x14ac:dyDescent="0.2">
      <c r="G2279" s="9" t="s">
        <v>2291</v>
      </c>
      <c r="H2279">
        <v>350</v>
      </c>
      <c r="M2279" s="1" t="s">
        <v>2291</v>
      </c>
      <c r="N2279" s="1">
        <v>112</v>
      </c>
      <c r="P2279" s="1" t="s">
        <v>2291</v>
      </c>
      <c r="Q2279" s="42">
        <v>350</v>
      </c>
      <c r="R2279" s="42">
        <v>112</v>
      </c>
      <c r="S2279" s="42">
        <v>0</v>
      </c>
      <c r="T2279" s="10">
        <f>IFERROR(ROUND((Q2279/R2279),2),"NA")</f>
        <v>3.13</v>
      </c>
      <c r="U2279">
        <f t="shared" si="35"/>
        <v>0</v>
      </c>
    </row>
    <row r="2280" spans="7:21" x14ac:dyDescent="0.2">
      <c r="G2280" s="9" t="s">
        <v>2738</v>
      </c>
      <c r="H2280">
        <v>13</v>
      </c>
      <c r="M2280" s="1" t="s">
        <v>2738</v>
      </c>
      <c r="N2280" s="1">
        <v>1</v>
      </c>
      <c r="P2280" s="1" t="s">
        <v>2738</v>
      </c>
      <c r="Q2280" s="42">
        <v>13</v>
      </c>
      <c r="R2280" s="42">
        <v>1</v>
      </c>
      <c r="S2280" s="42">
        <v>0.37</v>
      </c>
      <c r="T2280" s="10">
        <f>IFERROR(ROUND((Q2280/R2280),2),"NA")</f>
        <v>13</v>
      </c>
      <c r="U2280">
        <f t="shared" si="35"/>
        <v>4.8099999999999996</v>
      </c>
    </row>
    <row r="2281" spans="7:21" x14ac:dyDescent="0.2">
      <c r="G2281" s="9" t="s">
        <v>951</v>
      </c>
      <c r="H2281">
        <v>28</v>
      </c>
      <c r="M2281" s="1" t="s">
        <v>951</v>
      </c>
      <c r="N2281" s="1">
        <v>65</v>
      </c>
      <c r="P2281" s="1" t="s">
        <v>951</v>
      </c>
      <c r="Q2281" s="42">
        <v>28</v>
      </c>
      <c r="R2281" s="42">
        <v>65</v>
      </c>
      <c r="S2281" s="42">
        <v>0.3</v>
      </c>
      <c r="T2281" s="10">
        <f>IFERROR(ROUND((Q2281/R2281),2),"NA")</f>
        <v>0.43</v>
      </c>
      <c r="U2281">
        <f t="shared" si="35"/>
        <v>8.4</v>
      </c>
    </row>
    <row r="2282" spans="7:21" x14ac:dyDescent="0.2">
      <c r="G2282" s="9" t="s">
        <v>69</v>
      </c>
      <c r="H2282">
        <v>4000</v>
      </c>
      <c r="M2282" s="1" t="s">
        <v>69</v>
      </c>
      <c r="N2282" s="1">
        <v>0</v>
      </c>
      <c r="P2282" s="1" t="s">
        <v>69</v>
      </c>
      <c r="Q2282" s="42">
        <v>4000</v>
      </c>
      <c r="R2282" s="42">
        <v>0</v>
      </c>
      <c r="S2282" s="42">
        <v>0</v>
      </c>
      <c r="T2282" s="10" t="str">
        <f>IFERROR(ROUND((Q2282/R2282),2),"NA")</f>
        <v>NA</v>
      </c>
      <c r="U2282">
        <f t="shared" si="35"/>
        <v>0</v>
      </c>
    </row>
    <row r="2283" spans="7:21" x14ac:dyDescent="0.2">
      <c r="G2283" s="9" t="s">
        <v>239</v>
      </c>
      <c r="H2283">
        <v>0</v>
      </c>
      <c r="M2283" s="1" t="s">
        <v>239</v>
      </c>
      <c r="N2283" s="1">
        <v>147</v>
      </c>
      <c r="P2283" s="1" t="s">
        <v>239</v>
      </c>
      <c r="Q2283" s="42">
        <v>0</v>
      </c>
      <c r="R2283" s="42">
        <v>147</v>
      </c>
      <c r="S2283" s="42">
        <v>0</v>
      </c>
      <c r="T2283" s="10">
        <f>IFERROR(ROUND((Q2283/R2283),2),"NA")</f>
        <v>0</v>
      </c>
      <c r="U2283">
        <f t="shared" si="35"/>
        <v>0</v>
      </c>
    </row>
    <row r="2284" spans="7:21" x14ac:dyDescent="0.2">
      <c r="G2284" s="9" t="s">
        <v>1290</v>
      </c>
      <c r="H2284">
        <v>0</v>
      </c>
      <c r="M2284" s="1" t="s">
        <v>1290</v>
      </c>
      <c r="N2284" s="1">
        <v>0</v>
      </c>
      <c r="P2284" s="1" t="s">
        <v>1290</v>
      </c>
      <c r="Q2284" s="42">
        <v>0</v>
      </c>
      <c r="R2284" s="42">
        <v>0</v>
      </c>
      <c r="S2284" s="42">
        <v>1</v>
      </c>
      <c r="T2284" s="10" t="str">
        <f>IFERROR(ROUND((Q2284/R2284),2),"NA")</f>
        <v>NA</v>
      </c>
      <c r="U2284">
        <f t="shared" si="35"/>
        <v>0</v>
      </c>
    </row>
    <row r="2285" spans="7:21" x14ac:dyDescent="0.2">
      <c r="G2285" s="9" t="s">
        <v>2756</v>
      </c>
      <c r="H2285">
        <v>131</v>
      </c>
      <c r="M2285" s="1" t="s">
        <v>2756</v>
      </c>
      <c r="N2285" s="1">
        <v>224</v>
      </c>
      <c r="P2285" s="1" t="s">
        <v>2756</v>
      </c>
      <c r="Q2285" s="42">
        <v>131</v>
      </c>
      <c r="R2285" s="42">
        <v>224</v>
      </c>
      <c r="S2285" s="42">
        <v>0.23</v>
      </c>
      <c r="T2285" s="10">
        <f>IFERROR(ROUND((Q2285/R2285),2),"NA")</f>
        <v>0.57999999999999996</v>
      </c>
      <c r="U2285">
        <f t="shared" si="35"/>
        <v>30.130000000000003</v>
      </c>
    </row>
    <row r="2286" spans="7:21" x14ac:dyDescent="0.2">
      <c r="G2286" s="9" t="s">
        <v>1069</v>
      </c>
      <c r="H2286">
        <v>0</v>
      </c>
      <c r="M2286" s="1" t="s">
        <v>1069</v>
      </c>
      <c r="N2286" s="1">
        <v>119</v>
      </c>
      <c r="P2286" s="1" t="s">
        <v>1069</v>
      </c>
      <c r="Q2286" s="42">
        <v>0</v>
      </c>
      <c r="R2286" s="42">
        <v>119</v>
      </c>
      <c r="S2286" s="42">
        <v>0</v>
      </c>
      <c r="T2286" s="10">
        <f>IFERROR(ROUND((Q2286/R2286),2),"NA")</f>
        <v>0</v>
      </c>
      <c r="U2286">
        <f t="shared" si="35"/>
        <v>0</v>
      </c>
    </row>
    <row r="2287" spans="7:21" x14ac:dyDescent="0.2">
      <c r="G2287" s="9" t="s">
        <v>2379</v>
      </c>
      <c r="H2287">
        <v>0</v>
      </c>
      <c r="M2287" s="1" t="s">
        <v>2379</v>
      </c>
      <c r="N2287" s="1">
        <v>1200</v>
      </c>
      <c r="P2287" s="1" t="s">
        <v>2379</v>
      </c>
      <c r="Q2287" s="42">
        <v>0</v>
      </c>
      <c r="R2287" s="42">
        <v>1200</v>
      </c>
      <c r="S2287" s="42">
        <v>0</v>
      </c>
      <c r="T2287" s="10">
        <f>IFERROR(ROUND((Q2287/R2287),2),"NA")</f>
        <v>0</v>
      </c>
      <c r="U2287">
        <f t="shared" si="35"/>
        <v>0</v>
      </c>
    </row>
    <row r="2288" spans="7:21" x14ac:dyDescent="0.2">
      <c r="G2288" s="9" t="s">
        <v>1273</v>
      </c>
      <c r="H2288">
        <v>25</v>
      </c>
      <c r="M2288" s="1" t="s">
        <v>1273</v>
      </c>
      <c r="N2288" s="1">
        <v>24</v>
      </c>
      <c r="P2288" s="1" t="s">
        <v>1273</v>
      </c>
      <c r="Q2288" s="42">
        <v>25</v>
      </c>
      <c r="R2288" s="42">
        <v>24</v>
      </c>
      <c r="S2288" s="42">
        <v>0.3</v>
      </c>
      <c r="T2288" s="10">
        <f>IFERROR(ROUND((Q2288/R2288),2),"NA")</f>
        <v>1.04</v>
      </c>
      <c r="U2288">
        <f t="shared" si="35"/>
        <v>7.5</v>
      </c>
    </row>
    <row r="2289" spans="7:21" x14ac:dyDescent="0.2">
      <c r="G2289" s="9" t="s">
        <v>2695</v>
      </c>
      <c r="H2289">
        <v>24</v>
      </c>
      <c r="M2289" s="1" t="s">
        <v>2695</v>
      </c>
      <c r="N2289" s="1">
        <v>128</v>
      </c>
      <c r="P2289" s="1" t="s">
        <v>2695</v>
      </c>
      <c r="Q2289" s="42">
        <v>24</v>
      </c>
      <c r="R2289" s="42">
        <v>128</v>
      </c>
      <c r="S2289" s="42">
        <v>0.1</v>
      </c>
      <c r="T2289" s="10">
        <f>IFERROR(ROUND((Q2289/R2289),2),"NA")</f>
        <v>0.19</v>
      </c>
      <c r="U2289">
        <f t="shared" si="35"/>
        <v>2.4000000000000004</v>
      </c>
    </row>
    <row r="2290" spans="7:21" x14ac:dyDescent="0.2">
      <c r="G2290" s="9" t="s">
        <v>2265</v>
      </c>
      <c r="H2290">
        <v>27</v>
      </c>
      <c r="M2290" s="1" t="s">
        <v>2265</v>
      </c>
      <c r="N2290" s="1">
        <v>583</v>
      </c>
      <c r="P2290" s="1" t="s">
        <v>2265</v>
      </c>
      <c r="Q2290" s="42">
        <v>27</v>
      </c>
      <c r="R2290" s="42">
        <v>583</v>
      </c>
      <c r="S2290" s="42">
        <v>7.0000000000000007E-2</v>
      </c>
      <c r="T2290" s="10">
        <f>IFERROR(ROUND((Q2290/R2290),2),"NA")</f>
        <v>0.05</v>
      </c>
      <c r="U2290">
        <f t="shared" si="35"/>
        <v>1.8900000000000001</v>
      </c>
    </row>
    <row r="2291" spans="7:21" x14ac:dyDescent="0.2">
      <c r="G2291" s="9" t="s">
        <v>2929</v>
      </c>
      <c r="H2291">
        <v>20</v>
      </c>
      <c r="M2291" s="1" t="s">
        <v>2929</v>
      </c>
      <c r="N2291" s="1">
        <v>35</v>
      </c>
      <c r="P2291" s="1" t="s">
        <v>2929</v>
      </c>
      <c r="Q2291" s="42">
        <v>20</v>
      </c>
      <c r="R2291" s="42">
        <v>35</v>
      </c>
      <c r="S2291" s="42">
        <v>0</v>
      </c>
      <c r="T2291" s="10">
        <f>IFERROR(ROUND((Q2291/R2291),2),"NA")</f>
        <v>0.56999999999999995</v>
      </c>
      <c r="U2291">
        <f t="shared" si="35"/>
        <v>0</v>
      </c>
    </row>
    <row r="2292" spans="7:21" x14ac:dyDescent="0.2">
      <c r="G2292" s="9" t="s">
        <v>2813</v>
      </c>
      <c r="H2292">
        <v>100</v>
      </c>
      <c r="M2292" s="1" t="s">
        <v>2813</v>
      </c>
      <c r="N2292" s="1">
        <v>0</v>
      </c>
      <c r="P2292" s="1" t="s">
        <v>2813</v>
      </c>
      <c r="Q2292" s="42">
        <v>100</v>
      </c>
      <c r="R2292" s="42">
        <v>0</v>
      </c>
      <c r="S2292" s="42">
        <v>0.1</v>
      </c>
      <c r="T2292" s="10" t="str">
        <f>IFERROR(ROUND((Q2292/R2292),2),"NA")</f>
        <v>NA</v>
      </c>
      <c r="U2292">
        <f t="shared" si="35"/>
        <v>10</v>
      </c>
    </row>
    <row r="2293" spans="7:21" x14ac:dyDescent="0.2">
      <c r="G2293" s="9" t="s">
        <v>2893</v>
      </c>
      <c r="H2293">
        <v>250</v>
      </c>
      <c r="M2293" s="1" t="s">
        <v>2893</v>
      </c>
      <c r="N2293" s="1">
        <v>47</v>
      </c>
      <c r="P2293" s="1" t="s">
        <v>2893</v>
      </c>
      <c r="Q2293" s="42">
        <v>250</v>
      </c>
      <c r="R2293" s="42">
        <v>47</v>
      </c>
      <c r="S2293" s="42">
        <v>0.5</v>
      </c>
      <c r="T2293" s="10">
        <f>IFERROR(ROUND((Q2293/R2293),2),"NA")</f>
        <v>5.32</v>
      </c>
      <c r="U2293">
        <f t="shared" si="35"/>
        <v>125</v>
      </c>
    </row>
    <row r="2294" spans="7:21" x14ac:dyDescent="0.2">
      <c r="G2294" s="9" t="s">
        <v>1820</v>
      </c>
      <c r="H2294">
        <v>300</v>
      </c>
      <c r="M2294" s="1" t="s">
        <v>1820</v>
      </c>
      <c r="N2294" s="1">
        <v>2386</v>
      </c>
      <c r="P2294" s="1" t="s">
        <v>1820</v>
      </c>
      <c r="Q2294" s="42">
        <v>300</v>
      </c>
      <c r="R2294" s="42">
        <v>2386</v>
      </c>
      <c r="S2294" s="42">
        <v>0.10000000000000002</v>
      </c>
      <c r="T2294" s="10">
        <f>IFERROR(ROUND((Q2294/R2294),2),"NA")</f>
        <v>0.13</v>
      </c>
      <c r="U2294">
        <f t="shared" si="35"/>
        <v>30.000000000000007</v>
      </c>
    </row>
    <row r="2295" spans="7:21" x14ac:dyDescent="0.2">
      <c r="G2295" s="9" t="s">
        <v>2336</v>
      </c>
      <c r="H2295">
        <v>0</v>
      </c>
      <c r="M2295" s="1" t="s">
        <v>2336</v>
      </c>
      <c r="N2295" s="1">
        <v>109</v>
      </c>
      <c r="P2295" s="1" t="s">
        <v>2336</v>
      </c>
      <c r="Q2295" s="42">
        <v>0</v>
      </c>
      <c r="R2295" s="42">
        <v>109</v>
      </c>
      <c r="S2295" s="42">
        <v>0.1</v>
      </c>
      <c r="T2295" s="10">
        <f>IFERROR(ROUND((Q2295/R2295),2),"NA")</f>
        <v>0</v>
      </c>
      <c r="U2295">
        <f t="shared" si="35"/>
        <v>0</v>
      </c>
    </row>
    <row r="2296" spans="7:21" x14ac:dyDescent="0.2">
      <c r="G2296" s="9" t="s">
        <v>451</v>
      </c>
      <c r="H2296">
        <v>14</v>
      </c>
      <c r="M2296" s="1" t="s">
        <v>451</v>
      </c>
      <c r="N2296" s="1">
        <v>14</v>
      </c>
      <c r="P2296" s="1" t="s">
        <v>451</v>
      </c>
      <c r="Q2296" s="42">
        <v>14</v>
      </c>
      <c r="R2296" s="42">
        <v>14</v>
      </c>
      <c r="S2296" s="42">
        <v>0.6</v>
      </c>
      <c r="T2296" s="10">
        <f>IFERROR(ROUND((Q2296/R2296),2),"NA")</f>
        <v>1</v>
      </c>
      <c r="U2296">
        <f t="shared" si="35"/>
        <v>8.4</v>
      </c>
    </row>
    <row r="2297" spans="7:21" x14ac:dyDescent="0.2">
      <c r="G2297" s="9" t="s">
        <v>261</v>
      </c>
      <c r="H2297">
        <v>40</v>
      </c>
      <c r="M2297" s="1" t="s">
        <v>261</v>
      </c>
      <c r="N2297" s="1">
        <v>71</v>
      </c>
      <c r="P2297" s="1" t="s">
        <v>261</v>
      </c>
      <c r="Q2297" s="42">
        <v>40</v>
      </c>
      <c r="R2297" s="42">
        <v>71</v>
      </c>
      <c r="S2297" s="42">
        <v>0.4</v>
      </c>
      <c r="T2297" s="10">
        <f>IFERROR(ROUND((Q2297/R2297),2),"NA")</f>
        <v>0.56000000000000005</v>
      </c>
      <c r="U2297">
        <f t="shared" si="35"/>
        <v>16</v>
      </c>
    </row>
    <row r="2298" spans="7:21" x14ac:dyDescent="0.2">
      <c r="G2298" s="9" t="s">
        <v>2493</v>
      </c>
      <c r="H2298">
        <v>41</v>
      </c>
      <c r="M2298" s="1" t="s">
        <v>2493</v>
      </c>
      <c r="N2298" s="1">
        <v>12</v>
      </c>
      <c r="P2298" s="1" t="s">
        <v>2493</v>
      </c>
      <c r="Q2298" s="42">
        <v>41</v>
      </c>
      <c r="R2298" s="42">
        <v>12</v>
      </c>
      <c r="S2298" s="42">
        <v>0.9</v>
      </c>
      <c r="T2298" s="10">
        <f>IFERROR(ROUND((Q2298/R2298),2),"NA")</f>
        <v>3.42</v>
      </c>
      <c r="U2298">
        <f t="shared" si="35"/>
        <v>36.9</v>
      </c>
    </row>
    <row r="2299" spans="7:21" x14ac:dyDescent="0.2">
      <c r="G2299" s="9" t="s">
        <v>2475</v>
      </c>
      <c r="H2299">
        <v>300</v>
      </c>
      <c r="M2299" s="1" t="s">
        <v>2475</v>
      </c>
      <c r="N2299" s="1">
        <v>62</v>
      </c>
      <c r="P2299" s="1" t="s">
        <v>2475</v>
      </c>
      <c r="Q2299" s="42">
        <v>300</v>
      </c>
      <c r="R2299" s="42">
        <v>62</v>
      </c>
      <c r="S2299" s="42">
        <v>0.5</v>
      </c>
      <c r="T2299" s="10">
        <f>IFERROR(ROUND((Q2299/R2299),2),"NA")</f>
        <v>4.84</v>
      </c>
      <c r="U2299">
        <f t="shared" si="35"/>
        <v>150</v>
      </c>
    </row>
    <row r="2300" spans="7:21" x14ac:dyDescent="0.2">
      <c r="G2300" s="9" t="s">
        <v>929</v>
      </c>
      <c r="H2300">
        <v>0</v>
      </c>
      <c r="M2300" s="1" t="s">
        <v>929</v>
      </c>
      <c r="N2300" s="1">
        <v>35</v>
      </c>
      <c r="P2300" s="1" t="s">
        <v>929</v>
      </c>
      <c r="Q2300" s="42">
        <v>0</v>
      </c>
      <c r="R2300" s="42">
        <v>35</v>
      </c>
      <c r="S2300" s="42">
        <v>0</v>
      </c>
      <c r="T2300" s="10">
        <f>IFERROR(ROUND((Q2300/R2300),2),"NA")</f>
        <v>0</v>
      </c>
      <c r="U2300">
        <f t="shared" si="35"/>
        <v>0</v>
      </c>
    </row>
    <row r="2301" spans="7:21" x14ac:dyDescent="0.2">
      <c r="G2301" s="9" t="s">
        <v>455</v>
      </c>
      <c r="H2301">
        <v>0</v>
      </c>
      <c r="M2301" s="1" t="s">
        <v>455</v>
      </c>
      <c r="N2301" s="1">
        <v>0</v>
      </c>
      <c r="P2301" s="1" t="s">
        <v>455</v>
      </c>
      <c r="Q2301" s="42">
        <v>0</v>
      </c>
      <c r="R2301" s="42">
        <v>0</v>
      </c>
      <c r="S2301" s="42">
        <v>0.02</v>
      </c>
      <c r="T2301" s="10" t="str">
        <f>IFERROR(ROUND((Q2301/R2301),2),"NA")</f>
        <v>NA</v>
      </c>
      <c r="U2301">
        <f t="shared" si="35"/>
        <v>0</v>
      </c>
    </row>
    <row r="2302" spans="7:21" x14ac:dyDescent="0.2">
      <c r="G2302" s="9" t="s">
        <v>179</v>
      </c>
      <c r="H2302">
        <v>79</v>
      </c>
      <c r="M2302" s="1" t="s">
        <v>179</v>
      </c>
      <c r="N2302" s="1">
        <v>0</v>
      </c>
      <c r="P2302" s="1" t="s">
        <v>179</v>
      </c>
      <c r="Q2302" s="42">
        <v>79</v>
      </c>
      <c r="R2302" s="42">
        <v>0</v>
      </c>
      <c r="S2302" s="42">
        <v>1</v>
      </c>
      <c r="T2302" s="10" t="str">
        <f>IFERROR(ROUND((Q2302/R2302),2),"NA")</f>
        <v>NA</v>
      </c>
      <c r="U2302">
        <f t="shared" si="35"/>
        <v>79</v>
      </c>
    </row>
    <row r="2303" spans="7:21" x14ac:dyDescent="0.2">
      <c r="G2303" s="9" t="s">
        <v>1881</v>
      </c>
      <c r="H2303">
        <v>0</v>
      </c>
      <c r="M2303" s="1" t="s">
        <v>1881</v>
      </c>
      <c r="N2303" s="1">
        <v>624</v>
      </c>
      <c r="P2303" s="1" t="s">
        <v>1881</v>
      </c>
      <c r="Q2303" s="42">
        <v>0</v>
      </c>
      <c r="R2303" s="42">
        <v>624</v>
      </c>
      <c r="S2303" s="42">
        <v>0</v>
      </c>
      <c r="T2303" s="10">
        <f>IFERROR(ROUND((Q2303/R2303),2),"NA")</f>
        <v>0</v>
      </c>
      <c r="U2303">
        <f t="shared" si="35"/>
        <v>0</v>
      </c>
    </row>
    <row r="2304" spans="7:21" x14ac:dyDescent="0.2">
      <c r="G2304" s="9" t="s">
        <v>470</v>
      </c>
      <c r="H2304">
        <v>30</v>
      </c>
      <c r="M2304" s="1" t="s">
        <v>470</v>
      </c>
      <c r="N2304" s="1">
        <v>199</v>
      </c>
      <c r="P2304" s="1" t="s">
        <v>470</v>
      </c>
      <c r="Q2304" s="42">
        <v>30</v>
      </c>
      <c r="R2304" s="42">
        <v>199</v>
      </c>
      <c r="S2304" s="42">
        <v>0.15</v>
      </c>
      <c r="T2304" s="10">
        <f>IFERROR(ROUND((Q2304/R2304),2),"NA")</f>
        <v>0.15</v>
      </c>
      <c r="U2304">
        <f t="shared" si="35"/>
        <v>4.5</v>
      </c>
    </row>
    <row r="2305" spans="7:21" x14ac:dyDescent="0.2">
      <c r="G2305" s="9" t="s">
        <v>2917</v>
      </c>
      <c r="H2305">
        <v>300</v>
      </c>
      <c r="M2305" s="1" t="s">
        <v>2917</v>
      </c>
      <c r="N2305" s="1">
        <v>981</v>
      </c>
      <c r="P2305" s="1" t="s">
        <v>2917</v>
      </c>
      <c r="Q2305" s="42">
        <v>300</v>
      </c>
      <c r="R2305" s="42">
        <v>981</v>
      </c>
      <c r="S2305" s="42">
        <v>0.25</v>
      </c>
      <c r="T2305" s="10">
        <f>IFERROR(ROUND((Q2305/R2305),2),"NA")</f>
        <v>0.31</v>
      </c>
      <c r="U2305">
        <f t="shared" si="35"/>
        <v>75</v>
      </c>
    </row>
    <row r="2306" spans="7:21" x14ac:dyDescent="0.2">
      <c r="G2306" s="9" t="s">
        <v>582</v>
      </c>
      <c r="H2306">
        <v>1025</v>
      </c>
      <c r="M2306" s="1" t="s">
        <v>582</v>
      </c>
      <c r="N2306" s="1">
        <v>9</v>
      </c>
      <c r="P2306" s="1" t="s">
        <v>582</v>
      </c>
      <c r="Q2306" s="42">
        <v>1025</v>
      </c>
      <c r="R2306" s="42">
        <v>9</v>
      </c>
      <c r="S2306" s="42">
        <v>0.14499999999999999</v>
      </c>
      <c r="T2306" s="10">
        <f>IFERROR(ROUND((Q2306/R2306),2),"NA")</f>
        <v>113.89</v>
      </c>
      <c r="U2306">
        <f t="shared" si="35"/>
        <v>148.625</v>
      </c>
    </row>
    <row r="2307" spans="7:21" x14ac:dyDescent="0.2">
      <c r="G2307" s="9" t="s">
        <v>2820</v>
      </c>
      <c r="H2307">
        <v>10</v>
      </c>
      <c r="M2307" s="1" t="s">
        <v>2820</v>
      </c>
      <c r="N2307" s="1">
        <v>0</v>
      </c>
      <c r="P2307" s="1" t="s">
        <v>2820</v>
      </c>
      <c r="Q2307" s="42">
        <v>10</v>
      </c>
      <c r="R2307" s="42">
        <v>0</v>
      </c>
      <c r="S2307" s="42">
        <v>0.25</v>
      </c>
      <c r="T2307" s="10" t="str">
        <f>IFERROR(ROUND((Q2307/R2307),2),"NA")</f>
        <v>NA</v>
      </c>
      <c r="U2307">
        <f t="shared" si="35"/>
        <v>2.5</v>
      </c>
    </row>
    <row r="2308" spans="7:21" x14ac:dyDescent="0.2">
      <c r="G2308" s="9" t="s">
        <v>2935</v>
      </c>
      <c r="H2308">
        <v>15</v>
      </c>
      <c r="M2308" s="1" t="s">
        <v>2935</v>
      </c>
      <c r="N2308" s="1">
        <v>48</v>
      </c>
      <c r="P2308" s="1" t="s">
        <v>2935</v>
      </c>
      <c r="Q2308" s="42">
        <v>15</v>
      </c>
      <c r="R2308" s="42">
        <v>48</v>
      </c>
      <c r="S2308" s="42">
        <v>0.17</v>
      </c>
      <c r="T2308" s="10">
        <f>IFERROR(ROUND((Q2308/R2308),2),"NA")</f>
        <v>0.31</v>
      </c>
      <c r="U2308">
        <f t="shared" si="35"/>
        <v>2.5500000000000003</v>
      </c>
    </row>
    <row r="2309" spans="7:21" x14ac:dyDescent="0.2">
      <c r="G2309" s="9" t="s">
        <v>1392</v>
      </c>
      <c r="H2309">
        <v>123</v>
      </c>
      <c r="M2309" s="1" t="s">
        <v>1392</v>
      </c>
      <c r="N2309" s="1">
        <v>32</v>
      </c>
      <c r="P2309" s="1" t="s">
        <v>1392</v>
      </c>
      <c r="Q2309" s="42">
        <v>123</v>
      </c>
      <c r="R2309" s="42">
        <v>32</v>
      </c>
      <c r="S2309" s="42">
        <v>0.13500000000000001</v>
      </c>
      <c r="T2309" s="10">
        <f>IFERROR(ROUND((Q2309/R2309),2),"NA")</f>
        <v>3.84</v>
      </c>
      <c r="U2309">
        <f t="shared" ref="U2309:U2372" si="36">Q2309*S2309</f>
        <v>16.605</v>
      </c>
    </row>
    <row r="2310" spans="7:21" x14ac:dyDescent="0.2">
      <c r="G2310" s="9" t="s">
        <v>2443</v>
      </c>
      <c r="H2310">
        <v>0</v>
      </c>
      <c r="M2310" s="1" t="s">
        <v>2443</v>
      </c>
      <c r="N2310" s="1">
        <v>29</v>
      </c>
      <c r="P2310" s="1" t="s">
        <v>2443</v>
      </c>
      <c r="Q2310" s="42">
        <v>0</v>
      </c>
      <c r="R2310" s="42">
        <v>29</v>
      </c>
      <c r="S2310" s="42">
        <v>0</v>
      </c>
      <c r="T2310" s="10">
        <f>IFERROR(ROUND((Q2310/R2310),2),"NA")</f>
        <v>0</v>
      </c>
      <c r="U2310">
        <f t="shared" si="36"/>
        <v>0</v>
      </c>
    </row>
    <row r="2311" spans="7:21" x14ac:dyDescent="0.2">
      <c r="G2311" s="9" t="s">
        <v>2680</v>
      </c>
      <c r="H2311">
        <v>0</v>
      </c>
      <c r="M2311" s="1" t="s">
        <v>2680</v>
      </c>
      <c r="N2311" s="1">
        <v>55</v>
      </c>
      <c r="P2311" s="1" t="s">
        <v>2680</v>
      </c>
      <c r="Q2311" s="42">
        <v>0</v>
      </c>
      <c r="R2311" s="42">
        <v>55</v>
      </c>
      <c r="S2311" s="42">
        <v>0</v>
      </c>
      <c r="T2311" s="10">
        <f>IFERROR(ROUND((Q2311/R2311),2),"NA")</f>
        <v>0</v>
      </c>
      <c r="U2311">
        <f t="shared" si="36"/>
        <v>0</v>
      </c>
    </row>
    <row r="2312" spans="7:21" x14ac:dyDescent="0.2">
      <c r="G2312" s="9" t="s">
        <v>1165</v>
      </c>
      <c r="H2312">
        <v>16</v>
      </c>
      <c r="M2312" s="1" t="s">
        <v>1165</v>
      </c>
      <c r="N2312" s="1">
        <v>149</v>
      </c>
      <c r="P2312" s="1" t="s">
        <v>1165</v>
      </c>
      <c r="Q2312" s="42">
        <v>16</v>
      </c>
      <c r="R2312" s="42">
        <v>149</v>
      </c>
      <c r="S2312" s="42">
        <v>0.09</v>
      </c>
      <c r="T2312" s="10">
        <f>IFERROR(ROUND((Q2312/R2312),2),"NA")</f>
        <v>0.11</v>
      </c>
      <c r="U2312">
        <f t="shared" si="36"/>
        <v>1.44</v>
      </c>
    </row>
    <row r="2313" spans="7:21" x14ac:dyDescent="0.2">
      <c r="G2313" s="9" t="s">
        <v>36</v>
      </c>
      <c r="H2313">
        <v>66</v>
      </c>
      <c r="M2313" s="1" t="s">
        <v>36</v>
      </c>
      <c r="N2313" s="1">
        <v>134</v>
      </c>
      <c r="P2313" s="1" t="s">
        <v>36</v>
      </c>
      <c r="Q2313" s="42">
        <v>66</v>
      </c>
      <c r="R2313" s="42">
        <v>134</v>
      </c>
      <c r="S2313" s="42">
        <v>0</v>
      </c>
      <c r="T2313" s="10">
        <f>IFERROR(ROUND((Q2313/R2313),2),"NA")</f>
        <v>0.49</v>
      </c>
      <c r="U2313">
        <f t="shared" si="36"/>
        <v>0</v>
      </c>
    </row>
    <row r="2314" spans="7:21" x14ac:dyDescent="0.2">
      <c r="G2314" s="9" t="s">
        <v>347</v>
      </c>
      <c r="H2314">
        <v>143</v>
      </c>
      <c r="M2314" s="1" t="s">
        <v>347</v>
      </c>
      <c r="N2314" s="1">
        <v>186</v>
      </c>
      <c r="P2314" s="1" t="s">
        <v>347</v>
      </c>
      <c r="Q2314" s="42">
        <v>143</v>
      </c>
      <c r="R2314" s="42">
        <v>186</v>
      </c>
      <c r="S2314" s="42">
        <v>0</v>
      </c>
      <c r="T2314" s="10">
        <f>IFERROR(ROUND((Q2314/R2314),2),"NA")</f>
        <v>0.77</v>
      </c>
      <c r="U2314">
        <f t="shared" si="36"/>
        <v>0</v>
      </c>
    </row>
    <row r="2315" spans="7:21" x14ac:dyDescent="0.2">
      <c r="G2315" s="9" t="s">
        <v>2412</v>
      </c>
      <c r="H2315">
        <v>0</v>
      </c>
      <c r="M2315" s="1" t="s">
        <v>2412</v>
      </c>
      <c r="N2315" s="1">
        <v>17</v>
      </c>
      <c r="P2315" s="1" t="s">
        <v>2412</v>
      </c>
      <c r="Q2315" s="42">
        <v>0</v>
      </c>
      <c r="R2315" s="42">
        <v>17</v>
      </c>
      <c r="S2315" s="42">
        <v>0.3</v>
      </c>
      <c r="T2315" s="10">
        <f>IFERROR(ROUND((Q2315/R2315),2),"NA")</f>
        <v>0</v>
      </c>
      <c r="U2315">
        <f t="shared" si="36"/>
        <v>0</v>
      </c>
    </row>
    <row r="2316" spans="7:21" x14ac:dyDescent="0.2">
      <c r="G2316" s="9" t="s">
        <v>1316</v>
      </c>
      <c r="H2316">
        <v>0</v>
      </c>
      <c r="M2316" s="1" t="s">
        <v>1316</v>
      </c>
      <c r="N2316" s="1">
        <v>0</v>
      </c>
      <c r="P2316" s="1" t="s">
        <v>1316</v>
      </c>
      <c r="Q2316" s="42">
        <v>0</v>
      </c>
      <c r="R2316" s="42">
        <v>0</v>
      </c>
      <c r="S2316" s="42">
        <v>0</v>
      </c>
      <c r="T2316" s="10" t="str">
        <f>IFERROR(ROUND((Q2316/R2316),2),"NA")</f>
        <v>NA</v>
      </c>
      <c r="U2316">
        <f t="shared" si="36"/>
        <v>0</v>
      </c>
    </row>
    <row r="2317" spans="7:21" x14ac:dyDescent="0.2">
      <c r="G2317" s="9" t="s">
        <v>134</v>
      </c>
      <c r="H2317">
        <v>30</v>
      </c>
      <c r="M2317" s="1" t="s">
        <v>134</v>
      </c>
      <c r="N2317" s="1">
        <v>158</v>
      </c>
      <c r="P2317" s="1" t="s">
        <v>134</v>
      </c>
      <c r="Q2317" s="42">
        <v>30</v>
      </c>
      <c r="R2317" s="42">
        <v>158</v>
      </c>
      <c r="S2317" s="42">
        <v>0.25</v>
      </c>
      <c r="T2317" s="10">
        <f>IFERROR(ROUND((Q2317/R2317),2),"NA")</f>
        <v>0.19</v>
      </c>
      <c r="U2317">
        <f t="shared" si="36"/>
        <v>7.5</v>
      </c>
    </row>
    <row r="2318" spans="7:21" x14ac:dyDescent="0.2">
      <c r="G2318" s="9" t="s">
        <v>1001</v>
      </c>
      <c r="H2318">
        <v>321</v>
      </c>
      <c r="M2318" s="1" t="s">
        <v>1001</v>
      </c>
      <c r="N2318" s="1">
        <v>680</v>
      </c>
      <c r="P2318" s="1" t="s">
        <v>1001</v>
      </c>
      <c r="Q2318" s="42">
        <v>321</v>
      </c>
      <c r="R2318" s="42">
        <v>680</v>
      </c>
      <c r="S2318" s="42">
        <v>0.27</v>
      </c>
      <c r="T2318" s="10">
        <f>IFERROR(ROUND((Q2318/R2318),2),"NA")</f>
        <v>0.47</v>
      </c>
      <c r="U2318">
        <f t="shared" si="36"/>
        <v>86.67</v>
      </c>
    </row>
    <row r="2319" spans="7:21" x14ac:dyDescent="0.2">
      <c r="G2319" s="9" t="s">
        <v>2035</v>
      </c>
      <c r="H2319">
        <v>40</v>
      </c>
      <c r="M2319" s="1" t="s">
        <v>2035</v>
      </c>
      <c r="N2319" s="1">
        <v>271</v>
      </c>
      <c r="P2319" s="1" t="s">
        <v>2035</v>
      </c>
      <c r="Q2319" s="42">
        <v>40</v>
      </c>
      <c r="R2319" s="42">
        <v>271</v>
      </c>
      <c r="S2319" s="42">
        <v>0.1</v>
      </c>
      <c r="T2319" s="10">
        <f>IFERROR(ROUND((Q2319/R2319),2),"NA")</f>
        <v>0.15</v>
      </c>
      <c r="U2319">
        <f t="shared" si="36"/>
        <v>4</v>
      </c>
    </row>
    <row r="2320" spans="7:21" x14ac:dyDescent="0.2">
      <c r="G2320" s="9" t="s">
        <v>2017</v>
      </c>
      <c r="H2320">
        <v>325</v>
      </c>
      <c r="M2320" s="1" t="s">
        <v>2017</v>
      </c>
      <c r="N2320" s="1">
        <v>1020</v>
      </c>
      <c r="P2320" s="1" t="s">
        <v>2017</v>
      </c>
      <c r="Q2320" s="42">
        <v>325</v>
      </c>
      <c r="R2320" s="42">
        <v>1020</v>
      </c>
      <c r="S2320" s="42">
        <v>0.24</v>
      </c>
      <c r="T2320" s="10">
        <f>IFERROR(ROUND((Q2320/R2320),2),"NA")</f>
        <v>0.32</v>
      </c>
      <c r="U2320">
        <f t="shared" si="36"/>
        <v>78</v>
      </c>
    </row>
    <row r="2321" spans="7:21" x14ac:dyDescent="0.2">
      <c r="G2321" s="9" t="s">
        <v>2024</v>
      </c>
      <c r="H2321">
        <v>24</v>
      </c>
      <c r="M2321" s="1" t="s">
        <v>2024</v>
      </c>
      <c r="N2321" s="1">
        <v>474</v>
      </c>
      <c r="P2321" s="1" t="s">
        <v>2024</v>
      </c>
      <c r="Q2321" s="42">
        <v>24</v>
      </c>
      <c r="R2321" s="42">
        <v>474</v>
      </c>
      <c r="S2321" s="42">
        <v>0.05</v>
      </c>
      <c r="T2321" s="10">
        <f>IFERROR(ROUND((Q2321/R2321),2),"NA")</f>
        <v>0.05</v>
      </c>
      <c r="U2321">
        <f t="shared" si="36"/>
        <v>1.2000000000000002</v>
      </c>
    </row>
    <row r="2322" spans="7:21" x14ac:dyDescent="0.2">
      <c r="G2322" s="9" t="s">
        <v>711</v>
      </c>
      <c r="H2322">
        <v>0</v>
      </c>
      <c r="M2322" s="1" t="s">
        <v>711</v>
      </c>
      <c r="N2322" s="1">
        <v>0</v>
      </c>
      <c r="P2322" s="1" t="s">
        <v>711</v>
      </c>
      <c r="Q2322" s="42">
        <v>0</v>
      </c>
      <c r="R2322" s="42">
        <v>0</v>
      </c>
      <c r="S2322" s="42">
        <v>0</v>
      </c>
      <c r="T2322" s="10" t="str">
        <f>IFERROR(ROUND((Q2322/R2322),2),"NA")</f>
        <v>NA</v>
      </c>
      <c r="U2322">
        <f t="shared" si="36"/>
        <v>0</v>
      </c>
    </row>
    <row r="2323" spans="7:21" x14ac:dyDescent="0.2">
      <c r="G2323" s="9" t="s">
        <v>2485</v>
      </c>
      <c r="H2323">
        <v>120</v>
      </c>
      <c r="M2323" s="1" t="s">
        <v>2485</v>
      </c>
      <c r="N2323" s="1">
        <v>28</v>
      </c>
      <c r="P2323" s="1" t="s">
        <v>2485</v>
      </c>
      <c r="Q2323" s="42">
        <v>120</v>
      </c>
      <c r="R2323" s="42">
        <v>28</v>
      </c>
      <c r="S2323" s="42">
        <v>0</v>
      </c>
      <c r="T2323" s="10">
        <f>IFERROR(ROUND((Q2323/R2323),2),"NA")</f>
        <v>4.29</v>
      </c>
      <c r="U2323">
        <f t="shared" si="36"/>
        <v>0</v>
      </c>
    </row>
    <row r="2324" spans="7:21" x14ac:dyDescent="0.2">
      <c r="G2324" s="9" t="s">
        <v>1014</v>
      </c>
      <c r="H2324">
        <v>175</v>
      </c>
      <c r="M2324" s="1" t="s">
        <v>1014</v>
      </c>
      <c r="N2324" s="1">
        <v>80</v>
      </c>
      <c r="P2324" s="1" t="s">
        <v>1014</v>
      </c>
      <c r="Q2324" s="42">
        <v>175</v>
      </c>
      <c r="R2324" s="42">
        <v>80</v>
      </c>
      <c r="S2324" s="42">
        <v>0.22499999999999998</v>
      </c>
      <c r="T2324" s="10">
        <f>IFERROR(ROUND((Q2324/R2324),2),"NA")</f>
        <v>2.19</v>
      </c>
      <c r="U2324">
        <f t="shared" si="36"/>
        <v>39.374999999999993</v>
      </c>
    </row>
    <row r="2325" spans="7:21" x14ac:dyDescent="0.2">
      <c r="G2325" s="9" t="s">
        <v>2109</v>
      </c>
      <c r="H2325">
        <v>55</v>
      </c>
      <c r="M2325" s="1" t="s">
        <v>2109</v>
      </c>
      <c r="N2325" s="1">
        <v>21</v>
      </c>
      <c r="P2325" s="1" t="s">
        <v>2109</v>
      </c>
      <c r="Q2325" s="42">
        <v>55</v>
      </c>
      <c r="R2325" s="42">
        <v>21</v>
      </c>
      <c r="S2325" s="42">
        <v>0.1</v>
      </c>
      <c r="T2325" s="10">
        <f>IFERROR(ROUND((Q2325/R2325),2),"NA")</f>
        <v>2.62</v>
      </c>
      <c r="U2325">
        <f t="shared" si="36"/>
        <v>5.5</v>
      </c>
    </row>
    <row r="2326" spans="7:21" x14ac:dyDescent="0.2">
      <c r="G2326" s="9" t="s">
        <v>2949</v>
      </c>
      <c r="H2326">
        <v>0</v>
      </c>
      <c r="M2326" s="1" t="s">
        <v>2949</v>
      </c>
      <c r="N2326" s="1">
        <v>0</v>
      </c>
      <c r="P2326" s="1" t="s">
        <v>2949</v>
      </c>
      <c r="Q2326" s="42">
        <v>0</v>
      </c>
      <c r="R2326" s="42">
        <v>0</v>
      </c>
      <c r="S2326" s="42">
        <v>0</v>
      </c>
      <c r="T2326" s="10" t="str">
        <f>IFERROR(ROUND((Q2326/R2326),2),"NA")</f>
        <v>NA</v>
      </c>
      <c r="U2326">
        <f t="shared" si="36"/>
        <v>0</v>
      </c>
    </row>
    <row r="2327" spans="7:21" x14ac:dyDescent="0.2">
      <c r="G2327" s="9" t="s">
        <v>1572</v>
      </c>
      <c r="H2327">
        <v>100</v>
      </c>
      <c r="M2327" s="1" t="s">
        <v>1572</v>
      </c>
      <c r="N2327" s="1">
        <v>218</v>
      </c>
      <c r="P2327" s="1" t="s">
        <v>1572</v>
      </c>
      <c r="Q2327" s="42">
        <v>100</v>
      </c>
      <c r="R2327" s="42">
        <v>218</v>
      </c>
      <c r="S2327" s="42">
        <v>0</v>
      </c>
      <c r="T2327" s="10">
        <f>IFERROR(ROUND((Q2327/R2327),2),"NA")</f>
        <v>0.46</v>
      </c>
      <c r="U2327">
        <f t="shared" si="36"/>
        <v>0</v>
      </c>
    </row>
    <row r="2328" spans="7:21" x14ac:dyDescent="0.2">
      <c r="G2328" s="9" t="s">
        <v>554</v>
      </c>
      <c r="H2328">
        <v>39</v>
      </c>
      <c r="M2328" s="1" t="s">
        <v>554</v>
      </c>
      <c r="N2328" s="1">
        <v>130</v>
      </c>
      <c r="P2328" s="1" t="s">
        <v>554</v>
      </c>
      <c r="Q2328" s="42">
        <v>39</v>
      </c>
      <c r="R2328" s="42">
        <v>130</v>
      </c>
      <c r="S2328" s="42">
        <v>0</v>
      </c>
      <c r="T2328" s="10">
        <f>IFERROR(ROUND((Q2328/R2328),2),"NA")</f>
        <v>0.3</v>
      </c>
      <c r="U2328">
        <f t="shared" si="36"/>
        <v>0</v>
      </c>
    </row>
    <row r="2329" spans="7:21" x14ac:dyDescent="0.2">
      <c r="G2329" s="9" t="s">
        <v>238</v>
      </c>
      <c r="H2329">
        <v>66</v>
      </c>
      <c r="M2329" s="1" t="s">
        <v>238</v>
      </c>
      <c r="N2329" s="1">
        <v>0</v>
      </c>
      <c r="P2329" s="1" t="s">
        <v>238</v>
      </c>
      <c r="Q2329" s="42">
        <v>66</v>
      </c>
      <c r="R2329" s="42">
        <v>0</v>
      </c>
      <c r="S2329" s="42">
        <v>3.5000000000000003E-2</v>
      </c>
      <c r="T2329" s="10" t="str">
        <f>IFERROR(ROUND((Q2329/R2329),2),"NA")</f>
        <v>NA</v>
      </c>
      <c r="U2329">
        <f t="shared" si="36"/>
        <v>2.31</v>
      </c>
    </row>
    <row r="2330" spans="7:21" x14ac:dyDescent="0.2">
      <c r="G2330" s="9" t="s">
        <v>2190</v>
      </c>
      <c r="H2330">
        <v>0</v>
      </c>
      <c r="M2330" s="1" t="s">
        <v>2190</v>
      </c>
      <c r="N2330" s="1">
        <v>491</v>
      </c>
      <c r="P2330" s="1" t="s">
        <v>2190</v>
      </c>
      <c r="Q2330" s="42">
        <v>0</v>
      </c>
      <c r="R2330" s="42">
        <v>491</v>
      </c>
      <c r="S2330" s="42">
        <v>0.2</v>
      </c>
      <c r="T2330" s="10">
        <f>IFERROR(ROUND((Q2330/R2330),2),"NA")</f>
        <v>0</v>
      </c>
      <c r="U2330">
        <f t="shared" si="36"/>
        <v>0</v>
      </c>
    </row>
    <row r="2331" spans="7:21" x14ac:dyDescent="0.2">
      <c r="G2331" s="9" t="s">
        <v>2869</v>
      </c>
      <c r="H2331">
        <v>108</v>
      </c>
      <c r="M2331" s="1" t="s">
        <v>2869</v>
      </c>
      <c r="N2331" s="1">
        <v>467</v>
      </c>
      <c r="P2331" s="1" t="s">
        <v>2869</v>
      </c>
      <c r="Q2331" s="42">
        <v>108</v>
      </c>
      <c r="R2331" s="42">
        <v>467</v>
      </c>
      <c r="S2331" s="42">
        <v>0.3</v>
      </c>
      <c r="T2331" s="10">
        <f>IFERROR(ROUND((Q2331/R2331),2),"NA")</f>
        <v>0.23</v>
      </c>
      <c r="U2331">
        <f t="shared" si="36"/>
        <v>32.4</v>
      </c>
    </row>
    <row r="2332" spans="7:21" x14ac:dyDescent="0.2">
      <c r="G2332" s="9" t="s">
        <v>531</v>
      </c>
      <c r="H2332">
        <v>500</v>
      </c>
      <c r="M2332" s="1" t="s">
        <v>531</v>
      </c>
      <c r="N2332" s="1">
        <v>1944</v>
      </c>
      <c r="P2332" s="1" t="s">
        <v>531</v>
      </c>
      <c r="Q2332" s="42">
        <v>500</v>
      </c>
      <c r="R2332" s="42">
        <v>1944</v>
      </c>
      <c r="S2332" s="42">
        <v>0.27500000000000002</v>
      </c>
      <c r="T2332" s="10">
        <f>IFERROR(ROUND((Q2332/R2332),2),"NA")</f>
        <v>0.26</v>
      </c>
      <c r="U2332">
        <f t="shared" si="36"/>
        <v>137.5</v>
      </c>
    </row>
    <row r="2333" spans="7:21" x14ac:dyDescent="0.2">
      <c r="G2333" s="9" t="s">
        <v>2716</v>
      </c>
      <c r="H2333">
        <v>4</v>
      </c>
      <c r="M2333" s="1" t="s">
        <v>2716</v>
      </c>
      <c r="N2333" s="1">
        <v>2</v>
      </c>
      <c r="P2333" s="1" t="s">
        <v>2716</v>
      </c>
      <c r="Q2333" s="42">
        <v>4</v>
      </c>
      <c r="R2333" s="42">
        <v>2</v>
      </c>
      <c r="S2333" s="42">
        <v>1</v>
      </c>
      <c r="T2333" s="10">
        <f>IFERROR(ROUND((Q2333/R2333),2),"NA")</f>
        <v>2</v>
      </c>
      <c r="U2333">
        <f t="shared" si="36"/>
        <v>4</v>
      </c>
    </row>
    <row r="2334" spans="7:21" x14ac:dyDescent="0.2">
      <c r="G2334" s="9" t="s">
        <v>339</v>
      </c>
      <c r="H2334">
        <v>0</v>
      </c>
      <c r="M2334" s="1" t="s">
        <v>339</v>
      </c>
      <c r="N2334" s="1">
        <v>41</v>
      </c>
      <c r="P2334" s="1" t="s">
        <v>339</v>
      </c>
      <c r="Q2334" s="42">
        <v>0</v>
      </c>
      <c r="R2334" s="42">
        <v>41</v>
      </c>
      <c r="S2334" s="42">
        <v>1</v>
      </c>
      <c r="T2334" s="10">
        <f>IFERROR(ROUND((Q2334/R2334),2),"NA")</f>
        <v>0</v>
      </c>
      <c r="U2334">
        <f t="shared" si="36"/>
        <v>0</v>
      </c>
    </row>
    <row r="2335" spans="7:21" x14ac:dyDescent="0.2">
      <c r="G2335" s="9" t="s">
        <v>788</v>
      </c>
      <c r="H2335">
        <v>494</v>
      </c>
      <c r="M2335" s="1" t="s">
        <v>788</v>
      </c>
      <c r="N2335" s="1">
        <v>314</v>
      </c>
      <c r="P2335" s="1" t="s">
        <v>788</v>
      </c>
      <c r="Q2335" s="42">
        <v>494</v>
      </c>
      <c r="R2335" s="42">
        <v>314</v>
      </c>
      <c r="S2335" s="42">
        <v>0.27</v>
      </c>
      <c r="T2335" s="10">
        <f>IFERROR(ROUND((Q2335/R2335),2),"NA")</f>
        <v>1.57</v>
      </c>
      <c r="U2335">
        <f t="shared" si="36"/>
        <v>133.38</v>
      </c>
    </row>
    <row r="2336" spans="7:21" x14ac:dyDescent="0.2">
      <c r="G2336" s="9" t="s">
        <v>535</v>
      </c>
      <c r="H2336">
        <v>2300</v>
      </c>
      <c r="M2336" s="1" t="s">
        <v>535</v>
      </c>
      <c r="N2336" s="1">
        <v>1842</v>
      </c>
      <c r="P2336" s="1" t="s">
        <v>535</v>
      </c>
      <c r="Q2336" s="42">
        <v>2300</v>
      </c>
      <c r="R2336" s="42">
        <v>1842</v>
      </c>
      <c r="S2336" s="42">
        <v>0.11</v>
      </c>
      <c r="T2336" s="10">
        <f>IFERROR(ROUND((Q2336/R2336),2),"NA")</f>
        <v>1.25</v>
      </c>
      <c r="U2336">
        <f t="shared" si="36"/>
        <v>253</v>
      </c>
    </row>
    <row r="2337" spans="7:21" x14ac:dyDescent="0.2">
      <c r="G2337" s="9" t="s">
        <v>1660</v>
      </c>
      <c r="H2337">
        <v>30</v>
      </c>
      <c r="M2337" s="1" t="s">
        <v>1660</v>
      </c>
      <c r="N2337" s="1">
        <v>50</v>
      </c>
      <c r="P2337" s="1" t="s">
        <v>1660</v>
      </c>
      <c r="Q2337" s="42">
        <v>30</v>
      </c>
      <c r="R2337" s="42">
        <v>50</v>
      </c>
      <c r="S2337" s="42">
        <v>0.33</v>
      </c>
      <c r="T2337" s="10">
        <f>IFERROR(ROUND((Q2337/R2337),2),"NA")</f>
        <v>0.6</v>
      </c>
      <c r="U2337">
        <f t="shared" si="36"/>
        <v>9.9</v>
      </c>
    </row>
    <row r="2338" spans="7:21" x14ac:dyDescent="0.2">
      <c r="G2338" s="9" t="s">
        <v>2007</v>
      </c>
      <c r="H2338">
        <v>0</v>
      </c>
      <c r="M2338" s="1" t="s">
        <v>2007</v>
      </c>
      <c r="N2338" s="1">
        <v>73</v>
      </c>
      <c r="P2338" s="1" t="s">
        <v>2007</v>
      </c>
      <c r="Q2338" s="42">
        <v>0</v>
      </c>
      <c r="R2338" s="42">
        <v>73</v>
      </c>
      <c r="S2338" s="42">
        <v>0.5</v>
      </c>
      <c r="T2338" s="10">
        <f>IFERROR(ROUND((Q2338/R2338),2),"NA")</f>
        <v>0</v>
      </c>
      <c r="U2338">
        <f t="shared" si="36"/>
        <v>0</v>
      </c>
    </row>
    <row r="2339" spans="7:21" x14ac:dyDescent="0.2">
      <c r="G2339" s="9" t="s">
        <v>1107</v>
      </c>
      <c r="H2339">
        <v>270</v>
      </c>
      <c r="M2339" s="1" t="s">
        <v>1107</v>
      </c>
      <c r="N2339" s="1">
        <v>503</v>
      </c>
      <c r="P2339" s="1" t="s">
        <v>1107</v>
      </c>
      <c r="Q2339" s="42">
        <v>270</v>
      </c>
      <c r="R2339" s="42">
        <v>503</v>
      </c>
      <c r="S2339" s="42">
        <v>0.25</v>
      </c>
      <c r="T2339" s="10">
        <f>IFERROR(ROUND((Q2339/R2339),2),"NA")</f>
        <v>0.54</v>
      </c>
      <c r="U2339">
        <f t="shared" si="36"/>
        <v>67.5</v>
      </c>
    </row>
    <row r="2340" spans="7:21" x14ac:dyDescent="0.2">
      <c r="G2340" s="9" t="s">
        <v>445</v>
      </c>
      <c r="H2340">
        <v>500</v>
      </c>
      <c r="M2340" s="1" t="s">
        <v>445</v>
      </c>
      <c r="N2340" s="1">
        <v>70</v>
      </c>
      <c r="P2340" s="1" t="s">
        <v>445</v>
      </c>
      <c r="Q2340" s="42">
        <v>500</v>
      </c>
      <c r="R2340" s="42">
        <v>70</v>
      </c>
      <c r="S2340" s="42">
        <v>0.35</v>
      </c>
      <c r="T2340" s="10">
        <f>IFERROR(ROUND((Q2340/R2340),2),"NA")</f>
        <v>7.14</v>
      </c>
      <c r="U2340">
        <f t="shared" si="36"/>
        <v>175</v>
      </c>
    </row>
    <row r="2341" spans="7:21" x14ac:dyDescent="0.2">
      <c r="G2341" s="9" t="s">
        <v>1330</v>
      </c>
      <c r="H2341">
        <v>3940</v>
      </c>
      <c r="M2341" s="1" t="s">
        <v>1330</v>
      </c>
      <c r="N2341" s="1">
        <v>44400</v>
      </c>
      <c r="P2341" s="1" t="s">
        <v>1330</v>
      </c>
      <c r="Q2341" s="42">
        <v>3940</v>
      </c>
      <c r="R2341" s="42">
        <v>44400</v>
      </c>
      <c r="S2341" s="42">
        <v>0.3</v>
      </c>
      <c r="T2341" s="10">
        <f>IFERROR(ROUND((Q2341/R2341),2),"NA")</f>
        <v>0.09</v>
      </c>
      <c r="U2341">
        <f t="shared" si="36"/>
        <v>1182</v>
      </c>
    </row>
    <row r="2342" spans="7:21" x14ac:dyDescent="0.2">
      <c r="G2342" s="9" t="s">
        <v>1870</v>
      </c>
      <c r="H2342">
        <v>0</v>
      </c>
      <c r="M2342" s="1" t="s">
        <v>1870</v>
      </c>
      <c r="N2342" s="1">
        <v>187</v>
      </c>
      <c r="P2342" s="1" t="s">
        <v>1870</v>
      </c>
      <c r="Q2342" s="42">
        <v>0</v>
      </c>
      <c r="R2342" s="42">
        <v>187</v>
      </c>
      <c r="S2342" s="42">
        <v>0</v>
      </c>
      <c r="T2342" s="10">
        <f>IFERROR(ROUND((Q2342/R2342),2),"NA")</f>
        <v>0</v>
      </c>
      <c r="U2342">
        <f t="shared" si="36"/>
        <v>0</v>
      </c>
    </row>
    <row r="2343" spans="7:21" x14ac:dyDescent="0.2">
      <c r="G2343" s="9" t="s">
        <v>934</v>
      </c>
      <c r="H2343">
        <v>20</v>
      </c>
      <c r="M2343" s="1" t="s">
        <v>934</v>
      </c>
      <c r="N2343" s="1">
        <v>156</v>
      </c>
      <c r="P2343" s="1" t="s">
        <v>934</v>
      </c>
      <c r="Q2343" s="42">
        <v>20</v>
      </c>
      <c r="R2343" s="42">
        <v>156</v>
      </c>
      <c r="S2343" s="42">
        <v>0.1</v>
      </c>
      <c r="T2343" s="10">
        <f>IFERROR(ROUND((Q2343/R2343),2),"NA")</f>
        <v>0.13</v>
      </c>
      <c r="U2343">
        <f t="shared" si="36"/>
        <v>2</v>
      </c>
    </row>
    <row r="2344" spans="7:21" x14ac:dyDescent="0.2">
      <c r="G2344" s="9" t="s">
        <v>2563</v>
      </c>
      <c r="H2344">
        <v>0</v>
      </c>
      <c r="M2344" s="1" t="s">
        <v>2563</v>
      </c>
      <c r="N2344" s="1">
        <v>472</v>
      </c>
      <c r="P2344" s="1" t="s">
        <v>2563</v>
      </c>
      <c r="Q2344" s="42">
        <v>0</v>
      </c>
      <c r="R2344" s="42">
        <v>472</v>
      </c>
      <c r="S2344" s="42">
        <v>0</v>
      </c>
      <c r="T2344" s="10">
        <f>IFERROR(ROUND((Q2344/R2344),2),"NA")</f>
        <v>0</v>
      </c>
      <c r="U2344">
        <f t="shared" si="36"/>
        <v>0</v>
      </c>
    </row>
    <row r="2345" spans="7:21" x14ac:dyDescent="0.2">
      <c r="G2345" s="9" t="s">
        <v>1777</v>
      </c>
      <c r="H2345">
        <v>53</v>
      </c>
      <c r="M2345" s="1" t="s">
        <v>1777</v>
      </c>
      <c r="N2345" s="1">
        <v>544</v>
      </c>
      <c r="P2345" s="1" t="s">
        <v>1777</v>
      </c>
      <c r="Q2345" s="42">
        <v>53</v>
      </c>
      <c r="R2345" s="42">
        <v>544</v>
      </c>
      <c r="S2345" s="42">
        <v>0.03</v>
      </c>
      <c r="T2345" s="10">
        <f>IFERROR(ROUND((Q2345/R2345),2),"NA")</f>
        <v>0.1</v>
      </c>
      <c r="U2345">
        <f t="shared" si="36"/>
        <v>1.5899999999999999</v>
      </c>
    </row>
    <row r="2346" spans="7:21" x14ac:dyDescent="0.2">
      <c r="G2346" s="9" t="s">
        <v>979</v>
      </c>
      <c r="H2346">
        <v>7785</v>
      </c>
      <c r="M2346" s="1" t="s">
        <v>979</v>
      </c>
      <c r="N2346" s="1">
        <v>148700</v>
      </c>
      <c r="P2346" s="1" t="s">
        <v>979</v>
      </c>
      <c r="Q2346" s="42">
        <v>7785</v>
      </c>
      <c r="R2346" s="42">
        <v>148700</v>
      </c>
      <c r="S2346" s="42">
        <v>0.1875</v>
      </c>
      <c r="T2346" s="10">
        <f>IFERROR(ROUND((Q2346/R2346),2),"NA")</f>
        <v>0.05</v>
      </c>
      <c r="U2346">
        <f t="shared" si="36"/>
        <v>1459.6875</v>
      </c>
    </row>
    <row r="2347" spans="7:21" x14ac:dyDescent="0.2">
      <c r="G2347" s="9" t="s">
        <v>449</v>
      </c>
      <c r="H2347">
        <v>230</v>
      </c>
      <c r="M2347" s="1" t="s">
        <v>449</v>
      </c>
      <c r="N2347" s="1">
        <v>8100</v>
      </c>
      <c r="P2347" s="1" t="s">
        <v>449</v>
      </c>
      <c r="Q2347" s="42">
        <v>230</v>
      </c>
      <c r="R2347" s="42">
        <v>8100</v>
      </c>
      <c r="S2347" s="42">
        <v>0.03</v>
      </c>
      <c r="T2347" s="10">
        <f>IFERROR(ROUND((Q2347/R2347),2),"NA")</f>
        <v>0.03</v>
      </c>
      <c r="U2347">
        <f t="shared" si="36"/>
        <v>6.8999999999999995</v>
      </c>
    </row>
    <row r="2348" spans="7:21" x14ac:dyDescent="0.2">
      <c r="G2348" s="9" t="s">
        <v>2147</v>
      </c>
      <c r="H2348">
        <v>31</v>
      </c>
      <c r="M2348" s="1" t="s">
        <v>2147</v>
      </c>
      <c r="N2348" s="1">
        <v>42</v>
      </c>
      <c r="P2348" s="1" t="s">
        <v>2147</v>
      </c>
      <c r="Q2348" s="42">
        <v>31</v>
      </c>
      <c r="R2348" s="42">
        <v>42</v>
      </c>
      <c r="S2348" s="42">
        <v>0.17</v>
      </c>
      <c r="T2348" s="10">
        <f>IFERROR(ROUND((Q2348/R2348),2),"NA")</f>
        <v>0.74</v>
      </c>
      <c r="U2348">
        <f t="shared" si="36"/>
        <v>5.2700000000000005</v>
      </c>
    </row>
    <row r="2349" spans="7:21" x14ac:dyDescent="0.2">
      <c r="G2349" s="9" t="s">
        <v>490</v>
      </c>
      <c r="H2349">
        <v>630</v>
      </c>
      <c r="M2349" s="1" t="s">
        <v>490</v>
      </c>
      <c r="N2349" s="1">
        <v>4500</v>
      </c>
      <c r="P2349" s="1" t="s">
        <v>490</v>
      </c>
      <c r="Q2349" s="42">
        <v>630</v>
      </c>
      <c r="R2349" s="42">
        <v>4500</v>
      </c>
      <c r="S2349" s="42">
        <v>7.0000000000000007E-2</v>
      </c>
      <c r="T2349" s="10">
        <f>IFERROR(ROUND((Q2349/R2349),2),"NA")</f>
        <v>0.14000000000000001</v>
      </c>
      <c r="U2349">
        <f t="shared" si="36"/>
        <v>44.1</v>
      </c>
    </row>
    <row r="2350" spans="7:21" x14ac:dyDescent="0.2">
      <c r="G2350" s="9" t="s">
        <v>1991</v>
      </c>
      <c r="H2350">
        <v>55</v>
      </c>
      <c r="M2350" s="1" t="s">
        <v>1991</v>
      </c>
      <c r="N2350" s="1">
        <v>235</v>
      </c>
      <c r="P2350" s="1" t="s">
        <v>1991</v>
      </c>
      <c r="Q2350" s="42">
        <v>55</v>
      </c>
      <c r="R2350" s="42">
        <v>235</v>
      </c>
      <c r="S2350" s="42">
        <v>0.13</v>
      </c>
      <c r="T2350" s="10">
        <f>IFERROR(ROUND((Q2350/R2350),2),"NA")</f>
        <v>0.23</v>
      </c>
      <c r="U2350">
        <f t="shared" si="36"/>
        <v>7.15</v>
      </c>
    </row>
    <row r="2351" spans="7:21" x14ac:dyDescent="0.2">
      <c r="G2351" s="9" t="s">
        <v>2408</v>
      </c>
      <c r="H2351">
        <v>100</v>
      </c>
      <c r="M2351" s="1" t="s">
        <v>2408</v>
      </c>
      <c r="N2351" s="1">
        <v>2</v>
      </c>
      <c r="P2351" s="1" t="s">
        <v>2408</v>
      </c>
      <c r="Q2351" s="42">
        <v>100</v>
      </c>
      <c r="R2351" s="42">
        <v>2</v>
      </c>
      <c r="S2351" s="42">
        <v>1</v>
      </c>
      <c r="T2351" s="10">
        <f>IFERROR(ROUND((Q2351/R2351),2),"NA")</f>
        <v>50</v>
      </c>
      <c r="U2351">
        <f t="shared" si="36"/>
        <v>100</v>
      </c>
    </row>
    <row r="2352" spans="7:21" x14ac:dyDescent="0.2">
      <c r="G2352" s="9" t="s">
        <v>1382</v>
      </c>
      <c r="H2352">
        <v>0</v>
      </c>
      <c r="M2352" s="1" t="s">
        <v>1382</v>
      </c>
      <c r="N2352" s="1">
        <v>311</v>
      </c>
      <c r="P2352" s="1" t="s">
        <v>1382</v>
      </c>
      <c r="Q2352" s="42">
        <v>0</v>
      </c>
      <c r="R2352" s="42">
        <v>311</v>
      </c>
      <c r="S2352" s="42">
        <v>0.1</v>
      </c>
      <c r="T2352" s="10">
        <f>IFERROR(ROUND((Q2352/R2352),2),"NA")</f>
        <v>0</v>
      </c>
      <c r="U2352">
        <f t="shared" si="36"/>
        <v>0</v>
      </c>
    </row>
    <row r="2353" spans="7:21" x14ac:dyDescent="0.2">
      <c r="G2353" s="9" t="s">
        <v>1853</v>
      </c>
      <c r="H2353">
        <v>451</v>
      </c>
      <c r="M2353" s="1" t="s">
        <v>1853</v>
      </c>
      <c r="N2353" s="1">
        <v>4000</v>
      </c>
      <c r="P2353" s="1" t="s">
        <v>1853</v>
      </c>
      <c r="Q2353" s="42">
        <v>451</v>
      </c>
      <c r="R2353" s="42">
        <v>4000</v>
      </c>
      <c r="S2353" s="42">
        <v>5.5E-2</v>
      </c>
      <c r="T2353" s="10">
        <f>IFERROR(ROUND((Q2353/R2353),2),"NA")</f>
        <v>0.11</v>
      </c>
      <c r="U2353">
        <f t="shared" si="36"/>
        <v>24.805</v>
      </c>
    </row>
    <row r="2354" spans="7:21" x14ac:dyDescent="0.2">
      <c r="G2354" s="9" t="s">
        <v>1296</v>
      </c>
      <c r="H2354">
        <v>265</v>
      </c>
      <c r="M2354" s="1" t="s">
        <v>1296</v>
      </c>
      <c r="N2354" s="1">
        <v>0</v>
      </c>
      <c r="P2354" s="1" t="s">
        <v>1296</v>
      </c>
      <c r="Q2354" s="42">
        <v>265</v>
      </c>
      <c r="R2354" s="42">
        <v>0</v>
      </c>
      <c r="S2354" s="42">
        <v>0</v>
      </c>
      <c r="T2354" s="10" t="str">
        <f>IFERROR(ROUND((Q2354/R2354),2),"NA")</f>
        <v>NA</v>
      </c>
      <c r="U2354">
        <f t="shared" si="36"/>
        <v>0</v>
      </c>
    </row>
    <row r="2355" spans="7:21" x14ac:dyDescent="0.2">
      <c r="G2355" s="9" t="s">
        <v>1774</v>
      </c>
      <c r="H2355">
        <v>134</v>
      </c>
      <c r="M2355" s="1" t="s">
        <v>1774</v>
      </c>
      <c r="N2355" s="1">
        <v>140</v>
      </c>
      <c r="P2355" s="1" t="s">
        <v>1774</v>
      </c>
      <c r="Q2355" s="42">
        <v>134</v>
      </c>
      <c r="R2355" s="42">
        <v>140</v>
      </c>
      <c r="S2355" s="42">
        <v>0.23</v>
      </c>
      <c r="T2355" s="10">
        <f>IFERROR(ROUND((Q2355/R2355),2),"NA")</f>
        <v>0.96</v>
      </c>
      <c r="U2355">
        <f t="shared" si="36"/>
        <v>30.82</v>
      </c>
    </row>
    <row r="2356" spans="7:21" x14ac:dyDescent="0.2">
      <c r="G2356" s="9" t="s">
        <v>575</v>
      </c>
      <c r="H2356">
        <v>0</v>
      </c>
      <c r="M2356" s="1" t="s">
        <v>575</v>
      </c>
      <c r="N2356" s="1">
        <v>0</v>
      </c>
      <c r="P2356" s="1" t="s">
        <v>575</v>
      </c>
      <c r="Q2356" s="42">
        <v>0</v>
      </c>
      <c r="R2356" s="42">
        <v>0</v>
      </c>
      <c r="S2356" s="42">
        <v>1</v>
      </c>
      <c r="T2356" s="10" t="str">
        <f>IFERROR(ROUND((Q2356/R2356),2),"NA")</f>
        <v>NA</v>
      </c>
      <c r="U2356">
        <f t="shared" si="36"/>
        <v>0</v>
      </c>
    </row>
    <row r="2357" spans="7:21" x14ac:dyDescent="0.2">
      <c r="G2357" s="9" t="s">
        <v>2311</v>
      </c>
      <c r="H2357">
        <v>0</v>
      </c>
      <c r="M2357" s="1" t="s">
        <v>2311</v>
      </c>
      <c r="N2357" s="1">
        <v>55</v>
      </c>
      <c r="P2357" s="1" t="s">
        <v>2311</v>
      </c>
      <c r="Q2357" s="42">
        <v>0</v>
      </c>
      <c r="R2357" s="42">
        <v>55</v>
      </c>
      <c r="S2357" s="42">
        <v>0.1</v>
      </c>
      <c r="T2357" s="10">
        <f>IFERROR(ROUND((Q2357/R2357),2),"NA")</f>
        <v>0</v>
      </c>
      <c r="U2357">
        <f t="shared" si="36"/>
        <v>0</v>
      </c>
    </row>
    <row r="2358" spans="7:21" x14ac:dyDescent="0.2">
      <c r="G2358" s="9" t="s">
        <v>1226</v>
      </c>
      <c r="H2358">
        <v>1500</v>
      </c>
      <c r="M2358" s="1" t="s">
        <v>1226</v>
      </c>
      <c r="N2358" s="1">
        <v>3352</v>
      </c>
      <c r="P2358" s="1" t="s">
        <v>1226</v>
      </c>
      <c r="Q2358" s="42">
        <v>1500</v>
      </c>
      <c r="R2358" s="42">
        <v>3352</v>
      </c>
      <c r="S2358" s="42">
        <v>0.10500000000000001</v>
      </c>
      <c r="T2358" s="10">
        <f>IFERROR(ROUND((Q2358/R2358),2),"NA")</f>
        <v>0.45</v>
      </c>
      <c r="U2358">
        <f t="shared" si="36"/>
        <v>157.50000000000003</v>
      </c>
    </row>
    <row r="2359" spans="7:21" x14ac:dyDescent="0.2">
      <c r="G2359" s="9" t="s">
        <v>2779</v>
      </c>
      <c r="H2359">
        <v>80</v>
      </c>
      <c r="M2359" s="1" t="s">
        <v>2779</v>
      </c>
      <c r="N2359" s="1">
        <v>91</v>
      </c>
      <c r="P2359" s="1" t="s">
        <v>2779</v>
      </c>
      <c r="Q2359" s="42">
        <v>80</v>
      </c>
      <c r="R2359" s="42">
        <v>91</v>
      </c>
      <c r="S2359" s="42">
        <v>0</v>
      </c>
      <c r="T2359" s="10">
        <f>IFERROR(ROUND((Q2359/R2359),2),"NA")</f>
        <v>0.88</v>
      </c>
      <c r="U2359">
        <f t="shared" si="36"/>
        <v>0</v>
      </c>
    </row>
    <row r="2360" spans="7:21" x14ac:dyDescent="0.2">
      <c r="G2360" s="9" t="s">
        <v>2156</v>
      </c>
      <c r="H2360">
        <v>47</v>
      </c>
      <c r="M2360" s="1" t="s">
        <v>2156</v>
      </c>
      <c r="N2360" s="1">
        <v>39</v>
      </c>
      <c r="P2360" s="1" t="s">
        <v>2156</v>
      </c>
      <c r="Q2360" s="42">
        <v>47</v>
      </c>
      <c r="R2360" s="42">
        <v>39</v>
      </c>
      <c r="S2360" s="42">
        <v>0.2</v>
      </c>
      <c r="T2360" s="10">
        <f>IFERROR(ROUND((Q2360/R2360),2),"NA")</f>
        <v>1.21</v>
      </c>
      <c r="U2360">
        <f t="shared" si="36"/>
        <v>9.4</v>
      </c>
    </row>
    <row r="2361" spans="7:21" x14ac:dyDescent="0.2">
      <c r="G2361" s="9" t="s">
        <v>2421</v>
      </c>
      <c r="H2361">
        <v>29</v>
      </c>
      <c r="M2361" s="1" t="s">
        <v>2421</v>
      </c>
      <c r="N2361" s="1">
        <v>118</v>
      </c>
      <c r="P2361" s="1" t="s">
        <v>2421</v>
      </c>
      <c r="Q2361" s="42">
        <v>29</v>
      </c>
      <c r="R2361" s="42">
        <v>118</v>
      </c>
      <c r="S2361" s="42">
        <v>0.26</v>
      </c>
      <c r="T2361" s="10">
        <f>IFERROR(ROUND((Q2361/R2361),2),"NA")</f>
        <v>0.25</v>
      </c>
      <c r="U2361">
        <f t="shared" si="36"/>
        <v>7.54</v>
      </c>
    </row>
    <row r="2362" spans="7:21" x14ac:dyDescent="0.2">
      <c r="G2362" s="9" t="s">
        <v>1838</v>
      </c>
      <c r="H2362">
        <v>0</v>
      </c>
      <c r="M2362" s="1" t="s">
        <v>1838</v>
      </c>
      <c r="N2362" s="1">
        <v>33</v>
      </c>
      <c r="P2362" s="1" t="s">
        <v>1838</v>
      </c>
      <c r="Q2362" s="42">
        <v>0</v>
      </c>
      <c r="R2362" s="42">
        <v>33</v>
      </c>
      <c r="S2362" s="42">
        <v>0.15</v>
      </c>
      <c r="T2362" s="10">
        <f>IFERROR(ROUND((Q2362/R2362),2),"NA")</f>
        <v>0</v>
      </c>
      <c r="U2362">
        <f t="shared" si="36"/>
        <v>0</v>
      </c>
    </row>
    <row r="2363" spans="7:21" x14ac:dyDescent="0.2">
      <c r="G2363" s="9" t="s">
        <v>1571</v>
      </c>
      <c r="H2363">
        <v>160</v>
      </c>
      <c r="M2363" s="1" t="s">
        <v>1571</v>
      </c>
      <c r="N2363" s="1">
        <v>672</v>
      </c>
      <c r="P2363" s="1" t="s">
        <v>1571</v>
      </c>
      <c r="Q2363" s="42">
        <v>160</v>
      </c>
      <c r="R2363" s="42">
        <v>672</v>
      </c>
      <c r="S2363" s="42">
        <v>7.0000000000000007E-2</v>
      </c>
      <c r="T2363" s="10">
        <f>IFERROR(ROUND((Q2363/R2363),2),"NA")</f>
        <v>0.24</v>
      </c>
      <c r="U2363">
        <f t="shared" si="36"/>
        <v>11.200000000000001</v>
      </c>
    </row>
    <row r="2364" spans="7:21" x14ac:dyDescent="0.2">
      <c r="G2364" s="9" t="s">
        <v>1669</v>
      </c>
      <c r="H2364">
        <v>76</v>
      </c>
      <c r="M2364" s="1" t="s">
        <v>1669</v>
      </c>
      <c r="N2364" s="1">
        <v>620</v>
      </c>
      <c r="P2364" s="1" t="s">
        <v>1669</v>
      </c>
      <c r="Q2364" s="42">
        <v>76</v>
      </c>
      <c r="R2364" s="42">
        <v>620</v>
      </c>
      <c r="S2364" s="42">
        <v>0.1</v>
      </c>
      <c r="T2364" s="10">
        <f>IFERROR(ROUND((Q2364/R2364),2),"NA")</f>
        <v>0.12</v>
      </c>
      <c r="U2364">
        <f t="shared" si="36"/>
        <v>7.6000000000000005</v>
      </c>
    </row>
    <row r="2365" spans="7:21" x14ac:dyDescent="0.2">
      <c r="G2365" s="9" t="s">
        <v>2778</v>
      </c>
      <c r="H2365">
        <v>89</v>
      </c>
      <c r="M2365" s="1" t="s">
        <v>2778</v>
      </c>
      <c r="N2365" s="1">
        <v>40</v>
      </c>
      <c r="P2365" s="1" t="s">
        <v>2778</v>
      </c>
      <c r="Q2365" s="42">
        <v>89</v>
      </c>
      <c r="R2365" s="42">
        <v>40</v>
      </c>
      <c r="S2365" s="42">
        <v>0.45</v>
      </c>
      <c r="T2365" s="10">
        <f>IFERROR(ROUND((Q2365/R2365),2),"NA")</f>
        <v>2.23</v>
      </c>
      <c r="U2365">
        <f t="shared" si="36"/>
        <v>40.050000000000004</v>
      </c>
    </row>
    <row r="2366" spans="7:21" x14ac:dyDescent="0.2">
      <c r="G2366" s="9" t="s">
        <v>787</v>
      </c>
      <c r="H2366">
        <v>0</v>
      </c>
      <c r="M2366" s="1" t="s">
        <v>787</v>
      </c>
      <c r="N2366" s="1">
        <v>196</v>
      </c>
      <c r="P2366" s="1" t="s">
        <v>787</v>
      </c>
      <c r="Q2366" s="42">
        <v>0</v>
      </c>
      <c r="R2366" s="42">
        <v>196</v>
      </c>
      <c r="S2366" s="42">
        <v>0</v>
      </c>
      <c r="T2366" s="10">
        <f>IFERROR(ROUND((Q2366/R2366),2),"NA")</f>
        <v>0</v>
      </c>
      <c r="U2366">
        <f t="shared" si="36"/>
        <v>0</v>
      </c>
    </row>
    <row r="2367" spans="7:21" x14ac:dyDescent="0.2">
      <c r="G2367" s="9" t="s">
        <v>456</v>
      </c>
      <c r="H2367">
        <v>3199</v>
      </c>
      <c r="M2367" s="1" t="s">
        <v>456</v>
      </c>
      <c r="N2367" s="1">
        <v>7800</v>
      </c>
      <c r="P2367" s="1" t="s">
        <v>456</v>
      </c>
      <c r="Q2367" s="42">
        <v>3199</v>
      </c>
      <c r="R2367" s="42">
        <v>7800</v>
      </c>
      <c r="S2367" s="42">
        <v>8.7999999999999995E-2</v>
      </c>
      <c r="T2367" s="10">
        <f>IFERROR(ROUND((Q2367/R2367),2),"NA")</f>
        <v>0.41</v>
      </c>
      <c r="U2367">
        <f t="shared" si="36"/>
        <v>281.512</v>
      </c>
    </row>
    <row r="2368" spans="7:21" x14ac:dyDescent="0.2">
      <c r="G2368" s="9" t="s">
        <v>2926</v>
      </c>
      <c r="H2368">
        <v>0</v>
      </c>
      <c r="M2368" s="1" t="s">
        <v>2926</v>
      </c>
      <c r="N2368" s="1">
        <v>8</v>
      </c>
      <c r="P2368" s="1" t="s">
        <v>2926</v>
      </c>
      <c r="Q2368" s="42">
        <v>0</v>
      </c>
      <c r="R2368" s="42">
        <v>8</v>
      </c>
      <c r="S2368" s="42">
        <v>0</v>
      </c>
      <c r="T2368" s="10">
        <f>IFERROR(ROUND((Q2368/R2368),2),"NA")</f>
        <v>0</v>
      </c>
      <c r="U2368">
        <f t="shared" si="36"/>
        <v>0</v>
      </c>
    </row>
    <row r="2369" spans="7:21" x14ac:dyDescent="0.2">
      <c r="G2369" s="9" t="s">
        <v>653</v>
      </c>
      <c r="H2369">
        <v>0</v>
      </c>
      <c r="M2369" s="1" t="s">
        <v>653</v>
      </c>
      <c r="N2369" s="1">
        <v>0</v>
      </c>
      <c r="P2369" s="1" t="s">
        <v>653</v>
      </c>
      <c r="Q2369" s="42">
        <v>0</v>
      </c>
      <c r="R2369" s="42">
        <v>0</v>
      </c>
      <c r="S2369" s="42">
        <v>0</v>
      </c>
      <c r="T2369" s="10" t="str">
        <f>IFERROR(ROUND((Q2369/R2369),2),"NA")</f>
        <v>NA</v>
      </c>
      <c r="U2369">
        <f t="shared" si="36"/>
        <v>0</v>
      </c>
    </row>
    <row r="2370" spans="7:21" x14ac:dyDescent="0.2">
      <c r="G2370" s="9" t="s">
        <v>2231</v>
      </c>
      <c r="H2370">
        <v>42</v>
      </c>
      <c r="M2370" s="1" t="s">
        <v>2231</v>
      </c>
      <c r="N2370" s="1">
        <v>7</v>
      </c>
      <c r="P2370" s="1" t="s">
        <v>2231</v>
      </c>
      <c r="Q2370" s="42">
        <v>42</v>
      </c>
      <c r="R2370" s="42">
        <v>7</v>
      </c>
      <c r="S2370" s="42">
        <v>0.25</v>
      </c>
      <c r="T2370" s="10">
        <f>IFERROR(ROUND((Q2370/R2370),2),"NA")</f>
        <v>6</v>
      </c>
      <c r="U2370">
        <f t="shared" si="36"/>
        <v>10.5</v>
      </c>
    </row>
    <row r="2371" spans="7:21" x14ac:dyDescent="0.2">
      <c r="G2371" s="9" t="s">
        <v>2119</v>
      </c>
      <c r="H2371">
        <v>0</v>
      </c>
      <c r="M2371" s="1" t="s">
        <v>2119</v>
      </c>
      <c r="N2371" s="1">
        <v>467</v>
      </c>
      <c r="P2371" s="1" t="s">
        <v>2119</v>
      </c>
      <c r="Q2371" s="42">
        <v>0</v>
      </c>
      <c r="R2371" s="42">
        <v>467</v>
      </c>
      <c r="S2371" s="42">
        <v>0</v>
      </c>
      <c r="T2371" s="10">
        <f>IFERROR(ROUND((Q2371/R2371),2),"NA")</f>
        <v>0</v>
      </c>
      <c r="U2371">
        <f t="shared" si="36"/>
        <v>0</v>
      </c>
    </row>
    <row r="2372" spans="7:21" x14ac:dyDescent="0.2">
      <c r="G2372" s="9" t="s">
        <v>1297</v>
      </c>
      <c r="H2372">
        <v>120</v>
      </c>
      <c r="M2372" s="1" t="s">
        <v>1297</v>
      </c>
      <c r="N2372" s="1">
        <v>631</v>
      </c>
      <c r="P2372" s="1" t="s">
        <v>1297</v>
      </c>
      <c r="Q2372" s="42">
        <v>120</v>
      </c>
      <c r="R2372" s="42">
        <v>631</v>
      </c>
      <c r="S2372" s="42">
        <v>0</v>
      </c>
      <c r="T2372" s="10">
        <f>IFERROR(ROUND((Q2372/R2372),2),"NA")</f>
        <v>0.19</v>
      </c>
      <c r="U2372">
        <f t="shared" si="36"/>
        <v>0</v>
      </c>
    </row>
    <row r="2373" spans="7:21" x14ac:dyDescent="0.2">
      <c r="G2373" s="9" t="s">
        <v>1661</v>
      </c>
      <c r="H2373">
        <v>25</v>
      </c>
      <c r="M2373" s="1" t="s">
        <v>1661</v>
      </c>
      <c r="N2373" s="1">
        <v>62</v>
      </c>
      <c r="P2373" s="1" t="s">
        <v>1661</v>
      </c>
      <c r="Q2373" s="42">
        <v>25</v>
      </c>
      <c r="R2373" s="42">
        <v>62</v>
      </c>
      <c r="S2373" s="42">
        <v>0.15</v>
      </c>
      <c r="T2373" s="10">
        <f>IFERROR(ROUND((Q2373/R2373),2),"NA")</f>
        <v>0.4</v>
      </c>
      <c r="U2373">
        <f t="shared" ref="U2373:U2436" si="37">Q2373*S2373</f>
        <v>3.75</v>
      </c>
    </row>
    <row r="2374" spans="7:21" x14ac:dyDescent="0.2">
      <c r="G2374" s="9" t="s">
        <v>2712</v>
      </c>
      <c r="H2374">
        <v>19</v>
      </c>
      <c r="M2374" s="1" t="s">
        <v>2712</v>
      </c>
      <c r="N2374" s="1">
        <v>7</v>
      </c>
      <c r="P2374" s="1" t="s">
        <v>2712</v>
      </c>
      <c r="Q2374" s="42">
        <v>19</v>
      </c>
      <c r="R2374" s="42">
        <v>7</v>
      </c>
      <c r="S2374" s="42">
        <v>0.3</v>
      </c>
      <c r="T2374" s="10">
        <f>IFERROR(ROUND((Q2374/R2374),2),"NA")</f>
        <v>2.71</v>
      </c>
      <c r="U2374">
        <f t="shared" si="37"/>
        <v>5.7</v>
      </c>
    </row>
    <row r="2375" spans="7:21" x14ac:dyDescent="0.2">
      <c r="G2375" s="9" t="s">
        <v>1456</v>
      </c>
      <c r="H2375">
        <v>505</v>
      </c>
      <c r="M2375" s="1" t="s">
        <v>1456</v>
      </c>
      <c r="N2375" s="1">
        <v>288</v>
      </c>
      <c r="P2375" s="1" t="s">
        <v>1456</v>
      </c>
      <c r="Q2375" s="42">
        <v>505</v>
      </c>
      <c r="R2375" s="42">
        <v>288</v>
      </c>
      <c r="S2375" s="42">
        <v>0.13500000000000001</v>
      </c>
      <c r="T2375" s="10">
        <f>IFERROR(ROUND((Q2375/R2375),2),"NA")</f>
        <v>1.75</v>
      </c>
      <c r="U2375">
        <f t="shared" si="37"/>
        <v>68.175000000000011</v>
      </c>
    </row>
    <row r="2376" spans="7:21" x14ac:dyDescent="0.2">
      <c r="G2376" s="9" t="s">
        <v>1118</v>
      </c>
      <c r="H2376">
        <v>137</v>
      </c>
      <c r="M2376" s="1" t="s">
        <v>1118</v>
      </c>
      <c r="N2376" s="1">
        <v>168</v>
      </c>
      <c r="P2376" s="1" t="s">
        <v>1118</v>
      </c>
      <c r="Q2376" s="42">
        <v>137</v>
      </c>
      <c r="R2376" s="42">
        <v>168</v>
      </c>
      <c r="S2376" s="42">
        <v>0.15</v>
      </c>
      <c r="T2376" s="10">
        <f>IFERROR(ROUND((Q2376/R2376),2),"NA")</f>
        <v>0.82</v>
      </c>
      <c r="U2376">
        <f t="shared" si="37"/>
        <v>20.55</v>
      </c>
    </row>
    <row r="2377" spans="7:21" x14ac:dyDescent="0.2">
      <c r="G2377" s="9" t="s">
        <v>2081</v>
      </c>
      <c r="H2377">
        <v>55</v>
      </c>
      <c r="M2377" s="1" t="s">
        <v>2081</v>
      </c>
      <c r="N2377" s="1">
        <v>95</v>
      </c>
      <c r="P2377" s="1" t="s">
        <v>2081</v>
      </c>
      <c r="Q2377" s="42">
        <v>55</v>
      </c>
      <c r="R2377" s="42">
        <v>95</v>
      </c>
      <c r="S2377" s="42">
        <v>0.15</v>
      </c>
      <c r="T2377" s="10">
        <f>IFERROR(ROUND((Q2377/R2377),2),"NA")</f>
        <v>0.57999999999999996</v>
      </c>
      <c r="U2377">
        <f t="shared" si="37"/>
        <v>8.25</v>
      </c>
    </row>
    <row r="2378" spans="7:21" x14ac:dyDescent="0.2">
      <c r="G2378" s="9" t="s">
        <v>1025</v>
      </c>
      <c r="H2378">
        <v>0</v>
      </c>
      <c r="M2378" s="1" t="s">
        <v>1025</v>
      </c>
      <c r="N2378" s="1">
        <v>233</v>
      </c>
      <c r="P2378" s="1" t="s">
        <v>1025</v>
      </c>
      <c r="Q2378" s="42">
        <v>0</v>
      </c>
      <c r="R2378" s="42">
        <v>233</v>
      </c>
      <c r="S2378" s="42">
        <v>0</v>
      </c>
      <c r="T2378" s="10">
        <f>IFERROR(ROUND((Q2378/R2378),2),"NA")</f>
        <v>0</v>
      </c>
      <c r="U2378">
        <f t="shared" si="37"/>
        <v>0</v>
      </c>
    </row>
    <row r="2379" spans="7:21" x14ac:dyDescent="0.2">
      <c r="G2379" s="9" t="s">
        <v>2856</v>
      </c>
      <c r="H2379">
        <v>15</v>
      </c>
      <c r="M2379" s="1" t="s">
        <v>2856</v>
      </c>
      <c r="N2379" s="1">
        <v>46</v>
      </c>
      <c r="P2379" s="1" t="s">
        <v>2856</v>
      </c>
      <c r="Q2379" s="42">
        <v>15</v>
      </c>
      <c r="R2379" s="42">
        <v>46</v>
      </c>
      <c r="S2379" s="42">
        <v>0.25</v>
      </c>
      <c r="T2379" s="10">
        <f>IFERROR(ROUND((Q2379/R2379),2),"NA")</f>
        <v>0.33</v>
      </c>
      <c r="U2379">
        <f t="shared" si="37"/>
        <v>3.75</v>
      </c>
    </row>
    <row r="2380" spans="7:21" x14ac:dyDescent="0.2">
      <c r="G2380" s="9" t="s">
        <v>1305</v>
      </c>
      <c r="H2380">
        <v>63</v>
      </c>
      <c r="M2380" s="1" t="s">
        <v>1305</v>
      </c>
      <c r="N2380" s="1">
        <v>152</v>
      </c>
      <c r="P2380" s="1" t="s">
        <v>1305</v>
      </c>
      <c r="Q2380" s="42">
        <v>63</v>
      </c>
      <c r="R2380" s="42">
        <v>152</v>
      </c>
      <c r="S2380" s="42">
        <v>0</v>
      </c>
      <c r="T2380" s="10">
        <f>IFERROR(ROUND((Q2380/R2380),2),"NA")</f>
        <v>0.41</v>
      </c>
      <c r="U2380">
        <f t="shared" si="37"/>
        <v>0</v>
      </c>
    </row>
    <row r="2381" spans="7:21" x14ac:dyDescent="0.2">
      <c r="G2381" s="9" t="s">
        <v>2870</v>
      </c>
      <c r="H2381">
        <v>65</v>
      </c>
      <c r="M2381" s="1" t="s">
        <v>2870</v>
      </c>
      <c r="N2381" s="1">
        <v>69</v>
      </c>
      <c r="P2381" s="1" t="s">
        <v>2870</v>
      </c>
      <c r="Q2381" s="42">
        <v>65</v>
      </c>
      <c r="R2381" s="42">
        <v>69</v>
      </c>
      <c r="S2381" s="42">
        <v>0.37</v>
      </c>
      <c r="T2381" s="10">
        <f>IFERROR(ROUND((Q2381/R2381),2),"NA")</f>
        <v>0.94</v>
      </c>
      <c r="U2381">
        <f t="shared" si="37"/>
        <v>24.05</v>
      </c>
    </row>
    <row r="2382" spans="7:21" x14ac:dyDescent="0.2">
      <c r="G2382" s="9" t="s">
        <v>1173</v>
      </c>
      <c r="H2382">
        <v>0</v>
      </c>
      <c r="M2382" s="1" t="s">
        <v>1173</v>
      </c>
      <c r="N2382" s="1">
        <v>0</v>
      </c>
      <c r="P2382" s="1" t="s">
        <v>1173</v>
      </c>
      <c r="Q2382" s="42">
        <v>0</v>
      </c>
      <c r="R2382" s="42">
        <v>0</v>
      </c>
      <c r="S2382" s="42">
        <v>0.15</v>
      </c>
      <c r="T2382" s="10" t="str">
        <f>IFERROR(ROUND((Q2382/R2382),2),"NA")</f>
        <v>NA</v>
      </c>
      <c r="U2382">
        <f t="shared" si="37"/>
        <v>0</v>
      </c>
    </row>
    <row r="2383" spans="7:21" x14ac:dyDescent="0.2">
      <c r="G2383" s="9" t="s">
        <v>94</v>
      </c>
      <c r="H2383">
        <v>2420</v>
      </c>
      <c r="M2383" s="1" t="s">
        <v>94</v>
      </c>
      <c r="N2383" s="1">
        <v>3028</v>
      </c>
      <c r="P2383" s="1" t="s">
        <v>94</v>
      </c>
      <c r="Q2383" s="42">
        <v>2420</v>
      </c>
      <c r="R2383" s="42">
        <v>3028</v>
      </c>
      <c r="S2383" s="42">
        <v>0.11666666666666665</v>
      </c>
      <c r="T2383" s="10">
        <f>IFERROR(ROUND((Q2383/R2383),2),"NA")</f>
        <v>0.8</v>
      </c>
      <c r="U2383">
        <f t="shared" si="37"/>
        <v>282.33333333333331</v>
      </c>
    </row>
    <row r="2384" spans="7:21" x14ac:dyDescent="0.2">
      <c r="G2384" s="9" t="s">
        <v>1130</v>
      </c>
      <c r="H2384">
        <v>150</v>
      </c>
      <c r="M2384" s="1" t="s">
        <v>1130</v>
      </c>
      <c r="N2384" s="1">
        <v>2</v>
      </c>
      <c r="P2384" s="1" t="s">
        <v>1130</v>
      </c>
      <c r="Q2384" s="42">
        <v>150</v>
      </c>
      <c r="R2384" s="42">
        <v>2</v>
      </c>
      <c r="S2384" s="42">
        <v>0</v>
      </c>
      <c r="T2384" s="10">
        <f>IFERROR(ROUND((Q2384/R2384),2),"NA")</f>
        <v>75</v>
      </c>
      <c r="U2384">
        <f t="shared" si="37"/>
        <v>0</v>
      </c>
    </row>
    <row r="2385" spans="7:21" x14ac:dyDescent="0.2">
      <c r="G2385" s="9" t="s">
        <v>2664</v>
      </c>
      <c r="H2385">
        <v>130</v>
      </c>
      <c r="M2385" s="1" t="s">
        <v>2664</v>
      </c>
      <c r="N2385" s="1">
        <v>0</v>
      </c>
      <c r="P2385" s="1" t="s">
        <v>2664</v>
      </c>
      <c r="Q2385" s="42">
        <v>130</v>
      </c>
      <c r="R2385" s="42">
        <v>0</v>
      </c>
      <c r="S2385" s="42">
        <v>0.33</v>
      </c>
      <c r="T2385" s="10" t="str">
        <f>IFERROR(ROUND((Q2385/R2385),2),"NA")</f>
        <v>NA</v>
      </c>
      <c r="U2385">
        <f t="shared" si="37"/>
        <v>42.9</v>
      </c>
    </row>
    <row r="2386" spans="7:21" x14ac:dyDescent="0.2">
      <c r="G2386" s="9" t="s">
        <v>1127</v>
      </c>
      <c r="H2386">
        <v>0</v>
      </c>
      <c r="M2386" s="1" t="s">
        <v>1127</v>
      </c>
      <c r="N2386" s="1">
        <v>0</v>
      </c>
      <c r="P2386" s="1" t="s">
        <v>1127</v>
      </c>
      <c r="Q2386" s="42">
        <v>0</v>
      </c>
      <c r="R2386" s="42">
        <v>0</v>
      </c>
      <c r="S2386" s="42">
        <v>1</v>
      </c>
      <c r="T2386" s="10" t="str">
        <f>IFERROR(ROUND((Q2386/R2386),2),"NA")</f>
        <v>NA</v>
      </c>
      <c r="U2386">
        <f t="shared" si="37"/>
        <v>0</v>
      </c>
    </row>
    <row r="2387" spans="7:21" x14ac:dyDescent="0.2">
      <c r="G2387" s="9" t="s">
        <v>1995</v>
      </c>
      <c r="H2387">
        <v>0</v>
      </c>
      <c r="M2387" s="1" t="s">
        <v>1995</v>
      </c>
      <c r="N2387" s="1">
        <v>0</v>
      </c>
      <c r="P2387" s="1" t="s">
        <v>1995</v>
      </c>
      <c r="Q2387" s="42">
        <v>0</v>
      </c>
      <c r="R2387" s="42">
        <v>0</v>
      </c>
      <c r="S2387" s="42">
        <v>0</v>
      </c>
      <c r="T2387" s="10" t="str">
        <f>IFERROR(ROUND((Q2387/R2387),2),"NA")</f>
        <v>NA</v>
      </c>
      <c r="U2387">
        <f t="shared" si="37"/>
        <v>0</v>
      </c>
    </row>
    <row r="2388" spans="7:21" x14ac:dyDescent="0.2">
      <c r="G2388" s="9" t="s">
        <v>1730</v>
      </c>
      <c r="H2388">
        <v>0</v>
      </c>
      <c r="M2388" s="1" t="s">
        <v>1730</v>
      </c>
      <c r="N2388" s="1">
        <v>203</v>
      </c>
      <c r="P2388" s="1" t="s">
        <v>1730</v>
      </c>
      <c r="Q2388" s="42">
        <v>0</v>
      </c>
      <c r="R2388" s="42">
        <v>203</v>
      </c>
      <c r="S2388" s="42">
        <v>0.14000000000000001</v>
      </c>
      <c r="T2388" s="10">
        <f>IFERROR(ROUND((Q2388/R2388),2),"NA")</f>
        <v>0</v>
      </c>
      <c r="U2388">
        <f t="shared" si="37"/>
        <v>0</v>
      </c>
    </row>
    <row r="2389" spans="7:21" x14ac:dyDescent="0.2">
      <c r="G2389" s="9" t="s">
        <v>1096</v>
      </c>
      <c r="H2389">
        <v>172</v>
      </c>
      <c r="M2389" s="1" t="s">
        <v>1096</v>
      </c>
      <c r="N2389" s="1">
        <v>1984</v>
      </c>
      <c r="P2389" s="1" t="s">
        <v>1096</v>
      </c>
      <c r="Q2389" s="42">
        <v>172</v>
      </c>
      <c r="R2389" s="42">
        <v>1984</v>
      </c>
      <c r="S2389" s="42">
        <v>0</v>
      </c>
      <c r="T2389" s="10">
        <f>IFERROR(ROUND((Q2389/R2389),2),"NA")</f>
        <v>0.09</v>
      </c>
      <c r="U2389">
        <f t="shared" si="37"/>
        <v>0</v>
      </c>
    </row>
    <row r="2390" spans="7:21" x14ac:dyDescent="0.2">
      <c r="G2390" s="9" t="s">
        <v>1913</v>
      </c>
      <c r="H2390">
        <v>110</v>
      </c>
      <c r="M2390" s="1" t="s">
        <v>1913</v>
      </c>
      <c r="N2390" s="1">
        <v>30</v>
      </c>
      <c r="P2390" s="1" t="s">
        <v>1913</v>
      </c>
      <c r="Q2390" s="42">
        <v>110</v>
      </c>
      <c r="R2390" s="42">
        <v>30</v>
      </c>
      <c r="S2390" s="42">
        <v>0.05</v>
      </c>
      <c r="T2390" s="10">
        <f>IFERROR(ROUND((Q2390/R2390),2),"NA")</f>
        <v>3.67</v>
      </c>
      <c r="U2390">
        <f t="shared" si="37"/>
        <v>5.5</v>
      </c>
    </row>
    <row r="2391" spans="7:21" x14ac:dyDescent="0.2">
      <c r="G2391" s="9" t="s">
        <v>2131</v>
      </c>
      <c r="H2391">
        <v>0</v>
      </c>
      <c r="M2391" s="1" t="s">
        <v>2131</v>
      </c>
      <c r="N2391" s="1">
        <v>301</v>
      </c>
      <c r="P2391" s="1" t="s">
        <v>2131</v>
      </c>
      <c r="Q2391" s="42">
        <v>0</v>
      </c>
      <c r="R2391" s="42">
        <v>301</v>
      </c>
      <c r="S2391" s="42">
        <v>0.2</v>
      </c>
      <c r="T2391" s="10">
        <f>IFERROR(ROUND((Q2391/R2391),2),"NA")</f>
        <v>0</v>
      </c>
      <c r="U2391">
        <f t="shared" si="37"/>
        <v>0</v>
      </c>
    </row>
    <row r="2392" spans="7:21" x14ac:dyDescent="0.2">
      <c r="G2392" s="9" t="s">
        <v>1731</v>
      </c>
      <c r="H2392">
        <v>1109</v>
      </c>
      <c r="M2392" s="1" t="s">
        <v>1731</v>
      </c>
      <c r="N2392" s="1">
        <v>1168</v>
      </c>
      <c r="P2392" s="1" t="s">
        <v>1731</v>
      </c>
      <c r="Q2392" s="42">
        <v>1109</v>
      </c>
      <c r="R2392" s="42">
        <v>1168</v>
      </c>
      <c r="S2392" s="42">
        <v>0.05</v>
      </c>
      <c r="T2392" s="10">
        <f>IFERROR(ROUND((Q2392/R2392),2),"NA")</f>
        <v>0.95</v>
      </c>
      <c r="U2392">
        <f t="shared" si="37"/>
        <v>55.45</v>
      </c>
    </row>
    <row r="2393" spans="7:21" x14ac:dyDescent="0.2">
      <c r="G2393" s="9" t="s">
        <v>1961</v>
      </c>
      <c r="H2393">
        <v>33</v>
      </c>
      <c r="M2393" s="1" t="s">
        <v>1961</v>
      </c>
      <c r="N2393" s="1">
        <v>30</v>
      </c>
      <c r="P2393" s="1" t="s">
        <v>1961</v>
      </c>
      <c r="Q2393" s="42">
        <v>33</v>
      </c>
      <c r="R2393" s="42">
        <v>30</v>
      </c>
      <c r="S2393" s="42">
        <v>0.41000000000000003</v>
      </c>
      <c r="T2393" s="10">
        <f>IFERROR(ROUND((Q2393/R2393),2),"NA")</f>
        <v>1.1000000000000001</v>
      </c>
      <c r="U2393">
        <f t="shared" si="37"/>
        <v>13.530000000000001</v>
      </c>
    </row>
    <row r="2394" spans="7:21" x14ac:dyDescent="0.2">
      <c r="G2394" s="9" t="s">
        <v>413</v>
      </c>
      <c r="H2394">
        <v>500</v>
      </c>
      <c r="M2394" s="1" t="s">
        <v>413</v>
      </c>
      <c r="N2394" s="1">
        <v>1000</v>
      </c>
      <c r="P2394" s="1" t="s">
        <v>413</v>
      </c>
      <c r="Q2394" s="42">
        <v>500</v>
      </c>
      <c r="R2394" s="42">
        <v>1000</v>
      </c>
      <c r="S2394" s="42">
        <v>0</v>
      </c>
      <c r="T2394" s="10">
        <f>IFERROR(ROUND((Q2394/R2394),2),"NA")</f>
        <v>0.5</v>
      </c>
      <c r="U2394">
        <f t="shared" si="37"/>
        <v>0</v>
      </c>
    </row>
    <row r="2395" spans="7:21" x14ac:dyDescent="0.2">
      <c r="G2395" s="9" t="s">
        <v>2639</v>
      </c>
      <c r="H2395">
        <v>30</v>
      </c>
      <c r="M2395" s="1" t="s">
        <v>2639</v>
      </c>
      <c r="N2395" s="1">
        <v>69</v>
      </c>
      <c r="P2395" s="1" t="s">
        <v>2639</v>
      </c>
      <c r="Q2395" s="42">
        <v>30</v>
      </c>
      <c r="R2395" s="42">
        <v>69</v>
      </c>
      <c r="S2395" s="42">
        <v>0</v>
      </c>
      <c r="T2395" s="10">
        <f>IFERROR(ROUND((Q2395/R2395),2),"NA")</f>
        <v>0.43</v>
      </c>
      <c r="U2395">
        <f t="shared" si="37"/>
        <v>0</v>
      </c>
    </row>
    <row r="2396" spans="7:21" x14ac:dyDescent="0.2">
      <c r="G2396" s="9" t="s">
        <v>549</v>
      </c>
      <c r="H2396">
        <v>100</v>
      </c>
      <c r="M2396" s="1" t="s">
        <v>549</v>
      </c>
      <c r="N2396" s="1">
        <v>1194</v>
      </c>
      <c r="P2396" s="1" t="s">
        <v>549</v>
      </c>
      <c r="Q2396" s="42">
        <v>100</v>
      </c>
      <c r="R2396" s="42">
        <v>1194</v>
      </c>
      <c r="S2396" s="42">
        <v>0.65</v>
      </c>
      <c r="T2396" s="10">
        <f>IFERROR(ROUND((Q2396/R2396),2),"NA")</f>
        <v>0.08</v>
      </c>
      <c r="U2396">
        <f t="shared" si="37"/>
        <v>65</v>
      </c>
    </row>
    <row r="2397" spans="7:21" x14ac:dyDescent="0.2">
      <c r="G2397" s="9" t="s">
        <v>372</v>
      </c>
      <c r="H2397">
        <v>65</v>
      </c>
      <c r="M2397" s="1" t="s">
        <v>372</v>
      </c>
      <c r="N2397" s="1">
        <v>299</v>
      </c>
      <c r="P2397" s="1" t="s">
        <v>372</v>
      </c>
      <c r="Q2397" s="42">
        <v>65</v>
      </c>
      <c r="R2397" s="42">
        <v>299</v>
      </c>
      <c r="S2397" s="42">
        <v>0.19</v>
      </c>
      <c r="T2397" s="10">
        <f>IFERROR(ROUND((Q2397/R2397),2),"NA")</f>
        <v>0.22</v>
      </c>
      <c r="U2397">
        <f t="shared" si="37"/>
        <v>12.35</v>
      </c>
    </row>
    <row r="2398" spans="7:21" x14ac:dyDescent="0.2">
      <c r="G2398" s="9" t="s">
        <v>716</v>
      </c>
      <c r="H2398">
        <v>0</v>
      </c>
      <c r="M2398" s="1" t="s">
        <v>716</v>
      </c>
      <c r="N2398" s="1">
        <v>30</v>
      </c>
      <c r="P2398" s="1" t="s">
        <v>716</v>
      </c>
      <c r="Q2398" s="42">
        <v>0</v>
      </c>
      <c r="R2398" s="42">
        <v>30</v>
      </c>
      <c r="S2398" s="42">
        <v>0.14000000000000001</v>
      </c>
      <c r="T2398" s="10">
        <f>IFERROR(ROUND((Q2398/R2398),2),"NA")</f>
        <v>0</v>
      </c>
      <c r="U2398">
        <f t="shared" si="37"/>
        <v>0</v>
      </c>
    </row>
    <row r="2399" spans="7:21" x14ac:dyDescent="0.2">
      <c r="G2399" s="9" t="s">
        <v>1333</v>
      </c>
      <c r="H2399">
        <v>360</v>
      </c>
      <c r="M2399" s="1" t="s">
        <v>1333</v>
      </c>
      <c r="N2399" s="1">
        <v>800</v>
      </c>
      <c r="P2399" s="1" t="s">
        <v>1333</v>
      </c>
      <c r="Q2399" s="42">
        <v>360</v>
      </c>
      <c r="R2399" s="42">
        <v>800</v>
      </c>
      <c r="S2399" s="42">
        <v>0</v>
      </c>
      <c r="T2399" s="10">
        <f>IFERROR(ROUND((Q2399/R2399),2),"NA")</f>
        <v>0.45</v>
      </c>
      <c r="U2399">
        <f t="shared" si="37"/>
        <v>0</v>
      </c>
    </row>
    <row r="2400" spans="7:21" x14ac:dyDescent="0.2">
      <c r="G2400" s="9" t="s">
        <v>1782</v>
      </c>
      <c r="H2400">
        <v>0</v>
      </c>
      <c r="M2400" s="1" t="s">
        <v>1782</v>
      </c>
      <c r="N2400" s="1">
        <v>167</v>
      </c>
      <c r="P2400" s="1" t="s">
        <v>1782</v>
      </c>
      <c r="Q2400" s="42">
        <v>0</v>
      </c>
      <c r="R2400" s="42">
        <v>167</v>
      </c>
      <c r="S2400" s="42">
        <v>0</v>
      </c>
      <c r="T2400" s="10">
        <f>IFERROR(ROUND((Q2400/R2400),2),"NA")</f>
        <v>0</v>
      </c>
      <c r="U2400">
        <f t="shared" si="37"/>
        <v>0</v>
      </c>
    </row>
    <row r="2401" spans="7:21" x14ac:dyDescent="0.2">
      <c r="G2401" s="9" t="s">
        <v>691</v>
      </c>
      <c r="H2401">
        <v>0</v>
      </c>
      <c r="M2401" s="1" t="s">
        <v>691</v>
      </c>
      <c r="N2401" s="1">
        <v>356</v>
      </c>
      <c r="P2401" s="1" t="s">
        <v>691</v>
      </c>
      <c r="Q2401" s="42">
        <v>0</v>
      </c>
      <c r="R2401" s="42">
        <v>356</v>
      </c>
      <c r="S2401" s="42">
        <v>0.05</v>
      </c>
      <c r="T2401" s="10">
        <f>IFERROR(ROUND((Q2401/R2401),2),"NA")</f>
        <v>0</v>
      </c>
      <c r="U2401">
        <f t="shared" si="37"/>
        <v>0</v>
      </c>
    </row>
    <row r="2402" spans="7:21" x14ac:dyDescent="0.2">
      <c r="G2402" s="9" t="s">
        <v>1808</v>
      </c>
      <c r="H2402">
        <v>27</v>
      </c>
      <c r="M2402" s="1" t="s">
        <v>1808</v>
      </c>
      <c r="N2402" s="1">
        <v>43</v>
      </c>
      <c r="P2402" s="1" t="s">
        <v>1808</v>
      </c>
      <c r="Q2402" s="42">
        <v>27</v>
      </c>
      <c r="R2402" s="42">
        <v>43</v>
      </c>
      <c r="S2402" s="42">
        <v>0.09</v>
      </c>
      <c r="T2402" s="10">
        <f>IFERROR(ROUND((Q2402/R2402),2),"NA")</f>
        <v>0.63</v>
      </c>
      <c r="U2402">
        <f t="shared" si="37"/>
        <v>2.4299999999999997</v>
      </c>
    </row>
    <row r="2403" spans="7:21" x14ac:dyDescent="0.2">
      <c r="G2403" s="9" t="s">
        <v>423</v>
      </c>
      <c r="H2403">
        <v>100</v>
      </c>
      <c r="M2403" s="1" t="s">
        <v>423</v>
      </c>
      <c r="N2403" s="1">
        <v>432</v>
      </c>
      <c r="P2403" s="1" t="s">
        <v>423</v>
      </c>
      <c r="Q2403" s="42">
        <v>100</v>
      </c>
      <c r="R2403" s="42">
        <v>432</v>
      </c>
      <c r="S2403" s="42">
        <v>0.25</v>
      </c>
      <c r="T2403" s="10">
        <f>IFERROR(ROUND((Q2403/R2403),2),"NA")</f>
        <v>0.23</v>
      </c>
      <c r="U2403">
        <f t="shared" si="37"/>
        <v>25</v>
      </c>
    </row>
    <row r="2404" spans="7:21" x14ac:dyDescent="0.2">
      <c r="G2404" s="9" t="s">
        <v>1511</v>
      </c>
      <c r="H2404">
        <v>11</v>
      </c>
      <c r="M2404" s="1" t="s">
        <v>1511</v>
      </c>
      <c r="N2404" s="1">
        <v>0</v>
      </c>
      <c r="P2404" s="1" t="s">
        <v>1511</v>
      </c>
      <c r="Q2404" s="42">
        <v>11</v>
      </c>
      <c r="R2404" s="42">
        <v>0</v>
      </c>
      <c r="S2404" s="42">
        <v>0.2</v>
      </c>
      <c r="T2404" s="10" t="str">
        <f>IFERROR(ROUND((Q2404/R2404),2),"NA")</f>
        <v>NA</v>
      </c>
      <c r="U2404">
        <f t="shared" si="37"/>
        <v>2.2000000000000002</v>
      </c>
    </row>
    <row r="2405" spans="7:21" x14ac:dyDescent="0.2">
      <c r="G2405" s="9" t="s">
        <v>248</v>
      </c>
      <c r="H2405">
        <v>140</v>
      </c>
      <c r="M2405" s="1" t="s">
        <v>248</v>
      </c>
      <c r="N2405" s="1">
        <v>1707</v>
      </c>
      <c r="P2405" s="1" t="s">
        <v>248</v>
      </c>
      <c r="Q2405" s="42">
        <v>140</v>
      </c>
      <c r="R2405" s="42">
        <v>1707</v>
      </c>
      <c r="S2405" s="42">
        <v>0.08</v>
      </c>
      <c r="T2405" s="10">
        <f>IFERROR(ROUND((Q2405/R2405),2),"NA")</f>
        <v>0.08</v>
      </c>
      <c r="U2405">
        <f t="shared" si="37"/>
        <v>11.200000000000001</v>
      </c>
    </row>
    <row r="2406" spans="7:21" x14ac:dyDescent="0.2">
      <c r="G2406" s="9" t="s">
        <v>775</v>
      </c>
      <c r="H2406">
        <v>230</v>
      </c>
      <c r="M2406" s="1" t="s">
        <v>775</v>
      </c>
      <c r="N2406" s="1">
        <v>391</v>
      </c>
      <c r="P2406" s="1" t="s">
        <v>775</v>
      </c>
      <c r="Q2406" s="42">
        <v>230</v>
      </c>
      <c r="R2406" s="42">
        <v>391</v>
      </c>
      <c r="S2406" s="42">
        <v>0.17999999999999997</v>
      </c>
      <c r="T2406" s="10">
        <f>IFERROR(ROUND((Q2406/R2406),2),"NA")</f>
        <v>0.59</v>
      </c>
      <c r="U2406">
        <f t="shared" si="37"/>
        <v>41.399999999999991</v>
      </c>
    </row>
    <row r="2407" spans="7:21" x14ac:dyDescent="0.2">
      <c r="G2407" s="9" t="s">
        <v>213</v>
      </c>
      <c r="H2407">
        <v>250</v>
      </c>
      <c r="M2407" s="1" t="s">
        <v>213</v>
      </c>
      <c r="N2407" s="1">
        <v>7000</v>
      </c>
      <c r="P2407" s="1" t="s">
        <v>213</v>
      </c>
      <c r="Q2407" s="42">
        <v>250</v>
      </c>
      <c r="R2407" s="42">
        <v>7000</v>
      </c>
      <c r="S2407" s="42">
        <v>0.15</v>
      </c>
      <c r="T2407" s="10">
        <f>IFERROR(ROUND((Q2407/R2407),2),"NA")</f>
        <v>0.04</v>
      </c>
      <c r="U2407">
        <f t="shared" si="37"/>
        <v>37.5</v>
      </c>
    </row>
    <row r="2408" spans="7:21" x14ac:dyDescent="0.2">
      <c r="G2408" s="9" t="s">
        <v>825</v>
      </c>
      <c r="H2408">
        <v>0</v>
      </c>
      <c r="M2408" s="1" t="s">
        <v>825</v>
      </c>
      <c r="N2408" s="1">
        <v>38</v>
      </c>
      <c r="P2408" s="1" t="s">
        <v>825</v>
      </c>
      <c r="Q2408" s="42">
        <v>0</v>
      </c>
      <c r="R2408" s="42">
        <v>38</v>
      </c>
      <c r="S2408" s="42">
        <v>1</v>
      </c>
      <c r="T2408" s="10">
        <f>IFERROR(ROUND((Q2408/R2408),2),"NA")</f>
        <v>0</v>
      </c>
      <c r="U2408">
        <f t="shared" si="37"/>
        <v>0</v>
      </c>
    </row>
    <row r="2409" spans="7:21" x14ac:dyDescent="0.2">
      <c r="G2409" s="9" t="s">
        <v>1806</v>
      </c>
      <c r="H2409">
        <v>150</v>
      </c>
      <c r="M2409" s="1" t="s">
        <v>1806</v>
      </c>
      <c r="N2409" s="1">
        <v>1700</v>
      </c>
      <c r="P2409" s="1" t="s">
        <v>1806</v>
      </c>
      <c r="Q2409" s="42">
        <v>150</v>
      </c>
      <c r="R2409" s="42">
        <v>1700</v>
      </c>
      <c r="S2409" s="42">
        <v>0.05</v>
      </c>
      <c r="T2409" s="10">
        <f>IFERROR(ROUND((Q2409/R2409),2),"NA")</f>
        <v>0.09</v>
      </c>
      <c r="U2409">
        <f t="shared" si="37"/>
        <v>7.5</v>
      </c>
    </row>
    <row r="2410" spans="7:21" x14ac:dyDescent="0.2">
      <c r="G2410" s="9" t="s">
        <v>1444</v>
      </c>
      <c r="H2410">
        <v>60</v>
      </c>
      <c r="M2410" s="1" t="s">
        <v>1444</v>
      </c>
      <c r="N2410" s="1">
        <v>0</v>
      </c>
      <c r="P2410" s="1" t="s">
        <v>1444</v>
      </c>
      <c r="Q2410" s="42">
        <v>60</v>
      </c>
      <c r="R2410" s="42">
        <v>0</v>
      </c>
      <c r="S2410" s="42">
        <v>0.22</v>
      </c>
      <c r="T2410" s="10" t="str">
        <f>IFERROR(ROUND((Q2410/R2410),2),"NA")</f>
        <v>NA</v>
      </c>
      <c r="U2410">
        <f t="shared" si="37"/>
        <v>13.2</v>
      </c>
    </row>
    <row r="2411" spans="7:21" x14ac:dyDescent="0.2">
      <c r="G2411" s="9" t="s">
        <v>2033</v>
      </c>
      <c r="H2411">
        <v>29</v>
      </c>
      <c r="M2411" s="1" t="s">
        <v>2033</v>
      </c>
      <c r="N2411" s="1">
        <v>75</v>
      </c>
      <c r="P2411" s="1" t="s">
        <v>2033</v>
      </c>
      <c r="Q2411" s="42">
        <v>29</v>
      </c>
      <c r="R2411" s="42">
        <v>75</v>
      </c>
      <c r="S2411" s="42">
        <v>0.43</v>
      </c>
      <c r="T2411" s="10">
        <f>IFERROR(ROUND((Q2411/R2411),2),"NA")</f>
        <v>0.39</v>
      </c>
      <c r="U2411">
        <f t="shared" si="37"/>
        <v>12.47</v>
      </c>
    </row>
    <row r="2412" spans="7:21" x14ac:dyDescent="0.2">
      <c r="G2412" s="9" t="s">
        <v>2561</v>
      </c>
      <c r="H2412">
        <v>56</v>
      </c>
      <c r="M2412" s="1" t="s">
        <v>2561</v>
      </c>
      <c r="N2412" s="1">
        <v>20</v>
      </c>
      <c r="P2412" s="1" t="s">
        <v>2561</v>
      </c>
      <c r="Q2412" s="42">
        <v>56</v>
      </c>
      <c r="R2412" s="42">
        <v>20</v>
      </c>
      <c r="S2412" s="42">
        <v>0</v>
      </c>
      <c r="T2412" s="10">
        <f>IFERROR(ROUND((Q2412/R2412),2),"NA")</f>
        <v>2.8</v>
      </c>
      <c r="U2412">
        <f t="shared" si="37"/>
        <v>0</v>
      </c>
    </row>
    <row r="2413" spans="7:21" x14ac:dyDescent="0.2">
      <c r="G2413" s="9" t="s">
        <v>847</v>
      </c>
      <c r="H2413">
        <v>150</v>
      </c>
      <c r="M2413" s="1" t="s">
        <v>847</v>
      </c>
      <c r="N2413" s="1">
        <v>110</v>
      </c>
      <c r="P2413" s="1" t="s">
        <v>847</v>
      </c>
      <c r="Q2413" s="42">
        <v>150</v>
      </c>
      <c r="R2413" s="42">
        <v>110</v>
      </c>
      <c r="S2413" s="42">
        <v>0.75</v>
      </c>
      <c r="T2413" s="10">
        <f>IFERROR(ROUND((Q2413/R2413),2),"NA")</f>
        <v>1.36</v>
      </c>
      <c r="U2413">
        <f t="shared" si="37"/>
        <v>112.5</v>
      </c>
    </row>
    <row r="2414" spans="7:21" x14ac:dyDescent="0.2">
      <c r="G2414" s="9" t="s">
        <v>2306</v>
      </c>
      <c r="H2414">
        <v>50</v>
      </c>
      <c r="M2414" s="1" t="s">
        <v>2306</v>
      </c>
      <c r="N2414" s="1">
        <v>71</v>
      </c>
      <c r="P2414" s="1" t="s">
        <v>2306</v>
      </c>
      <c r="Q2414" s="42">
        <v>50</v>
      </c>
      <c r="R2414" s="42">
        <v>71</v>
      </c>
      <c r="S2414" s="42">
        <v>0.1</v>
      </c>
      <c r="T2414" s="10">
        <f>IFERROR(ROUND((Q2414/R2414),2),"NA")</f>
        <v>0.7</v>
      </c>
      <c r="U2414">
        <f t="shared" si="37"/>
        <v>5</v>
      </c>
    </row>
    <row r="2415" spans="7:21" x14ac:dyDescent="0.2">
      <c r="G2415" s="9" t="s">
        <v>1600</v>
      </c>
      <c r="H2415">
        <v>40</v>
      </c>
      <c r="M2415" s="1" t="s">
        <v>1600</v>
      </c>
      <c r="N2415" s="1">
        <v>101</v>
      </c>
      <c r="P2415" s="1" t="s">
        <v>1600</v>
      </c>
      <c r="Q2415" s="42">
        <v>40</v>
      </c>
      <c r="R2415" s="42">
        <v>101</v>
      </c>
      <c r="S2415" s="42">
        <v>0</v>
      </c>
      <c r="T2415" s="10">
        <f>IFERROR(ROUND((Q2415/R2415),2),"NA")</f>
        <v>0.4</v>
      </c>
      <c r="U2415">
        <f t="shared" si="37"/>
        <v>0</v>
      </c>
    </row>
    <row r="2416" spans="7:21" x14ac:dyDescent="0.2">
      <c r="G2416" s="9" t="s">
        <v>2089</v>
      </c>
      <c r="H2416">
        <v>0</v>
      </c>
      <c r="M2416" s="1" t="s">
        <v>2089</v>
      </c>
      <c r="N2416" s="1">
        <v>0</v>
      </c>
      <c r="P2416" s="1" t="s">
        <v>2089</v>
      </c>
      <c r="Q2416" s="42">
        <v>0</v>
      </c>
      <c r="R2416" s="42">
        <v>0</v>
      </c>
      <c r="S2416" s="42">
        <v>0</v>
      </c>
      <c r="T2416" s="10" t="str">
        <f>IFERROR(ROUND((Q2416/R2416),2),"NA")</f>
        <v>NA</v>
      </c>
      <c r="U2416">
        <f t="shared" si="37"/>
        <v>0</v>
      </c>
    </row>
    <row r="2417" spans="7:21" x14ac:dyDescent="0.2">
      <c r="G2417" s="9" t="s">
        <v>1704</v>
      </c>
      <c r="H2417">
        <v>46</v>
      </c>
      <c r="M2417" s="1" t="s">
        <v>1704</v>
      </c>
      <c r="N2417" s="1">
        <v>0</v>
      </c>
      <c r="P2417" s="1" t="s">
        <v>1704</v>
      </c>
      <c r="Q2417" s="42">
        <v>46</v>
      </c>
      <c r="R2417" s="42">
        <v>0</v>
      </c>
      <c r="S2417" s="42">
        <v>0.13</v>
      </c>
      <c r="T2417" s="10" t="str">
        <f>IFERROR(ROUND((Q2417/R2417),2),"NA")</f>
        <v>NA</v>
      </c>
      <c r="U2417">
        <f t="shared" si="37"/>
        <v>5.98</v>
      </c>
    </row>
    <row r="2418" spans="7:21" x14ac:dyDescent="0.2">
      <c r="G2418" s="9" t="s">
        <v>883</v>
      </c>
      <c r="H2418">
        <v>450</v>
      </c>
      <c r="M2418" s="1" t="s">
        <v>883</v>
      </c>
      <c r="N2418" s="1">
        <v>0</v>
      </c>
      <c r="P2418" s="1" t="s">
        <v>883</v>
      </c>
      <c r="Q2418" s="42">
        <v>450</v>
      </c>
      <c r="R2418" s="42">
        <v>0</v>
      </c>
      <c r="S2418" s="42">
        <v>0.25</v>
      </c>
      <c r="T2418" s="10" t="str">
        <f>IFERROR(ROUND((Q2418/R2418),2),"NA")</f>
        <v>NA</v>
      </c>
      <c r="U2418">
        <f t="shared" si="37"/>
        <v>112.5</v>
      </c>
    </row>
    <row r="2419" spans="7:21" x14ac:dyDescent="0.2">
      <c r="G2419" s="9" t="s">
        <v>600</v>
      </c>
      <c r="H2419">
        <v>1100</v>
      </c>
      <c r="M2419" s="1" t="s">
        <v>600</v>
      </c>
      <c r="N2419" s="1">
        <v>732</v>
      </c>
      <c r="P2419" s="1" t="s">
        <v>600</v>
      </c>
      <c r="Q2419" s="42">
        <v>1100</v>
      </c>
      <c r="R2419" s="42">
        <v>732</v>
      </c>
      <c r="S2419" s="42">
        <v>7.0000000000000007E-2</v>
      </c>
      <c r="T2419" s="10">
        <f>IFERROR(ROUND((Q2419/R2419),2),"NA")</f>
        <v>1.5</v>
      </c>
      <c r="U2419">
        <f t="shared" si="37"/>
        <v>77.000000000000014</v>
      </c>
    </row>
    <row r="2420" spans="7:21" x14ac:dyDescent="0.2">
      <c r="G2420" s="9" t="s">
        <v>1861</v>
      </c>
      <c r="H2420">
        <v>45</v>
      </c>
      <c r="M2420" s="1" t="s">
        <v>1861</v>
      </c>
      <c r="N2420" s="1">
        <v>0</v>
      </c>
      <c r="P2420" s="1" t="s">
        <v>1861</v>
      </c>
      <c r="Q2420" s="42">
        <v>45</v>
      </c>
      <c r="R2420" s="42">
        <v>0</v>
      </c>
      <c r="S2420" s="42">
        <v>0.08</v>
      </c>
      <c r="T2420" s="10" t="str">
        <f>IFERROR(ROUND((Q2420/R2420),2),"NA")</f>
        <v>NA</v>
      </c>
      <c r="U2420">
        <f t="shared" si="37"/>
        <v>3.6</v>
      </c>
    </row>
    <row r="2421" spans="7:21" x14ac:dyDescent="0.2">
      <c r="G2421" s="9" t="s">
        <v>1344</v>
      </c>
      <c r="H2421">
        <v>0</v>
      </c>
      <c r="M2421" s="1" t="s">
        <v>1344</v>
      </c>
      <c r="N2421" s="1">
        <v>0</v>
      </c>
      <c r="P2421" s="1" t="s">
        <v>1344</v>
      </c>
      <c r="Q2421" s="42">
        <v>0</v>
      </c>
      <c r="R2421" s="42">
        <v>0</v>
      </c>
      <c r="S2421" s="42">
        <v>0.13</v>
      </c>
      <c r="T2421" s="10" t="str">
        <f>IFERROR(ROUND((Q2421/R2421),2),"NA")</f>
        <v>NA</v>
      </c>
      <c r="U2421">
        <f t="shared" si="37"/>
        <v>0</v>
      </c>
    </row>
    <row r="2422" spans="7:21" x14ac:dyDescent="0.2">
      <c r="G2422" s="9" t="s">
        <v>1374</v>
      </c>
      <c r="H2422">
        <v>0</v>
      </c>
      <c r="M2422" s="1" t="s">
        <v>1374</v>
      </c>
      <c r="N2422" s="1">
        <v>185</v>
      </c>
      <c r="P2422" s="1" t="s">
        <v>1374</v>
      </c>
      <c r="Q2422" s="42">
        <v>0</v>
      </c>
      <c r="R2422" s="42">
        <v>185</v>
      </c>
      <c r="S2422" s="42">
        <v>0.14000000000000001</v>
      </c>
      <c r="T2422" s="10">
        <f>IFERROR(ROUND((Q2422/R2422),2),"NA")</f>
        <v>0</v>
      </c>
      <c r="U2422">
        <f t="shared" si="37"/>
        <v>0</v>
      </c>
    </row>
    <row r="2423" spans="7:21" x14ac:dyDescent="0.2">
      <c r="G2423" s="9" t="s">
        <v>270</v>
      </c>
      <c r="H2423">
        <v>0</v>
      </c>
      <c r="M2423" s="1" t="s">
        <v>270</v>
      </c>
      <c r="N2423" s="1">
        <v>1600</v>
      </c>
      <c r="P2423" s="1" t="s">
        <v>270</v>
      </c>
      <c r="Q2423" s="42">
        <v>0</v>
      </c>
      <c r="R2423" s="42">
        <v>1600</v>
      </c>
      <c r="S2423" s="42">
        <v>0</v>
      </c>
      <c r="T2423" s="10">
        <f>IFERROR(ROUND((Q2423/R2423),2),"NA")</f>
        <v>0</v>
      </c>
      <c r="U2423">
        <f t="shared" si="37"/>
        <v>0</v>
      </c>
    </row>
    <row r="2424" spans="7:21" x14ac:dyDescent="0.2">
      <c r="G2424" s="9" t="s">
        <v>472</v>
      </c>
      <c r="H2424">
        <v>61</v>
      </c>
      <c r="M2424" s="1" t="s">
        <v>472</v>
      </c>
      <c r="N2424" s="1">
        <v>1474</v>
      </c>
      <c r="P2424" s="1" t="s">
        <v>472</v>
      </c>
      <c r="Q2424" s="42">
        <v>61</v>
      </c>
      <c r="R2424" s="42">
        <v>1474</v>
      </c>
      <c r="S2424" s="42">
        <v>0.10500000000000001</v>
      </c>
      <c r="T2424" s="10">
        <f>IFERROR(ROUND((Q2424/R2424),2),"NA")</f>
        <v>0.04</v>
      </c>
      <c r="U2424">
        <f t="shared" si="37"/>
        <v>6.4050000000000002</v>
      </c>
    </row>
    <row r="2425" spans="7:21" x14ac:dyDescent="0.2">
      <c r="G2425" s="9" t="s">
        <v>1211</v>
      </c>
      <c r="H2425">
        <v>170</v>
      </c>
      <c r="M2425" s="1" t="s">
        <v>1211</v>
      </c>
      <c r="N2425" s="1">
        <v>4100</v>
      </c>
      <c r="P2425" s="1" t="s">
        <v>1211</v>
      </c>
      <c r="Q2425" s="42">
        <v>170</v>
      </c>
      <c r="R2425" s="42">
        <v>4100</v>
      </c>
      <c r="S2425" s="42">
        <v>0.23</v>
      </c>
      <c r="T2425" s="10">
        <f>IFERROR(ROUND((Q2425/R2425),2),"NA")</f>
        <v>0.04</v>
      </c>
      <c r="U2425">
        <f t="shared" si="37"/>
        <v>39.1</v>
      </c>
    </row>
    <row r="2426" spans="7:21" x14ac:dyDescent="0.2">
      <c r="G2426" s="9" t="s">
        <v>1667</v>
      </c>
      <c r="H2426">
        <v>0</v>
      </c>
      <c r="M2426" s="1" t="s">
        <v>1667</v>
      </c>
      <c r="N2426" s="1">
        <v>900</v>
      </c>
      <c r="P2426" s="1" t="s">
        <v>1667</v>
      </c>
      <c r="Q2426" s="42">
        <v>0</v>
      </c>
      <c r="R2426" s="42">
        <v>900</v>
      </c>
      <c r="S2426" s="42">
        <v>8.4999999999999992E-2</v>
      </c>
      <c r="T2426" s="10">
        <f>IFERROR(ROUND((Q2426/R2426),2),"NA")</f>
        <v>0</v>
      </c>
      <c r="U2426">
        <f t="shared" si="37"/>
        <v>0</v>
      </c>
    </row>
    <row r="2427" spans="7:21" x14ac:dyDescent="0.2">
      <c r="G2427" s="9" t="s">
        <v>1421</v>
      </c>
      <c r="H2427">
        <v>80</v>
      </c>
      <c r="M2427" s="1" t="s">
        <v>1421</v>
      </c>
      <c r="N2427" s="1">
        <v>0</v>
      </c>
      <c r="P2427" s="1" t="s">
        <v>1421</v>
      </c>
      <c r="Q2427" s="42">
        <v>80</v>
      </c>
      <c r="R2427" s="42">
        <v>0</v>
      </c>
      <c r="S2427" s="42">
        <v>0</v>
      </c>
      <c r="T2427" s="10" t="str">
        <f>IFERROR(ROUND((Q2427/R2427),2),"NA")</f>
        <v>NA</v>
      </c>
      <c r="U2427">
        <f t="shared" si="37"/>
        <v>0</v>
      </c>
    </row>
    <row r="2428" spans="7:21" x14ac:dyDescent="0.2">
      <c r="G2428" s="9" t="s">
        <v>364</v>
      </c>
      <c r="H2428">
        <v>0</v>
      </c>
      <c r="M2428" s="1" t="s">
        <v>364</v>
      </c>
      <c r="N2428" s="1">
        <v>0</v>
      </c>
      <c r="P2428" s="1" t="s">
        <v>364</v>
      </c>
      <c r="Q2428" s="42">
        <v>0</v>
      </c>
      <c r="R2428" s="42">
        <v>0</v>
      </c>
      <c r="S2428" s="42">
        <v>0</v>
      </c>
      <c r="T2428" s="10" t="str">
        <f>IFERROR(ROUND((Q2428/R2428),2),"NA")</f>
        <v>NA</v>
      </c>
      <c r="U2428">
        <f t="shared" si="37"/>
        <v>0</v>
      </c>
    </row>
    <row r="2429" spans="7:21" x14ac:dyDescent="0.2">
      <c r="G2429" s="9" t="s">
        <v>2484</v>
      </c>
      <c r="H2429">
        <v>111</v>
      </c>
      <c r="M2429" s="1" t="s">
        <v>2484</v>
      </c>
      <c r="N2429" s="1">
        <v>368</v>
      </c>
      <c r="P2429" s="1" t="s">
        <v>2484</v>
      </c>
      <c r="Q2429" s="42">
        <v>111</v>
      </c>
      <c r="R2429" s="42">
        <v>368</v>
      </c>
      <c r="S2429" s="42">
        <v>0.5</v>
      </c>
      <c r="T2429" s="10">
        <f>IFERROR(ROUND((Q2429/R2429),2),"NA")</f>
        <v>0.3</v>
      </c>
      <c r="U2429">
        <f t="shared" si="37"/>
        <v>55.5</v>
      </c>
    </row>
    <row r="2430" spans="7:21" x14ac:dyDescent="0.2">
      <c r="G2430" s="9" t="s">
        <v>620</v>
      </c>
      <c r="H2430">
        <v>20</v>
      </c>
      <c r="M2430" s="1" t="s">
        <v>620</v>
      </c>
      <c r="N2430" s="1">
        <v>0</v>
      </c>
      <c r="P2430" s="1" t="s">
        <v>620</v>
      </c>
      <c r="Q2430" s="42">
        <v>20</v>
      </c>
      <c r="R2430" s="42">
        <v>0</v>
      </c>
      <c r="S2430" s="42">
        <v>0.33</v>
      </c>
      <c r="T2430" s="10" t="str">
        <f>IFERROR(ROUND((Q2430/R2430),2),"NA")</f>
        <v>NA</v>
      </c>
      <c r="U2430">
        <f t="shared" si="37"/>
        <v>6.6000000000000005</v>
      </c>
    </row>
    <row r="2431" spans="7:21" x14ac:dyDescent="0.2">
      <c r="G2431" s="9" t="s">
        <v>2797</v>
      </c>
      <c r="H2431">
        <v>65</v>
      </c>
      <c r="M2431" s="1" t="s">
        <v>2797</v>
      </c>
      <c r="N2431" s="1">
        <v>175</v>
      </c>
      <c r="P2431" s="1" t="s">
        <v>2797</v>
      </c>
      <c r="Q2431" s="42">
        <v>65</v>
      </c>
      <c r="R2431" s="42">
        <v>175</v>
      </c>
      <c r="S2431" s="42">
        <v>0</v>
      </c>
      <c r="T2431" s="10">
        <f>IFERROR(ROUND((Q2431/R2431),2),"NA")</f>
        <v>0.37</v>
      </c>
      <c r="U2431">
        <f t="shared" si="37"/>
        <v>0</v>
      </c>
    </row>
    <row r="2432" spans="7:21" x14ac:dyDescent="0.2">
      <c r="G2432" s="9" t="s">
        <v>2686</v>
      </c>
      <c r="H2432">
        <v>70</v>
      </c>
      <c r="M2432" s="1" t="s">
        <v>2686</v>
      </c>
      <c r="N2432" s="1">
        <v>10</v>
      </c>
      <c r="P2432" s="1" t="s">
        <v>2686</v>
      </c>
      <c r="Q2432" s="42">
        <v>70</v>
      </c>
      <c r="R2432" s="42">
        <v>10</v>
      </c>
      <c r="S2432" s="42">
        <v>0</v>
      </c>
      <c r="T2432" s="10">
        <f>IFERROR(ROUND((Q2432/R2432),2),"NA")</f>
        <v>7</v>
      </c>
      <c r="U2432">
        <f t="shared" si="37"/>
        <v>0</v>
      </c>
    </row>
    <row r="2433" spans="7:21" x14ac:dyDescent="0.2">
      <c r="G2433" s="9" t="s">
        <v>2453</v>
      </c>
      <c r="H2433">
        <v>25</v>
      </c>
      <c r="M2433" s="1" t="s">
        <v>2453</v>
      </c>
      <c r="N2433" s="1">
        <v>128</v>
      </c>
      <c r="P2433" s="1" t="s">
        <v>2453</v>
      </c>
      <c r="Q2433" s="42">
        <v>25</v>
      </c>
      <c r="R2433" s="42">
        <v>128</v>
      </c>
      <c r="S2433" s="42">
        <v>0</v>
      </c>
      <c r="T2433" s="10">
        <f>IFERROR(ROUND((Q2433/R2433),2),"NA")</f>
        <v>0.2</v>
      </c>
      <c r="U2433">
        <f t="shared" si="37"/>
        <v>0</v>
      </c>
    </row>
    <row r="2434" spans="7:21" x14ac:dyDescent="0.2">
      <c r="G2434" s="9" t="s">
        <v>940</v>
      </c>
      <c r="H2434">
        <v>0</v>
      </c>
      <c r="M2434" s="1" t="s">
        <v>940</v>
      </c>
      <c r="N2434" s="1">
        <v>0</v>
      </c>
      <c r="P2434" s="1" t="s">
        <v>940</v>
      </c>
      <c r="Q2434" s="42">
        <v>0</v>
      </c>
      <c r="R2434" s="42">
        <v>0</v>
      </c>
      <c r="S2434" s="42">
        <v>0.06</v>
      </c>
      <c r="T2434" s="10" t="str">
        <f>IFERROR(ROUND((Q2434/R2434),2),"NA")</f>
        <v>NA</v>
      </c>
      <c r="U2434">
        <f t="shared" si="37"/>
        <v>0</v>
      </c>
    </row>
    <row r="2435" spans="7:21" x14ac:dyDescent="0.2">
      <c r="G2435" s="9" t="s">
        <v>190</v>
      </c>
      <c r="H2435">
        <v>13</v>
      </c>
      <c r="M2435" s="1" t="s">
        <v>190</v>
      </c>
      <c r="N2435" s="1">
        <v>60</v>
      </c>
      <c r="P2435" s="1" t="s">
        <v>190</v>
      </c>
      <c r="Q2435" s="42">
        <v>13</v>
      </c>
      <c r="R2435" s="42">
        <v>60</v>
      </c>
      <c r="S2435" s="42">
        <v>0</v>
      </c>
      <c r="T2435" s="10">
        <f>IFERROR(ROUND((Q2435/R2435),2),"NA")</f>
        <v>0.22</v>
      </c>
      <c r="U2435">
        <f t="shared" si="37"/>
        <v>0</v>
      </c>
    </row>
    <row r="2436" spans="7:21" x14ac:dyDescent="0.2">
      <c r="G2436" s="9" t="s">
        <v>547</v>
      </c>
      <c r="H2436">
        <v>2837</v>
      </c>
      <c r="M2436" s="1" t="s">
        <v>547</v>
      </c>
      <c r="N2436" s="1">
        <v>393</v>
      </c>
      <c r="P2436" s="1" t="s">
        <v>547</v>
      </c>
      <c r="Q2436" s="42">
        <v>2837</v>
      </c>
      <c r="R2436" s="42">
        <v>393</v>
      </c>
      <c r="S2436" s="42">
        <v>0</v>
      </c>
      <c r="T2436" s="10">
        <f>IFERROR(ROUND((Q2436/R2436),2),"NA")</f>
        <v>7.22</v>
      </c>
      <c r="U2436">
        <f t="shared" si="37"/>
        <v>0</v>
      </c>
    </row>
    <row r="2437" spans="7:21" x14ac:dyDescent="0.2">
      <c r="G2437" s="9" t="s">
        <v>286</v>
      </c>
      <c r="H2437">
        <v>385</v>
      </c>
      <c r="M2437" s="1" t="s">
        <v>286</v>
      </c>
      <c r="N2437" s="1">
        <v>1712</v>
      </c>
      <c r="P2437" s="1" t="s">
        <v>286</v>
      </c>
      <c r="Q2437" s="42">
        <v>385</v>
      </c>
      <c r="R2437" s="42">
        <v>1712</v>
      </c>
      <c r="S2437" s="42">
        <v>0.11666666666666665</v>
      </c>
      <c r="T2437" s="10">
        <f>IFERROR(ROUND((Q2437/R2437),2),"NA")</f>
        <v>0.22</v>
      </c>
      <c r="U2437">
        <f t="shared" ref="U2437:U2500" si="38">Q2437*S2437</f>
        <v>44.916666666666664</v>
      </c>
    </row>
    <row r="2438" spans="7:21" x14ac:dyDescent="0.2">
      <c r="G2438" s="9" t="s">
        <v>2302</v>
      </c>
      <c r="H2438">
        <v>0</v>
      </c>
      <c r="M2438" s="1" t="s">
        <v>2302</v>
      </c>
      <c r="N2438" s="1">
        <v>90</v>
      </c>
      <c r="P2438" s="1" t="s">
        <v>2302</v>
      </c>
      <c r="Q2438" s="42">
        <v>0</v>
      </c>
      <c r="R2438" s="42">
        <v>90</v>
      </c>
      <c r="S2438" s="42">
        <v>1</v>
      </c>
      <c r="T2438" s="10">
        <f>IFERROR(ROUND((Q2438/R2438),2),"NA")</f>
        <v>0</v>
      </c>
      <c r="U2438">
        <f t="shared" si="38"/>
        <v>0</v>
      </c>
    </row>
    <row r="2439" spans="7:21" x14ac:dyDescent="0.2">
      <c r="G2439" s="9" t="s">
        <v>1966</v>
      </c>
      <c r="H2439">
        <v>0</v>
      </c>
      <c r="M2439" s="1" t="s">
        <v>1966</v>
      </c>
      <c r="N2439" s="1">
        <v>1150</v>
      </c>
      <c r="P2439" s="1" t="s">
        <v>1966</v>
      </c>
      <c r="Q2439" s="42">
        <v>0</v>
      </c>
      <c r="R2439" s="42">
        <v>1150</v>
      </c>
      <c r="S2439" s="42">
        <v>0.32</v>
      </c>
      <c r="T2439" s="10">
        <f>IFERROR(ROUND((Q2439/R2439),2),"NA")</f>
        <v>0</v>
      </c>
      <c r="U2439">
        <f t="shared" si="38"/>
        <v>0</v>
      </c>
    </row>
    <row r="2440" spans="7:21" x14ac:dyDescent="0.2">
      <c r="G2440" s="9" t="s">
        <v>640</v>
      </c>
      <c r="H2440">
        <v>0</v>
      </c>
      <c r="M2440" s="1" t="s">
        <v>640</v>
      </c>
      <c r="N2440" s="1">
        <v>391</v>
      </c>
      <c r="P2440" s="1" t="s">
        <v>640</v>
      </c>
      <c r="Q2440" s="42">
        <v>0</v>
      </c>
      <c r="R2440" s="42">
        <v>391</v>
      </c>
      <c r="S2440" s="42">
        <v>1</v>
      </c>
      <c r="T2440" s="10">
        <f>IFERROR(ROUND((Q2440/R2440),2),"NA")</f>
        <v>0</v>
      </c>
      <c r="U2440">
        <f t="shared" si="38"/>
        <v>0</v>
      </c>
    </row>
    <row r="2441" spans="7:21" x14ac:dyDescent="0.2">
      <c r="G2441" s="9" t="s">
        <v>1893</v>
      </c>
      <c r="H2441">
        <v>0</v>
      </c>
      <c r="M2441" s="1" t="s">
        <v>1893</v>
      </c>
      <c r="N2441" s="1">
        <v>26</v>
      </c>
      <c r="P2441" s="1" t="s">
        <v>1893</v>
      </c>
      <c r="Q2441" s="42">
        <v>0</v>
      </c>
      <c r="R2441" s="42">
        <v>26</v>
      </c>
      <c r="S2441" s="42">
        <v>0.5</v>
      </c>
      <c r="T2441" s="10">
        <f>IFERROR(ROUND((Q2441/R2441),2),"NA")</f>
        <v>0</v>
      </c>
      <c r="U2441">
        <f t="shared" si="38"/>
        <v>0</v>
      </c>
    </row>
    <row r="2442" spans="7:21" x14ac:dyDescent="0.2">
      <c r="G2442" s="9" t="s">
        <v>2324</v>
      </c>
      <c r="H2442">
        <v>15</v>
      </c>
      <c r="M2442" s="1" t="s">
        <v>2324</v>
      </c>
      <c r="N2442" s="1">
        <v>159</v>
      </c>
      <c r="P2442" s="1" t="s">
        <v>2324</v>
      </c>
      <c r="Q2442" s="42">
        <v>15</v>
      </c>
      <c r="R2442" s="42">
        <v>159</v>
      </c>
      <c r="S2442" s="42">
        <v>7.0000000000000007E-2</v>
      </c>
      <c r="T2442" s="10">
        <f>IFERROR(ROUND((Q2442/R2442),2),"NA")</f>
        <v>0.09</v>
      </c>
      <c r="U2442">
        <f t="shared" si="38"/>
        <v>1.05</v>
      </c>
    </row>
    <row r="2443" spans="7:21" x14ac:dyDescent="0.2">
      <c r="G2443" s="9" t="s">
        <v>960</v>
      </c>
      <c r="H2443">
        <v>0</v>
      </c>
      <c r="M2443" s="1" t="s">
        <v>960</v>
      </c>
      <c r="N2443" s="1">
        <v>18</v>
      </c>
      <c r="P2443" s="1" t="s">
        <v>960</v>
      </c>
      <c r="Q2443" s="42">
        <v>0</v>
      </c>
      <c r="R2443" s="42">
        <v>18</v>
      </c>
      <c r="S2443" s="42">
        <v>1</v>
      </c>
      <c r="T2443" s="10">
        <f>IFERROR(ROUND((Q2443/R2443),2),"NA")</f>
        <v>0</v>
      </c>
      <c r="U2443">
        <f t="shared" si="38"/>
        <v>0</v>
      </c>
    </row>
    <row r="2444" spans="7:21" x14ac:dyDescent="0.2">
      <c r="G2444" s="9" t="s">
        <v>543</v>
      </c>
      <c r="H2444">
        <v>169</v>
      </c>
      <c r="M2444" s="1" t="s">
        <v>543</v>
      </c>
      <c r="N2444" s="1">
        <v>1228.5999999999999</v>
      </c>
      <c r="P2444" s="1" t="s">
        <v>543</v>
      </c>
      <c r="Q2444" s="42">
        <v>169</v>
      </c>
      <c r="R2444" s="42">
        <v>1228.5999999999999</v>
      </c>
      <c r="S2444" s="42">
        <v>4.3333333333333335E-2</v>
      </c>
      <c r="T2444" s="10">
        <f>IFERROR(ROUND((Q2444/R2444),2),"NA")</f>
        <v>0.14000000000000001</v>
      </c>
      <c r="U2444">
        <f t="shared" si="38"/>
        <v>7.3233333333333333</v>
      </c>
    </row>
    <row r="2445" spans="7:21" x14ac:dyDescent="0.2">
      <c r="G2445" s="9" t="s">
        <v>2325</v>
      </c>
      <c r="H2445">
        <v>8</v>
      </c>
      <c r="M2445" s="1" t="s">
        <v>2325</v>
      </c>
      <c r="N2445" s="1">
        <v>10</v>
      </c>
      <c r="P2445" s="1" t="s">
        <v>2325</v>
      </c>
      <c r="Q2445" s="42">
        <v>8</v>
      </c>
      <c r="R2445" s="42">
        <v>10</v>
      </c>
      <c r="S2445" s="42">
        <v>0.13</v>
      </c>
      <c r="T2445" s="10">
        <f>IFERROR(ROUND((Q2445/R2445),2),"NA")</f>
        <v>0.8</v>
      </c>
      <c r="U2445">
        <f t="shared" si="38"/>
        <v>1.04</v>
      </c>
    </row>
    <row r="2446" spans="7:21" x14ac:dyDescent="0.2">
      <c r="G2446" s="9" t="s">
        <v>388</v>
      </c>
      <c r="H2446">
        <v>1802</v>
      </c>
      <c r="M2446" s="1" t="s">
        <v>388</v>
      </c>
      <c r="N2446" s="1">
        <v>6500</v>
      </c>
      <c r="P2446" s="1" t="s">
        <v>388</v>
      </c>
      <c r="Q2446" s="42">
        <v>1802</v>
      </c>
      <c r="R2446" s="42">
        <v>6500</v>
      </c>
      <c r="S2446" s="42">
        <v>0.33750000000000002</v>
      </c>
      <c r="T2446" s="10">
        <f>IFERROR(ROUND((Q2446/R2446),2),"NA")</f>
        <v>0.28000000000000003</v>
      </c>
      <c r="U2446">
        <f t="shared" si="38"/>
        <v>608.17500000000007</v>
      </c>
    </row>
    <row r="2447" spans="7:21" x14ac:dyDescent="0.2">
      <c r="G2447" s="9" t="s">
        <v>2758</v>
      </c>
      <c r="H2447">
        <v>45</v>
      </c>
      <c r="M2447" s="1" t="s">
        <v>2758</v>
      </c>
      <c r="N2447" s="1">
        <v>90</v>
      </c>
      <c r="P2447" s="1" t="s">
        <v>2758</v>
      </c>
      <c r="Q2447" s="42">
        <v>45</v>
      </c>
      <c r="R2447" s="42">
        <v>90</v>
      </c>
      <c r="S2447" s="42">
        <v>0</v>
      </c>
      <c r="T2447" s="10">
        <f>IFERROR(ROUND((Q2447/R2447),2),"NA")</f>
        <v>0.5</v>
      </c>
      <c r="U2447">
        <f t="shared" si="38"/>
        <v>0</v>
      </c>
    </row>
    <row r="2448" spans="7:21" x14ac:dyDescent="0.2">
      <c r="G2448" s="9" t="s">
        <v>2424</v>
      </c>
      <c r="H2448">
        <v>200</v>
      </c>
      <c r="M2448" s="1" t="s">
        <v>2424</v>
      </c>
      <c r="N2448" s="1">
        <v>365</v>
      </c>
      <c r="P2448" s="1" t="s">
        <v>2424</v>
      </c>
      <c r="Q2448" s="42">
        <v>200</v>
      </c>
      <c r="R2448" s="42">
        <v>365</v>
      </c>
      <c r="S2448" s="42">
        <v>0.13</v>
      </c>
      <c r="T2448" s="10">
        <f>IFERROR(ROUND((Q2448/R2448),2),"NA")</f>
        <v>0.55000000000000004</v>
      </c>
      <c r="U2448">
        <f t="shared" si="38"/>
        <v>26</v>
      </c>
    </row>
    <row r="2449" spans="7:21" x14ac:dyDescent="0.2">
      <c r="G2449" s="9" t="s">
        <v>666</v>
      </c>
      <c r="H2449">
        <v>75</v>
      </c>
      <c r="M2449" s="1" t="s">
        <v>666</v>
      </c>
      <c r="N2449" s="1">
        <v>0</v>
      </c>
      <c r="P2449" s="1" t="s">
        <v>666</v>
      </c>
      <c r="Q2449" s="42">
        <v>75</v>
      </c>
      <c r="R2449" s="42">
        <v>0</v>
      </c>
      <c r="S2449" s="42">
        <v>0.09</v>
      </c>
      <c r="T2449" s="10" t="str">
        <f>IFERROR(ROUND((Q2449/R2449),2),"NA")</f>
        <v>NA</v>
      </c>
      <c r="U2449">
        <f t="shared" si="38"/>
        <v>6.75</v>
      </c>
    </row>
    <row r="2450" spans="7:21" x14ac:dyDescent="0.2">
      <c r="G2450" s="9" t="s">
        <v>2457</v>
      </c>
      <c r="H2450">
        <v>50</v>
      </c>
      <c r="M2450" s="1" t="s">
        <v>2457</v>
      </c>
      <c r="N2450" s="1">
        <v>0</v>
      </c>
      <c r="P2450" s="1" t="s">
        <v>2457</v>
      </c>
      <c r="Q2450" s="42">
        <v>50</v>
      </c>
      <c r="R2450" s="42">
        <v>0</v>
      </c>
      <c r="S2450" s="42">
        <v>0</v>
      </c>
      <c r="T2450" s="10" t="str">
        <f>IFERROR(ROUND((Q2450/R2450),2),"NA")</f>
        <v>NA</v>
      </c>
      <c r="U2450">
        <f t="shared" si="38"/>
        <v>0</v>
      </c>
    </row>
    <row r="2451" spans="7:21" x14ac:dyDescent="0.2">
      <c r="G2451" s="9" t="s">
        <v>1159</v>
      </c>
      <c r="H2451">
        <v>155</v>
      </c>
      <c r="M2451" s="1" t="s">
        <v>1159</v>
      </c>
      <c r="N2451" s="1">
        <v>614</v>
      </c>
      <c r="P2451" s="1" t="s">
        <v>1159</v>
      </c>
      <c r="Q2451" s="42">
        <v>155</v>
      </c>
      <c r="R2451" s="42">
        <v>614</v>
      </c>
      <c r="S2451" s="42">
        <v>6.5000000000000002E-2</v>
      </c>
      <c r="T2451" s="10">
        <f>IFERROR(ROUND((Q2451/R2451),2),"NA")</f>
        <v>0.25</v>
      </c>
      <c r="U2451">
        <f t="shared" si="38"/>
        <v>10.075000000000001</v>
      </c>
    </row>
    <row r="2452" spans="7:21" x14ac:dyDescent="0.2">
      <c r="G2452" s="9" t="s">
        <v>1545</v>
      </c>
      <c r="H2452">
        <v>0</v>
      </c>
      <c r="M2452" s="1" t="s">
        <v>1545</v>
      </c>
      <c r="N2452" s="1">
        <v>167</v>
      </c>
      <c r="P2452" s="1" t="s">
        <v>1545</v>
      </c>
      <c r="Q2452" s="42">
        <v>0</v>
      </c>
      <c r="R2452" s="42">
        <v>167</v>
      </c>
      <c r="S2452" s="42">
        <v>0.15</v>
      </c>
      <c r="T2452" s="10">
        <f>IFERROR(ROUND((Q2452/R2452),2),"NA")</f>
        <v>0</v>
      </c>
      <c r="U2452">
        <f t="shared" si="38"/>
        <v>0</v>
      </c>
    </row>
    <row r="2453" spans="7:21" x14ac:dyDescent="0.2">
      <c r="G2453" s="9" t="s">
        <v>49</v>
      </c>
      <c r="H2453">
        <v>15</v>
      </c>
      <c r="M2453" s="1" t="s">
        <v>49</v>
      </c>
      <c r="N2453" s="1">
        <v>56</v>
      </c>
      <c r="P2453" s="1" t="s">
        <v>49</v>
      </c>
      <c r="Q2453" s="42">
        <v>15</v>
      </c>
      <c r="R2453" s="42">
        <v>56</v>
      </c>
      <c r="S2453" s="42">
        <v>0.2</v>
      </c>
      <c r="T2453" s="10">
        <f>IFERROR(ROUND((Q2453/R2453),2),"NA")</f>
        <v>0.27</v>
      </c>
      <c r="U2453">
        <f t="shared" si="38"/>
        <v>3</v>
      </c>
    </row>
    <row r="2454" spans="7:21" x14ac:dyDescent="0.2">
      <c r="G2454" s="9" t="s">
        <v>2276</v>
      </c>
      <c r="H2454">
        <v>141</v>
      </c>
      <c r="M2454" s="1" t="s">
        <v>2276</v>
      </c>
      <c r="N2454" s="1">
        <v>52</v>
      </c>
      <c r="P2454" s="1" t="s">
        <v>2276</v>
      </c>
      <c r="Q2454" s="42">
        <v>141</v>
      </c>
      <c r="R2454" s="42">
        <v>52</v>
      </c>
      <c r="S2454" s="42">
        <v>0.61499999999999999</v>
      </c>
      <c r="T2454" s="10">
        <f>IFERROR(ROUND((Q2454/R2454),2),"NA")</f>
        <v>2.71</v>
      </c>
      <c r="U2454">
        <f t="shared" si="38"/>
        <v>86.715000000000003</v>
      </c>
    </row>
    <row r="2455" spans="7:21" x14ac:dyDescent="0.2">
      <c r="G2455" s="9" t="s">
        <v>2142</v>
      </c>
      <c r="H2455">
        <v>63</v>
      </c>
      <c r="M2455" s="1" t="s">
        <v>2142</v>
      </c>
      <c r="N2455" s="1">
        <v>535</v>
      </c>
      <c r="P2455" s="1" t="s">
        <v>2142</v>
      </c>
      <c r="Q2455" s="42">
        <v>63</v>
      </c>
      <c r="R2455" s="42">
        <v>535</v>
      </c>
      <c r="S2455" s="42">
        <v>0</v>
      </c>
      <c r="T2455" s="10">
        <f>IFERROR(ROUND((Q2455/R2455),2),"NA")</f>
        <v>0.12</v>
      </c>
      <c r="U2455">
        <f t="shared" si="38"/>
        <v>0</v>
      </c>
    </row>
    <row r="2456" spans="7:21" x14ac:dyDescent="0.2">
      <c r="G2456" s="9" t="s">
        <v>2113</v>
      </c>
      <c r="H2456">
        <v>50</v>
      </c>
      <c r="M2456" s="1" t="s">
        <v>2113</v>
      </c>
      <c r="N2456" s="1">
        <v>104</v>
      </c>
      <c r="P2456" s="1" t="s">
        <v>2113</v>
      </c>
      <c r="Q2456" s="42">
        <v>50</v>
      </c>
      <c r="R2456" s="42">
        <v>104</v>
      </c>
      <c r="S2456" s="42">
        <v>0</v>
      </c>
      <c r="T2456" s="10">
        <f>IFERROR(ROUND((Q2456/R2456),2),"NA")</f>
        <v>0.48</v>
      </c>
      <c r="U2456">
        <f t="shared" si="38"/>
        <v>0</v>
      </c>
    </row>
    <row r="2457" spans="7:21" x14ac:dyDescent="0.2">
      <c r="G2457" s="9" t="s">
        <v>358</v>
      </c>
      <c r="H2457">
        <v>62</v>
      </c>
      <c r="M2457" s="1" t="s">
        <v>358</v>
      </c>
      <c r="N2457" s="1">
        <v>234</v>
      </c>
      <c r="P2457" s="1" t="s">
        <v>358</v>
      </c>
      <c r="Q2457" s="42">
        <v>62</v>
      </c>
      <c r="R2457" s="42">
        <v>234</v>
      </c>
      <c r="S2457" s="42">
        <v>0.125</v>
      </c>
      <c r="T2457" s="10">
        <f>IFERROR(ROUND((Q2457/R2457),2),"NA")</f>
        <v>0.26</v>
      </c>
      <c r="U2457">
        <f t="shared" si="38"/>
        <v>7.75</v>
      </c>
    </row>
    <row r="2458" spans="7:21" x14ac:dyDescent="0.2">
      <c r="G2458" s="9" t="s">
        <v>2235</v>
      </c>
      <c r="H2458">
        <v>300</v>
      </c>
      <c r="M2458" s="1" t="s">
        <v>2235</v>
      </c>
      <c r="N2458" s="1">
        <v>292</v>
      </c>
      <c r="P2458" s="1" t="s">
        <v>2235</v>
      </c>
      <c r="Q2458" s="42">
        <v>300</v>
      </c>
      <c r="R2458" s="42">
        <v>292</v>
      </c>
      <c r="S2458" s="42">
        <v>0.15</v>
      </c>
      <c r="T2458" s="10">
        <f>IFERROR(ROUND((Q2458/R2458),2),"NA")</f>
        <v>1.03</v>
      </c>
      <c r="U2458">
        <f t="shared" si="38"/>
        <v>45</v>
      </c>
    </row>
    <row r="2459" spans="7:21" x14ac:dyDescent="0.2">
      <c r="G2459" s="9" t="s">
        <v>1287</v>
      </c>
      <c r="H2459">
        <v>50</v>
      </c>
      <c r="M2459" s="1" t="s">
        <v>1287</v>
      </c>
      <c r="N2459" s="1">
        <v>79</v>
      </c>
      <c r="P2459" s="1" t="s">
        <v>1287</v>
      </c>
      <c r="Q2459" s="42">
        <v>50</v>
      </c>
      <c r="R2459" s="42">
        <v>79</v>
      </c>
      <c r="S2459" s="42">
        <v>0</v>
      </c>
      <c r="T2459" s="10">
        <f>IFERROR(ROUND((Q2459/R2459),2),"NA")</f>
        <v>0.63</v>
      </c>
      <c r="U2459">
        <f t="shared" si="38"/>
        <v>0</v>
      </c>
    </row>
    <row r="2460" spans="7:21" x14ac:dyDescent="0.2">
      <c r="G2460" s="9" t="s">
        <v>2362</v>
      </c>
      <c r="H2460">
        <v>56</v>
      </c>
      <c r="M2460" s="1" t="s">
        <v>2362</v>
      </c>
      <c r="N2460" s="1">
        <v>65</v>
      </c>
      <c r="P2460" s="1" t="s">
        <v>2362</v>
      </c>
      <c r="Q2460" s="42">
        <v>56</v>
      </c>
      <c r="R2460" s="42">
        <v>65</v>
      </c>
      <c r="S2460" s="42">
        <v>0.33</v>
      </c>
      <c r="T2460" s="10">
        <f>IFERROR(ROUND((Q2460/R2460),2),"NA")</f>
        <v>0.86</v>
      </c>
      <c r="U2460">
        <f t="shared" si="38"/>
        <v>18.48</v>
      </c>
    </row>
    <row r="2461" spans="7:21" x14ac:dyDescent="0.2">
      <c r="G2461" s="9" t="s">
        <v>1894</v>
      </c>
      <c r="H2461">
        <v>0</v>
      </c>
      <c r="M2461" s="1" t="s">
        <v>1894</v>
      </c>
      <c r="N2461" s="1">
        <v>0</v>
      </c>
      <c r="P2461" s="1" t="s">
        <v>1894</v>
      </c>
      <c r="Q2461" s="42">
        <v>0</v>
      </c>
      <c r="R2461" s="42">
        <v>0</v>
      </c>
      <c r="S2461" s="42">
        <v>1</v>
      </c>
      <c r="T2461" s="10" t="str">
        <f>IFERROR(ROUND((Q2461/R2461),2),"NA")</f>
        <v>NA</v>
      </c>
      <c r="U2461">
        <f t="shared" si="38"/>
        <v>0</v>
      </c>
    </row>
    <row r="2462" spans="7:21" x14ac:dyDescent="0.2">
      <c r="G2462" s="9" t="s">
        <v>265</v>
      </c>
      <c r="H2462">
        <v>370</v>
      </c>
      <c r="M2462" s="1" t="s">
        <v>265</v>
      </c>
      <c r="N2462" s="1">
        <v>726</v>
      </c>
      <c r="P2462" s="1" t="s">
        <v>265</v>
      </c>
      <c r="Q2462" s="42">
        <v>370</v>
      </c>
      <c r="R2462" s="42">
        <v>726</v>
      </c>
      <c r="S2462" s="42">
        <v>0.12</v>
      </c>
      <c r="T2462" s="10">
        <f>IFERROR(ROUND((Q2462/R2462),2),"NA")</f>
        <v>0.51</v>
      </c>
      <c r="U2462">
        <f t="shared" si="38"/>
        <v>44.4</v>
      </c>
    </row>
    <row r="2463" spans="7:21" x14ac:dyDescent="0.2">
      <c r="G2463" s="9" t="s">
        <v>403</v>
      </c>
      <c r="H2463">
        <v>4270</v>
      </c>
      <c r="M2463" s="1" t="s">
        <v>403</v>
      </c>
      <c r="N2463" s="1">
        <v>5100</v>
      </c>
      <c r="P2463" s="1" t="s">
        <v>403</v>
      </c>
      <c r="Q2463" s="42">
        <v>4270</v>
      </c>
      <c r="R2463" s="42">
        <v>5100</v>
      </c>
      <c r="S2463" s="42">
        <v>9.3333333333333338E-2</v>
      </c>
      <c r="T2463" s="10">
        <f>IFERROR(ROUND((Q2463/R2463),2),"NA")</f>
        <v>0.84</v>
      </c>
      <c r="U2463">
        <f t="shared" si="38"/>
        <v>398.53333333333336</v>
      </c>
    </row>
    <row r="2464" spans="7:21" x14ac:dyDescent="0.2">
      <c r="G2464" s="9" t="s">
        <v>1845</v>
      </c>
      <c r="H2464">
        <v>200</v>
      </c>
      <c r="M2464" s="1" t="s">
        <v>1845</v>
      </c>
      <c r="N2464" s="1">
        <v>889</v>
      </c>
      <c r="P2464" s="1" t="s">
        <v>1845</v>
      </c>
      <c r="Q2464" s="42">
        <v>200</v>
      </c>
      <c r="R2464" s="42">
        <v>889</v>
      </c>
      <c r="S2464" s="42">
        <v>0.4</v>
      </c>
      <c r="T2464" s="10">
        <f>IFERROR(ROUND((Q2464/R2464),2),"NA")</f>
        <v>0.22</v>
      </c>
      <c r="U2464">
        <f t="shared" si="38"/>
        <v>80</v>
      </c>
    </row>
    <row r="2465" spans="7:21" x14ac:dyDescent="0.2">
      <c r="G2465" s="9" t="s">
        <v>641</v>
      </c>
      <c r="H2465">
        <v>209</v>
      </c>
      <c r="M2465" s="1" t="s">
        <v>641</v>
      </c>
      <c r="N2465" s="1">
        <v>11000</v>
      </c>
      <c r="P2465" s="1" t="s">
        <v>641</v>
      </c>
      <c r="Q2465" s="42">
        <v>209</v>
      </c>
      <c r="R2465" s="42">
        <v>11000</v>
      </c>
      <c r="S2465" s="42">
        <v>0.08</v>
      </c>
      <c r="T2465" s="10">
        <f>IFERROR(ROUND((Q2465/R2465),2),"NA")</f>
        <v>0.02</v>
      </c>
      <c r="U2465">
        <f t="shared" si="38"/>
        <v>16.72</v>
      </c>
    </row>
    <row r="2466" spans="7:21" x14ac:dyDescent="0.2">
      <c r="G2466" s="9" t="s">
        <v>974</v>
      </c>
      <c r="H2466">
        <v>30</v>
      </c>
      <c r="M2466" s="1" t="s">
        <v>974</v>
      </c>
      <c r="N2466" s="1">
        <v>134</v>
      </c>
      <c r="P2466" s="1" t="s">
        <v>974</v>
      </c>
      <c r="Q2466" s="42">
        <v>30</v>
      </c>
      <c r="R2466" s="42">
        <v>134</v>
      </c>
      <c r="S2466" s="42">
        <v>0</v>
      </c>
      <c r="T2466" s="10">
        <f>IFERROR(ROUND((Q2466/R2466),2),"NA")</f>
        <v>0.22</v>
      </c>
      <c r="U2466">
        <f t="shared" si="38"/>
        <v>0</v>
      </c>
    </row>
    <row r="2467" spans="7:21" x14ac:dyDescent="0.2">
      <c r="G2467" s="9" t="s">
        <v>2011</v>
      </c>
      <c r="H2467">
        <v>60</v>
      </c>
      <c r="M2467" s="1" t="s">
        <v>2011</v>
      </c>
      <c r="N2467" s="1">
        <v>0</v>
      </c>
      <c r="P2467" s="1" t="s">
        <v>2011</v>
      </c>
      <c r="Q2467" s="42">
        <v>60</v>
      </c>
      <c r="R2467" s="42">
        <v>0</v>
      </c>
      <c r="S2467" s="42">
        <v>0.4</v>
      </c>
      <c r="T2467" s="10" t="str">
        <f>IFERROR(ROUND((Q2467/R2467),2),"NA")</f>
        <v>NA</v>
      </c>
      <c r="U2467">
        <f t="shared" si="38"/>
        <v>24</v>
      </c>
    </row>
    <row r="2468" spans="7:21" x14ac:dyDescent="0.2">
      <c r="G2468" s="9" t="s">
        <v>2346</v>
      </c>
      <c r="H2468">
        <v>159</v>
      </c>
      <c r="M2468" s="1" t="s">
        <v>2346</v>
      </c>
      <c r="N2468" s="1">
        <v>900</v>
      </c>
      <c r="P2468" s="1" t="s">
        <v>2346</v>
      </c>
      <c r="Q2468" s="42">
        <v>159</v>
      </c>
      <c r="R2468" s="42">
        <v>900</v>
      </c>
      <c r="S2468" s="42">
        <v>0.13</v>
      </c>
      <c r="T2468" s="10">
        <f>IFERROR(ROUND((Q2468/R2468),2),"NA")</f>
        <v>0.18</v>
      </c>
      <c r="U2468">
        <f t="shared" si="38"/>
        <v>20.67</v>
      </c>
    </row>
    <row r="2469" spans="7:21" x14ac:dyDescent="0.2">
      <c r="G2469" s="9" t="s">
        <v>2481</v>
      </c>
      <c r="H2469">
        <v>500</v>
      </c>
      <c r="M2469" s="1" t="s">
        <v>2481</v>
      </c>
      <c r="N2469" s="1">
        <v>1400</v>
      </c>
      <c r="P2469" s="1" t="s">
        <v>2481</v>
      </c>
      <c r="Q2469" s="42">
        <v>500</v>
      </c>
      <c r="R2469" s="42">
        <v>1400</v>
      </c>
      <c r="S2469" s="42">
        <v>0</v>
      </c>
      <c r="T2469" s="10">
        <f>IFERROR(ROUND((Q2469/R2469),2),"NA")</f>
        <v>0.36</v>
      </c>
      <c r="U2469">
        <f t="shared" si="38"/>
        <v>0</v>
      </c>
    </row>
    <row r="2470" spans="7:21" x14ac:dyDescent="0.2">
      <c r="G2470" s="9" t="s">
        <v>1741</v>
      </c>
      <c r="H2470">
        <v>175</v>
      </c>
      <c r="M2470" s="1" t="s">
        <v>1741</v>
      </c>
      <c r="N2470" s="1">
        <v>0</v>
      </c>
      <c r="P2470" s="1" t="s">
        <v>1741</v>
      </c>
      <c r="Q2470" s="42">
        <v>175</v>
      </c>
      <c r="R2470" s="42">
        <v>0</v>
      </c>
      <c r="S2470" s="42">
        <v>0.17499999999999999</v>
      </c>
      <c r="T2470" s="10" t="str">
        <f>IFERROR(ROUND((Q2470/R2470),2),"NA")</f>
        <v>NA</v>
      </c>
      <c r="U2470">
        <f t="shared" si="38"/>
        <v>30.624999999999996</v>
      </c>
    </row>
    <row r="2471" spans="7:21" x14ac:dyDescent="0.2">
      <c r="G2471" s="9" t="s">
        <v>2347</v>
      </c>
      <c r="H2471">
        <v>150</v>
      </c>
      <c r="M2471" s="1" t="s">
        <v>2347</v>
      </c>
      <c r="N2471" s="1">
        <v>863</v>
      </c>
      <c r="P2471" s="1" t="s">
        <v>2347</v>
      </c>
      <c r="Q2471" s="42">
        <v>150</v>
      </c>
      <c r="R2471" s="42">
        <v>863</v>
      </c>
      <c r="S2471" s="42">
        <v>0.1</v>
      </c>
      <c r="T2471" s="10">
        <f>IFERROR(ROUND((Q2471/R2471),2),"NA")</f>
        <v>0.17</v>
      </c>
      <c r="U2471">
        <f t="shared" si="38"/>
        <v>15</v>
      </c>
    </row>
    <row r="2472" spans="7:21" x14ac:dyDescent="0.2">
      <c r="G2472" s="9" t="s">
        <v>2649</v>
      </c>
      <c r="H2472">
        <v>0</v>
      </c>
      <c r="M2472" s="1" t="s">
        <v>2649</v>
      </c>
      <c r="N2472" s="1">
        <v>1</v>
      </c>
      <c r="P2472" s="1" t="s">
        <v>2649</v>
      </c>
      <c r="Q2472" s="42">
        <v>0</v>
      </c>
      <c r="R2472" s="42">
        <v>1</v>
      </c>
      <c r="S2472" s="42">
        <v>1</v>
      </c>
      <c r="T2472" s="10">
        <f>IFERROR(ROUND((Q2472/R2472),2),"NA")</f>
        <v>0</v>
      </c>
      <c r="U2472">
        <f t="shared" si="38"/>
        <v>0</v>
      </c>
    </row>
    <row r="2473" spans="7:21" x14ac:dyDescent="0.2">
      <c r="G2473" s="9" t="s">
        <v>73</v>
      </c>
      <c r="H2473">
        <v>160</v>
      </c>
      <c r="M2473" s="1" t="s">
        <v>73</v>
      </c>
      <c r="N2473" s="1">
        <v>2600</v>
      </c>
      <c r="P2473" s="1" t="s">
        <v>73</v>
      </c>
      <c r="Q2473" s="42">
        <v>160</v>
      </c>
      <c r="R2473" s="42">
        <v>2600</v>
      </c>
      <c r="S2473" s="42">
        <v>0</v>
      </c>
      <c r="T2473" s="10">
        <f>IFERROR(ROUND((Q2473/R2473),2),"NA")</f>
        <v>0.06</v>
      </c>
      <c r="U2473">
        <f t="shared" si="38"/>
        <v>0</v>
      </c>
    </row>
    <row r="2474" spans="7:21" x14ac:dyDescent="0.2">
      <c r="G2474" s="9" t="s">
        <v>1249</v>
      </c>
      <c r="H2474">
        <v>40</v>
      </c>
      <c r="M2474" s="1" t="s">
        <v>1249</v>
      </c>
      <c r="N2474" s="1">
        <v>376</v>
      </c>
      <c r="P2474" s="1" t="s">
        <v>1249</v>
      </c>
      <c r="Q2474" s="42">
        <v>40</v>
      </c>
      <c r="R2474" s="42">
        <v>376</v>
      </c>
      <c r="S2474" s="42">
        <v>0.16</v>
      </c>
      <c r="T2474" s="10">
        <f>IFERROR(ROUND((Q2474/R2474),2),"NA")</f>
        <v>0.11</v>
      </c>
      <c r="U2474">
        <f t="shared" si="38"/>
        <v>6.4</v>
      </c>
    </row>
    <row r="2475" spans="7:21" x14ac:dyDescent="0.2">
      <c r="G2475" s="9" t="s">
        <v>2714</v>
      </c>
      <c r="H2475">
        <v>10</v>
      </c>
      <c r="M2475" s="1" t="s">
        <v>2714</v>
      </c>
      <c r="N2475" s="1">
        <v>29</v>
      </c>
      <c r="P2475" s="1" t="s">
        <v>2714</v>
      </c>
      <c r="Q2475" s="42">
        <v>10</v>
      </c>
      <c r="R2475" s="42">
        <v>29</v>
      </c>
      <c r="S2475" s="42">
        <v>0.33</v>
      </c>
      <c r="T2475" s="10">
        <f>IFERROR(ROUND((Q2475/R2475),2),"NA")</f>
        <v>0.34</v>
      </c>
      <c r="U2475">
        <f t="shared" si="38"/>
        <v>3.3000000000000003</v>
      </c>
    </row>
    <row r="2476" spans="7:21" x14ac:dyDescent="0.2">
      <c r="G2476" s="9" t="s">
        <v>1004</v>
      </c>
      <c r="H2476">
        <v>522</v>
      </c>
      <c r="M2476" s="1" t="s">
        <v>1004</v>
      </c>
      <c r="N2476" s="1">
        <v>2700</v>
      </c>
      <c r="P2476" s="1" t="s">
        <v>1004</v>
      </c>
      <c r="Q2476" s="42">
        <v>522</v>
      </c>
      <c r="R2476" s="42">
        <v>2700</v>
      </c>
      <c r="S2476" s="42">
        <v>7.0000000000000007E-2</v>
      </c>
      <c r="T2476" s="10">
        <f>IFERROR(ROUND((Q2476/R2476),2),"NA")</f>
        <v>0.19</v>
      </c>
      <c r="U2476">
        <f t="shared" si="38"/>
        <v>36.540000000000006</v>
      </c>
    </row>
    <row r="2477" spans="7:21" x14ac:dyDescent="0.2">
      <c r="G2477" s="9" t="s">
        <v>2018</v>
      </c>
      <c r="H2477">
        <v>125</v>
      </c>
      <c r="M2477" s="1" t="s">
        <v>2018</v>
      </c>
      <c r="N2477" s="1">
        <v>237</v>
      </c>
      <c r="P2477" s="1" t="s">
        <v>2018</v>
      </c>
      <c r="Q2477" s="42">
        <v>125</v>
      </c>
      <c r="R2477" s="42">
        <v>237</v>
      </c>
      <c r="S2477" s="42">
        <v>0</v>
      </c>
      <c r="T2477" s="10">
        <f>IFERROR(ROUND((Q2477/R2477),2),"NA")</f>
        <v>0.53</v>
      </c>
      <c r="U2477">
        <f t="shared" si="38"/>
        <v>0</v>
      </c>
    </row>
    <row r="2478" spans="7:21" x14ac:dyDescent="0.2">
      <c r="G2478" s="9" t="s">
        <v>1407</v>
      </c>
      <c r="H2478">
        <v>0</v>
      </c>
      <c r="M2478" s="1" t="s">
        <v>1407</v>
      </c>
      <c r="N2478" s="1">
        <v>0</v>
      </c>
      <c r="P2478" s="1" t="s">
        <v>1407</v>
      </c>
      <c r="Q2478" s="42">
        <v>0</v>
      </c>
      <c r="R2478" s="42">
        <v>0</v>
      </c>
      <c r="S2478" s="42">
        <v>1</v>
      </c>
      <c r="T2478" s="10" t="str">
        <f>IFERROR(ROUND((Q2478/R2478),2),"NA")</f>
        <v>NA</v>
      </c>
      <c r="U2478">
        <f t="shared" si="38"/>
        <v>0</v>
      </c>
    </row>
    <row r="2479" spans="7:21" x14ac:dyDescent="0.2">
      <c r="G2479" s="9" t="s">
        <v>636</v>
      </c>
      <c r="H2479">
        <v>35</v>
      </c>
      <c r="M2479" s="1" t="s">
        <v>636</v>
      </c>
      <c r="N2479" s="1">
        <v>64</v>
      </c>
      <c r="P2479" s="1" t="s">
        <v>636</v>
      </c>
      <c r="Q2479" s="42">
        <v>35</v>
      </c>
      <c r="R2479" s="42">
        <v>64</v>
      </c>
      <c r="S2479" s="42">
        <v>0.1</v>
      </c>
      <c r="T2479" s="10">
        <f>IFERROR(ROUND((Q2479/R2479),2),"NA")</f>
        <v>0.55000000000000004</v>
      </c>
      <c r="U2479">
        <f t="shared" si="38"/>
        <v>3.5</v>
      </c>
    </row>
    <row r="2480" spans="7:21" x14ac:dyDescent="0.2">
      <c r="G2480" s="9" t="s">
        <v>2589</v>
      </c>
      <c r="H2480">
        <v>850</v>
      </c>
      <c r="M2480" s="1" t="s">
        <v>2589</v>
      </c>
      <c r="N2480" s="1">
        <v>43500</v>
      </c>
      <c r="P2480" s="1" t="s">
        <v>2589</v>
      </c>
      <c r="Q2480" s="42">
        <v>850</v>
      </c>
      <c r="R2480" s="42">
        <v>43500</v>
      </c>
      <c r="S2480" s="42">
        <v>0.2</v>
      </c>
      <c r="T2480" s="10">
        <f>IFERROR(ROUND((Q2480/R2480),2),"NA")</f>
        <v>0.02</v>
      </c>
      <c r="U2480">
        <f t="shared" si="38"/>
        <v>170</v>
      </c>
    </row>
    <row r="2481" spans="7:21" x14ac:dyDescent="0.2">
      <c r="G2481" s="9" t="s">
        <v>1533</v>
      </c>
      <c r="H2481">
        <v>300</v>
      </c>
      <c r="M2481" s="1" t="s">
        <v>1533</v>
      </c>
      <c r="N2481" s="1">
        <v>41700</v>
      </c>
      <c r="P2481" s="1" t="s">
        <v>1533</v>
      </c>
      <c r="Q2481" s="42">
        <v>300</v>
      </c>
      <c r="R2481" s="42">
        <v>41700</v>
      </c>
      <c r="S2481" s="42">
        <v>0</v>
      </c>
      <c r="T2481" s="10">
        <f>IFERROR(ROUND((Q2481/R2481),2),"NA")</f>
        <v>0.01</v>
      </c>
      <c r="U2481">
        <f t="shared" si="38"/>
        <v>0</v>
      </c>
    </row>
    <row r="2482" spans="7:21" x14ac:dyDescent="0.2">
      <c r="G2482" s="9" t="s">
        <v>1445</v>
      </c>
      <c r="H2482">
        <v>91</v>
      </c>
      <c r="M2482" s="1" t="s">
        <v>1445</v>
      </c>
      <c r="N2482" s="1">
        <v>430</v>
      </c>
      <c r="P2482" s="1" t="s">
        <v>1445</v>
      </c>
      <c r="Q2482" s="42">
        <v>91</v>
      </c>
      <c r="R2482" s="42">
        <v>430</v>
      </c>
      <c r="S2482" s="42">
        <v>0.22500000000000003</v>
      </c>
      <c r="T2482" s="10">
        <f>IFERROR(ROUND((Q2482/R2482),2),"NA")</f>
        <v>0.21</v>
      </c>
      <c r="U2482">
        <f t="shared" si="38"/>
        <v>20.475000000000001</v>
      </c>
    </row>
    <row r="2483" spans="7:21" x14ac:dyDescent="0.2">
      <c r="G2483" s="9" t="s">
        <v>2724</v>
      </c>
      <c r="H2483">
        <v>55</v>
      </c>
      <c r="M2483" s="1" t="s">
        <v>2724</v>
      </c>
      <c r="N2483" s="1">
        <v>24</v>
      </c>
      <c r="P2483" s="1" t="s">
        <v>2724</v>
      </c>
      <c r="Q2483" s="42">
        <v>55</v>
      </c>
      <c r="R2483" s="42">
        <v>24</v>
      </c>
      <c r="S2483" s="42">
        <v>0</v>
      </c>
      <c r="T2483" s="10">
        <f>IFERROR(ROUND((Q2483/R2483),2),"NA")</f>
        <v>2.29</v>
      </c>
      <c r="U2483">
        <f t="shared" si="38"/>
        <v>0</v>
      </c>
    </row>
    <row r="2484" spans="7:21" x14ac:dyDescent="0.2">
      <c r="G2484" s="9" t="s">
        <v>2171</v>
      </c>
      <c r="H2484">
        <v>0</v>
      </c>
      <c r="M2484" s="1" t="s">
        <v>2171</v>
      </c>
      <c r="N2484" s="1">
        <v>10</v>
      </c>
      <c r="P2484" s="1" t="s">
        <v>2171</v>
      </c>
      <c r="Q2484" s="42">
        <v>0</v>
      </c>
      <c r="R2484" s="42">
        <v>10</v>
      </c>
      <c r="S2484" s="42">
        <v>0</v>
      </c>
      <c r="T2484" s="10">
        <f>IFERROR(ROUND((Q2484/R2484),2),"NA")</f>
        <v>0</v>
      </c>
      <c r="U2484">
        <f t="shared" si="38"/>
        <v>0</v>
      </c>
    </row>
    <row r="2485" spans="7:21" x14ac:dyDescent="0.2">
      <c r="G2485" s="9" t="s">
        <v>1871</v>
      </c>
      <c r="H2485">
        <v>0</v>
      </c>
      <c r="M2485" s="1" t="s">
        <v>1871</v>
      </c>
      <c r="N2485" s="1">
        <v>68</v>
      </c>
      <c r="P2485" s="1" t="s">
        <v>1871</v>
      </c>
      <c r="Q2485" s="42">
        <v>0</v>
      </c>
      <c r="R2485" s="42">
        <v>68</v>
      </c>
      <c r="S2485" s="42">
        <v>0.3</v>
      </c>
      <c r="T2485" s="10">
        <f>IFERROR(ROUND((Q2485/R2485),2),"NA")</f>
        <v>0</v>
      </c>
      <c r="U2485">
        <f t="shared" si="38"/>
        <v>0</v>
      </c>
    </row>
    <row r="2486" spans="7:21" x14ac:dyDescent="0.2">
      <c r="G2486" s="9" t="s">
        <v>2303</v>
      </c>
      <c r="H2486">
        <v>2100</v>
      </c>
      <c r="M2486" s="1" t="s">
        <v>2303</v>
      </c>
      <c r="N2486" s="1">
        <v>22</v>
      </c>
      <c r="P2486" s="1" t="s">
        <v>2303</v>
      </c>
      <c r="Q2486" s="42">
        <v>2100</v>
      </c>
      <c r="R2486" s="42">
        <v>22</v>
      </c>
      <c r="S2486" s="42">
        <v>0</v>
      </c>
      <c r="T2486" s="10">
        <f>IFERROR(ROUND((Q2486/R2486),2),"NA")</f>
        <v>95.45</v>
      </c>
      <c r="U2486">
        <f t="shared" si="38"/>
        <v>0</v>
      </c>
    </row>
    <row r="2487" spans="7:21" x14ac:dyDescent="0.2">
      <c r="G2487" s="9" t="s">
        <v>1636</v>
      </c>
      <c r="H2487">
        <v>95</v>
      </c>
      <c r="M2487" s="1" t="s">
        <v>1636</v>
      </c>
      <c r="N2487" s="1">
        <v>808</v>
      </c>
      <c r="P2487" s="1" t="s">
        <v>1636</v>
      </c>
      <c r="Q2487" s="42">
        <v>95</v>
      </c>
      <c r="R2487" s="42">
        <v>808</v>
      </c>
      <c r="S2487" s="42">
        <v>9.5000000000000001E-2</v>
      </c>
      <c r="T2487" s="10">
        <f>IFERROR(ROUND((Q2487/R2487),2),"NA")</f>
        <v>0.12</v>
      </c>
      <c r="U2487">
        <f t="shared" si="38"/>
        <v>9.0250000000000004</v>
      </c>
    </row>
    <row r="2488" spans="7:21" x14ac:dyDescent="0.2">
      <c r="G2488" s="9" t="s">
        <v>2864</v>
      </c>
      <c r="H2488">
        <v>0</v>
      </c>
      <c r="M2488" s="1" t="s">
        <v>2864</v>
      </c>
      <c r="N2488" s="1">
        <v>33</v>
      </c>
      <c r="P2488" s="1" t="s">
        <v>2864</v>
      </c>
      <c r="Q2488" s="42">
        <v>0</v>
      </c>
      <c r="R2488" s="42">
        <v>33</v>
      </c>
      <c r="S2488" s="42">
        <v>0.5</v>
      </c>
      <c r="T2488" s="10">
        <f>IFERROR(ROUND((Q2488/R2488),2),"NA")</f>
        <v>0</v>
      </c>
      <c r="U2488">
        <f t="shared" si="38"/>
        <v>0</v>
      </c>
    </row>
    <row r="2489" spans="7:21" x14ac:dyDescent="0.2">
      <c r="G2489" s="9" t="s">
        <v>1793</v>
      </c>
      <c r="H2489">
        <v>300</v>
      </c>
      <c r="M2489" s="1" t="s">
        <v>1793</v>
      </c>
      <c r="N2489" s="1">
        <v>260</v>
      </c>
      <c r="P2489" s="1" t="s">
        <v>1793</v>
      </c>
      <c r="Q2489" s="42">
        <v>300</v>
      </c>
      <c r="R2489" s="42">
        <v>260</v>
      </c>
      <c r="S2489" s="42">
        <v>0.2</v>
      </c>
      <c r="T2489" s="10">
        <f>IFERROR(ROUND((Q2489/R2489),2),"NA")</f>
        <v>1.1499999999999999</v>
      </c>
      <c r="U2489">
        <f t="shared" si="38"/>
        <v>60</v>
      </c>
    </row>
    <row r="2490" spans="7:21" x14ac:dyDescent="0.2">
      <c r="G2490" s="9" t="s">
        <v>1679</v>
      </c>
      <c r="H2490">
        <v>99</v>
      </c>
      <c r="M2490" s="1" t="s">
        <v>1679</v>
      </c>
      <c r="N2490" s="1">
        <v>0</v>
      </c>
      <c r="P2490" s="1" t="s">
        <v>1679</v>
      </c>
      <c r="Q2490" s="42">
        <v>99</v>
      </c>
      <c r="R2490" s="42">
        <v>0</v>
      </c>
      <c r="S2490" s="42">
        <v>0.22</v>
      </c>
      <c r="T2490" s="10" t="str">
        <f>IFERROR(ROUND((Q2490/R2490),2),"NA")</f>
        <v>NA</v>
      </c>
      <c r="U2490">
        <f t="shared" si="38"/>
        <v>21.78</v>
      </c>
    </row>
    <row r="2491" spans="7:21" x14ac:dyDescent="0.2">
      <c r="G2491" s="9" t="s">
        <v>1060</v>
      </c>
      <c r="H2491">
        <v>120</v>
      </c>
      <c r="M2491" s="1" t="s">
        <v>1060</v>
      </c>
      <c r="N2491" s="1">
        <v>0</v>
      </c>
      <c r="P2491" s="1" t="s">
        <v>1060</v>
      </c>
      <c r="Q2491" s="42">
        <v>120</v>
      </c>
      <c r="R2491" s="42">
        <v>0</v>
      </c>
      <c r="S2491" s="42">
        <v>0.11</v>
      </c>
      <c r="T2491" s="10" t="str">
        <f>IFERROR(ROUND((Q2491/R2491),2),"NA")</f>
        <v>NA</v>
      </c>
      <c r="U2491">
        <f t="shared" si="38"/>
        <v>13.2</v>
      </c>
    </row>
    <row r="2492" spans="7:21" x14ac:dyDescent="0.2">
      <c r="G2492" s="9" t="s">
        <v>296</v>
      </c>
      <c r="H2492">
        <v>19</v>
      </c>
      <c r="M2492" s="1" t="s">
        <v>296</v>
      </c>
      <c r="N2492" s="1">
        <v>16</v>
      </c>
      <c r="P2492" s="1" t="s">
        <v>296</v>
      </c>
      <c r="Q2492" s="42">
        <v>19</v>
      </c>
      <c r="R2492" s="42">
        <v>16</v>
      </c>
      <c r="S2492" s="42">
        <v>0.2</v>
      </c>
      <c r="T2492" s="10">
        <f>IFERROR(ROUND((Q2492/R2492),2),"NA")</f>
        <v>1.19</v>
      </c>
      <c r="U2492">
        <f t="shared" si="38"/>
        <v>3.8000000000000003</v>
      </c>
    </row>
    <row r="2493" spans="7:21" x14ac:dyDescent="0.2">
      <c r="G2493" s="9" t="s">
        <v>305</v>
      </c>
      <c r="H2493">
        <v>0</v>
      </c>
      <c r="M2493" s="1" t="s">
        <v>305</v>
      </c>
      <c r="N2493" s="1">
        <v>37</v>
      </c>
      <c r="P2493" s="1" t="s">
        <v>305</v>
      </c>
      <c r="Q2493" s="42">
        <v>0</v>
      </c>
      <c r="R2493" s="42">
        <v>37</v>
      </c>
      <c r="S2493" s="42">
        <v>1</v>
      </c>
      <c r="T2493" s="10">
        <f>IFERROR(ROUND((Q2493/R2493),2),"NA")</f>
        <v>0</v>
      </c>
      <c r="U2493">
        <f t="shared" si="38"/>
        <v>0</v>
      </c>
    </row>
    <row r="2494" spans="7:21" x14ac:dyDescent="0.2">
      <c r="G2494" s="9" t="s">
        <v>863</v>
      </c>
      <c r="H2494">
        <v>595</v>
      </c>
      <c r="M2494" s="1" t="s">
        <v>863</v>
      </c>
      <c r="N2494" s="1">
        <v>4800</v>
      </c>
      <c r="P2494" s="1" t="s">
        <v>863</v>
      </c>
      <c r="Q2494" s="42">
        <v>595</v>
      </c>
      <c r="R2494" s="42">
        <v>4800</v>
      </c>
      <c r="S2494" s="42">
        <v>0.22</v>
      </c>
      <c r="T2494" s="10">
        <f>IFERROR(ROUND((Q2494/R2494),2),"NA")</f>
        <v>0.12</v>
      </c>
      <c r="U2494">
        <f t="shared" si="38"/>
        <v>130.9</v>
      </c>
    </row>
    <row r="2495" spans="7:21" x14ac:dyDescent="0.2">
      <c r="G2495" s="9" t="s">
        <v>1888</v>
      </c>
      <c r="H2495">
        <v>40</v>
      </c>
      <c r="M2495" s="1" t="s">
        <v>1888</v>
      </c>
      <c r="N2495" s="1">
        <v>18</v>
      </c>
      <c r="P2495" s="1" t="s">
        <v>1888</v>
      </c>
      <c r="Q2495" s="42">
        <v>40</v>
      </c>
      <c r="R2495" s="42">
        <v>18</v>
      </c>
      <c r="S2495" s="42">
        <v>0</v>
      </c>
      <c r="T2495" s="10">
        <f>IFERROR(ROUND((Q2495/R2495),2),"NA")</f>
        <v>2.2200000000000002</v>
      </c>
      <c r="U2495">
        <f t="shared" si="38"/>
        <v>0</v>
      </c>
    </row>
    <row r="2496" spans="7:21" x14ac:dyDescent="0.2">
      <c r="G2496" s="9" t="s">
        <v>1366</v>
      </c>
      <c r="H2496">
        <v>470</v>
      </c>
      <c r="M2496" s="1" t="s">
        <v>1366</v>
      </c>
      <c r="N2496" s="1">
        <v>116</v>
      </c>
      <c r="P2496" s="1" t="s">
        <v>1366</v>
      </c>
      <c r="Q2496" s="42">
        <v>470</v>
      </c>
      <c r="R2496" s="42">
        <v>116</v>
      </c>
      <c r="S2496" s="42">
        <v>0.06</v>
      </c>
      <c r="T2496" s="10">
        <f>IFERROR(ROUND((Q2496/R2496),2),"NA")</f>
        <v>4.05</v>
      </c>
      <c r="U2496">
        <f t="shared" si="38"/>
        <v>28.2</v>
      </c>
    </row>
    <row r="2497" spans="7:21" x14ac:dyDescent="0.2">
      <c r="G2497" s="9" t="s">
        <v>2205</v>
      </c>
      <c r="H2497">
        <v>0</v>
      </c>
      <c r="M2497" s="1" t="s">
        <v>2205</v>
      </c>
      <c r="N2497" s="1">
        <v>62</v>
      </c>
      <c r="P2497" s="1" t="s">
        <v>2205</v>
      </c>
      <c r="Q2497" s="42">
        <v>0</v>
      </c>
      <c r="R2497" s="42">
        <v>62</v>
      </c>
      <c r="S2497" s="42">
        <v>0</v>
      </c>
      <c r="T2497" s="10">
        <f>IFERROR(ROUND((Q2497/R2497),2),"NA")</f>
        <v>0</v>
      </c>
      <c r="U2497">
        <f t="shared" si="38"/>
        <v>0</v>
      </c>
    </row>
    <row r="2498" spans="7:21" x14ac:dyDescent="0.2">
      <c r="G2498" s="9" t="s">
        <v>1775</v>
      </c>
      <c r="H2498">
        <v>130</v>
      </c>
      <c r="M2498" s="1" t="s">
        <v>1775</v>
      </c>
      <c r="N2498" s="1">
        <v>850</v>
      </c>
      <c r="P2498" s="1" t="s">
        <v>1775</v>
      </c>
      <c r="Q2498" s="42">
        <v>130</v>
      </c>
      <c r="R2498" s="42">
        <v>850</v>
      </c>
      <c r="S2498" s="42">
        <v>7.0000000000000007E-2</v>
      </c>
      <c r="T2498" s="10">
        <f>IFERROR(ROUND((Q2498/R2498),2),"NA")</f>
        <v>0.15</v>
      </c>
      <c r="U2498">
        <f t="shared" si="38"/>
        <v>9.1000000000000014</v>
      </c>
    </row>
    <row r="2499" spans="7:21" x14ac:dyDescent="0.2">
      <c r="G2499" s="9" t="s">
        <v>1398</v>
      </c>
      <c r="H2499">
        <v>50</v>
      </c>
      <c r="M2499" s="1" t="s">
        <v>1398</v>
      </c>
      <c r="N2499" s="1">
        <v>48</v>
      </c>
      <c r="P2499" s="1" t="s">
        <v>1398</v>
      </c>
      <c r="Q2499" s="42">
        <v>50</v>
      </c>
      <c r="R2499" s="42">
        <v>48</v>
      </c>
      <c r="S2499" s="42">
        <v>0.75</v>
      </c>
      <c r="T2499" s="10">
        <f>IFERROR(ROUND((Q2499/R2499),2),"NA")</f>
        <v>1.04</v>
      </c>
      <c r="U2499">
        <f t="shared" si="38"/>
        <v>37.5</v>
      </c>
    </row>
    <row r="2500" spans="7:21" x14ac:dyDescent="0.2">
      <c r="G2500" s="9" t="s">
        <v>2850</v>
      </c>
      <c r="H2500">
        <v>46</v>
      </c>
      <c r="M2500" s="1" t="s">
        <v>2850</v>
      </c>
      <c r="N2500" s="1">
        <v>52</v>
      </c>
      <c r="P2500" s="1" t="s">
        <v>2850</v>
      </c>
      <c r="Q2500" s="42">
        <v>46</v>
      </c>
      <c r="R2500" s="42">
        <v>52</v>
      </c>
      <c r="S2500" s="42">
        <v>0.13</v>
      </c>
      <c r="T2500" s="10">
        <f>IFERROR(ROUND((Q2500/R2500),2),"NA")</f>
        <v>0.88</v>
      </c>
      <c r="U2500">
        <f t="shared" si="38"/>
        <v>5.98</v>
      </c>
    </row>
    <row r="2501" spans="7:21" x14ac:dyDescent="0.2">
      <c r="G2501" s="9" t="s">
        <v>2804</v>
      </c>
      <c r="H2501">
        <v>26</v>
      </c>
      <c r="M2501" s="1" t="s">
        <v>2804</v>
      </c>
      <c r="N2501" s="1">
        <v>28</v>
      </c>
      <c r="P2501" s="1" t="s">
        <v>2804</v>
      </c>
      <c r="Q2501" s="42">
        <v>26</v>
      </c>
      <c r="R2501" s="42">
        <v>28</v>
      </c>
      <c r="S2501" s="42">
        <v>0.1</v>
      </c>
      <c r="T2501" s="10">
        <f>IFERROR(ROUND((Q2501/R2501),2),"NA")</f>
        <v>0.93</v>
      </c>
      <c r="U2501">
        <f t="shared" ref="U2501:U2564" si="39">Q2501*S2501</f>
        <v>2.6</v>
      </c>
    </row>
    <row r="2502" spans="7:21" x14ac:dyDescent="0.2">
      <c r="G2502" s="9" t="s">
        <v>2671</v>
      </c>
      <c r="H2502">
        <v>25</v>
      </c>
      <c r="M2502" s="1" t="s">
        <v>2671</v>
      </c>
      <c r="N2502" s="1">
        <v>84</v>
      </c>
      <c r="P2502" s="1" t="s">
        <v>2671</v>
      </c>
      <c r="Q2502" s="42">
        <v>25</v>
      </c>
      <c r="R2502" s="42">
        <v>84</v>
      </c>
      <c r="S2502" s="42">
        <v>0.1</v>
      </c>
      <c r="T2502" s="10">
        <f>IFERROR(ROUND((Q2502/R2502),2),"NA")</f>
        <v>0.3</v>
      </c>
      <c r="U2502">
        <f t="shared" si="39"/>
        <v>2.5</v>
      </c>
    </row>
    <row r="2503" spans="7:21" x14ac:dyDescent="0.2">
      <c r="G2503" s="9" t="s">
        <v>1443</v>
      </c>
      <c r="H2503">
        <v>90</v>
      </c>
      <c r="M2503" s="1" t="s">
        <v>1443</v>
      </c>
      <c r="N2503" s="1">
        <v>415</v>
      </c>
      <c r="P2503" s="1" t="s">
        <v>1443</v>
      </c>
      <c r="Q2503" s="42">
        <v>90</v>
      </c>
      <c r="R2503" s="42">
        <v>415</v>
      </c>
      <c r="S2503" s="42">
        <v>0.1</v>
      </c>
      <c r="T2503" s="10">
        <f>IFERROR(ROUND((Q2503/R2503),2),"NA")</f>
        <v>0.22</v>
      </c>
      <c r="U2503">
        <f t="shared" si="39"/>
        <v>9</v>
      </c>
    </row>
    <row r="2504" spans="7:21" x14ac:dyDescent="0.2">
      <c r="G2504" s="9" t="s">
        <v>1455</v>
      </c>
      <c r="H2504">
        <v>525</v>
      </c>
      <c r="M2504" s="1" t="s">
        <v>1455</v>
      </c>
      <c r="N2504" s="1">
        <v>230</v>
      </c>
      <c r="P2504" s="1" t="s">
        <v>1455</v>
      </c>
      <c r="Q2504" s="42">
        <v>525</v>
      </c>
      <c r="R2504" s="42">
        <v>230</v>
      </c>
      <c r="S2504" s="42">
        <v>0.03</v>
      </c>
      <c r="T2504" s="10">
        <f>IFERROR(ROUND((Q2504/R2504),2),"NA")</f>
        <v>2.2799999999999998</v>
      </c>
      <c r="U2504">
        <f t="shared" si="39"/>
        <v>15.75</v>
      </c>
    </row>
    <row r="2505" spans="7:21" x14ac:dyDescent="0.2">
      <c r="G2505" s="9" t="s">
        <v>319</v>
      </c>
      <c r="H2505">
        <v>0</v>
      </c>
      <c r="M2505" s="1" t="s">
        <v>319</v>
      </c>
      <c r="N2505" s="1">
        <v>3</v>
      </c>
      <c r="P2505" s="1" t="s">
        <v>319</v>
      </c>
      <c r="Q2505" s="42">
        <v>0</v>
      </c>
      <c r="R2505" s="42">
        <v>3</v>
      </c>
      <c r="S2505" s="42">
        <v>1</v>
      </c>
      <c r="T2505" s="10">
        <f>IFERROR(ROUND((Q2505/R2505),2),"NA")</f>
        <v>0</v>
      </c>
      <c r="U2505">
        <f t="shared" si="39"/>
        <v>0</v>
      </c>
    </row>
    <row r="2506" spans="7:21" x14ac:dyDescent="0.2">
      <c r="G2506" s="9" t="s">
        <v>2642</v>
      </c>
      <c r="H2506">
        <v>0</v>
      </c>
      <c r="M2506" s="1" t="s">
        <v>2642</v>
      </c>
      <c r="N2506" s="1">
        <v>375</v>
      </c>
      <c r="P2506" s="1" t="s">
        <v>2642</v>
      </c>
      <c r="Q2506" s="42">
        <v>0</v>
      </c>
      <c r="R2506" s="42">
        <v>375</v>
      </c>
      <c r="S2506" s="42">
        <v>0</v>
      </c>
      <c r="T2506" s="10">
        <f>IFERROR(ROUND((Q2506/R2506),2),"NA")</f>
        <v>0</v>
      </c>
      <c r="U2506">
        <f t="shared" si="39"/>
        <v>0</v>
      </c>
    </row>
    <row r="2507" spans="7:21" x14ac:dyDescent="0.2">
      <c r="G2507" s="9" t="s">
        <v>1256</v>
      </c>
      <c r="H2507">
        <v>130</v>
      </c>
      <c r="M2507" s="1" t="s">
        <v>1256</v>
      </c>
      <c r="N2507" s="1">
        <v>131</v>
      </c>
      <c r="P2507" s="1" t="s">
        <v>1256</v>
      </c>
      <c r="Q2507" s="42">
        <v>130</v>
      </c>
      <c r="R2507" s="42">
        <v>131</v>
      </c>
      <c r="S2507" s="42">
        <v>0.1</v>
      </c>
      <c r="T2507" s="10">
        <f>IFERROR(ROUND((Q2507/R2507),2),"NA")</f>
        <v>0.99</v>
      </c>
      <c r="U2507">
        <f t="shared" si="39"/>
        <v>13</v>
      </c>
    </row>
    <row r="2508" spans="7:21" x14ac:dyDescent="0.2">
      <c r="G2508" s="9" t="s">
        <v>1201</v>
      </c>
      <c r="H2508">
        <v>100</v>
      </c>
      <c r="M2508" s="1" t="s">
        <v>1201</v>
      </c>
      <c r="N2508" s="1">
        <v>138</v>
      </c>
      <c r="P2508" s="1" t="s">
        <v>1201</v>
      </c>
      <c r="Q2508" s="42">
        <v>100</v>
      </c>
      <c r="R2508" s="42">
        <v>138</v>
      </c>
      <c r="S2508" s="42">
        <v>0</v>
      </c>
      <c r="T2508" s="10">
        <f>IFERROR(ROUND((Q2508/R2508),2),"NA")</f>
        <v>0.72</v>
      </c>
      <c r="U2508">
        <f t="shared" si="39"/>
        <v>0</v>
      </c>
    </row>
    <row r="2509" spans="7:21" x14ac:dyDescent="0.2">
      <c r="G2509" s="9" t="s">
        <v>1698</v>
      </c>
      <c r="H2509">
        <v>60</v>
      </c>
      <c r="M2509" s="1" t="s">
        <v>1698</v>
      </c>
      <c r="N2509" s="1">
        <v>76</v>
      </c>
      <c r="P2509" s="1" t="s">
        <v>1698</v>
      </c>
      <c r="Q2509" s="42">
        <v>60</v>
      </c>
      <c r="R2509" s="42">
        <v>76</v>
      </c>
      <c r="S2509" s="42">
        <v>0.2</v>
      </c>
      <c r="T2509" s="10">
        <f>IFERROR(ROUND((Q2509/R2509),2),"NA")</f>
        <v>0.79</v>
      </c>
      <c r="U2509">
        <f t="shared" si="39"/>
        <v>12</v>
      </c>
    </row>
    <row r="2510" spans="7:21" x14ac:dyDescent="0.2">
      <c r="G2510" s="9" t="s">
        <v>2038</v>
      </c>
      <c r="H2510">
        <v>35</v>
      </c>
      <c r="M2510" s="1" t="s">
        <v>2038</v>
      </c>
      <c r="N2510" s="1">
        <v>67</v>
      </c>
      <c r="P2510" s="1" t="s">
        <v>2038</v>
      </c>
      <c r="Q2510" s="42">
        <v>35</v>
      </c>
      <c r="R2510" s="42">
        <v>67</v>
      </c>
      <c r="S2510" s="42">
        <v>0.2</v>
      </c>
      <c r="T2510" s="10">
        <f>IFERROR(ROUND((Q2510/R2510),2),"NA")</f>
        <v>0.52</v>
      </c>
      <c r="U2510">
        <f t="shared" si="39"/>
        <v>7</v>
      </c>
    </row>
    <row r="2511" spans="7:21" x14ac:dyDescent="0.2">
      <c r="G2511" s="9" t="s">
        <v>2468</v>
      </c>
      <c r="H2511">
        <v>450</v>
      </c>
      <c r="M2511" s="1" t="s">
        <v>2468</v>
      </c>
      <c r="N2511" s="1">
        <v>752</v>
      </c>
      <c r="P2511" s="1" t="s">
        <v>2468</v>
      </c>
      <c r="Q2511" s="42">
        <v>450</v>
      </c>
      <c r="R2511" s="42">
        <v>752</v>
      </c>
      <c r="S2511" s="42">
        <v>0</v>
      </c>
      <c r="T2511" s="10">
        <f>IFERROR(ROUND((Q2511/R2511),2),"NA")</f>
        <v>0.6</v>
      </c>
      <c r="U2511">
        <f t="shared" si="39"/>
        <v>0</v>
      </c>
    </row>
    <row r="2512" spans="7:21" x14ac:dyDescent="0.2">
      <c r="G2512" s="9" t="s">
        <v>2523</v>
      </c>
      <c r="H2512">
        <v>30</v>
      </c>
      <c r="M2512" s="1" t="s">
        <v>2523</v>
      </c>
      <c r="N2512" s="1">
        <v>3.8</v>
      </c>
      <c r="P2512" s="1" t="s">
        <v>2523</v>
      </c>
      <c r="Q2512" s="42">
        <v>30</v>
      </c>
      <c r="R2512" s="42">
        <v>3.8</v>
      </c>
      <c r="S2512" s="42">
        <v>0.5</v>
      </c>
      <c r="T2512" s="10">
        <f>IFERROR(ROUND((Q2512/R2512),2),"NA")</f>
        <v>7.89</v>
      </c>
      <c r="U2512">
        <f t="shared" si="39"/>
        <v>15</v>
      </c>
    </row>
    <row r="2513" spans="7:21" x14ac:dyDescent="0.2">
      <c r="G2513" s="9" t="s">
        <v>2199</v>
      </c>
      <c r="H2513">
        <v>45</v>
      </c>
      <c r="M2513" s="1" t="s">
        <v>2199</v>
      </c>
      <c r="N2513" s="1">
        <v>58</v>
      </c>
      <c r="P2513" s="1" t="s">
        <v>2199</v>
      </c>
      <c r="Q2513" s="42">
        <v>45</v>
      </c>
      <c r="R2513" s="42">
        <v>58</v>
      </c>
      <c r="S2513" s="42">
        <v>0</v>
      </c>
      <c r="T2513" s="10">
        <f>IFERROR(ROUND((Q2513/R2513),2),"NA")</f>
        <v>0.78</v>
      </c>
      <c r="U2513">
        <f t="shared" si="39"/>
        <v>0</v>
      </c>
    </row>
    <row r="2514" spans="7:21" x14ac:dyDescent="0.2">
      <c r="G2514" s="9" t="s">
        <v>2117</v>
      </c>
      <c r="H2514">
        <v>5</v>
      </c>
      <c r="M2514" s="1" t="s">
        <v>2117</v>
      </c>
      <c r="N2514" s="1">
        <v>11</v>
      </c>
      <c r="P2514" s="1" t="s">
        <v>2117</v>
      </c>
      <c r="Q2514" s="42">
        <v>5</v>
      </c>
      <c r="R2514" s="42">
        <v>11</v>
      </c>
      <c r="S2514" s="42">
        <v>0.15</v>
      </c>
      <c r="T2514" s="10">
        <f>IFERROR(ROUND((Q2514/R2514),2),"NA")</f>
        <v>0.45</v>
      </c>
      <c r="U2514">
        <f t="shared" si="39"/>
        <v>0.75</v>
      </c>
    </row>
    <row r="2515" spans="7:21" x14ac:dyDescent="0.2">
      <c r="G2515" s="9" t="s">
        <v>1668</v>
      </c>
      <c r="H2515">
        <v>0</v>
      </c>
      <c r="M2515" s="1" t="s">
        <v>1668</v>
      </c>
      <c r="N2515" s="1">
        <v>29</v>
      </c>
      <c r="P2515" s="1" t="s">
        <v>1668</v>
      </c>
      <c r="Q2515" s="42">
        <v>0</v>
      </c>
      <c r="R2515" s="42">
        <v>29</v>
      </c>
      <c r="S2515" s="42">
        <v>1</v>
      </c>
      <c r="T2515" s="10">
        <f>IFERROR(ROUND((Q2515/R2515),2),"NA")</f>
        <v>0</v>
      </c>
      <c r="U2515">
        <f t="shared" si="39"/>
        <v>0</v>
      </c>
    </row>
    <row r="2516" spans="7:21" x14ac:dyDescent="0.2">
      <c r="G2516" s="9" t="s">
        <v>397</v>
      </c>
      <c r="H2516">
        <v>200</v>
      </c>
      <c r="M2516" s="1" t="s">
        <v>397</v>
      </c>
      <c r="N2516" s="1">
        <v>2136</v>
      </c>
      <c r="P2516" s="1" t="s">
        <v>397</v>
      </c>
      <c r="Q2516" s="42">
        <v>200</v>
      </c>
      <c r="R2516" s="42">
        <v>2136</v>
      </c>
      <c r="S2516" s="42">
        <v>0.05</v>
      </c>
      <c r="T2516" s="10">
        <f>IFERROR(ROUND((Q2516/R2516),2),"NA")</f>
        <v>0.09</v>
      </c>
      <c r="U2516">
        <f t="shared" si="39"/>
        <v>10</v>
      </c>
    </row>
    <row r="2517" spans="7:21" x14ac:dyDescent="0.2">
      <c r="G2517" s="9" t="s">
        <v>1709</v>
      </c>
      <c r="H2517">
        <v>20</v>
      </c>
      <c r="M2517" s="1" t="s">
        <v>1709</v>
      </c>
      <c r="N2517" s="1">
        <v>94</v>
      </c>
      <c r="P2517" s="1" t="s">
        <v>1709</v>
      </c>
      <c r="Q2517" s="42">
        <v>20</v>
      </c>
      <c r="R2517" s="42">
        <v>94</v>
      </c>
      <c r="S2517" s="42">
        <v>0.1</v>
      </c>
      <c r="T2517" s="10">
        <f>IFERROR(ROUND((Q2517/R2517),2),"NA")</f>
        <v>0.21</v>
      </c>
      <c r="U2517">
        <f t="shared" si="39"/>
        <v>2</v>
      </c>
    </row>
    <row r="2518" spans="7:21" x14ac:dyDescent="0.2">
      <c r="G2518" s="9" t="s">
        <v>1284</v>
      </c>
      <c r="H2518">
        <v>800</v>
      </c>
      <c r="M2518" s="1" t="s">
        <v>1284</v>
      </c>
      <c r="N2518" s="1">
        <v>681</v>
      </c>
      <c r="P2518" s="1" t="s">
        <v>1284</v>
      </c>
      <c r="Q2518" s="42">
        <v>800</v>
      </c>
      <c r="R2518" s="42">
        <v>681</v>
      </c>
      <c r="S2518" s="42">
        <v>0.15</v>
      </c>
      <c r="T2518" s="10">
        <f>IFERROR(ROUND((Q2518/R2518),2),"NA")</f>
        <v>1.17</v>
      </c>
      <c r="U2518">
        <f t="shared" si="39"/>
        <v>120</v>
      </c>
    </row>
    <row r="2519" spans="7:21" x14ac:dyDescent="0.2">
      <c r="G2519" s="9" t="s">
        <v>473</v>
      </c>
      <c r="H2519">
        <v>3000</v>
      </c>
      <c r="M2519" s="1" t="s">
        <v>473</v>
      </c>
      <c r="N2519" s="1">
        <v>27200</v>
      </c>
      <c r="P2519" s="1" t="s">
        <v>473</v>
      </c>
      <c r="Q2519" s="42">
        <v>3000</v>
      </c>
      <c r="R2519" s="42">
        <v>27200</v>
      </c>
      <c r="S2519" s="42">
        <v>0.15</v>
      </c>
      <c r="T2519" s="10">
        <f>IFERROR(ROUND((Q2519/R2519),2),"NA")</f>
        <v>0.11</v>
      </c>
      <c r="U2519">
        <f t="shared" si="39"/>
        <v>450</v>
      </c>
    </row>
    <row r="2520" spans="7:21" x14ac:dyDescent="0.2">
      <c r="G2520" s="9" t="s">
        <v>2760</v>
      </c>
      <c r="H2520">
        <v>10</v>
      </c>
      <c r="M2520" s="1" t="s">
        <v>2760</v>
      </c>
      <c r="N2520" s="1">
        <v>5</v>
      </c>
      <c r="P2520" s="1" t="s">
        <v>2760</v>
      </c>
      <c r="Q2520" s="42">
        <v>10</v>
      </c>
      <c r="R2520" s="42">
        <v>5</v>
      </c>
      <c r="S2520" s="42">
        <v>0</v>
      </c>
      <c r="T2520" s="10">
        <f>IFERROR(ROUND((Q2520/R2520),2),"NA")</f>
        <v>2</v>
      </c>
      <c r="U2520">
        <f t="shared" si="39"/>
        <v>0</v>
      </c>
    </row>
    <row r="2521" spans="7:21" x14ac:dyDescent="0.2">
      <c r="G2521" s="9" t="s">
        <v>2461</v>
      </c>
      <c r="H2521">
        <v>180</v>
      </c>
      <c r="M2521" s="1" t="s">
        <v>2461</v>
      </c>
      <c r="N2521" s="1">
        <v>917</v>
      </c>
      <c r="P2521" s="1" t="s">
        <v>2461</v>
      </c>
      <c r="Q2521" s="42">
        <v>180</v>
      </c>
      <c r="R2521" s="42">
        <v>917</v>
      </c>
      <c r="S2521" s="42">
        <v>0.09</v>
      </c>
      <c r="T2521" s="10">
        <f>IFERROR(ROUND((Q2521/R2521),2),"NA")</f>
        <v>0.2</v>
      </c>
      <c r="U2521">
        <f t="shared" si="39"/>
        <v>16.2</v>
      </c>
    </row>
    <row r="2522" spans="7:21" x14ac:dyDescent="0.2">
      <c r="G2522" s="9" t="s">
        <v>1689</v>
      </c>
      <c r="H2522">
        <v>0</v>
      </c>
      <c r="M2522" s="1" t="s">
        <v>1689</v>
      </c>
      <c r="N2522" s="1">
        <v>7400</v>
      </c>
      <c r="P2522" s="1" t="s">
        <v>1689</v>
      </c>
      <c r="Q2522" s="42">
        <v>0</v>
      </c>
      <c r="R2522" s="42">
        <v>7400</v>
      </c>
      <c r="S2522" s="42">
        <v>0</v>
      </c>
      <c r="T2522" s="10">
        <f>IFERROR(ROUND((Q2522/R2522),2),"NA")</f>
        <v>0</v>
      </c>
      <c r="U2522">
        <f t="shared" si="39"/>
        <v>0</v>
      </c>
    </row>
    <row r="2523" spans="7:21" x14ac:dyDescent="0.2">
      <c r="G2523" s="9" t="s">
        <v>950</v>
      </c>
      <c r="H2523">
        <v>30</v>
      </c>
      <c r="M2523" s="1" t="s">
        <v>950</v>
      </c>
      <c r="N2523" s="1">
        <v>0</v>
      </c>
      <c r="P2523" s="1" t="s">
        <v>950</v>
      </c>
      <c r="Q2523" s="42">
        <v>30</v>
      </c>
      <c r="R2523" s="42">
        <v>0</v>
      </c>
      <c r="S2523" s="42">
        <v>0</v>
      </c>
      <c r="T2523" s="10" t="str">
        <f>IFERROR(ROUND((Q2523/R2523),2),"NA")</f>
        <v>NA</v>
      </c>
      <c r="U2523">
        <f t="shared" si="39"/>
        <v>0</v>
      </c>
    </row>
    <row r="2524" spans="7:21" x14ac:dyDescent="0.2">
      <c r="G2524" s="9" t="s">
        <v>1257</v>
      </c>
      <c r="H2524">
        <v>68</v>
      </c>
      <c r="M2524" s="1" t="s">
        <v>1257</v>
      </c>
      <c r="N2524" s="1">
        <v>0</v>
      </c>
      <c r="P2524" s="1" t="s">
        <v>1257</v>
      </c>
      <c r="Q2524" s="42">
        <v>68</v>
      </c>
      <c r="R2524" s="42">
        <v>0</v>
      </c>
      <c r="S2524" s="42">
        <v>0</v>
      </c>
      <c r="T2524" s="10" t="str">
        <f>IFERROR(ROUND((Q2524/R2524),2),"NA")</f>
        <v>NA</v>
      </c>
      <c r="U2524">
        <f t="shared" si="39"/>
        <v>0</v>
      </c>
    </row>
    <row r="2525" spans="7:21" x14ac:dyDescent="0.2">
      <c r="G2525" s="9" t="s">
        <v>749</v>
      </c>
      <c r="H2525">
        <v>24</v>
      </c>
      <c r="M2525" s="1" t="s">
        <v>749</v>
      </c>
      <c r="N2525" s="1">
        <v>11</v>
      </c>
      <c r="P2525" s="1" t="s">
        <v>749</v>
      </c>
      <c r="Q2525" s="42">
        <v>24</v>
      </c>
      <c r="R2525" s="42">
        <v>11</v>
      </c>
      <c r="S2525" s="42">
        <v>0</v>
      </c>
      <c r="T2525" s="10">
        <f>IFERROR(ROUND((Q2525/R2525),2),"NA")</f>
        <v>2.1800000000000002</v>
      </c>
      <c r="U2525">
        <f t="shared" si="39"/>
        <v>0</v>
      </c>
    </row>
    <row r="2526" spans="7:21" x14ac:dyDescent="0.2">
      <c r="G2526" s="9" t="s">
        <v>1587</v>
      </c>
      <c r="H2526">
        <v>0</v>
      </c>
      <c r="M2526" s="1" t="s">
        <v>1587</v>
      </c>
      <c r="N2526" s="1">
        <v>0</v>
      </c>
      <c r="P2526" s="1" t="s">
        <v>1587</v>
      </c>
      <c r="Q2526" s="42">
        <v>0</v>
      </c>
      <c r="R2526" s="42">
        <v>0</v>
      </c>
      <c r="S2526" s="42">
        <v>0</v>
      </c>
      <c r="T2526" s="10" t="str">
        <f>IFERROR(ROUND((Q2526/R2526),2),"NA")</f>
        <v>NA</v>
      </c>
      <c r="U2526">
        <f t="shared" si="39"/>
        <v>0</v>
      </c>
    </row>
    <row r="2527" spans="7:21" x14ac:dyDescent="0.2">
      <c r="G2527" s="9" t="s">
        <v>2073</v>
      </c>
      <c r="H2527">
        <v>0</v>
      </c>
      <c r="M2527" s="1" t="s">
        <v>2073</v>
      </c>
      <c r="N2527" s="1">
        <v>100</v>
      </c>
      <c r="P2527" s="1" t="s">
        <v>2073</v>
      </c>
      <c r="Q2527" s="42">
        <v>0</v>
      </c>
      <c r="R2527" s="42">
        <v>100</v>
      </c>
      <c r="S2527" s="42">
        <v>0</v>
      </c>
      <c r="T2527" s="10">
        <f>IFERROR(ROUND((Q2527/R2527),2),"NA")</f>
        <v>0</v>
      </c>
      <c r="U2527">
        <f t="shared" si="39"/>
        <v>0</v>
      </c>
    </row>
    <row r="2528" spans="7:21" x14ac:dyDescent="0.2">
      <c r="G2528" s="9" t="s">
        <v>2182</v>
      </c>
      <c r="H2528">
        <v>0</v>
      </c>
      <c r="M2528" s="1" t="s">
        <v>2182</v>
      </c>
      <c r="N2528" s="1">
        <v>6</v>
      </c>
      <c r="P2528" s="1" t="s">
        <v>2182</v>
      </c>
      <c r="Q2528" s="42">
        <v>0</v>
      </c>
      <c r="R2528" s="42">
        <v>6</v>
      </c>
      <c r="S2528" s="42">
        <v>1</v>
      </c>
      <c r="T2528" s="10">
        <f>IFERROR(ROUND((Q2528/R2528),2),"NA")</f>
        <v>0</v>
      </c>
      <c r="U2528">
        <f t="shared" si="39"/>
        <v>0</v>
      </c>
    </row>
    <row r="2529" spans="7:21" x14ac:dyDescent="0.2">
      <c r="G2529" s="9" t="s">
        <v>529</v>
      </c>
      <c r="H2529">
        <v>1600</v>
      </c>
      <c r="M2529" s="1" t="s">
        <v>529</v>
      </c>
      <c r="N2529" s="1">
        <v>12</v>
      </c>
      <c r="P2529" s="1" t="s">
        <v>529</v>
      </c>
      <c r="Q2529" s="42">
        <v>1600</v>
      </c>
      <c r="R2529" s="42">
        <v>12</v>
      </c>
      <c r="S2529" s="42">
        <v>0.2</v>
      </c>
      <c r="T2529" s="10">
        <f>IFERROR(ROUND((Q2529/R2529),2),"NA")</f>
        <v>133.33000000000001</v>
      </c>
      <c r="U2529">
        <f t="shared" si="39"/>
        <v>320</v>
      </c>
    </row>
    <row r="2530" spans="7:21" x14ac:dyDescent="0.2">
      <c r="G2530" s="9" t="s">
        <v>1770</v>
      </c>
      <c r="H2530">
        <v>0</v>
      </c>
      <c r="M2530" s="1" t="s">
        <v>1770</v>
      </c>
      <c r="N2530" s="1">
        <v>69</v>
      </c>
      <c r="P2530" s="1" t="s">
        <v>1770</v>
      </c>
      <c r="Q2530" s="42">
        <v>0</v>
      </c>
      <c r="R2530" s="42">
        <v>69</v>
      </c>
      <c r="S2530" s="42">
        <v>0</v>
      </c>
      <c r="T2530" s="10">
        <f>IFERROR(ROUND((Q2530/R2530),2),"NA")</f>
        <v>0</v>
      </c>
      <c r="U2530">
        <f t="shared" si="39"/>
        <v>0</v>
      </c>
    </row>
    <row r="2531" spans="7:21" x14ac:dyDescent="0.2">
      <c r="G2531" s="9" t="s">
        <v>1320</v>
      </c>
      <c r="H2531">
        <v>200</v>
      </c>
      <c r="M2531" s="1" t="s">
        <v>1320</v>
      </c>
      <c r="N2531" s="1">
        <v>102</v>
      </c>
      <c r="P2531" s="1" t="s">
        <v>1320</v>
      </c>
      <c r="Q2531" s="42">
        <v>200</v>
      </c>
      <c r="R2531" s="42">
        <v>102</v>
      </c>
      <c r="S2531" s="42">
        <v>0</v>
      </c>
      <c r="T2531" s="10">
        <f>IFERROR(ROUND((Q2531/R2531),2),"NA")</f>
        <v>1.96</v>
      </c>
      <c r="U2531">
        <f t="shared" si="39"/>
        <v>0</v>
      </c>
    </row>
    <row r="2532" spans="7:21" x14ac:dyDescent="0.2">
      <c r="G2532" s="9" t="s">
        <v>2573</v>
      </c>
      <c r="H2532">
        <v>1063</v>
      </c>
      <c r="M2532" s="1" t="s">
        <v>2573</v>
      </c>
      <c r="N2532" s="1">
        <v>112</v>
      </c>
      <c r="P2532" s="1" t="s">
        <v>2573</v>
      </c>
      <c r="Q2532" s="42">
        <v>1063</v>
      </c>
      <c r="R2532" s="42">
        <v>112</v>
      </c>
      <c r="S2532" s="42">
        <v>0.17</v>
      </c>
      <c r="T2532" s="10">
        <f>IFERROR(ROUND((Q2532/R2532),2),"NA")</f>
        <v>9.49</v>
      </c>
      <c r="U2532">
        <f t="shared" si="39"/>
        <v>180.71</v>
      </c>
    </row>
    <row r="2533" spans="7:21" x14ac:dyDescent="0.2">
      <c r="G2533" s="9" t="s">
        <v>24</v>
      </c>
      <c r="H2533">
        <v>0</v>
      </c>
      <c r="M2533" s="1" t="s">
        <v>24</v>
      </c>
      <c r="N2533" s="1">
        <v>234</v>
      </c>
      <c r="P2533" s="1" t="s">
        <v>24</v>
      </c>
      <c r="Q2533" s="42">
        <v>0</v>
      </c>
      <c r="R2533" s="42">
        <v>234</v>
      </c>
      <c r="S2533" s="42">
        <v>0.1</v>
      </c>
      <c r="T2533" s="10">
        <f>IFERROR(ROUND((Q2533/R2533),2),"NA")</f>
        <v>0</v>
      </c>
      <c r="U2533">
        <f t="shared" si="39"/>
        <v>0</v>
      </c>
    </row>
    <row r="2534" spans="7:21" x14ac:dyDescent="0.2">
      <c r="G2534" s="9" t="s">
        <v>1169</v>
      </c>
      <c r="H2534">
        <v>17</v>
      </c>
      <c r="M2534" s="1" t="s">
        <v>1169</v>
      </c>
      <c r="N2534" s="1">
        <v>579</v>
      </c>
      <c r="P2534" s="1" t="s">
        <v>1169</v>
      </c>
      <c r="Q2534" s="42">
        <v>17</v>
      </c>
      <c r="R2534" s="42">
        <v>579</v>
      </c>
      <c r="S2534" s="42">
        <v>0.25</v>
      </c>
      <c r="T2534" s="10">
        <f>IFERROR(ROUND((Q2534/R2534),2),"NA")</f>
        <v>0.03</v>
      </c>
      <c r="U2534">
        <f t="shared" si="39"/>
        <v>4.25</v>
      </c>
    </row>
    <row r="2535" spans="7:21" x14ac:dyDescent="0.2">
      <c r="G2535" s="9" t="s">
        <v>2696</v>
      </c>
      <c r="H2535">
        <v>0</v>
      </c>
      <c r="M2535" s="1" t="s">
        <v>2696</v>
      </c>
      <c r="N2535" s="1">
        <v>23</v>
      </c>
      <c r="P2535" s="1" t="s">
        <v>2696</v>
      </c>
      <c r="Q2535" s="42">
        <v>0</v>
      </c>
      <c r="R2535" s="42">
        <v>23</v>
      </c>
      <c r="S2535" s="42">
        <v>0</v>
      </c>
      <c r="T2535" s="10">
        <f>IFERROR(ROUND((Q2535/R2535),2),"NA")</f>
        <v>0</v>
      </c>
      <c r="U2535">
        <f t="shared" si="39"/>
        <v>0</v>
      </c>
    </row>
    <row r="2536" spans="7:21" x14ac:dyDescent="0.2">
      <c r="G2536" s="9" t="s">
        <v>2397</v>
      </c>
      <c r="H2536">
        <v>140</v>
      </c>
      <c r="M2536" s="1" t="s">
        <v>2397</v>
      </c>
      <c r="N2536" s="1">
        <v>3</v>
      </c>
      <c r="P2536" s="1" t="s">
        <v>2397</v>
      </c>
      <c r="Q2536" s="42">
        <v>140</v>
      </c>
      <c r="R2536" s="42">
        <v>3</v>
      </c>
      <c r="S2536" s="42">
        <v>0.5</v>
      </c>
      <c r="T2536" s="10">
        <f>IFERROR(ROUND((Q2536/R2536),2),"NA")</f>
        <v>46.67</v>
      </c>
      <c r="U2536">
        <f t="shared" si="39"/>
        <v>70</v>
      </c>
    </row>
    <row r="2537" spans="7:21" x14ac:dyDescent="0.2">
      <c r="G2537" s="9" t="s">
        <v>2942</v>
      </c>
      <c r="H2537">
        <v>18</v>
      </c>
      <c r="M2537" s="1" t="s">
        <v>2942</v>
      </c>
      <c r="N2537" s="1">
        <v>16</v>
      </c>
      <c r="P2537" s="1" t="s">
        <v>2942</v>
      </c>
      <c r="Q2537" s="42">
        <v>18</v>
      </c>
      <c r="R2537" s="42">
        <v>16</v>
      </c>
      <c r="S2537" s="42">
        <v>0</v>
      </c>
      <c r="T2537" s="10">
        <f>IFERROR(ROUND((Q2537/R2537),2),"NA")</f>
        <v>1.1299999999999999</v>
      </c>
      <c r="U2537">
        <f t="shared" si="39"/>
        <v>0</v>
      </c>
    </row>
    <row r="2538" spans="7:21" x14ac:dyDescent="0.2">
      <c r="G2538" s="9" t="s">
        <v>1847</v>
      </c>
      <c r="H2538">
        <v>70</v>
      </c>
      <c r="M2538" s="1" t="s">
        <v>1847</v>
      </c>
      <c r="N2538" s="1">
        <v>436</v>
      </c>
      <c r="P2538" s="1" t="s">
        <v>1847</v>
      </c>
      <c r="Q2538" s="42">
        <v>70</v>
      </c>
      <c r="R2538" s="42">
        <v>436</v>
      </c>
      <c r="S2538" s="42">
        <v>0.09</v>
      </c>
      <c r="T2538" s="10">
        <f>IFERROR(ROUND((Q2538/R2538),2),"NA")</f>
        <v>0.16</v>
      </c>
      <c r="U2538">
        <f t="shared" si="39"/>
        <v>6.3</v>
      </c>
    </row>
    <row r="2539" spans="7:21" x14ac:dyDescent="0.2">
      <c r="G2539" s="9" t="s">
        <v>1690</v>
      </c>
      <c r="H2539">
        <v>0</v>
      </c>
      <c r="M2539" s="1" t="s">
        <v>1690</v>
      </c>
      <c r="N2539" s="1">
        <v>2</v>
      </c>
      <c r="P2539" s="1" t="s">
        <v>1690</v>
      </c>
      <c r="Q2539" s="42">
        <v>0</v>
      </c>
      <c r="R2539" s="42">
        <v>2</v>
      </c>
      <c r="S2539" s="42">
        <v>1</v>
      </c>
      <c r="T2539" s="10">
        <f>IFERROR(ROUND((Q2539/R2539),2),"NA")</f>
        <v>0</v>
      </c>
      <c r="U2539">
        <f t="shared" si="39"/>
        <v>0</v>
      </c>
    </row>
    <row r="2540" spans="7:21" x14ac:dyDescent="0.2">
      <c r="G2540" s="9" t="s">
        <v>407</v>
      </c>
      <c r="H2540">
        <v>100</v>
      </c>
      <c r="M2540" s="1" t="s">
        <v>407</v>
      </c>
      <c r="N2540" s="1">
        <v>11</v>
      </c>
      <c r="P2540" s="1" t="s">
        <v>407</v>
      </c>
      <c r="Q2540" s="42">
        <v>100</v>
      </c>
      <c r="R2540" s="42">
        <v>11</v>
      </c>
      <c r="S2540" s="42">
        <v>0</v>
      </c>
      <c r="T2540" s="10">
        <f>IFERROR(ROUND((Q2540/R2540),2),"NA")</f>
        <v>9.09</v>
      </c>
      <c r="U2540">
        <f t="shared" si="39"/>
        <v>0</v>
      </c>
    </row>
    <row r="2541" spans="7:21" x14ac:dyDescent="0.2">
      <c r="G2541" s="9" t="s">
        <v>673</v>
      </c>
      <c r="H2541">
        <v>0</v>
      </c>
      <c r="M2541" s="1" t="s">
        <v>673</v>
      </c>
      <c r="N2541" s="1">
        <v>450</v>
      </c>
      <c r="P2541" s="1" t="s">
        <v>673</v>
      </c>
      <c r="Q2541" s="42">
        <v>0</v>
      </c>
      <c r="R2541" s="42">
        <v>450</v>
      </c>
      <c r="S2541" s="42">
        <v>0</v>
      </c>
      <c r="T2541" s="10">
        <f>IFERROR(ROUND((Q2541/R2541),2),"NA")</f>
        <v>0</v>
      </c>
      <c r="U2541">
        <f t="shared" si="39"/>
        <v>0</v>
      </c>
    </row>
    <row r="2542" spans="7:21" x14ac:dyDescent="0.2">
      <c r="G2542" s="9" t="s">
        <v>197</v>
      </c>
      <c r="H2542">
        <v>0</v>
      </c>
      <c r="M2542" s="1" t="s">
        <v>197</v>
      </c>
      <c r="N2542" s="1">
        <v>24</v>
      </c>
      <c r="P2542" s="1" t="s">
        <v>197</v>
      </c>
      <c r="Q2542" s="42">
        <v>0</v>
      </c>
      <c r="R2542" s="42">
        <v>24</v>
      </c>
      <c r="S2542" s="42">
        <v>1</v>
      </c>
      <c r="T2542" s="10">
        <f>IFERROR(ROUND((Q2542/R2542),2),"NA")</f>
        <v>0</v>
      </c>
      <c r="U2542">
        <f t="shared" si="39"/>
        <v>0</v>
      </c>
    </row>
    <row r="2543" spans="7:21" x14ac:dyDescent="0.2">
      <c r="G2543" s="9" t="s">
        <v>2437</v>
      </c>
      <c r="H2543">
        <v>100</v>
      </c>
      <c r="M2543" s="1" t="s">
        <v>2437</v>
      </c>
      <c r="N2543" s="1">
        <v>29</v>
      </c>
      <c r="P2543" s="1" t="s">
        <v>2437</v>
      </c>
      <c r="Q2543" s="42">
        <v>100</v>
      </c>
      <c r="R2543" s="42">
        <v>29</v>
      </c>
      <c r="S2543" s="42">
        <v>0.4</v>
      </c>
      <c r="T2543" s="10">
        <f>IFERROR(ROUND((Q2543/R2543),2),"NA")</f>
        <v>3.45</v>
      </c>
      <c r="U2543">
        <f t="shared" si="39"/>
        <v>40</v>
      </c>
    </row>
    <row r="2544" spans="7:21" x14ac:dyDescent="0.2">
      <c r="G2544" s="9" t="s">
        <v>1006</v>
      </c>
      <c r="H2544">
        <v>0</v>
      </c>
      <c r="M2544" s="1" t="s">
        <v>1006</v>
      </c>
      <c r="N2544" s="1">
        <v>935</v>
      </c>
      <c r="P2544" s="1" t="s">
        <v>1006</v>
      </c>
      <c r="Q2544" s="42">
        <v>0</v>
      </c>
      <c r="R2544" s="42">
        <v>935</v>
      </c>
      <c r="S2544" s="42">
        <v>0</v>
      </c>
      <c r="T2544" s="10">
        <f>IFERROR(ROUND((Q2544/R2544),2),"NA")</f>
        <v>0</v>
      </c>
      <c r="U2544">
        <f t="shared" si="39"/>
        <v>0</v>
      </c>
    </row>
    <row r="2545" spans="7:21" x14ac:dyDescent="0.2">
      <c r="G2545" s="9" t="s">
        <v>966</v>
      </c>
      <c r="H2545">
        <v>0</v>
      </c>
      <c r="M2545" s="1" t="s">
        <v>966</v>
      </c>
      <c r="N2545" s="1">
        <v>1</v>
      </c>
      <c r="P2545" s="1" t="s">
        <v>966</v>
      </c>
      <c r="Q2545" s="42">
        <v>0</v>
      </c>
      <c r="R2545" s="42">
        <v>1</v>
      </c>
      <c r="S2545" s="42">
        <v>0.1</v>
      </c>
      <c r="T2545" s="10">
        <f>IFERROR(ROUND((Q2545/R2545),2),"NA")</f>
        <v>0</v>
      </c>
      <c r="U2545">
        <f t="shared" si="39"/>
        <v>0</v>
      </c>
    </row>
    <row r="2546" spans="7:21" x14ac:dyDescent="0.2">
      <c r="G2546" s="9" t="s">
        <v>2431</v>
      </c>
      <c r="H2546">
        <v>0</v>
      </c>
      <c r="M2546" s="1" t="s">
        <v>2431</v>
      </c>
      <c r="N2546" s="1">
        <v>300</v>
      </c>
      <c r="P2546" s="1" t="s">
        <v>2431</v>
      </c>
      <c r="Q2546" s="42">
        <v>0</v>
      </c>
      <c r="R2546" s="42">
        <v>300</v>
      </c>
      <c r="S2546" s="42">
        <v>0.1</v>
      </c>
      <c r="T2546" s="10">
        <f>IFERROR(ROUND((Q2546/R2546),2),"NA")</f>
        <v>0</v>
      </c>
      <c r="U2546">
        <f t="shared" si="39"/>
        <v>0</v>
      </c>
    </row>
    <row r="2547" spans="7:21" x14ac:dyDescent="0.2">
      <c r="G2547" s="9" t="s">
        <v>1530</v>
      </c>
      <c r="H2547">
        <v>0</v>
      </c>
      <c r="M2547" s="1" t="s">
        <v>1530</v>
      </c>
      <c r="N2547" s="1">
        <v>124</v>
      </c>
      <c r="P2547" s="1" t="s">
        <v>1530</v>
      </c>
      <c r="Q2547" s="42">
        <v>0</v>
      </c>
      <c r="R2547" s="42">
        <v>124</v>
      </c>
      <c r="S2547" s="42">
        <v>0.04</v>
      </c>
      <c r="T2547" s="10">
        <f>IFERROR(ROUND((Q2547/R2547),2),"NA")</f>
        <v>0</v>
      </c>
      <c r="U2547">
        <f t="shared" si="39"/>
        <v>0</v>
      </c>
    </row>
    <row r="2548" spans="7:21" x14ac:dyDescent="0.2">
      <c r="G2548" s="9" t="s">
        <v>564</v>
      </c>
      <c r="H2548">
        <v>0</v>
      </c>
      <c r="M2548" s="1" t="s">
        <v>564</v>
      </c>
      <c r="N2548" s="1">
        <v>0</v>
      </c>
      <c r="P2548" s="1" t="s">
        <v>564</v>
      </c>
      <c r="Q2548" s="42">
        <v>0</v>
      </c>
      <c r="R2548" s="42">
        <v>0</v>
      </c>
      <c r="S2548" s="42">
        <v>0</v>
      </c>
      <c r="T2548" s="10" t="str">
        <f>IFERROR(ROUND((Q2548/R2548),2),"NA")</f>
        <v>NA</v>
      </c>
      <c r="U2548">
        <f t="shared" si="39"/>
        <v>0</v>
      </c>
    </row>
    <row r="2549" spans="7:21" x14ac:dyDescent="0.2">
      <c r="G2549" s="9" t="s">
        <v>764</v>
      </c>
      <c r="H2549">
        <v>700</v>
      </c>
      <c r="M2549" s="1" t="s">
        <v>764</v>
      </c>
      <c r="N2549" s="1">
        <v>2000</v>
      </c>
      <c r="P2549" s="1" t="s">
        <v>764</v>
      </c>
      <c r="Q2549" s="42">
        <v>700</v>
      </c>
      <c r="R2549" s="42">
        <v>2000</v>
      </c>
      <c r="S2549" s="42">
        <v>7.0000000000000007E-2</v>
      </c>
      <c r="T2549" s="10">
        <f>IFERROR(ROUND((Q2549/R2549),2),"NA")</f>
        <v>0.35</v>
      </c>
      <c r="U2549">
        <f t="shared" si="39"/>
        <v>49.000000000000007</v>
      </c>
    </row>
    <row r="2550" spans="7:21" x14ac:dyDescent="0.2">
      <c r="G2550" s="9" t="s">
        <v>2229</v>
      </c>
      <c r="H2550">
        <v>85</v>
      </c>
      <c r="M2550" s="1" t="s">
        <v>2229</v>
      </c>
      <c r="N2550" s="1">
        <v>202</v>
      </c>
      <c r="P2550" s="1" t="s">
        <v>2229</v>
      </c>
      <c r="Q2550" s="42">
        <v>85</v>
      </c>
      <c r="R2550" s="42">
        <v>202</v>
      </c>
      <c r="S2550" s="42">
        <v>0.17</v>
      </c>
      <c r="T2550" s="10">
        <f>IFERROR(ROUND((Q2550/R2550),2),"NA")</f>
        <v>0.42</v>
      </c>
      <c r="U2550">
        <f t="shared" si="39"/>
        <v>14.450000000000001</v>
      </c>
    </row>
    <row r="2551" spans="7:21" x14ac:dyDescent="0.2">
      <c r="G2551" s="9" t="s">
        <v>2565</v>
      </c>
      <c r="H2551">
        <v>75</v>
      </c>
      <c r="M2551" s="1" t="s">
        <v>2565</v>
      </c>
      <c r="N2551" s="1">
        <v>60.18</v>
      </c>
      <c r="P2551" s="1" t="s">
        <v>2565</v>
      </c>
      <c r="Q2551" s="42">
        <v>75</v>
      </c>
      <c r="R2551" s="42">
        <v>60.18</v>
      </c>
      <c r="S2551" s="42">
        <v>0.72</v>
      </c>
      <c r="T2551" s="10">
        <f>IFERROR(ROUND((Q2551/R2551),2),"NA")</f>
        <v>1.25</v>
      </c>
      <c r="U2551">
        <f t="shared" si="39"/>
        <v>54</v>
      </c>
    </row>
    <row r="2552" spans="7:21" x14ac:dyDescent="0.2">
      <c r="G2552" s="9" t="s">
        <v>1895</v>
      </c>
      <c r="H2552">
        <v>0</v>
      </c>
      <c r="M2552" s="1" t="s">
        <v>1895</v>
      </c>
      <c r="N2552" s="1">
        <v>277</v>
      </c>
      <c r="P2552" s="1" t="s">
        <v>1895</v>
      </c>
      <c r="Q2552" s="42">
        <v>0</v>
      </c>
      <c r="R2552" s="42">
        <v>277</v>
      </c>
      <c r="S2552" s="42">
        <v>0</v>
      </c>
      <c r="T2552" s="10">
        <f>IFERROR(ROUND((Q2552/R2552),2),"NA")</f>
        <v>0</v>
      </c>
      <c r="U2552">
        <f t="shared" si="39"/>
        <v>0</v>
      </c>
    </row>
    <row r="2553" spans="7:21" x14ac:dyDescent="0.2">
      <c r="G2553" s="9" t="s">
        <v>2216</v>
      </c>
      <c r="H2553">
        <v>30</v>
      </c>
      <c r="M2553" s="1" t="s">
        <v>2216</v>
      </c>
      <c r="N2553" s="1">
        <v>51</v>
      </c>
      <c r="P2553" s="1" t="s">
        <v>2216</v>
      </c>
      <c r="Q2553" s="42">
        <v>30</v>
      </c>
      <c r="R2553" s="42">
        <v>51</v>
      </c>
      <c r="S2553" s="42">
        <v>0.2</v>
      </c>
      <c r="T2553" s="10">
        <f>IFERROR(ROUND((Q2553/R2553),2),"NA")</f>
        <v>0.59</v>
      </c>
      <c r="U2553">
        <f t="shared" si="39"/>
        <v>6</v>
      </c>
    </row>
    <row r="2554" spans="7:21" x14ac:dyDescent="0.2">
      <c r="G2554" s="9" t="s">
        <v>1048</v>
      </c>
      <c r="H2554">
        <v>750</v>
      </c>
      <c r="M2554" s="1" t="s">
        <v>1048</v>
      </c>
      <c r="N2554" s="1">
        <v>255</v>
      </c>
      <c r="P2554" s="1" t="s">
        <v>1048</v>
      </c>
      <c r="Q2554" s="42">
        <v>750</v>
      </c>
      <c r="R2554" s="42">
        <v>255</v>
      </c>
      <c r="S2554" s="42">
        <v>6.5000000000000002E-2</v>
      </c>
      <c r="T2554" s="10">
        <f>IFERROR(ROUND((Q2554/R2554),2),"NA")</f>
        <v>2.94</v>
      </c>
      <c r="U2554">
        <f t="shared" si="39"/>
        <v>48.75</v>
      </c>
    </row>
    <row r="2555" spans="7:21" x14ac:dyDescent="0.2">
      <c r="G2555" s="9" t="s">
        <v>2718</v>
      </c>
      <c r="H2555">
        <v>87</v>
      </c>
      <c r="M2555" s="1" t="s">
        <v>2718</v>
      </c>
      <c r="N2555" s="1">
        <v>583</v>
      </c>
      <c r="P2555" s="1" t="s">
        <v>2718</v>
      </c>
      <c r="Q2555" s="42">
        <v>87</v>
      </c>
      <c r="R2555" s="42">
        <v>583</v>
      </c>
      <c r="S2555" s="42">
        <v>0.15</v>
      </c>
      <c r="T2555" s="10">
        <f>IFERROR(ROUND((Q2555/R2555),2),"NA")</f>
        <v>0.15</v>
      </c>
      <c r="U2555">
        <f t="shared" si="39"/>
        <v>13.049999999999999</v>
      </c>
    </row>
    <row r="2556" spans="7:21" x14ac:dyDescent="0.2">
      <c r="G2556" s="9" t="s">
        <v>2154</v>
      </c>
      <c r="H2556">
        <v>200</v>
      </c>
      <c r="M2556" s="1" t="s">
        <v>2154</v>
      </c>
      <c r="N2556" s="1">
        <v>40</v>
      </c>
      <c r="P2556" s="1" t="s">
        <v>2154</v>
      </c>
      <c r="Q2556" s="42">
        <v>200</v>
      </c>
      <c r="R2556" s="42">
        <v>40</v>
      </c>
      <c r="S2556" s="42">
        <v>0.3</v>
      </c>
      <c r="T2556" s="10">
        <f>IFERROR(ROUND((Q2556/R2556),2),"NA")</f>
        <v>5</v>
      </c>
      <c r="U2556">
        <f t="shared" si="39"/>
        <v>60</v>
      </c>
    </row>
    <row r="2557" spans="7:21" x14ac:dyDescent="0.2">
      <c r="G2557" s="9" t="s">
        <v>2019</v>
      </c>
      <c r="H2557">
        <v>0</v>
      </c>
      <c r="M2557" s="1" t="s">
        <v>2019</v>
      </c>
      <c r="N2557" s="1">
        <v>107</v>
      </c>
      <c r="P2557" s="1" t="s">
        <v>2019</v>
      </c>
      <c r="Q2557" s="42">
        <v>0</v>
      </c>
      <c r="R2557" s="42">
        <v>107</v>
      </c>
      <c r="S2557" s="42">
        <v>0</v>
      </c>
      <c r="T2557" s="10">
        <f>IFERROR(ROUND((Q2557/R2557),2),"NA")</f>
        <v>0</v>
      </c>
      <c r="U2557">
        <f t="shared" si="39"/>
        <v>0</v>
      </c>
    </row>
    <row r="2558" spans="7:21" x14ac:dyDescent="0.2">
      <c r="G2558" s="9" t="s">
        <v>1720</v>
      </c>
      <c r="H2558">
        <v>0</v>
      </c>
      <c r="M2558" s="1" t="s">
        <v>1720</v>
      </c>
      <c r="N2558" s="1">
        <v>25</v>
      </c>
      <c r="P2558" s="1" t="s">
        <v>1720</v>
      </c>
      <c r="Q2558" s="42">
        <v>0</v>
      </c>
      <c r="R2558" s="42">
        <v>25</v>
      </c>
      <c r="S2558" s="42">
        <v>0.1</v>
      </c>
      <c r="T2558" s="10">
        <f>IFERROR(ROUND((Q2558/R2558),2),"NA")</f>
        <v>0</v>
      </c>
      <c r="U2558">
        <f t="shared" si="39"/>
        <v>0</v>
      </c>
    </row>
    <row r="2559" spans="7:21" x14ac:dyDescent="0.2">
      <c r="G2559" s="9" t="s">
        <v>2874</v>
      </c>
      <c r="H2559">
        <v>17</v>
      </c>
      <c r="M2559" s="1" t="s">
        <v>2874</v>
      </c>
      <c r="N2559" s="1">
        <v>91</v>
      </c>
      <c r="P2559" s="1" t="s">
        <v>2874</v>
      </c>
      <c r="Q2559" s="42">
        <v>17</v>
      </c>
      <c r="R2559" s="42">
        <v>91</v>
      </c>
      <c r="S2559" s="42">
        <v>0.04</v>
      </c>
      <c r="T2559" s="10">
        <f>IFERROR(ROUND((Q2559/R2559),2),"NA")</f>
        <v>0.19</v>
      </c>
      <c r="U2559">
        <f t="shared" si="39"/>
        <v>0.68</v>
      </c>
    </row>
    <row r="2560" spans="7:21" x14ac:dyDescent="0.2">
      <c r="G2560" s="9" t="s">
        <v>762</v>
      </c>
      <c r="H2560">
        <v>37</v>
      </c>
      <c r="M2560" s="1" t="s">
        <v>762</v>
      </c>
      <c r="N2560" s="1">
        <v>1</v>
      </c>
      <c r="P2560" s="1" t="s">
        <v>762</v>
      </c>
      <c r="Q2560" s="42">
        <v>37</v>
      </c>
      <c r="R2560" s="42">
        <v>1</v>
      </c>
      <c r="S2560" s="42">
        <v>0.35</v>
      </c>
      <c r="T2560" s="10">
        <f>IFERROR(ROUND((Q2560/R2560),2),"NA")</f>
        <v>37</v>
      </c>
      <c r="U2560">
        <f t="shared" si="39"/>
        <v>12.95</v>
      </c>
    </row>
    <row r="2561" spans="7:21" x14ac:dyDescent="0.2">
      <c r="G2561" s="9" t="s">
        <v>2275</v>
      </c>
      <c r="H2561">
        <v>0</v>
      </c>
      <c r="M2561" s="1" t="s">
        <v>2275</v>
      </c>
      <c r="N2561" s="1">
        <v>25</v>
      </c>
      <c r="P2561" s="1" t="s">
        <v>2275</v>
      </c>
      <c r="Q2561" s="42">
        <v>0</v>
      </c>
      <c r="R2561" s="42">
        <v>25</v>
      </c>
      <c r="S2561" s="42">
        <v>0.1</v>
      </c>
      <c r="T2561" s="10">
        <f>IFERROR(ROUND((Q2561/R2561),2),"NA")</f>
        <v>0</v>
      </c>
      <c r="U2561">
        <f t="shared" si="39"/>
        <v>0</v>
      </c>
    </row>
    <row r="2562" spans="7:21" x14ac:dyDescent="0.2">
      <c r="G2562" s="9" t="s">
        <v>539</v>
      </c>
      <c r="H2562">
        <v>450</v>
      </c>
      <c r="M2562" s="1" t="s">
        <v>539</v>
      </c>
      <c r="N2562" s="1">
        <v>1400</v>
      </c>
      <c r="P2562" s="1" t="s">
        <v>539</v>
      </c>
      <c r="Q2562" s="42">
        <v>450</v>
      </c>
      <c r="R2562" s="42">
        <v>1400</v>
      </c>
      <c r="S2562" s="42">
        <v>0.14000000000000001</v>
      </c>
      <c r="T2562" s="10">
        <f>IFERROR(ROUND((Q2562/R2562),2),"NA")</f>
        <v>0.32</v>
      </c>
      <c r="U2562">
        <f t="shared" si="39"/>
        <v>63.000000000000007</v>
      </c>
    </row>
    <row r="2563" spans="7:21" x14ac:dyDescent="0.2">
      <c r="G2563" s="9" t="s">
        <v>2880</v>
      </c>
      <c r="H2563">
        <v>0</v>
      </c>
      <c r="M2563" s="1" t="s">
        <v>2880</v>
      </c>
      <c r="N2563" s="1">
        <v>130</v>
      </c>
      <c r="P2563" s="1" t="s">
        <v>2880</v>
      </c>
      <c r="Q2563" s="42">
        <v>0</v>
      </c>
      <c r="R2563" s="42">
        <v>130</v>
      </c>
      <c r="S2563" s="42">
        <v>0</v>
      </c>
      <c r="T2563" s="10">
        <f>IFERROR(ROUND((Q2563/R2563),2),"NA")</f>
        <v>0</v>
      </c>
      <c r="U2563">
        <f t="shared" si="39"/>
        <v>0</v>
      </c>
    </row>
    <row r="2564" spans="7:21" x14ac:dyDescent="0.2">
      <c r="G2564" s="9" t="s">
        <v>2777</v>
      </c>
      <c r="H2564">
        <v>0</v>
      </c>
      <c r="M2564" s="1" t="s">
        <v>2777</v>
      </c>
      <c r="N2564" s="1">
        <v>217</v>
      </c>
      <c r="P2564" s="1" t="s">
        <v>2777</v>
      </c>
      <c r="Q2564" s="42">
        <v>0</v>
      </c>
      <c r="R2564" s="42">
        <v>217</v>
      </c>
      <c r="S2564" s="42">
        <v>0</v>
      </c>
      <c r="T2564" s="10">
        <f>IFERROR(ROUND((Q2564/R2564),2),"NA")</f>
        <v>0</v>
      </c>
      <c r="U2564">
        <f t="shared" si="39"/>
        <v>0</v>
      </c>
    </row>
    <row r="2565" spans="7:21" x14ac:dyDescent="0.2">
      <c r="G2565" s="9" t="s">
        <v>522</v>
      </c>
      <c r="H2565">
        <v>250</v>
      </c>
      <c r="M2565" s="1" t="s">
        <v>522</v>
      </c>
      <c r="N2565" s="1">
        <v>240</v>
      </c>
      <c r="P2565" s="1" t="s">
        <v>522</v>
      </c>
      <c r="Q2565" s="42">
        <v>250</v>
      </c>
      <c r="R2565" s="42">
        <v>240</v>
      </c>
      <c r="S2565" s="42">
        <v>0.6</v>
      </c>
      <c r="T2565" s="10">
        <f>IFERROR(ROUND((Q2565/R2565),2),"NA")</f>
        <v>1.04</v>
      </c>
      <c r="U2565">
        <f t="shared" ref="U2565:U2595" si="40">Q2565*S2565</f>
        <v>150</v>
      </c>
    </row>
    <row r="2566" spans="7:21" x14ac:dyDescent="0.2">
      <c r="G2566" s="9" t="s">
        <v>592</v>
      </c>
      <c r="H2566">
        <v>217</v>
      </c>
      <c r="M2566" s="1" t="s">
        <v>592</v>
      </c>
      <c r="N2566" s="1">
        <v>460</v>
      </c>
      <c r="P2566" s="1" t="s">
        <v>592</v>
      </c>
      <c r="Q2566" s="42">
        <v>217</v>
      </c>
      <c r="R2566" s="42">
        <v>460</v>
      </c>
      <c r="S2566" s="42">
        <v>0.56499999999999995</v>
      </c>
      <c r="T2566" s="10">
        <f>IFERROR(ROUND((Q2566/R2566),2),"NA")</f>
        <v>0.47</v>
      </c>
      <c r="U2566">
        <f t="shared" si="40"/>
        <v>122.60499999999999</v>
      </c>
    </row>
    <row r="2567" spans="7:21" x14ac:dyDescent="0.2">
      <c r="G2567" s="9" t="s">
        <v>1686</v>
      </c>
      <c r="H2567">
        <v>0</v>
      </c>
      <c r="M2567" s="1" t="s">
        <v>1686</v>
      </c>
      <c r="N2567" s="1">
        <v>892</v>
      </c>
      <c r="P2567" s="1" t="s">
        <v>1686</v>
      </c>
      <c r="Q2567" s="42">
        <v>0</v>
      </c>
      <c r="R2567" s="42">
        <v>892</v>
      </c>
      <c r="S2567" s="42">
        <v>0.1</v>
      </c>
      <c r="T2567" s="10">
        <f>IFERROR(ROUND((Q2567/R2567),2),"NA")</f>
        <v>0</v>
      </c>
      <c r="U2567">
        <f t="shared" si="40"/>
        <v>0</v>
      </c>
    </row>
    <row r="2568" spans="7:21" x14ac:dyDescent="0.2">
      <c r="G2568" s="9" t="s">
        <v>1805</v>
      </c>
      <c r="H2568">
        <v>0</v>
      </c>
      <c r="M2568" s="1" t="s">
        <v>1805</v>
      </c>
      <c r="N2568" s="1">
        <v>389</v>
      </c>
      <c r="P2568" s="1" t="s">
        <v>1805</v>
      </c>
      <c r="Q2568" s="42">
        <v>0</v>
      </c>
      <c r="R2568" s="42">
        <v>389</v>
      </c>
      <c r="S2568" s="42">
        <v>0</v>
      </c>
      <c r="T2568" s="10">
        <f>IFERROR(ROUND((Q2568/R2568),2),"NA")</f>
        <v>0</v>
      </c>
      <c r="U2568">
        <f t="shared" si="40"/>
        <v>0</v>
      </c>
    </row>
    <row r="2569" spans="7:21" x14ac:dyDescent="0.2">
      <c r="G2569" s="9" t="s">
        <v>2574</v>
      </c>
      <c r="H2569">
        <v>144</v>
      </c>
      <c r="M2569" s="1" t="s">
        <v>2574</v>
      </c>
      <c r="N2569" s="1">
        <v>614</v>
      </c>
      <c r="P2569" s="1" t="s">
        <v>2574</v>
      </c>
      <c r="Q2569" s="42">
        <v>144</v>
      </c>
      <c r="R2569" s="42">
        <v>614</v>
      </c>
      <c r="S2569" s="42">
        <v>8.4999999999999992E-2</v>
      </c>
      <c r="T2569" s="10">
        <f>IFERROR(ROUND((Q2569/R2569),2),"NA")</f>
        <v>0.23</v>
      </c>
      <c r="U2569">
        <f t="shared" si="40"/>
        <v>12.239999999999998</v>
      </c>
    </row>
    <row r="2570" spans="7:21" x14ac:dyDescent="0.2">
      <c r="G2570" s="9" t="s">
        <v>590</v>
      </c>
      <c r="H2570">
        <v>2323</v>
      </c>
      <c r="M2570" s="1" t="s">
        <v>590</v>
      </c>
      <c r="N2570" s="1">
        <v>291</v>
      </c>
      <c r="P2570" s="1" t="s">
        <v>590</v>
      </c>
      <c r="Q2570" s="42">
        <v>2323</v>
      </c>
      <c r="R2570" s="42">
        <v>291</v>
      </c>
      <c r="S2570" s="42">
        <v>0.15</v>
      </c>
      <c r="T2570" s="10">
        <f>IFERROR(ROUND((Q2570/R2570),2),"NA")</f>
        <v>7.98</v>
      </c>
      <c r="U2570">
        <f t="shared" si="40"/>
        <v>348.45</v>
      </c>
    </row>
    <row r="2571" spans="7:21" x14ac:dyDescent="0.2">
      <c r="G2571" s="9" t="s">
        <v>2516</v>
      </c>
      <c r="H2571">
        <v>0</v>
      </c>
      <c r="M2571" s="1" t="s">
        <v>2516</v>
      </c>
      <c r="N2571" s="1">
        <v>120</v>
      </c>
      <c r="P2571" s="1" t="s">
        <v>2516</v>
      </c>
      <c r="Q2571" s="42">
        <v>0</v>
      </c>
      <c r="R2571" s="42">
        <v>120</v>
      </c>
      <c r="S2571" s="42">
        <v>0</v>
      </c>
      <c r="T2571" s="10">
        <f>IFERROR(ROUND((Q2571/R2571),2),"NA")</f>
        <v>0</v>
      </c>
      <c r="U2571">
        <f t="shared" si="40"/>
        <v>0</v>
      </c>
    </row>
    <row r="2572" spans="7:21" x14ac:dyDescent="0.2">
      <c r="G2572" s="9" t="s">
        <v>942</v>
      </c>
      <c r="H2572">
        <v>300</v>
      </c>
      <c r="M2572" s="1" t="s">
        <v>942</v>
      </c>
      <c r="N2572" s="1">
        <v>896</v>
      </c>
      <c r="P2572" s="1" t="s">
        <v>942</v>
      </c>
      <c r="Q2572" s="42">
        <v>300</v>
      </c>
      <c r="R2572" s="42">
        <v>896</v>
      </c>
      <c r="S2572" s="42">
        <v>0.2</v>
      </c>
      <c r="T2572" s="10">
        <f>IFERROR(ROUND((Q2572/R2572),2),"NA")</f>
        <v>0.33</v>
      </c>
      <c r="U2572">
        <f t="shared" si="40"/>
        <v>60</v>
      </c>
    </row>
    <row r="2573" spans="7:21" x14ac:dyDescent="0.2">
      <c r="G2573" s="9" t="s">
        <v>2898</v>
      </c>
      <c r="H2573">
        <v>100</v>
      </c>
      <c r="M2573" s="1" t="s">
        <v>2898</v>
      </c>
      <c r="N2573" s="1">
        <v>107</v>
      </c>
      <c r="P2573" s="1" t="s">
        <v>2898</v>
      </c>
      <c r="Q2573" s="42">
        <v>100</v>
      </c>
      <c r="R2573" s="42">
        <v>107</v>
      </c>
      <c r="S2573" s="42">
        <v>0.2</v>
      </c>
      <c r="T2573" s="10">
        <f>IFERROR(ROUND((Q2573/R2573),2),"NA")</f>
        <v>0.93</v>
      </c>
      <c r="U2573">
        <f t="shared" si="40"/>
        <v>20</v>
      </c>
    </row>
    <row r="2574" spans="7:21" x14ac:dyDescent="0.2">
      <c r="G2574" s="9" t="s">
        <v>1049</v>
      </c>
      <c r="H2574">
        <v>670</v>
      </c>
      <c r="M2574" s="1" t="s">
        <v>1049</v>
      </c>
      <c r="N2574" s="1">
        <v>988</v>
      </c>
      <c r="P2574" s="1" t="s">
        <v>1049</v>
      </c>
      <c r="Q2574" s="42">
        <v>670</v>
      </c>
      <c r="R2574" s="42">
        <v>988</v>
      </c>
      <c r="S2574" s="42">
        <v>0.29500000000000004</v>
      </c>
      <c r="T2574" s="10">
        <f>IFERROR(ROUND((Q2574/R2574),2),"NA")</f>
        <v>0.68</v>
      </c>
      <c r="U2574">
        <f t="shared" si="40"/>
        <v>197.65000000000003</v>
      </c>
    </row>
    <row r="2575" spans="7:21" x14ac:dyDescent="0.2">
      <c r="G2575" s="9" t="s">
        <v>2370</v>
      </c>
      <c r="H2575">
        <v>0</v>
      </c>
      <c r="M2575" s="1" t="s">
        <v>2370</v>
      </c>
      <c r="N2575" s="1">
        <v>2100</v>
      </c>
      <c r="P2575" s="1" t="s">
        <v>2370</v>
      </c>
      <c r="Q2575" s="42">
        <v>0</v>
      </c>
      <c r="R2575" s="42">
        <v>2100</v>
      </c>
      <c r="S2575" s="42">
        <v>0.2</v>
      </c>
      <c r="T2575" s="10">
        <f>IFERROR(ROUND((Q2575/R2575),2),"NA")</f>
        <v>0</v>
      </c>
      <c r="U2575">
        <f t="shared" si="40"/>
        <v>0</v>
      </c>
    </row>
    <row r="2576" spans="7:21" x14ac:dyDescent="0.2">
      <c r="G2576" s="9" t="s">
        <v>172</v>
      </c>
      <c r="H2576">
        <v>0</v>
      </c>
      <c r="M2576" s="1" t="s">
        <v>172</v>
      </c>
      <c r="N2576" s="1">
        <v>89</v>
      </c>
      <c r="P2576" s="1" t="s">
        <v>172</v>
      </c>
      <c r="Q2576" s="42">
        <v>0</v>
      </c>
      <c r="R2576" s="42">
        <v>89</v>
      </c>
      <c r="S2576" s="42">
        <v>0.2</v>
      </c>
      <c r="T2576" s="10">
        <f>IFERROR(ROUND((Q2576/R2576),2),"NA")</f>
        <v>0</v>
      </c>
      <c r="U2576">
        <f t="shared" si="40"/>
        <v>0</v>
      </c>
    </row>
    <row r="2577" spans="7:21" x14ac:dyDescent="0.2">
      <c r="G2577" s="9" t="s">
        <v>2791</v>
      </c>
      <c r="H2577">
        <v>0</v>
      </c>
      <c r="M2577" s="1" t="s">
        <v>2791</v>
      </c>
      <c r="N2577" s="1">
        <v>140</v>
      </c>
      <c r="P2577" s="1" t="s">
        <v>2791</v>
      </c>
      <c r="Q2577" s="42">
        <v>0</v>
      </c>
      <c r="R2577" s="42">
        <v>140</v>
      </c>
      <c r="S2577" s="42">
        <v>0.2</v>
      </c>
      <c r="T2577" s="10">
        <f>IFERROR(ROUND((Q2577/R2577),2),"NA")</f>
        <v>0</v>
      </c>
      <c r="U2577">
        <f t="shared" si="40"/>
        <v>0</v>
      </c>
    </row>
    <row r="2578" spans="7:21" x14ac:dyDescent="0.2">
      <c r="G2578" s="9" t="s">
        <v>1830</v>
      </c>
      <c r="H2578">
        <v>620</v>
      </c>
      <c r="M2578" s="1" t="s">
        <v>1830</v>
      </c>
      <c r="N2578" s="1">
        <v>2742</v>
      </c>
      <c r="P2578" s="1" t="s">
        <v>1830</v>
      </c>
      <c r="Q2578" s="42">
        <v>620</v>
      </c>
      <c r="R2578" s="42">
        <v>2742</v>
      </c>
      <c r="S2578" s="42">
        <v>8.5000000000000006E-2</v>
      </c>
      <c r="T2578" s="10">
        <f>IFERROR(ROUND((Q2578/R2578),2),"NA")</f>
        <v>0.23</v>
      </c>
      <c r="U2578">
        <f t="shared" si="40"/>
        <v>52.7</v>
      </c>
    </row>
    <row r="2579" spans="7:21" x14ac:dyDescent="0.2">
      <c r="G2579" s="9" t="s">
        <v>341</v>
      </c>
      <c r="H2579">
        <v>1450</v>
      </c>
      <c r="M2579" s="1" t="s">
        <v>341</v>
      </c>
      <c r="N2579" s="1">
        <v>552</v>
      </c>
      <c r="P2579" s="1" t="s">
        <v>341</v>
      </c>
      <c r="Q2579" s="42">
        <v>1450</v>
      </c>
      <c r="R2579" s="42">
        <v>552</v>
      </c>
      <c r="S2579" s="42">
        <v>8.4999999999999992E-2</v>
      </c>
      <c r="T2579" s="10">
        <f>IFERROR(ROUND((Q2579/R2579),2),"NA")</f>
        <v>2.63</v>
      </c>
      <c r="U2579">
        <f t="shared" si="40"/>
        <v>123.24999999999999</v>
      </c>
    </row>
    <row r="2580" spans="7:21" x14ac:dyDescent="0.2">
      <c r="G2580" s="9" t="s">
        <v>1035</v>
      </c>
      <c r="H2580">
        <v>120</v>
      </c>
      <c r="M2580" s="1" t="s">
        <v>1035</v>
      </c>
      <c r="N2580" s="1">
        <v>7</v>
      </c>
      <c r="P2580" s="1" t="s">
        <v>1035</v>
      </c>
      <c r="Q2580" s="42">
        <v>120</v>
      </c>
      <c r="R2580" s="42">
        <v>7</v>
      </c>
      <c r="S2580" s="42">
        <v>0.03</v>
      </c>
      <c r="T2580" s="10">
        <f>IFERROR(ROUND((Q2580/R2580),2),"NA")</f>
        <v>17.14</v>
      </c>
      <c r="U2580">
        <f t="shared" si="40"/>
        <v>3.5999999999999996</v>
      </c>
    </row>
    <row r="2581" spans="7:21" x14ac:dyDescent="0.2">
      <c r="G2581" s="9" t="s">
        <v>1126</v>
      </c>
      <c r="H2581">
        <v>92</v>
      </c>
      <c r="M2581" s="1" t="s">
        <v>1126</v>
      </c>
      <c r="N2581" s="1">
        <v>210</v>
      </c>
      <c r="P2581" s="1" t="s">
        <v>1126</v>
      </c>
      <c r="Q2581" s="42">
        <v>92</v>
      </c>
      <c r="R2581" s="42">
        <v>210</v>
      </c>
      <c r="S2581" s="42">
        <v>0.12</v>
      </c>
      <c r="T2581" s="10">
        <f>IFERROR(ROUND((Q2581/R2581),2),"NA")</f>
        <v>0.44</v>
      </c>
      <c r="U2581">
        <f t="shared" si="40"/>
        <v>11.04</v>
      </c>
    </row>
    <row r="2582" spans="7:21" x14ac:dyDescent="0.2">
      <c r="G2582" s="9" t="s">
        <v>1681</v>
      </c>
      <c r="H2582">
        <v>50</v>
      </c>
      <c r="M2582" s="1" t="s">
        <v>1681</v>
      </c>
      <c r="N2582" s="1">
        <v>25</v>
      </c>
      <c r="P2582" s="1" t="s">
        <v>1681</v>
      </c>
      <c r="Q2582" s="42">
        <v>50</v>
      </c>
      <c r="R2582" s="42">
        <v>25</v>
      </c>
      <c r="S2582" s="42">
        <v>0</v>
      </c>
      <c r="T2582" s="10">
        <f>IFERROR(ROUND((Q2582/R2582),2),"NA")</f>
        <v>2</v>
      </c>
      <c r="U2582">
        <f t="shared" si="40"/>
        <v>0</v>
      </c>
    </row>
    <row r="2583" spans="7:21" x14ac:dyDescent="0.2">
      <c r="G2583" s="9" t="s">
        <v>2762</v>
      </c>
      <c r="H2583">
        <v>220</v>
      </c>
      <c r="M2583" s="1" t="s">
        <v>2762</v>
      </c>
      <c r="N2583" s="1">
        <v>1910</v>
      </c>
      <c r="P2583" s="1" t="s">
        <v>2762</v>
      </c>
      <c r="Q2583" s="42">
        <v>220</v>
      </c>
      <c r="R2583" s="42">
        <v>1910</v>
      </c>
      <c r="S2583" s="42">
        <v>0.1</v>
      </c>
      <c r="T2583" s="10">
        <f>IFERROR(ROUND((Q2583/R2583),2),"NA")</f>
        <v>0.12</v>
      </c>
      <c r="U2583">
        <f t="shared" si="40"/>
        <v>22</v>
      </c>
    </row>
    <row r="2584" spans="7:21" x14ac:dyDescent="0.2">
      <c r="G2584" s="9" t="s">
        <v>1308</v>
      </c>
      <c r="H2584">
        <v>177</v>
      </c>
      <c r="M2584" s="1" t="s">
        <v>1308</v>
      </c>
      <c r="N2584" s="1">
        <v>148</v>
      </c>
      <c r="P2584" s="1" t="s">
        <v>1308</v>
      </c>
      <c r="Q2584" s="42">
        <v>177</v>
      </c>
      <c r="R2584" s="42">
        <v>148</v>
      </c>
      <c r="S2584" s="42">
        <v>0.03</v>
      </c>
      <c r="T2584" s="10">
        <f>IFERROR(ROUND((Q2584/R2584),2),"NA")</f>
        <v>1.2</v>
      </c>
      <c r="U2584">
        <f t="shared" si="40"/>
        <v>5.31</v>
      </c>
    </row>
    <row r="2585" spans="7:21" x14ac:dyDescent="0.2">
      <c r="G2585" s="9" t="s">
        <v>517</v>
      </c>
      <c r="H2585">
        <v>839</v>
      </c>
      <c r="M2585" s="1" t="s">
        <v>517</v>
      </c>
      <c r="N2585" s="1">
        <v>776</v>
      </c>
      <c r="P2585" s="1" t="s">
        <v>517</v>
      </c>
      <c r="Q2585" s="42">
        <v>839</v>
      </c>
      <c r="R2585" s="42">
        <v>776</v>
      </c>
      <c r="S2585" s="42">
        <v>1</v>
      </c>
      <c r="T2585" s="10">
        <f>IFERROR(ROUND((Q2585/R2585),2),"NA")</f>
        <v>1.08</v>
      </c>
      <c r="U2585">
        <f t="shared" si="40"/>
        <v>839</v>
      </c>
    </row>
    <row r="2586" spans="7:21" x14ac:dyDescent="0.2">
      <c r="G2586" s="9" t="s">
        <v>2732</v>
      </c>
      <c r="H2586">
        <v>28</v>
      </c>
      <c r="M2586" s="1" t="s">
        <v>2732</v>
      </c>
      <c r="N2586" s="1">
        <v>71</v>
      </c>
      <c r="P2586" s="1" t="s">
        <v>2732</v>
      </c>
      <c r="Q2586" s="42">
        <v>28</v>
      </c>
      <c r="R2586" s="42">
        <v>71</v>
      </c>
      <c r="S2586" s="42">
        <v>0</v>
      </c>
      <c r="T2586" s="10">
        <f>IFERROR(ROUND((Q2586/R2586),2),"NA")</f>
        <v>0.39</v>
      </c>
      <c r="U2586">
        <f t="shared" si="40"/>
        <v>0</v>
      </c>
    </row>
    <row r="2587" spans="7:21" x14ac:dyDescent="0.2">
      <c r="G2587" s="9" t="s">
        <v>1038</v>
      </c>
      <c r="H2587">
        <v>200</v>
      </c>
      <c r="M2587" s="1" t="s">
        <v>1038</v>
      </c>
      <c r="N2587" s="1">
        <v>846</v>
      </c>
      <c r="P2587" s="1" t="s">
        <v>1038</v>
      </c>
      <c r="Q2587" s="42">
        <v>200</v>
      </c>
      <c r="R2587" s="42">
        <v>846</v>
      </c>
      <c r="S2587" s="42">
        <v>0.83499999999999996</v>
      </c>
      <c r="T2587" s="10">
        <f>IFERROR(ROUND((Q2587/R2587),2),"NA")</f>
        <v>0.24</v>
      </c>
      <c r="U2587">
        <f t="shared" si="40"/>
        <v>167</v>
      </c>
    </row>
    <row r="2588" spans="7:21" x14ac:dyDescent="0.2">
      <c r="G2588" s="9" t="s">
        <v>2343</v>
      </c>
      <c r="H2588">
        <v>45</v>
      </c>
      <c r="M2588" s="1" t="s">
        <v>2343</v>
      </c>
      <c r="N2588" s="1">
        <v>178</v>
      </c>
      <c r="P2588" s="1" t="s">
        <v>2343</v>
      </c>
      <c r="Q2588" s="42">
        <v>45</v>
      </c>
      <c r="R2588" s="42">
        <v>178</v>
      </c>
      <c r="S2588" s="42">
        <v>0.15</v>
      </c>
      <c r="T2588" s="10">
        <f>IFERROR(ROUND((Q2588/R2588),2),"NA")</f>
        <v>0.25</v>
      </c>
      <c r="U2588">
        <f t="shared" si="40"/>
        <v>6.75</v>
      </c>
    </row>
    <row r="2589" spans="7:21" x14ac:dyDescent="0.2">
      <c r="G2589" s="9" t="s">
        <v>352</v>
      </c>
      <c r="H2589">
        <v>0</v>
      </c>
      <c r="M2589" s="1" t="s">
        <v>352</v>
      </c>
      <c r="N2589" s="1">
        <v>1294</v>
      </c>
      <c r="P2589" s="1" t="s">
        <v>352</v>
      </c>
      <c r="Q2589" s="42">
        <v>0</v>
      </c>
      <c r="R2589" s="42">
        <v>1294</v>
      </c>
      <c r="S2589" s="42">
        <v>9.5000000000000001E-2</v>
      </c>
      <c r="T2589" s="10">
        <f>IFERROR(ROUND((Q2589/R2589),2),"NA")</f>
        <v>0</v>
      </c>
      <c r="U2589">
        <f t="shared" si="40"/>
        <v>0</v>
      </c>
    </row>
    <row r="2590" spans="7:21" x14ac:dyDescent="0.2">
      <c r="G2590" s="9" t="s">
        <v>333</v>
      </c>
      <c r="H2590">
        <v>230</v>
      </c>
      <c r="M2590" s="1" t="s">
        <v>333</v>
      </c>
      <c r="N2590" s="1">
        <v>2021</v>
      </c>
      <c r="P2590" s="1" t="s">
        <v>333</v>
      </c>
      <c r="Q2590" s="42">
        <v>230</v>
      </c>
      <c r="R2590" s="42">
        <v>2021</v>
      </c>
      <c r="S2590" s="42">
        <v>0.15</v>
      </c>
      <c r="T2590" s="10">
        <f>IFERROR(ROUND((Q2590/R2590),2),"NA")</f>
        <v>0.11</v>
      </c>
      <c r="U2590">
        <f t="shared" si="40"/>
        <v>34.5</v>
      </c>
    </row>
    <row r="2591" spans="7:21" x14ac:dyDescent="0.2">
      <c r="G2591" s="9" t="s">
        <v>794</v>
      </c>
      <c r="H2591">
        <v>0</v>
      </c>
      <c r="M2591" s="1" t="s">
        <v>794</v>
      </c>
      <c r="N2591" s="1">
        <v>72</v>
      </c>
      <c r="P2591" s="1" t="s">
        <v>794</v>
      </c>
      <c r="Q2591" s="42">
        <v>0</v>
      </c>
      <c r="R2591" s="42">
        <v>72</v>
      </c>
      <c r="S2591" s="42">
        <v>0.1</v>
      </c>
      <c r="T2591" s="10">
        <f>IFERROR(ROUND((Q2591/R2591),2),"NA")</f>
        <v>0</v>
      </c>
      <c r="U2591">
        <f t="shared" si="40"/>
        <v>0</v>
      </c>
    </row>
    <row r="2592" spans="7:21" x14ac:dyDescent="0.2">
      <c r="G2592" s="9" t="s">
        <v>1122</v>
      </c>
      <c r="H2592">
        <v>307</v>
      </c>
      <c r="M2592" s="1" t="s">
        <v>1122</v>
      </c>
      <c r="N2592" s="1">
        <v>3896</v>
      </c>
      <c r="P2592" s="1" t="s">
        <v>1122</v>
      </c>
      <c r="Q2592" s="42">
        <v>307</v>
      </c>
      <c r="R2592" s="42">
        <v>3896</v>
      </c>
      <c r="S2592" s="42">
        <v>0</v>
      </c>
      <c r="T2592" s="10">
        <f>IFERROR(ROUND((Q2592/R2592),2),"NA")</f>
        <v>0.08</v>
      </c>
      <c r="U2592">
        <f t="shared" si="40"/>
        <v>0</v>
      </c>
    </row>
    <row r="2593" spans="7:21" x14ac:dyDescent="0.2">
      <c r="G2593" s="9" t="s">
        <v>2651</v>
      </c>
      <c r="H2593">
        <v>0</v>
      </c>
      <c r="M2593" s="1" t="s">
        <v>2651</v>
      </c>
      <c r="N2593" s="1">
        <v>574</v>
      </c>
      <c r="P2593" s="1" t="s">
        <v>2651</v>
      </c>
      <c r="Q2593" s="42">
        <v>0</v>
      </c>
      <c r="R2593" s="42">
        <v>574</v>
      </c>
      <c r="S2593" s="42">
        <v>0.1</v>
      </c>
      <c r="T2593" s="10">
        <f>IFERROR(ROUND((Q2593/R2593),2),"NA")</f>
        <v>0</v>
      </c>
      <c r="U2593">
        <f t="shared" si="40"/>
        <v>0</v>
      </c>
    </row>
    <row r="2594" spans="7:21" x14ac:dyDescent="0.2">
      <c r="G2594" s="9" t="s">
        <v>1739</v>
      </c>
      <c r="H2594">
        <v>0</v>
      </c>
      <c r="M2594" s="1" t="s">
        <v>1739</v>
      </c>
      <c r="N2594" s="1">
        <v>0</v>
      </c>
      <c r="P2594" s="1" t="s">
        <v>1739</v>
      </c>
      <c r="Q2594" s="42">
        <v>0</v>
      </c>
      <c r="R2594" s="42">
        <v>0</v>
      </c>
      <c r="S2594" s="42">
        <v>0</v>
      </c>
      <c r="T2594" s="10" t="str">
        <f>IFERROR(ROUND((Q2594/R2594),2),"NA")</f>
        <v>NA</v>
      </c>
      <c r="U2594">
        <f t="shared" si="40"/>
        <v>0</v>
      </c>
    </row>
    <row r="2595" spans="7:21" x14ac:dyDescent="0.2">
      <c r="G2595" s="9" t="s">
        <v>2957</v>
      </c>
      <c r="M2595" s="1" t="s">
        <v>2957</v>
      </c>
      <c r="N2595" s="1"/>
      <c r="P2595" s="1" t="s">
        <v>2957</v>
      </c>
      <c r="Q2595" s="42">
        <v>0</v>
      </c>
      <c r="R2595" s="42">
        <v>0</v>
      </c>
      <c r="S2595" s="42">
        <v>0</v>
      </c>
      <c r="T2595" s="10" t="str">
        <f>IFERROR(ROUND((Q2595/R2595),2),"NA")</f>
        <v>NA</v>
      </c>
      <c r="U2595">
        <f t="shared" si="40"/>
        <v>0</v>
      </c>
    </row>
  </sheetData>
  <mergeCells count="5">
    <mergeCell ref="A2:B2"/>
    <mergeCell ref="D2:E2"/>
    <mergeCell ref="G2:H2"/>
    <mergeCell ref="J2:K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4F39-53F2-1948-A31E-E91F9AA3E088}">
  <dimension ref="A1:M37"/>
  <sheetViews>
    <sheetView tabSelected="1" zoomScale="91" workbookViewId="0">
      <selection activeCell="P16" sqref="P16"/>
    </sheetView>
  </sheetViews>
  <sheetFormatPr baseColWidth="10" defaultRowHeight="16" x14ac:dyDescent="0.2"/>
  <cols>
    <col min="5" max="5" width="12.83203125" bestFit="1" customWidth="1"/>
  </cols>
  <sheetData>
    <row r="1" spans="1:13" ht="85" x14ac:dyDescent="0.2">
      <c r="A1" s="19" t="s">
        <v>2963</v>
      </c>
      <c r="B1" s="19" t="str">
        <f>INDEX('Pivot Tables'!D3:D33, MATCH(GETPIVOTDATA("Laid_Off_Count",'Pivot Tables'!$D$3,"Industry","Finance"), 'Pivot Tables'!E3:E34, 0))</f>
        <v>Finance</v>
      </c>
      <c r="C1" s="20">
        <f>VLOOKUP(B1,'Pivot Tables'!D:E,2,)</f>
        <v>43103</v>
      </c>
      <c r="D1" s="45" t="s">
        <v>2967</v>
      </c>
      <c r="E1" s="46" t="s">
        <v>2998</v>
      </c>
      <c r="F1" s="47"/>
      <c r="G1" s="47"/>
      <c r="H1" s="47"/>
      <c r="I1" s="47"/>
      <c r="J1" s="47"/>
      <c r="K1" s="47"/>
      <c r="L1" s="48"/>
    </row>
    <row r="2" spans="1:13" ht="85" x14ac:dyDescent="0.2">
      <c r="A2" s="19" t="s">
        <v>2966</v>
      </c>
      <c r="B2" s="19" t="str">
        <f>INDEX('Pivot Tables'!J3:J65,MATCH(C2,'Pivot Tables'!K3:K65,0))</f>
        <v>United States</v>
      </c>
      <c r="C2" s="20">
        <f>MAX('Pivot Tables'!K3:K65)</f>
        <v>414013</v>
      </c>
      <c r="D2" s="45" t="s">
        <v>2975</v>
      </c>
      <c r="E2" s="49"/>
      <c r="F2" s="44"/>
      <c r="G2" s="44"/>
      <c r="H2" s="44"/>
      <c r="I2" s="44"/>
      <c r="J2" s="44"/>
      <c r="K2" s="44"/>
      <c r="L2" s="50"/>
    </row>
    <row r="3" spans="1:13" ht="17" thickBot="1" x14ac:dyDescent="0.25">
      <c r="A3" s="25" t="s">
        <v>2965</v>
      </c>
      <c r="B3" s="26"/>
      <c r="C3" s="26"/>
      <c r="D3" s="26"/>
      <c r="E3" s="51"/>
      <c r="F3" s="52"/>
      <c r="G3" s="52"/>
      <c r="H3" s="52"/>
      <c r="I3" s="52"/>
      <c r="J3" s="52"/>
      <c r="K3" s="52"/>
      <c r="L3" s="53"/>
    </row>
    <row r="4" spans="1:13" ht="34" x14ac:dyDescent="0.2">
      <c r="A4" s="13" t="s">
        <v>2972</v>
      </c>
      <c r="B4" s="13" t="s">
        <v>2970</v>
      </c>
      <c r="C4" s="14" t="s">
        <v>2971</v>
      </c>
      <c r="D4" s="15" t="s">
        <v>2973</v>
      </c>
      <c r="E4" s="15" t="s">
        <v>2988</v>
      </c>
      <c r="F4" s="31" t="s">
        <v>2989</v>
      </c>
      <c r="G4" s="32"/>
      <c r="H4" s="33"/>
      <c r="I4" s="37" t="s">
        <v>2990</v>
      </c>
      <c r="J4" s="38"/>
      <c r="K4" s="38"/>
      <c r="L4" s="38"/>
    </row>
    <row r="5" spans="1:13" ht="19" x14ac:dyDescent="0.2">
      <c r="A5" s="16">
        <v>1</v>
      </c>
      <c r="B5" s="17" t="str">
        <f>INDEX('Pivot Tables'!M3:M2594,MATCH(C5,'Pivot Tables'!N3:N2594,0))</f>
        <v>Netflix</v>
      </c>
      <c r="C5" s="17">
        <f>LARGE('Pivot Tables'!$N$4:$N$2594,1)</f>
        <v>487600</v>
      </c>
      <c r="D5" s="17">
        <f>_xlfn.XLOOKUP(B5,'Pivot Tables'!P:P,'Pivot Tables'!Q:Q)</f>
        <v>505</v>
      </c>
      <c r="E5" s="29">
        <f>_xlfn.XLOOKUP(B5,'Pivot Tables'!P:P,'Pivot Tables'!T:T)</f>
        <v>0</v>
      </c>
      <c r="F5" s="31"/>
      <c r="G5" s="32"/>
      <c r="H5" s="33"/>
      <c r="I5" s="39"/>
      <c r="J5" s="38"/>
      <c r="K5" s="38"/>
      <c r="L5" s="38"/>
    </row>
    <row r="6" spans="1:13" ht="17" x14ac:dyDescent="0.2">
      <c r="A6" s="17">
        <v>2</v>
      </c>
      <c r="B6" s="17" t="str">
        <f>INDEX('Pivot Tables'!M4:M2595,MATCH(C6,'Pivot Tables'!N4:N2595,0))</f>
        <v>Uber</v>
      </c>
      <c r="C6" s="17">
        <f>LARGE('Pivot Tables'!$N$4:$N$2594,2)</f>
        <v>148700</v>
      </c>
      <c r="D6" s="17">
        <f>_xlfn.XLOOKUP(B6,'Pivot Tables'!P:P,'Pivot Tables'!Q:Q)</f>
        <v>7785</v>
      </c>
      <c r="E6" s="29">
        <f>_xlfn.XLOOKUP(B6,'Pivot Tables'!P:P,'Pivot Tables'!T:T)</f>
        <v>0.05</v>
      </c>
      <c r="F6" s="31"/>
      <c r="G6" s="32"/>
      <c r="H6" s="33"/>
      <c r="I6" s="39"/>
      <c r="J6" s="38"/>
      <c r="K6" s="38"/>
      <c r="L6" s="38"/>
    </row>
    <row r="7" spans="1:13" ht="19" x14ac:dyDescent="0.2">
      <c r="A7" s="16">
        <v>3</v>
      </c>
      <c r="B7" s="17" t="str">
        <f>INDEX('Pivot Tables'!M5:M2596,MATCH(C7,'Pivot Tables'!N5:N2596,0))</f>
        <v>Meta</v>
      </c>
      <c r="C7" s="18">
        <f>LARGE('Pivot Tables'!$N$4:$N$2594,3)</f>
        <v>104000</v>
      </c>
      <c r="D7" s="17">
        <f>_xlfn.XLOOKUP(B7,'Pivot Tables'!P:P,'Pivot Tables'!Q:Q)</f>
        <v>21000</v>
      </c>
      <c r="E7" s="29">
        <f>_xlfn.XLOOKUP(B7,'Pivot Tables'!P:P,'Pivot Tables'!T:T)</f>
        <v>0.2</v>
      </c>
      <c r="F7" s="31"/>
      <c r="G7" s="32"/>
      <c r="H7" s="33"/>
      <c r="I7" s="39"/>
      <c r="J7" s="38"/>
      <c r="K7" s="38"/>
      <c r="L7" s="38"/>
    </row>
    <row r="8" spans="1:13" ht="17" x14ac:dyDescent="0.2">
      <c r="A8" s="17">
        <v>4</v>
      </c>
      <c r="B8" s="17" t="str">
        <f>INDEX('Pivot Tables'!M6:M2597,MATCH(C8,'Pivot Tables'!N6:N2597,0))</f>
        <v>Rivian</v>
      </c>
      <c r="C8" s="17">
        <f>LARGE('Pivot Tables'!$N$4:$N$2594,4)</f>
        <v>78000</v>
      </c>
      <c r="D8" s="17">
        <f>_xlfn.XLOOKUP(B8,'Pivot Tables'!P:P,'Pivot Tables'!Q:Q)</f>
        <v>1170</v>
      </c>
      <c r="E8" s="29">
        <f>_xlfn.XLOOKUP(B8,'Pivot Tables'!P:P,'Pivot Tables'!T:T)</f>
        <v>0.02</v>
      </c>
      <c r="F8" s="31"/>
      <c r="G8" s="32"/>
      <c r="H8" s="33"/>
      <c r="I8" s="39"/>
      <c r="J8" s="38"/>
      <c r="K8" s="38"/>
      <c r="L8" s="38"/>
    </row>
    <row r="9" spans="1:13" ht="29" customHeight="1" x14ac:dyDescent="0.2">
      <c r="A9" s="16">
        <v>5</v>
      </c>
      <c r="B9" s="17" t="str">
        <f>INDEX('Pivot Tables'!M7:M2598,MATCH(C9,'Pivot Tables'!N7:N2598,0))</f>
        <v>Tesla</v>
      </c>
      <c r="C9" s="17">
        <f>LARGE('Pivot Tables'!$N$4:$N$2594,5)</f>
        <v>60600</v>
      </c>
      <c r="D9" s="17">
        <f>_xlfn.XLOOKUP(B9,'Pivot Tables'!P:P,'Pivot Tables'!Q:Q)</f>
        <v>14500</v>
      </c>
      <c r="E9" s="29">
        <f>_xlfn.XLOOKUP(B9,'Pivot Tables'!P:P,'Pivot Tables'!T:T)</f>
        <v>0.24</v>
      </c>
      <c r="F9" s="34"/>
      <c r="G9" s="35"/>
      <c r="H9" s="36"/>
      <c r="I9" s="39"/>
      <c r="J9" s="38"/>
      <c r="K9" s="38"/>
      <c r="L9" s="38"/>
    </row>
    <row r="10" spans="1:13" x14ac:dyDescent="0.2">
      <c r="A10" s="28" t="s">
        <v>2964</v>
      </c>
      <c r="B10" s="28"/>
      <c r="C10" s="28"/>
      <c r="D10" s="28"/>
      <c r="F10" s="30"/>
      <c r="I10" s="40" t="s">
        <v>2991</v>
      </c>
    </row>
    <row r="11" spans="1:13" x14ac:dyDescent="0.2">
      <c r="L11" s="41" t="s">
        <v>2992</v>
      </c>
      <c r="M11" s="41"/>
    </row>
    <row r="12" spans="1:13" x14ac:dyDescent="0.2">
      <c r="L12" s="41"/>
      <c r="M12" s="41"/>
    </row>
    <row r="13" spans="1:13" x14ac:dyDescent="0.2">
      <c r="L13" s="41"/>
      <c r="M13" s="41"/>
    </row>
    <row r="14" spans="1:13" x14ac:dyDescent="0.2">
      <c r="L14" s="41"/>
      <c r="M14" s="41"/>
    </row>
    <row r="15" spans="1:13" x14ac:dyDescent="0.2">
      <c r="L15" s="41"/>
      <c r="M15" s="41"/>
    </row>
    <row r="16" spans="1:13" x14ac:dyDescent="0.2">
      <c r="L16" s="41"/>
      <c r="M16" s="41"/>
    </row>
    <row r="17" spans="1:13" x14ac:dyDescent="0.2">
      <c r="L17" s="41"/>
      <c r="M17" s="41"/>
    </row>
    <row r="18" spans="1:13" x14ac:dyDescent="0.2">
      <c r="L18" s="41"/>
      <c r="M18" s="41"/>
    </row>
    <row r="19" spans="1:13" x14ac:dyDescent="0.2">
      <c r="L19" s="41"/>
      <c r="M19" s="41"/>
    </row>
    <row r="20" spans="1:13" x14ac:dyDescent="0.2">
      <c r="L20" s="41"/>
      <c r="M20" s="41"/>
    </row>
    <row r="21" spans="1:13" x14ac:dyDescent="0.2">
      <c r="L21" s="41"/>
      <c r="M21" s="41"/>
    </row>
    <row r="22" spans="1:13" x14ac:dyDescent="0.2">
      <c r="L22" s="41"/>
      <c r="M22" s="41"/>
    </row>
    <row r="23" spans="1:13" x14ac:dyDescent="0.2">
      <c r="L23" s="41"/>
      <c r="M23" s="41"/>
    </row>
    <row r="24" spans="1:13" x14ac:dyDescent="0.2">
      <c r="L24" s="41"/>
      <c r="M24" s="41"/>
    </row>
    <row r="25" spans="1:13" x14ac:dyDescent="0.2">
      <c r="L25" s="41"/>
      <c r="M25" s="41"/>
    </row>
    <row r="26" spans="1:13" x14ac:dyDescent="0.2">
      <c r="A26" s="25" t="s">
        <v>2996</v>
      </c>
      <c r="B26" s="26"/>
      <c r="C26" s="26"/>
      <c r="D26" s="27"/>
    </row>
    <row r="27" spans="1:13" ht="34" x14ac:dyDescent="0.2">
      <c r="A27" s="13" t="s">
        <v>2972</v>
      </c>
      <c r="B27" s="13" t="s">
        <v>2970</v>
      </c>
      <c r="C27" s="14" t="s">
        <v>2971</v>
      </c>
      <c r="D27" s="15" t="s">
        <v>2973</v>
      </c>
      <c r="E27" s="15" t="s">
        <v>2994</v>
      </c>
      <c r="F27" s="41" t="s">
        <v>2997</v>
      </c>
      <c r="G27" s="41"/>
      <c r="H27" s="41"/>
      <c r="I27" s="41"/>
    </row>
    <row r="28" spans="1:13" ht="19" x14ac:dyDescent="0.2">
      <c r="A28" s="16">
        <v>1</v>
      </c>
      <c r="B28" s="17" t="str">
        <f>_xlfn.XLOOKUP(C28,'Pivot Tables'!R:R,'Pivot Tables'!P:P)</f>
        <v>Meta</v>
      </c>
      <c r="C28" s="17">
        <f>_xlfn.XLOOKUP(D28,'Pivot Tables'!Q:Q,'Pivot Tables'!R:R)</f>
        <v>104000</v>
      </c>
      <c r="D28" s="17">
        <f>_xlfn.XLOOKUP(E28,'Pivot Tables'!U:U,'Pivot Tables'!Q:Q)</f>
        <v>21000</v>
      </c>
      <c r="E28" s="17">
        <f>LARGE('Pivot Tables'!U4:U2595,1)</f>
        <v>2730</v>
      </c>
      <c r="F28" s="41"/>
      <c r="G28" s="41"/>
      <c r="H28" s="41"/>
      <c r="I28" s="41"/>
    </row>
    <row r="29" spans="1:13" ht="17" x14ac:dyDescent="0.2">
      <c r="A29" s="17">
        <v>2</v>
      </c>
      <c r="B29" s="17" t="str">
        <f>_xlfn.XLOOKUP(C29,'Pivot Tables'!R:R,'Pivot Tables'!P:P)</f>
        <v>BlockFi</v>
      </c>
      <c r="C29" s="17">
        <f>_xlfn.XLOOKUP(D29,'Pivot Tables'!Q:Q,'Pivot Tables'!R:R)</f>
        <v>2000</v>
      </c>
      <c r="D29" s="17">
        <f>_xlfn.XLOOKUP(E29,'Pivot Tables'!U:U,'Pivot Tables'!Q:Q)</f>
        <v>8100</v>
      </c>
      <c r="E29" s="17">
        <f>LARGE('Pivot Tables'!U4:U2595,2)</f>
        <v>2268</v>
      </c>
      <c r="F29" s="41"/>
      <c r="G29" s="41"/>
      <c r="H29" s="41"/>
      <c r="I29" s="41"/>
    </row>
    <row r="30" spans="1:13" ht="19" x14ac:dyDescent="0.2">
      <c r="A30" s="16">
        <v>3</v>
      </c>
      <c r="B30" s="17" t="str">
        <f>_xlfn.XLOOKUP(C30,'Pivot Tables'!R:R,'Pivot Tables'!P:P)</f>
        <v>Uber</v>
      </c>
      <c r="C30" s="17">
        <f>_xlfn.XLOOKUP(D30,'Pivot Tables'!Q:Q,'Pivot Tables'!R:R)</f>
        <v>148700</v>
      </c>
      <c r="D30" s="17">
        <f>_xlfn.XLOOKUP(E30,'Pivot Tables'!U:U,'Pivot Tables'!Q:Q)</f>
        <v>7785</v>
      </c>
      <c r="E30" s="17">
        <f>LARGE('Pivot Tables'!U4:U2595,3)</f>
        <v>1459.6875</v>
      </c>
      <c r="F30" s="41"/>
      <c r="G30" s="41"/>
      <c r="H30" s="41"/>
      <c r="I30" s="41"/>
    </row>
    <row r="31" spans="1:13" ht="17" x14ac:dyDescent="0.2">
      <c r="A31" s="17">
        <v>4</v>
      </c>
      <c r="B31" s="17" t="str">
        <f>_xlfn.XLOOKUP(C31,'Pivot Tables'!R:R,'Pivot Tables'!P:P)</f>
        <v>Tesla</v>
      </c>
      <c r="C31" s="17">
        <f>_xlfn.XLOOKUP(D31,'Pivot Tables'!Q:Q,'Pivot Tables'!R:R)</f>
        <v>60600</v>
      </c>
      <c r="D31" s="17">
        <f>_xlfn.XLOOKUP(E31,'Pivot Tables'!U:U,'Pivot Tables'!Q:Q)</f>
        <v>14500</v>
      </c>
      <c r="E31" s="17">
        <f>LARGE('Pivot Tables'!U4:U2595,4)</f>
        <v>1450</v>
      </c>
      <c r="F31" s="41"/>
      <c r="G31" s="41"/>
      <c r="H31" s="41"/>
      <c r="I31" s="41"/>
    </row>
    <row r="32" spans="1:13" ht="19" x14ac:dyDescent="0.2">
      <c r="A32" s="16">
        <v>5</v>
      </c>
      <c r="B32" s="17" t="str">
        <f>_xlfn.XLOOKUP(C32,'Pivot Tables'!R:R,'Pivot Tables'!P:P)</f>
        <v>Twitter</v>
      </c>
      <c r="C32" s="17">
        <f>_xlfn.XLOOKUP(D32,'Pivot Tables'!Q:Q,'Pivot Tables'!R:R)</f>
        <v>44400</v>
      </c>
      <c r="D32" s="17">
        <f>_xlfn.XLOOKUP(E32,'Pivot Tables'!U:U,'Pivot Tables'!Q:Q)</f>
        <v>3940</v>
      </c>
      <c r="E32" s="17">
        <f>LARGE('Pivot Tables'!U4:U2595,5)</f>
        <v>1182</v>
      </c>
      <c r="F32" s="41"/>
      <c r="G32" s="41"/>
      <c r="H32" s="41"/>
      <c r="I32" s="41"/>
    </row>
    <row r="33" spans="1:9" ht="19" x14ac:dyDescent="0.2">
      <c r="A33" s="16">
        <v>6</v>
      </c>
      <c r="B33" s="17">
        <f>_xlfn.XLOOKUP(C33,'Pivot Tables'!R:R,'Pivot Tables'!P:P)</f>
        <v>888</v>
      </c>
      <c r="C33" s="17">
        <f>_xlfn.XLOOKUP(D33,'Pivot Tables'!Q:Q,'Pivot Tables'!R:R)</f>
        <v>0</v>
      </c>
      <c r="D33" s="17">
        <f>_xlfn.XLOOKUP(E33,'Pivot Tables'!U:U,'Pivot Tables'!Q:Q)</f>
        <v>4601</v>
      </c>
      <c r="E33" s="17">
        <f>LARGE('Pivot Tables'!U4:U2595,6)</f>
        <v>1150.25</v>
      </c>
      <c r="F33" s="41"/>
      <c r="G33" s="41"/>
      <c r="H33" s="41"/>
      <c r="I33" s="41"/>
    </row>
    <row r="34" spans="1:9" ht="19" x14ac:dyDescent="0.2">
      <c r="A34" s="16">
        <v>7</v>
      </c>
      <c r="B34" s="17" t="str">
        <f>_xlfn.XLOOKUP(C34,'Pivot Tables'!R:R,'Pivot Tables'!P:P)</f>
        <v>Katerra</v>
      </c>
      <c r="C34" s="17">
        <f>_xlfn.XLOOKUP(D34,'Pivot Tables'!Q:Q,'Pivot Tables'!R:R)</f>
        <v>4100</v>
      </c>
      <c r="D34" s="17">
        <f>_xlfn.XLOOKUP(E34,'Pivot Tables'!U:U,'Pivot Tables'!Q:Q)</f>
        <v>3074</v>
      </c>
      <c r="E34" s="17">
        <f>LARGE('Pivot Tables'!U4:U2595,7)</f>
        <v>1127.1333333333334</v>
      </c>
      <c r="F34" s="41"/>
      <c r="G34" s="41"/>
      <c r="H34" s="41"/>
      <c r="I34" s="41"/>
    </row>
    <row r="35" spans="1:9" ht="19" x14ac:dyDescent="0.2">
      <c r="A35" s="16">
        <v>8</v>
      </c>
      <c r="B35" s="17" t="str">
        <f>_xlfn.XLOOKUP(C35,'Pivot Tables'!R:R,'Pivot Tables'!P:P)</f>
        <v>Groupon</v>
      </c>
      <c r="C35" s="17">
        <f>_xlfn.XLOOKUP(D35,'Pivot Tables'!Q:Q,'Pivot Tables'!R:R)</f>
        <v>4200</v>
      </c>
      <c r="D35" s="17">
        <f>_xlfn.XLOOKUP(E35,'Pivot Tables'!U:U,'Pivot Tables'!Q:Q)</f>
        <v>3800</v>
      </c>
      <c r="E35" s="17">
        <f>LARGE('Pivot Tables'!U4:U2595,8)</f>
        <v>1121</v>
      </c>
      <c r="F35" s="41"/>
      <c r="G35" s="41"/>
      <c r="H35" s="41"/>
      <c r="I35" s="41"/>
    </row>
    <row r="36" spans="1:9" ht="19" x14ac:dyDescent="0.2">
      <c r="A36" s="16">
        <v>9</v>
      </c>
      <c r="B36" s="17">
        <f>_xlfn.XLOOKUP(C36,'Pivot Tables'!R:R,'Pivot Tables'!P:P)</f>
        <v>888</v>
      </c>
      <c r="C36" s="17">
        <f>_xlfn.XLOOKUP(D36,'Pivot Tables'!Q:Q,'Pivot Tables'!R:R)</f>
        <v>0</v>
      </c>
      <c r="D36" s="17">
        <f>_xlfn.XLOOKUP(E36,'Pivot Tables'!U:U,'Pivot Tables'!Q:Q)</f>
        <v>1000</v>
      </c>
      <c r="E36" s="17">
        <f>LARGE('Pivot Tables'!U4:U2595,9)</f>
        <v>1000</v>
      </c>
      <c r="F36" s="41"/>
      <c r="G36" s="41"/>
      <c r="H36" s="41"/>
      <c r="I36" s="41"/>
    </row>
    <row r="37" spans="1:9" ht="19" x14ac:dyDescent="0.2">
      <c r="A37" s="16">
        <v>10</v>
      </c>
      <c r="B37" s="17" t="str">
        <f>_xlfn.XLOOKUP(C37,'Pivot Tables'!R:R,'Pivot Tables'!P:P)</f>
        <v>Bitwise</v>
      </c>
      <c r="C37" s="17">
        <f>_xlfn.XLOOKUP(D37,'Pivot Tables'!Q:Q,'Pivot Tables'!R:R)</f>
        <v>84</v>
      </c>
      <c r="D37" s="17">
        <f>_xlfn.XLOOKUP(E37,'Pivot Tables'!U:U,'Pivot Tables'!Q:Q)</f>
        <v>900</v>
      </c>
      <c r="E37" s="17">
        <f>LARGE('Pivot Tables'!U4:U2595,10)</f>
        <v>900</v>
      </c>
      <c r="F37" s="41"/>
      <c r="G37" s="41"/>
      <c r="H37" s="41"/>
      <c r="I37" s="41"/>
    </row>
  </sheetData>
  <mergeCells count="8">
    <mergeCell ref="A26:D26"/>
    <mergeCell ref="F27:I37"/>
    <mergeCell ref="E1:L3"/>
    <mergeCell ref="A3:D3"/>
    <mergeCell ref="A10:D10"/>
    <mergeCell ref="F4:H9"/>
    <mergeCell ref="I4:L9"/>
    <mergeCell ref="L11:M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0170-9A23-754A-A664-F18E47D605D7}">
  <dimension ref="A1:K3643"/>
  <sheetViews>
    <sheetView workbookViewId="0">
      <selection activeCell="I3" sqref="I3"/>
    </sheetView>
  </sheetViews>
  <sheetFormatPr baseColWidth="10" defaultColWidth="11.1640625" defaultRowHeight="16" x14ac:dyDescent="0.2"/>
  <cols>
    <col min="1" max="1" width="11.1640625" style="2"/>
    <col min="2" max="2" width="14.6640625" style="2" bestFit="1" customWidth="1"/>
    <col min="3" max="3" width="13" style="2" bestFit="1" customWidth="1"/>
    <col min="4" max="4" width="14" style="2" bestFit="1" customWidth="1"/>
    <col min="5" max="5" width="11.1640625" style="2"/>
    <col min="6" max="6" width="12.33203125" style="2" bestFit="1" customWidth="1"/>
    <col min="7" max="7" width="12.1640625" style="2" bestFit="1" customWidth="1"/>
    <col min="8" max="8" width="18.1640625" style="2" bestFit="1" customWidth="1"/>
    <col min="9" max="9" width="20.83203125" style="6" bestFit="1" customWidth="1"/>
    <col min="10" max="10" width="12" style="2" bestFit="1" customWidth="1"/>
    <col min="11" max="11" width="41.83203125" style="1" bestFit="1" customWidth="1"/>
  </cols>
  <sheetData>
    <row r="1" spans="1:11" x14ac:dyDescent="0.2">
      <c r="A1" s="3" t="s">
        <v>0</v>
      </c>
      <c r="B1" s="3" t="s">
        <v>1</v>
      </c>
      <c r="C1" s="3" t="s">
        <v>2</v>
      </c>
      <c r="D1" s="3" t="s">
        <v>3</v>
      </c>
      <c r="E1" s="3" t="s">
        <v>4</v>
      </c>
      <c r="F1" s="3" t="s">
        <v>5</v>
      </c>
      <c r="G1" s="3" t="s">
        <v>6</v>
      </c>
      <c r="H1" s="3" t="s">
        <v>7</v>
      </c>
      <c r="I1" s="4" t="s">
        <v>8</v>
      </c>
      <c r="J1" s="3" t="s">
        <v>2955</v>
      </c>
      <c r="K1" s="21"/>
    </row>
    <row r="2" spans="1:11" x14ac:dyDescent="0.2">
      <c r="A2" s="2" t="s">
        <v>9</v>
      </c>
      <c r="B2" s="2" t="s">
        <v>10</v>
      </c>
      <c r="C2" s="2" t="s">
        <v>11</v>
      </c>
      <c r="D2" s="2">
        <v>150</v>
      </c>
      <c r="E2" s="5">
        <v>45448</v>
      </c>
      <c r="F2" s="2">
        <v>691</v>
      </c>
      <c r="G2" s="2" t="s">
        <v>12</v>
      </c>
      <c r="H2" s="2" t="s">
        <v>13</v>
      </c>
      <c r="I2" s="6" t="s">
        <v>2954</v>
      </c>
      <c r="J2" s="2" t="str">
        <f>TEXT(E2,"YYYY-MM")</f>
        <v>2024-06</v>
      </c>
    </row>
    <row r="3" spans="1:11" x14ac:dyDescent="0.2">
      <c r="A3" s="2" t="s">
        <v>14</v>
      </c>
      <c r="B3" s="2" t="s">
        <v>15</v>
      </c>
      <c r="C3" s="2" t="s">
        <v>16</v>
      </c>
      <c r="D3" s="2">
        <v>100</v>
      </c>
      <c r="E3" s="5">
        <v>45448</v>
      </c>
      <c r="F3" s="2">
        <v>2000</v>
      </c>
      <c r="G3" s="2" t="s">
        <v>17</v>
      </c>
      <c r="H3" s="2" t="s">
        <v>18</v>
      </c>
      <c r="I3" s="6">
        <v>0.2</v>
      </c>
      <c r="J3" s="2" t="str">
        <f t="shared" ref="J3:J66" si="0">TEXT(E3,"YYYY-MM")</f>
        <v>2024-06</v>
      </c>
    </row>
    <row r="4" spans="1:11" x14ac:dyDescent="0.2">
      <c r="A4" s="2" t="s">
        <v>19</v>
      </c>
      <c r="B4" s="2" t="s">
        <v>15</v>
      </c>
      <c r="C4" s="2" t="s">
        <v>11</v>
      </c>
      <c r="D4" s="2">
        <v>30</v>
      </c>
      <c r="E4" s="5">
        <v>45448</v>
      </c>
      <c r="F4" s="2">
        <v>119</v>
      </c>
      <c r="G4" s="2" t="s">
        <v>12</v>
      </c>
      <c r="H4" s="2" t="s">
        <v>18</v>
      </c>
      <c r="I4" s="6">
        <v>0.3</v>
      </c>
      <c r="J4" s="2" t="str">
        <f t="shared" si="0"/>
        <v>2024-06</v>
      </c>
    </row>
    <row r="5" spans="1:11" x14ac:dyDescent="0.2">
      <c r="A5" s="2" t="s">
        <v>20</v>
      </c>
      <c r="B5" s="2" t="s">
        <v>21</v>
      </c>
      <c r="C5" s="2" t="s">
        <v>22</v>
      </c>
      <c r="D5" s="2">
        <v>30</v>
      </c>
      <c r="E5" s="5">
        <v>45448</v>
      </c>
      <c r="F5" s="2">
        <v>651</v>
      </c>
      <c r="G5" s="2" t="s">
        <v>12</v>
      </c>
      <c r="H5" s="2" t="s">
        <v>23</v>
      </c>
      <c r="I5" s="6">
        <v>0.1</v>
      </c>
      <c r="J5" s="2" t="str">
        <f t="shared" si="0"/>
        <v>2024-06</v>
      </c>
    </row>
    <row r="6" spans="1:11" x14ac:dyDescent="0.2">
      <c r="A6" s="2" t="s">
        <v>24</v>
      </c>
      <c r="B6" s="2" t="s">
        <v>25</v>
      </c>
      <c r="C6" s="2" t="s">
        <v>26</v>
      </c>
      <c r="D6" s="2" t="s">
        <v>2954</v>
      </c>
      <c r="E6" s="5">
        <v>45448</v>
      </c>
      <c r="F6" s="2">
        <v>117</v>
      </c>
      <c r="G6" s="2" t="s">
        <v>17</v>
      </c>
      <c r="H6" s="2" t="s">
        <v>23</v>
      </c>
      <c r="I6" s="6">
        <v>0.12</v>
      </c>
      <c r="J6" s="2" t="str">
        <f t="shared" si="0"/>
        <v>2024-06</v>
      </c>
    </row>
    <row r="7" spans="1:11" x14ac:dyDescent="0.2">
      <c r="A7" s="2" t="s">
        <v>27</v>
      </c>
      <c r="B7" s="2" t="s">
        <v>28</v>
      </c>
      <c r="C7" s="2" t="s">
        <v>29</v>
      </c>
      <c r="D7" s="2">
        <v>1000</v>
      </c>
      <c r="E7" s="5">
        <v>45446</v>
      </c>
      <c r="F7" s="2">
        <v>1</v>
      </c>
      <c r="G7" s="2" t="s">
        <v>17</v>
      </c>
      <c r="H7" s="2" t="s">
        <v>23</v>
      </c>
      <c r="I7" s="6" t="s">
        <v>2954</v>
      </c>
      <c r="J7" s="2" t="str">
        <f t="shared" si="0"/>
        <v>2024-06</v>
      </c>
    </row>
    <row r="8" spans="1:11" x14ac:dyDescent="0.2">
      <c r="A8" s="2" t="s">
        <v>30</v>
      </c>
      <c r="B8" s="2" t="s">
        <v>31</v>
      </c>
      <c r="C8" s="2" t="s">
        <v>32</v>
      </c>
      <c r="D8" s="2">
        <v>100</v>
      </c>
      <c r="E8" s="5">
        <v>45446</v>
      </c>
      <c r="F8" s="2">
        <v>86</v>
      </c>
      <c r="G8" s="2" t="s">
        <v>12</v>
      </c>
      <c r="H8" s="2" t="s">
        <v>18</v>
      </c>
      <c r="I8" s="6">
        <v>0.5</v>
      </c>
      <c r="J8" s="2" t="str">
        <f t="shared" si="0"/>
        <v>2024-06</v>
      </c>
    </row>
    <row r="9" spans="1:11" x14ac:dyDescent="0.2">
      <c r="A9" s="2" t="s">
        <v>33</v>
      </c>
      <c r="B9" s="2" t="s">
        <v>34</v>
      </c>
      <c r="C9" s="2" t="s">
        <v>35</v>
      </c>
      <c r="D9" s="2">
        <v>100</v>
      </c>
      <c r="E9" s="5">
        <v>45443</v>
      </c>
      <c r="F9" s="2">
        <v>26</v>
      </c>
      <c r="G9" s="2" t="s">
        <v>17</v>
      </c>
      <c r="H9" s="2" t="s">
        <v>23</v>
      </c>
      <c r="I9" s="6" t="s">
        <v>2954</v>
      </c>
      <c r="J9" s="2" t="str">
        <f t="shared" si="0"/>
        <v>2024-05</v>
      </c>
    </row>
    <row r="10" spans="1:11" x14ac:dyDescent="0.2">
      <c r="A10" s="2" t="s">
        <v>36</v>
      </c>
      <c r="B10" s="2" t="s">
        <v>25</v>
      </c>
      <c r="C10" s="2" t="s">
        <v>16</v>
      </c>
      <c r="D10" s="2">
        <v>40</v>
      </c>
      <c r="E10" s="5">
        <v>45443</v>
      </c>
      <c r="F10" s="2">
        <v>67</v>
      </c>
      <c r="G10" s="2" t="s">
        <v>37</v>
      </c>
      <c r="H10" s="2" t="s">
        <v>23</v>
      </c>
      <c r="I10" s="6" t="s">
        <v>2954</v>
      </c>
      <c r="J10" s="2" t="str">
        <f t="shared" si="0"/>
        <v>2024-05</v>
      </c>
    </row>
    <row r="11" spans="1:11" x14ac:dyDescent="0.2">
      <c r="A11" s="2" t="s">
        <v>38</v>
      </c>
      <c r="B11" s="2" t="s">
        <v>25</v>
      </c>
      <c r="C11" s="2" t="s">
        <v>11</v>
      </c>
      <c r="D11" s="2" t="s">
        <v>2954</v>
      </c>
      <c r="E11" s="5">
        <v>45443</v>
      </c>
      <c r="F11" s="2">
        <v>118</v>
      </c>
      <c r="G11" s="2" t="s">
        <v>37</v>
      </c>
      <c r="H11" s="2" t="s">
        <v>23</v>
      </c>
      <c r="I11" s="6">
        <v>0.1</v>
      </c>
      <c r="J11" s="2" t="str">
        <f t="shared" si="0"/>
        <v>2024-05</v>
      </c>
    </row>
    <row r="12" spans="1:11" x14ac:dyDescent="0.2">
      <c r="A12" s="2" t="s">
        <v>39</v>
      </c>
      <c r="B12" s="2" t="s">
        <v>40</v>
      </c>
      <c r="C12" s="2" t="s">
        <v>32</v>
      </c>
      <c r="D12" s="2" t="s">
        <v>2954</v>
      </c>
      <c r="E12" s="5">
        <v>45443</v>
      </c>
      <c r="F12" s="2">
        <v>32</v>
      </c>
      <c r="G12" s="2" t="s">
        <v>41</v>
      </c>
      <c r="H12" s="2" t="s">
        <v>23</v>
      </c>
      <c r="I12" s="6" t="s">
        <v>2954</v>
      </c>
      <c r="J12" s="2" t="str">
        <f t="shared" si="0"/>
        <v>2024-05</v>
      </c>
    </row>
    <row r="13" spans="1:11" x14ac:dyDescent="0.2">
      <c r="A13" s="2" t="s">
        <v>42</v>
      </c>
      <c r="B13" s="2" t="s">
        <v>43</v>
      </c>
      <c r="C13" s="2" t="s">
        <v>44</v>
      </c>
      <c r="D13" s="2">
        <v>73</v>
      </c>
      <c r="E13" s="5">
        <v>45442</v>
      </c>
      <c r="F13" s="2">
        <v>3</v>
      </c>
      <c r="G13" s="2" t="s">
        <v>45</v>
      </c>
      <c r="H13" s="2" t="s">
        <v>23</v>
      </c>
      <c r="I13" s="6" t="s">
        <v>2954</v>
      </c>
      <c r="J13" s="2" t="str">
        <f t="shared" si="0"/>
        <v>2024-05</v>
      </c>
    </row>
    <row r="14" spans="1:11" x14ac:dyDescent="0.2">
      <c r="A14" s="2" t="s">
        <v>46</v>
      </c>
      <c r="B14" s="2" t="s">
        <v>47</v>
      </c>
      <c r="C14" s="2" t="s">
        <v>48</v>
      </c>
      <c r="D14" s="2">
        <v>33</v>
      </c>
      <c r="E14" s="5">
        <v>45442</v>
      </c>
      <c r="F14" s="2" t="s">
        <v>2954</v>
      </c>
      <c r="G14" s="2" t="s">
        <v>12</v>
      </c>
      <c r="H14" s="2" t="s">
        <v>23</v>
      </c>
      <c r="I14" s="6">
        <v>7.0000000000000007E-2</v>
      </c>
      <c r="J14" s="2" t="str">
        <f t="shared" si="0"/>
        <v>2024-05</v>
      </c>
    </row>
    <row r="15" spans="1:11" x14ac:dyDescent="0.2">
      <c r="A15" s="2" t="s">
        <v>49</v>
      </c>
      <c r="B15" s="2" t="s">
        <v>25</v>
      </c>
      <c r="C15" s="2" t="s">
        <v>50</v>
      </c>
      <c r="D15" s="2">
        <v>15</v>
      </c>
      <c r="E15" s="5">
        <v>45441</v>
      </c>
      <c r="F15" s="2">
        <v>56</v>
      </c>
      <c r="G15" s="2" t="s">
        <v>37</v>
      </c>
      <c r="H15" s="2" t="s">
        <v>23</v>
      </c>
      <c r="I15" s="6">
        <v>0.2</v>
      </c>
      <c r="J15" s="2" t="str">
        <f t="shared" si="0"/>
        <v>2024-05</v>
      </c>
    </row>
    <row r="16" spans="1:11" x14ac:dyDescent="0.2">
      <c r="A16" s="2" t="s">
        <v>51</v>
      </c>
      <c r="B16" s="2" t="s">
        <v>47</v>
      </c>
      <c r="C16" s="2" t="s">
        <v>52</v>
      </c>
      <c r="D16" s="2" t="s">
        <v>2954</v>
      </c>
      <c r="E16" s="5">
        <v>45441</v>
      </c>
      <c r="F16" s="2">
        <v>1700</v>
      </c>
      <c r="G16" s="2" t="s">
        <v>17</v>
      </c>
      <c r="H16" s="2" t="s">
        <v>23</v>
      </c>
      <c r="I16" s="6" t="s">
        <v>2954</v>
      </c>
      <c r="J16" s="2" t="str">
        <f t="shared" si="0"/>
        <v>2024-05</v>
      </c>
    </row>
    <row r="17" spans="1:10" x14ac:dyDescent="0.2">
      <c r="A17" s="2" t="s">
        <v>53</v>
      </c>
      <c r="B17" s="2" t="s">
        <v>54</v>
      </c>
      <c r="C17" s="2" t="s">
        <v>16</v>
      </c>
      <c r="D17" s="2" t="s">
        <v>2954</v>
      </c>
      <c r="E17" s="5">
        <v>45441</v>
      </c>
      <c r="F17" s="2">
        <v>746</v>
      </c>
      <c r="G17" s="2" t="s">
        <v>17</v>
      </c>
      <c r="H17" s="2" t="s">
        <v>55</v>
      </c>
      <c r="I17" s="6" t="s">
        <v>2954</v>
      </c>
      <c r="J17" s="2" t="str">
        <f t="shared" si="0"/>
        <v>2024-05</v>
      </c>
    </row>
    <row r="18" spans="1:10" x14ac:dyDescent="0.2">
      <c r="A18" s="2" t="s">
        <v>56</v>
      </c>
      <c r="B18" s="2" t="s">
        <v>34</v>
      </c>
      <c r="C18" s="2" t="s">
        <v>52</v>
      </c>
      <c r="D18" s="2">
        <v>400</v>
      </c>
      <c r="E18" s="5">
        <v>45436</v>
      </c>
      <c r="F18" s="2">
        <v>8300</v>
      </c>
      <c r="G18" s="2" t="s">
        <v>17</v>
      </c>
      <c r="H18" s="2" t="s">
        <v>23</v>
      </c>
      <c r="I18" s="6">
        <v>0.06</v>
      </c>
      <c r="J18" s="2" t="str">
        <f t="shared" si="0"/>
        <v>2024-05</v>
      </c>
    </row>
    <row r="19" spans="1:10" x14ac:dyDescent="0.2">
      <c r="A19" s="2" t="s">
        <v>57</v>
      </c>
      <c r="B19" s="2" t="s">
        <v>25</v>
      </c>
      <c r="C19" s="2" t="s">
        <v>26</v>
      </c>
      <c r="D19" s="2">
        <v>105</v>
      </c>
      <c r="E19" s="5">
        <v>45435</v>
      </c>
      <c r="F19" s="2">
        <v>390</v>
      </c>
      <c r="G19" s="2" t="s">
        <v>58</v>
      </c>
      <c r="H19" s="2" t="s">
        <v>23</v>
      </c>
      <c r="I19" s="6">
        <v>0.25</v>
      </c>
      <c r="J19" s="2" t="str">
        <f t="shared" si="0"/>
        <v>2024-05</v>
      </c>
    </row>
    <row r="20" spans="1:10" x14ac:dyDescent="0.2">
      <c r="A20" s="2" t="s">
        <v>59</v>
      </c>
      <c r="B20" s="2" t="s">
        <v>60</v>
      </c>
      <c r="C20" s="2" t="s">
        <v>61</v>
      </c>
      <c r="D20" s="2">
        <v>300</v>
      </c>
      <c r="E20" s="5">
        <v>45434</v>
      </c>
      <c r="F20" s="2">
        <v>643</v>
      </c>
      <c r="G20" s="2" t="s">
        <v>62</v>
      </c>
      <c r="H20" s="2" t="s">
        <v>23</v>
      </c>
      <c r="I20" s="6">
        <v>0.25</v>
      </c>
      <c r="J20" s="2" t="str">
        <f t="shared" si="0"/>
        <v>2024-05</v>
      </c>
    </row>
    <row r="21" spans="1:10" x14ac:dyDescent="0.2">
      <c r="A21" s="2" t="s">
        <v>63</v>
      </c>
      <c r="B21" s="2" t="s">
        <v>64</v>
      </c>
      <c r="C21" s="2" t="s">
        <v>32</v>
      </c>
      <c r="D21" s="2">
        <v>180</v>
      </c>
      <c r="E21" s="5">
        <v>45434</v>
      </c>
      <c r="F21" s="2">
        <v>899</v>
      </c>
      <c r="G21" s="2" t="s">
        <v>17</v>
      </c>
      <c r="H21" s="2" t="s">
        <v>23</v>
      </c>
      <c r="I21" s="6">
        <v>1</v>
      </c>
      <c r="J21" s="2" t="str">
        <f t="shared" si="0"/>
        <v>2024-05</v>
      </c>
    </row>
    <row r="22" spans="1:10" x14ac:dyDescent="0.2">
      <c r="A22" s="2" t="s">
        <v>65</v>
      </c>
      <c r="B22" s="2" t="s">
        <v>34</v>
      </c>
      <c r="C22" s="2" t="s">
        <v>11</v>
      </c>
      <c r="D22" s="2" t="s">
        <v>2954</v>
      </c>
      <c r="E22" s="5">
        <v>45434</v>
      </c>
      <c r="F22" s="2">
        <v>272</v>
      </c>
      <c r="G22" s="2" t="s">
        <v>66</v>
      </c>
      <c r="H22" s="2" t="s">
        <v>23</v>
      </c>
      <c r="I22" s="6">
        <v>0.3</v>
      </c>
      <c r="J22" s="2" t="str">
        <f t="shared" si="0"/>
        <v>2024-05</v>
      </c>
    </row>
    <row r="23" spans="1:10" x14ac:dyDescent="0.2">
      <c r="A23" s="2" t="s">
        <v>67</v>
      </c>
      <c r="B23" s="2" t="s">
        <v>25</v>
      </c>
      <c r="C23" s="2" t="s">
        <v>68</v>
      </c>
      <c r="D23" s="2" t="s">
        <v>2954</v>
      </c>
      <c r="E23" s="5">
        <v>45431</v>
      </c>
      <c r="F23" s="2">
        <v>38</v>
      </c>
      <c r="G23" s="2" t="s">
        <v>37</v>
      </c>
      <c r="H23" s="2" t="s">
        <v>23</v>
      </c>
      <c r="I23" s="6">
        <v>1</v>
      </c>
      <c r="J23" s="2" t="str">
        <f t="shared" si="0"/>
        <v>2024-05</v>
      </c>
    </row>
    <row r="24" spans="1:10" x14ac:dyDescent="0.2">
      <c r="A24" s="2" t="s">
        <v>69</v>
      </c>
      <c r="B24" s="2" t="s">
        <v>70</v>
      </c>
      <c r="C24" s="2" t="s">
        <v>71</v>
      </c>
      <c r="D24" s="2">
        <v>4000</v>
      </c>
      <c r="E24" s="5">
        <v>45428</v>
      </c>
      <c r="F24" s="2" t="s">
        <v>2954</v>
      </c>
      <c r="G24" s="2" t="s">
        <v>12</v>
      </c>
      <c r="H24" s="2" t="s">
        <v>72</v>
      </c>
      <c r="I24" s="6" t="s">
        <v>2954</v>
      </c>
      <c r="J24" s="2" t="str">
        <f t="shared" si="0"/>
        <v>2024-05</v>
      </c>
    </row>
    <row r="25" spans="1:10" x14ac:dyDescent="0.2">
      <c r="A25" s="2" t="s">
        <v>73</v>
      </c>
      <c r="B25" s="2" t="s">
        <v>74</v>
      </c>
      <c r="C25" s="2" t="s">
        <v>16</v>
      </c>
      <c r="D25" s="2">
        <v>60</v>
      </c>
      <c r="E25" s="5">
        <v>45428</v>
      </c>
      <c r="F25" s="2">
        <v>1300</v>
      </c>
      <c r="G25" s="2" t="s">
        <v>75</v>
      </c>
      <c r="H25" s="2" t="s">
        <v>76</v>
      </c>
      <c r="I25" s="6" t="s">
        <v>2954</v>
      </c>
      <c r="J25" s="2" t="str">
        <f t="shared" si="0"/>
        <v>2024-05</v>
      </c>
    </row>
    <row r="26" spans="1:10" x14ac:dyDescent="0.2">
      <c r="A26" s="2" t="s">
        <v>77</v>
      </c>
      <c r="B26" s="2" t="s">
        <v>34</v>
      </c>
      <c r="C26" s="2" t="s">
        <v>78</v>
      </c>
      <c r="D26" s="2">
        <v>30</v>
      </c>
      <c r="E26" s="5">
        <v>45428</v>
      </c>
      <c r="F26" s="2">
        <v>222</v>
      </c>
      <c r="G26" s="2" t="s">
        <v>12</v>
      </c>
      <c r="H26" s="2" t="s">
        <v>23</v>
      </c>
      <c r="I26" s="6">
        <v>0.2</v>
      </c>
      <c r="J26" s="2" t="str">
        <f t="shared" si="0"/>
        <v>2024-05</v>
      </c>
    </row>
    <row r="27" spans="1:10" x14ac:dyDescent="0.2">
      <c r="A27" s="2" t="s">
        <v>79</v>
      </c>
      <c r="B27" s="2" t="s">
        <v>80</v>
      </c>
      <c r="C27" s="2" t="s">
        <v>11</v>
      </c>
      <c r="D27" s="2" t="s">
        <v>2954</v>
      </c>
      <c r="E27" s="5">
        <v>45428</v>
      </c>
      <c r="F27" s="2">
        <v>3400</v>
      </c>
      <c r="G27" s="2" t="s">
        <v>81</v>
      </c>
      <c r="H27" s="2" t="s">
        <v>23</v>
      </c>
      <c r="I27" s="6">
        <v>0.06</v>
      </c>
      <c r="J27" s="2" t="str">
        <f t="shared" si="0"/>
        <v>2024-05</v>
      </c>
    </row>
    <row r="28" spans="1:10" x14ac:dyDescent="0.2">
      <c r="A28" s="2" t="s">
        <v>82</v>
      </c>
      <c r="B28" s="2" t="s">
        <v>54</v>
      </c>
      <c r="C28" s="2" t="s">
        <v>52</v>
      </c>
      <c r="D28" s="2" t="s">
        <v>2954</v>
      </c>
      <c r="E28" s="5">
        <v>45428</v>
      </c>
      <c r="F28" s="2">
        <v>39</v>
      </c>
      <c r="G28" s="2" t="s">
        <v>45</v>
      </c>
      <c r="H28" s="2" t="s">
        <v>55</v>
      </c>
      <c r="I28" s="6">
        <v>1</v>
      </c>
      <c r="J28" s="2" t="str">
        <f t="shared" si="0"/>
        <v>2024-05</v>
      </c>
    </row>
    <row r="29" spans="1:10" x14ac:dyDescent="0.2">
      <c r="A29" s="2" t="s">
        <v>83</v>
      </c>
      <c r="B29" s="2" t="s">
        <v>28</v>
      </c>
      <c r="C29" s="2" t="s">
        <v>84</v>
      </c>
      <c r="D29" s="2" t="s">
        <v>2954</v>
      </c>
      <c r="E29" s="5">
        <v>45428</v>
      </c>
      <c r="F29" s="2" t="s">
        <v>2954</v>
      </c>
      <c r="G29" s="2" t="s">
        <v>66</v>
      </c>
      <c r="H29" s="2" t="s">
        <v>23</v>
      </c>
      <c r="I29" s="6">
        <v>0.3</v>
      </c>
      <c r="J29" s="2" t="str">
        <f t="shared" si="0"/>
        <v>2024-05</v>
      </c>
    </row>
    <row r="30" spans="1:10" x14ac:dyDescent="0.2">
      <c r="A30" s="2" t="s">
        <v>85</v>
      </c>
      <c r="B30" s="2" t="s">
        <v>86</v>
      </c>
      <c r="C30" s="2" t="s">
        <v>29</v>
      </c>
      <c r="D30" s="2">
        <v>100</v>
      </c>
      <c r="E30" s="5">
        <v>45427</v>
      </c>
      <c r="F30" s="2">
        <v>214</v>
      </c>
      <c r="G30" s="2" t="s">
        <v>75</v>
      </c>
      <c r="H30" s="2" t="s">
        <v>23</v>
      </c>
      <c r="I30" s="6" t="s">
        <v>2954</v>
      </c>
      <c r="J30" s="2" t="str">
        <f t="shared" si="0"/>
        <v>2024-05</v>
      </c>
    </row>
    <row r="31" spans="1:10" x14ac:dyDescent="0.2">
      <c r="A31" s="2" t="s">
        <v>87</v>
      </c>
      <c r="B31" s="2" t="s">
        <v>47</v>
      </c>
      <c r="C31" s="2" t="s">
        <v>29</v>
      </c>
      <c r="D31" s="2">
        <v>36</v>
      </c>
      <c r="E31" s="5">
        <v>45427</v>
      </c>
      <c r="F31" s="2">
        <v>49</v>
      </c>
      <c r="G31" s="2" t="s">
        <v>37</v>
      </c>
      <c r="H31" s="2" t="s">
        <v>23</v>
      </c>
      <c r="I31" s="6" t="s">
        <v>2954</v>
      </c>
      <c r="J31" s="2" t="str">
        <f t="shared" si="0"/>
        <v>2024-05</v>
      </c>
    </row>
    <row r="32" spans="1:10" x14ac:dyDescent="0.2">
      <c r="A32" s="2" t="s">
        <v>88</v>
      </c>
      <c r="B32" s="2" t="s">
        <v>89</v>
      </c>
      <c r="C32" s="2" t="s">
        <v>16</v>
      </c>
      <c r="D32" s="2" t="s">
        <v>2954</v>
      </c>
      <c r="E32" s="5">
        <v>45426</v>
      </c>
      <c r="F32" s="2">
        <v>3</v>
      </c>
      <c r="G32" s="2" t="s">
        <v>12</v>
      </c>
      <c r="H32" s="2" t="s">
        <v>23</v>
      </c>
      <c r="I32" s="6">
        <v>1</v>
      </c>
      <c r="J32" s="2" t="str">
        <f t="shared" si="0"/>
        <v>2024-05</v>
      </c>
    </row>
    <row r="33" spans="1:10" x14ac:dyDescent="0.2">
      <c r="A33" s="2" t="s">
        <v>90</v>
      </c>
      <c r="B33" s="2" t="s">
        <v>86</v>
      </c>
      <c r="C33" s="2" t="s">
        <v>68</v>
      </c>
      <c r="D33" s="2">
        <v>1000</v>
      </c>
      <c r="E33" s="5">
        <v>45425</v>
      </c>
      <c r="F33" s="2">
        <v>5</v>
      </c>
      <c r="G33" s="2" t="s">
        <v>45</v>
      </c>
      <c r="H33" s="2" t="s">
        <v>23</v>
      </c>
      <c r="I33" s="6">
        <v>0.08</v>
      </c>
      <c r="J33" s="2" t="str">
        <f t="shared" si="0"/>
        <v>2024-05</v>
      </c>
    </row>
    <row r="34" spans="1:10" x14ac:dyDescent="0.2">
      <c r="A34" s="2" t="s">
        <v>91</v>
      </c>
      <c r="B34" s="2" t="s">
        <v>92</v>
      </c>
      <c r="C34" s="2" t="s">
        <v>52</v>
      </c>
      <c r="D34" s="2">
        <v>550</v>
      </c>
      <c r="E34" s="5">
        <v>45422</v>
      </c>
      <c r="F34" s="2" t="s">
        <v>2954</v>
      </c>
      <c r="G34" s="2" t="s">
        <v>12</v>
      </c>
      <c r="H34" s="2" t="s">
        <v>23</v>
      </c>
      <c r="I34" s="6">
        <v>0.4</v>
      </c>
      <c r="J34" s="2" t="str">
        <f t="shared" si="0"/>
        <v>2024-05</v>
      </c>
    </row>
    <row r="35" spans="1:10" x14ac:dyDescent="0.2">
      <c r="A35" s="2" t="s">
        <v>93</v>
      </c>
      <c r="B35" s="2" t="s">
        <v>47</v>
      </c>
      <c r="C35" s="2" t="s">
        <v>52</v>
      </c>
      <c r="D35" s="2">
        <v>120</v>
      </c>
      <c r="E35" s="5">
        <v>45422</v>
      </c>
      <c r="F35" s="2">
        <v>10700</v>
      </c>
      <c r="G35" s="2" t="s">
        <v>17</v>
      </c>
      <c r="H35" s="2" t="s">
        <v>23</v>
      </c>
      <c r="I35" s="6" t="s">
        <v>2954</v>
      </c>
      <c r="J35" s="2" t="str">
        <f t="shared" si="0"/>
        <v>2024-05</v>
      </c>
    </row>
    <row r="36" spans="1:10" x14ac:dyDescent="0.2">
      <c r="A36" s="2" t="s">
        <v>33</v>
      </c>
      <c r="B36" s="2" t="s">
        <v>34</v>
      </c>
      <c r="C36" s="2" t="s">
        <v>35</v>
      </c>
      <c r="D36" s="2">
        <v>57</v>
      </c>
      <c r="E36" s="5">
        <v>45422</v>
      </c>
      <c r="F36" s="2">
        <v>26</v>
      </c>
      <c r="G36" s="2" t="s">
        <v>17</v>
      </c>
      <c r="H36" s="2" t="s">
        <v>23</v>
      </c>
      <c r="I36" s="6" t="s">
        <v>2954</v>
      </c>
      <c r="J36" s="2" t="str">
        <f t="shared" si="0"/>
        <v>2024-05</v>
      </c>
    </row>
    <row r="37" spans="1:10" x14ac:dyDescent="0.2">
      <c r="A37" s="2" t="s">
        <v>94</v>
      </c>
      <c r="B37" s="2" t="s">
        <v>43</v>
      </c>
      <c r="C37" s="2" t="s">
        <v>44</v>
      </c>
      <c r="D37" s="2">
        <v>800</v>
      </c>
      <c r="E37" s="5">
        <v>45421</v>
      </c>
      <c r="F37" s="2">
        <v>834</v>
      </c>
      <c r="G37" s="2" t="s">
        <v>17</v>
      </c>
      <c r="H37" s="2" t="s">
        <v>23</v>
      </c>
      <c r="I37" s="6">
        <v>0.13</v>
      </c>
      <c r="J37" s="2" t="str">
        <f t="shared" si="0"/>
        <v>2024-05</v>
      </c>
    </row>
    <row r="38" spans="1:10" x14ac:dyDescent="0.2">
      <c r="A38" s="2" t="s">
        <v>95</v>
      </c>
      <c r="B38" s="2" t="s">
        <v>15</v>
      </c>
      <c r="C38" s="2" t="s">
        <v>32</v>
      </c>
      <c r="D38" s="2">
        <v>40</v>
      </c>
      <c r="E38" s="5">
        <v>45421</v>
      </c>
      <c r="F38" s="2">
        <v>124</v>
      </c>
      <c r="G38" s="2" t="s">
        <v>75</v>
      </c>
      <c r="H38" s="2" t="s">
        <v>18</v>
      </c>
      <c r="I38" s="6">
        <v>0.3</v>
      </c>
      <c r="J38" s="2" t="str">
        <f t="shared" si="0"/>
        <v>2024-05</v>
      </c>
    </row>
    <row r="39" spans="1:10" x14ac:dyDescent="0.2">
      <c r="A39" s="2" t="s">
        <v>96</v>
      </c>
      <c r="B39" s="2" t="s">
        <v>97</v>
      </c>
      <c r="C39" s="2" t="s">
        <v>61</v>
      </c>
      <c r="D39" s="2">
        <v>145</v>
      </c>
      <c r="E39" s="5">
        <v>45420</v>
      </c>
      <c r="F39" s="2" t="s">
        <v>2954</v>
      </c>
      <c r="G39" s="2" t="s">
        <v>45</v>
      </c>
      <c r="H39" s="2" t="s">
        <v>98</v>
      </c>
      <c r="I39" s="6">
        <v>0.25</v>
      </c>
      <c r="J39" s="2" t="str">
        <f t="shared" si="0"/>
        <v>2024-05</v>
      </c>
    </row>
    <row r="40" spans="1:10" x14ac:dyDescent="0.2">
      <c r="A40" s="2" t="s">
        <v>99</v>
      </c>
      <c r="B40" s="2" t="s">
        <v>100</v>
      </c>
      <c r="C40" s="2" t="s">
        <v>16</v>
      </c>
      <c r="D40" s="2">
        <v>100</v>
      </c>
      <c r="E40" s="5">
        <v>45420</v>
      </c>
      <c r="F40" s="2">
        <v>72</v>
      </c>
      <c r="G40" s="2" t="s">
        <v>37</v>
      </c>
      <c r="H40" s="2" t="s">
        <v>98</v>
      </c>
      <c r="I40" s="6">
        <v>0.15</v>
      </c>
      <c r="J40" s="2" t="str">
        <f t="shared" si="0"/>
        <v>2024-05</v>
      </c>
    </row>
    <row r="41" spans="1:10" x14ac:dyDescent="0.2">
      <c r="A41" s="2" t="s">
        <v>101</v>
      </c>
      <c r="B41" s="2" t="s">
        <v>86</v>
      </c>
      <c r="C41" s="2" t="s">
        <v>35</v>
      </c>
      <c r="D41" s="2">
        <v>96</v>
      </c>
      <c r="E41" s="5">
        <v>45420</v>
      </c>
      <c r="F41" s="2" t="s">
        <v>2954</v>
      </c>
      <c r="G41" s="2" t="s">
        <v>12</v>
      </c>
      <c r="H41" s="2" t="s">
        <v>23</v>
      </c>
      <c r="I41" s="6">
        <v>1</v>
      </c>
      <c r="J41" s="2" t="str">
        <f t="shared" si="0"/>
        <v>2024-05</v>
      </c>
    </row>
    <row r="42" spans="1:10" x14ac:dyDescent="0.2">
      <c r="A42" s="2" t="s">
        <v>102</v>
      </c>
      <c r="B42" s="2" t="s">
        <v>34</v>
      </c>
      <c r="C42" s="2" t="s">
        <v>103</v>
      </c>
      <c r="D42" s="2" t="s">
        <v>2954</v>
      </c>
      <c r="E42" s="5">
        <v>45420</v>
      </c>
      <c r="F42" s="2">
        <v>64</v>
      </c>
      <c r="G42" s="2" t="s">
        <v>37</v>
      </c>
      <c r="H42" s="2" t="s">
        <v>23</v>
      </c>
      <c r="I42" s="6">
        <v>1</v>
      </c>
      <c r="J42" s="2" t="str">
        <f t="shared" si="0"/>
        <v>2024-05</v>
      </c>
    </row>
    <row r="43" spans="1:10" x14ac:dyDescent="0.2">
      <c r="A43" s="2" t="s">
        <v>104</v>
      </c>
      <c r="B43" s="2" t="s">
        <v>105</v>
      </c>
      <c r="C43" s="2" t="s">
        <v>29</v>
      </c>
      <c r="D43" s="2" t="s">
        <v>2954</v>
      </c>
      <c r="E43" s="5">
        <v>45420</v>
      </c>
      <c r="F43" s="2">
        <v>79</v>
      </c>
      <c r="G43" s="2" t="s">
        <v>17</v>
      </c>
      <c r="H43" s="2" t="s">
        <v>106</v>
      </c>
      <c r="I43" s="6">
        <v>0.06</v>
      </c>
      <c r="J43" s="2" t="str">
        <f t="shared" si="0"/>
        <v>2024-05</v>
      </c>
    </row>
    <row r="44" spans="1:10" x14ac:dyDescent="0.2">
      <c r="A44" s="2" t="s">
        <v>107</v>
      </c>
      <c r="B44" s="2" t="s">
        <v>54</v>
      </c>
      <c r="C44" s="2" t="s">
        <v>29</v>
      </c>
      <c r="D44" s="2" t="s">
        <v>2954</v>
      </c>
      <c r="E44" s="5">
        <v>45419</v>
      </c>
      <c r="F44" s="2">
        <v>1000</v>
      </c>
      <c r="G44" s="2" t="s">
        <v>75</v>
      </c>
      <c r="H44" s="2" t="s">
        <v>55</v>
      </c>
      <c r="I44" s="6" t="s">
        <v>2954</v>
      </c>
      <c r="J44" s="2" t="str">
        <f t="shared" si="0"/>
        <v>2024-05</v>
      </c>
    </row>
    <row r="45" spans="1:10" x14ac:dyDescent="0.2">
      <c r="A45" s="2" t="s">
        <v>108</v>
      </c>
      <c r="B45" s="2" t="s">
        <v>34</v>
      </c>
      <c r="C45" s="2" t="s">
        <v>109</v>
      </c>
      <c r="D45" s="2">
        <v>170</v>
      </c>
      <c r="E45" s="5">
        <v>45418</v>
      </c>
      <c r="F45" s="2">
        <v>516</v>
      </c>
      <c r="G45" s="2" t="s">
        <v>17</v>
      </c>
      <c r="H45" s="2" t="s">
        <v>23</v>
      </c>
      <c r="I45" s="6">
        <v>0.33</v>
      </c>
      <c r="J45" s="2" t="str">
        <f t="shared" si="0"/>
        <v>2024-05</v>
      </c>
    </row>
    <row r="46" spans="1:10" x14ac:dyDescent="0.2">
      <c r="A46" s="2" t="s">
        <v>63</v>
      </c>
      <c r="B46" s="2" t="s">
        <v>64</v>
      </c>
      <c r="C46" s="2" t="s">
        <v>32</v>
      </c>
      <c r="D46" s="2">
        <v>230</v>
      </c>
      <c r="E46" s="5">
        <v>45415</v>
      </c>
      <c r="F46" s="2">
        <v>899</v>
      </c>
      <c r="G46" s="2" t="s">
        <v>17</v>
      </c>
      <c r="H46" s="2" t="s">
        <v>23</v>
      </c>
      <c r="I46" s="6">
        <v>0.49</v>
      </c>
      <c r="J46" s="2" t="str">
        <f t="shared" si="0"/>
        <v>2024-05</v>
      </c>
    </row>
    <row r="47" spans="1:10" x14ac:dyDescent="0.2">
      <c r="A47" s="2" t="s">
        <v>93</v>
      </c>
      <c r="B47" s="2" t="s">
        <v>47</v>
      </c>
      <c r="C47" s="2" t="s">
        <v>52</v>
      </c>
      <c r="D47" s="2">
        <v>150</v>
      </c>
      <c r="E47" s="5">
        <v>45415</v>
      </c>
      <c r="F47" s="2">
        <v>10700</v>
      </c>
      <c r="G47" s="2" t="s">
        <v>17</v>
      </c>
      <c r="H47" s="2" t="s">
        <v>23</v>
      </c>
      <c r="I47" s="6" t="s">
        <v>2954</v>
      </c>
      <c r="J47" s="2" t="str">
        <f t="shared" si="0"/>
        <v>2024-05</v>
      </c>
    </row>
    <row r="48" spans="1:10" x14ac:dyDescent="0.2">
      <c r="A48" s="2" t="s">
        <v>110</v>
      </c>
      <c r="B48" s="2" t="s">
        <v>111</v>
      </c>
      <c r="C48" s="2" t="s">
        <v>52</v>
      </c>
      <c r="D48" s="2">
        <v>140</v>
      </c>
      <c r="E48" s="5">
        <v>45415</v>
      </c>
      <c r="F48" s="2">
        <v>780</v>
      </c>
      <c r="G48" s="2" t="s">
        <v>17</v>
      </c>
      <c r="H48" s="2" t="s">
        <v>23</v>
      </c>
      <c r="I48" s="6">
        <v>0.2</v>
      </c>
      <c r="J48" s="2" t="str">
        <f t="shared" si="0"/>
        <v>2024-05</v>
      </c>
    </row>
    <row r="49" spans="1:10" x14ac:dyDescent="0.2">
      <c r="A49" s="2" t="s">
        <v>112</v>
      </c>
      <c r="B49" s="2" t="s">
        <v>25</v>
      </c>
      <c r="C49" s="2" t="s">
        <v>113</v>
      </c>
      <c r="D49" s="2">
        <v>116</v>
      </c>
      <c r="E49" s="5">
        <v>45415</v>
      </c>
      <c r="F49" s="2">
        <v>429</v>
      </c>
      <c r="G49" s="2" t="s">
        <v>17</v>
      </c>
      <c r="H49" s="2" t="s">
        <v>23</v>
      </c>
      <c r="I49" s="6">
        <v>0.03</v>
      </c>
      <c r="J49" s="2" t="str">
        <f t="shared" si="0"/>
        <v>2024-05</v>
      </c>
    </row>
    <row r="50" spans="1:10" x14ac:dyDescent="0.2">
      <c r="A50" s="2" t="s">
        <v>114</v>
      </c>
      <c r="B50" s="2" t="s">
        <v>115</v>
      </c>
      <c r="C50" s="2" t="s">
        <v>22</v>
      </c>
      <c r="D50" s="2">
        <v>28</v>
      </c>
      <c r="E50" s="5">
        <v>45415</v>
      </c>
      <c r="F50" s="2">
        <v>932</v>
      </c>
      <c r="G50" s="2" t="s">
        <v>17</v>
      </c>
      <c r="H50" s="2" t="s">
        <v>23</v>
      </c>
      <c r="I50" s="6" t="s">
        <v>2954</v>
      </c>
      <c r="J50" s="2" t="str">
        <f t="shared" si="0"/>
        <v>2024-05</v>
      </c>
    </row>
    <row r="51" spans="1:10" x14ac:dyDescent="0.2">
      <c r="A51" s="2" t="s">
        <v>116</v>
      </c>
      <c r="B51" s="2" t="s">
        <v>25</v>
      </c>
      <c r="C51" s="2" t="s">
        <v>117</v>
      </c>
      <c r="D51" s="2">
        <v>400</v>
      </c>
      <c r="E51" s="5">
        <v>45414</v>
      </c>
      <c r="F51" s="2">
        <v>1900</v>
      </c>
      <c r="G51" s="2" t="s">
        <v>17</v>
      </c>
      <c r="H51" s="2" t="s">
        <v>23</v>
      </c>
      <c r="I51" s="6">
        <v>0.15</v>
      </c>
      <c r="J51" s="2" t="str">
        <f t="shared" si="0"/>
        <v>2024-05</v>
      </c>
    </row>
    <row r="52" spans="1:10" x14ac:dyDescent="0.2">
      <c r="A52" s="2" t="s">
        <v>118</v>
      </c>
      <c r="B52" s="2" t="s">
        <v>119</v>
      </c>
      <c r="C52" s="2" t="s">
        <v>52</v>
      </c>
      <c r="D52" s="2">
        <v>29</v>
      </c>
      <c r="E52" s="5">
        <v>45414</v>
      </c>
      <c r="F52" s="2">
        <v>601</v>
      </c>
      <c r="G52" s="2" t="s">
        <v>12</v>
      </c>
      <c r="H52" s="2" t="s">
        <v>120</v>
      </c>
      <c r="I52" s="6" t="s">
        <v>2954</v>
      </c>
      <c r="J52" s="2" t="str">
        <f t="shared" si="0"/>
        <v>2024-05</v>
      </c>
    </row>
    <row r="53" spans="1:10" x14ac:dyDescent="0.2">
      <c r="A53" s="2" t="s">
        <v>33</v>
      </c>
      <c r="B53" s="2" t="s">
        <v>34</v>
      </c>
      <c r="C53" s="2" t="s">
        <v>35</v>
      </c>
      <c r="D53" s="2">
        <v>200</v>
      </c>
      <c r="E53" s="5">
        <v>45413</v>
      </c>
      <c r="F53" s="2">
        <v>26</v>
      </c>
      <c r="G53" s="2" t="s">
        <v>17</v>
      </c>
      <c r="H53" s="2" t="s">
        <v>23</v>
      </c>
      <c r="I53" s="6" t="s">
        <v>2954</v>
      </c>
      <c r="J53" s="2" t="str">
        <f t="shared" si="0"/>
        <v>2024-05</v>
      </c>
    </row>
    <row r="54" spans="1:10" x14ac:dyDescent="0.2">
      <c r="A54" s="2" t="s">
        <v>121</v>
      </c>
      <c r="B54" s="2" t="s">
        <v>28</v>
      </c>
      <c r="C54" s="2" t="s">
        <v>16</v>
      </c>
      <c r="D54" s="2">
        <v>112</v>
      </c>
      <c r="E54" s="5">
        <v>45413</v>
      </c>
      <c r="F54" s="2" t="s">
        <v>2954</v>
      </c>
      <c r="G54" s="2" t="s">
        <v>45</v>
      </c>
      <c r="H54" s="2" t="s">
        <v>23</v>
      </c>
      <c r="I54" s="6">
        <v>1</v>
      </c>
      <c r="J54" s="2" t="str">
        <f t="shared" si="0"/>
        <v>2024-05</v>
      </c>
    </row>
    <row r="55" spans="1:10" x14ac:dyDescent="0.2">
      <c r="A55" s="2" t="s">
        <v>122</v>
      </c>
      <c r="B55" s="2" t="s">
        <v>123</v>
      </c>
      <c r="C55" s="2" t="s">
        <v>16</v>
      </c>
      <c r="D55" s="2" t="s">
        <v>2954</v>
      </c>
      <c r="E55" s="5">
        <v>45413</v>
      </c>
      <c r="F55" s="2">
        <v>38</v>
      </c>
      <c r="G55" s="2" t="s">
        <v>37</v>
      </c>
      <c r="H55" s="2" t="s">
        <v>23</v>
      </c>
      <c r="I55" s="6">
        <v>1</v>
      </c>
      <c r="J55" s="2" t="str">
        <f t="shared" si="0"/>
        <v>2024-05</v>
      </c>
    </row>
    <row r="56" spans="1:10" x14ac:dyDescent="0.2">
      <c r="A56" s="2" t="s">
        <v>124</v>
      </c>
      <c r="B56" s="2" t="s">
        <v>86</v>
      </c>
      <c r="C56" s="2" t="s">
        <v>52</v>
      </c>
      <c r="D56" s="2">
        <v>500</v>
      </c>
      <c r="E56" s="5">
        <v>45412</v>
      </c>
      <c r="F56" s="2">
        <v>20200</v>
      </c>
      <c r="G56" s="2" t="s">
        <v>17</v>
      </c>
      <c r="H56" s="2" t="s">
        <v>23</v>
      </c>
      <c r="I56" s="6" t="s">
        <v>2954</v>
      </c>
      <c r="J56" s="2" t="str">
        <f t="shared" si="0"/>
        <v>2024-04</v>
      </c>
    </row>
    <row r="57" spans="1:10" x14ac:dyDescent="0.2">
      <c r="A57" s="2" t="s">
        <v>125</v>
      </c>
      <c r="B57" s="2" t="s">
        <v>15</v>
      </c>
      <c r="C57" s="2" t="s">
        <v>16</v>
      </c>
      <c r="D57" s="2">
        <v>50</v>
      </c>
      <c r="E57" s="5">
        <v>45412</v>
      </c>
      <c r="F57" s="2">
        <v>30</v>
      </c>
      <c r="G57" s="2" t="s">
        <v>37</v>
      </c>
      <c r="H57" s="2" t="s">
        <v>18</v>
      </c>
      <c r="I57" s="6">
        <v>0.5</v>
      </c>
      <c r="J57" s="2" t="str">
        <f t="shared" si="0"/>
        <v>2024-04</v>
      </c>
    </row>
    <row r="58" spans="1:10" x14ac:dyDescent="0.2">
      <c r="A58" s="2" t="s">
        <v>126</v>
      </c>
      <c r="B58" s="2" t="s">
        <v>89</v>
      </c>
      <c r="C58" s="2" t="s">
        <v>32</v>
      </c>
      <c r="D58" s="2" t="s">
        <v>2954</v>
      </c>
      <c r="E58" s="5">
        <v>45412</v>
      </c>
      <c r="F58" s="2">
        <v>271</v>
      </c>
      <c r="G58" s="2" t="s">
        <v>17</v>
      </c>
      <c r="H58" s="2" t="s">
        <v>23</v>
      </c>
      <c r="I58" s="6">
        <v>0.46</v>
      </c>
      <c r="J58" s="2" t="str">
        <f t="shared" si="0"/>
        <v>2024-04</v>
      </c>
    </row>
    <row r="59" spans="1:10" x14ac:dyDescent="0.2">
      <c r="A59" s="2" t="s">
        <v>33</v>
      </c>
      <c r="B59" s="2" t="s">
        <v>34</v>
      </c>
      <c r="C59" s="2" t="s">
        <v>35</v>
      </c>
      <c r="D59" s="2" t="s">
        <v>2954</v>
      </c>
      <c r="E59" s="5">
        <v>45412</v>
      </c>
      <c r="F59" s="2">
        <v>26</v>
      </c>
      <c r="G59" s="2" t="s">
        <v>17</v>
      </c>
      <c r="H59" s="2" t="s">
        <v>23</v>
      </c>
      <c r="I59" s="6" t="s">
        <v>2954</v>
      </c>
      <c r="J59" s="2" t="str">
        <f t="shared" si="0"/>
        <v>2024-04</v>
      </c>
    </row>
    <row r="60" spans="1:10" x14ac:dyDescent="0.2">
      <c r="A60" s="2" t="s">
        <v>127</v>
      </c>
      <c r="B60" s="2" t="s">
        <v>54</v>
      </c>
      <c r="C60" s="2" t="s">
        <v>11</v>
      </c>
      <c r="D60" s="2">
        <v>3300</v>
      </c>
      <c r="E60" s="5">
        <v>45411</v>
      </c>
      <c r="F60" s="2">
        <v>1800</v>
      </c>
      <c r="G60" s="2" t="s">
        <v>128</v>
      </c>
      <c r="H60" s="2" t="s">
        <v>55</v>
      </c>
      <c r="I60" s="6" t="s">
        <v>2954</v>
      </c>
      <c r="J60" s="2" t="str">
        <f t="shared" si="0"/>
        <v>2024-04</v>
      </c>
    </row>
    <row r="61" spans="1:10" x14ac:dyDescent="0.2">
      <c r="A61" s="2" t="s">
        <v>129</v>
      </c>
      <c r="B61" s="2" t="s">
        <v>100</v>
      </c>
      <c r="C61" s="2" t="s">
        <v>52</v>
      </c>
      <c r="D61" s="2">
        <v>180</v>
      </c>
      <c r="E61" s="5">
        <v>45411</v>
      </c>
      <c r="F61" s="2">
        <v>5000</v>
      </c>
      <c r="G61" s="2" t="s">
        <v>130</v>
      </c>
      <c r="H61" s="2" t="s">
        <v>98</v>
      </c>
      <c r="I61" s="6">
        <v>0.1</v>
      </c>
      <c r="J61" s="2" t="str">
        <f t="shared" si="0"/>
        <v>2024-04</v>
      </c>
    </row>
    <row r="62" spans="1:10" x14ac:dyDescent="0.2">
      <c r="A62" s="2" t="s">
        <v>131</v>
      </c>
      <c r="B62" s="2" t="s">
        <v>47</v>
      </c>
      <c r="C62" s="2" t="s">
        <v>16</v>
      </c>
      <c r="D62" s="2" t="s">
        <v>2954</v>
      </c>
      <c r="E62" s="5">
        <v>45411</v>
      </c>
      <c r="F62" s="2">
        <v>6</v>
      </c>
      <c r="G62" s="2" t="s">
        <v>132</v>
      </c>
      <c r="H62" s="2" t="s">
        <v>23</v>
      </c>
      <c r="I62" s="6">
        <v>1</v>
      </c>
      <c r="J62" s="2" t="str">
        <f t="shared" si="0"/>
        <v>2024-04</v>
      </c>
    </row>
    <row r="63" spans="1:10" x14ac:dyDescent="0.2">
      <c r="A63" s="2" t="s">
        <v>51</v>
      </c>
      <c r="B63" s="2" t="s">
        <v>47</v>
      </c>
      <c r="C63" s="2" t="s">
        <v>52</v>
      </c>
      <c r="D63" s="2" t="s">
        <v>2954</v>
      </c>
      <c r="E63" s="5">
        <v>45411</v>
      </c>
      <c r="F63" s="2">
        <v>1700</v>
      </c>
      <c r="G63" s="2" t="s">
        <v>17</v>
      </c>
      <c r="H63" s="2" t="s">
        <v>23</v>
      </c>
      <c r="I63" s="6" t="s">
        <v>2954</v>
      </c>
      <c r="J63" s="2" t="str">
        <f t="shared" si="0"/>
        <v>2024-04</v>
      </c>
    </row>
    <row r="64" spans="1:10" x14ac:dyDescent="0.2">
      <c r="A64" s="2" t="s">
        <v>133</v>
      </c>
      <c r="B64" s="2" t="s">
        <v>100</v>
      </c>
      <c r="C64" s="2" t="s">
        <v>32</v>
      </c>
      <c r="D64" s="2">
        <v>150</v>
      </c>
      <c r="E64" s="5">
        <v>45409</v>
      </c>
      <c r="F64" s="2">
        <v>130</v>
      </c>
      <c r="G64" s="2" t="s">
        <v>75</v>
      </c>
      <c r="H64" s="2" t="s">
        <v>98</v>
      </c>
      <c r="I64" s="6">
        <v>0.27</v>
      </c>
      <c r="J64" s="2" t="str">
        <f t="shared" si="0"/>
        <v>2024-04</v>
      </c>
    </row>
    <row r="65" spans="1:10" x14ac:dyDescent="0.2">
      <c r="A65" s="2" t="s">
        <v>134</v>
      </c>
      <c r="B65" s="2" t="s">
        <v>60</v>
      </c>
      <c r="C65" s="2" t="s">
        <v>135</v>
      </c>
      <c r="D65" s="2">
        <v>30</v>
      </c>
      <c r="E65" s="5">
        <v>45407</v>
      </c>
      <c r="F65" s="2">
        <v>158</v>
      </c>
      <c r="G65" s="2" t="s">
        <v>37</v>
      </c>
      <c r="H65" s="2" t="s">
        <v>23</v>
      </c>
      <c r="I65" s="6">
        <v>0.25</v>
      </c>
      <c r="J65" s="2" t="str">
        <f t="shared" si="0"/>
        <v>2024-04</v>
      </c>
    </row>
    <row r="66" spans="1:10" x14ac:dyDescent="0.2">
      <c r="A66" s="2" t="s">
        <v>136</v>
      </c>
      <c r="B66" s="2" t="s">
        <v>137</v>
      </c>
      <c r="C66" s="2" t="s">
        <v>26</v>
      </c>
      <c r="D66" s="2" t="s">
        <v>2954</v>
      </c>
      <c r="E66" s="5">
        <v>45407</v>
      </c>
      <c r="F66" s="2">
        <v>145</v>
      </c>
      <c r="G66" s="2" t="s">
        <v>37</v>
      </c>
      <c r="H66" s="2" t="s">
        <v>23</v>
      </c>
      <c r="I66" s="6" t="s">
        <v>2954</v>
      </c>
      <c r="J66" s="2" t="str">
        <f t="shared" si="0"/>
        <v>2024-04</v>
      </c>
    </row>
    <row r="67" spans="1:10" x14ac:dyDescent="0.2">
      <c r="A67" s="2" t="s">
        <v>138</v>
      </c>
      <c r="B67" s="2" t="s">
        <v>86</v>
      </c>
      <c r="C67" s="2" t="s">
        <v>44</v>
      </c>
      <c r="D67" s="2" t="s">
        <v>2954</v>
      </c>
      <c r="E67" s="5">
        <v>45406</v>
      </c>
      <c r="F67" s="2">
        <v>3300</v>
      </c>
      <c r="G67" s="2" t="s">
        <v>17</v>
      </c>
      <c r="H67" s="2" t="s">
        <v>23</v>
      </c>
      <c r="I67" s="6" t="s">
        <v>2954</v>
      </c>
      <c r="J67" s="2" t="str">
        <f t="shared" ref="J67:J130" si="1">TEXT(E67,"YYYY-MM")</f>
        <v>2024-04</v>
      </c>
    </row>
    <row r="68" spans="1:10" x14ac:dyDescent="0.2">
      <c r="A68" s="2" t="s">
        <v>139</v>
      </c>
      <c r="B68" s="2" t="s">
        <v>34</v>
      </c>
      <c r="C68" s="2" t="s">
        <v>32</v>
      </c>
      <c r="D68" s="2">
        <v>100</v>
      </c>
      <c r="E68" s="5">
        <v>45405</v>
      </c>
      <c r="F68" s="2">
        <v>1400</v>
      </c>
      <c r="G68" s="2" t="s">
        <v>128</v>
      </c>
      <c r="H68" s="2" t="s">
        <v>23</v>
      </c>
      <c r="I68" s="6">
        <v>0.2</v>
      </c>
      <c r="J68" s="2" t="str">
        <f t="shared" si="1"/>
        <v>2024-04</v>
      </c>
    </row>
    <row r="69" spans="1:10" x14ac:dyDescent="0.2">
      <c r="A69" s="2" t="s">
        <v>140</v>
      </c>
      <c r="B69" s="2" t="s">
        <v>141</v>
      </c>
      <c r="C69" s="2" t="s">
        <v>142</v>
      </c>
      <c r="D69" s="2">
        <v>100</v>
      </c>
      <c r="E69" s="5">
        <v>45405</v>
      </c>
      <c r="F69" s="2" t="s">
        <v>2954</v>
      </c>
      <c r="G69" s="2" t="s">
        <v>45</v>
      </c>
      <c r="H69" s="2" t="s">
        <v>143</v>
      </c>
      <c r="I69" s="6">
        <v>0.16</v>
      </c>
      <c r="J69" s="2" t="str">
        <f t="shared" si="1"/>
        <v>2024-04</v>
      </c>
    </row>
    <row r="70" spans="1:10" x14ac:dyDescent="0.2">
      <c r="A70" s="2" t="s">
        <v>144</v>
      </c>
      <c r="B70" s="2" t="s">
        <v>28</v>
      </c>
      <c r="C70" s="2" t="s">
        <v>32</v>
      </c>
      <c r="D70" s="2" t="s">
        <v>2954</v>
      </c>
      <c r="E70" s="5">
        <v>45405</v>
      </c>
      <c r="F70" s="2">
        <v>299</v>
      </c>
      <c r="G70" s="2" t="s">
        <v>45</v>
      </c>
      <c r="H70" s="2" t="s">
        <v>23</v>
      </c>
      <c r="I70" s="6" t="s">
        <v>2954</v>
      </c>
      <c r="J70" s="2" t="str">
        <f t="shared" si="1"/>
        <v>2024-04</v>
      </c>
    </row>
    <row r="71" spans="1:10" x14ac:dyDescent="0.2">
      <c r="A71" s="2" t="s">
        <v>145</v>
      </c>
      <c r="B71" s="2" t="s">
        <v>89</v>
      </c>
      <c r="C71" s="2" t="s">
        <v>78</v>
      </c>
      <c r="D71" s="2">
        <v>150</v>
      </c>
      <c r="E71" s="5">
        <v>45401</v>
      </c>
      <c r="F71" s="2">
        <v>802</v>
      </c>
      <c r="G71" s="2" t="s">
        <v>58</v>
      </c>
      <c r="H71" s="2" t="s">
        <v>23</v>
      </c>
      <c r="I71" s="6">
        <v>0.08</v>
      </c>
      <c r="J71" s="2" t="str">
        <f t="shared" si="1"/>
        <v>2024-04</v>
      </c>
    </row>
    <row r="72" spans="1:10" x14ac:dyDescent="0.2">
      <c r="A72" s="2" t="s">
        <v>146</v>
      </c>
      <c r="B72" s="2" t="s">
        <v>147</v>
      </c>
      <c r="C72" s="2" t="s">
        <v>148</v>
      </c>
      <c r="D72" s="2" t="s">
        <v>2954</v>
      </c>
      <c r="E72" s="5">
        <v>45401</v>
      </c>
      <c r="F72" s="2">
        <v>35</v>
      </c>
      <c r="G72" s="2" t="s">
        <v>37</v>
      </c>
      <c r="H72" s="2" t="s">
        <v>23</v>
      </c>
      <c r="I72" s="6" t="s">
        <v>2954</v>
      </c>
      <c r="J72" s="2" t="str">
        <f t="shared" si="1"/>
        <v>2024-04</v>
      </c>
    </row>
    <row r="73" spans="1:10" x14ac:dyDescent="0.2">
      <c r="A73" s="2" t="s">
        <v>149</v>
      </c>
      <c r="B73" s="2" t="s">
        <v>97</v>
      </c>
      <c r="C73" s="2" t="s">
        <v>142</v>
      </c>
      <c r="D73" s="2">
        <v>150</v>
      </c>
      <c r="E73" s="5">
        <v>45400</v>
      </c>
      <c r="F73" s="2">
        <v>180</v>
      </c>
      <c r="G73" s="2" t="s">
        <v>12</v>
      </c>
      <c r="H73" s="2" t="s">
        <v>98</v>
      </c>
      <c r="I73" s="6">
        <v>0.15</v>
      </c>
      <c r="J73" s="2" t="str">
        <f t="shared" si="1"/>
        <v>2024-04</v>
      </c>
    </row>
    <row r="74" spans="1:10" x14ac:dyDescent="0.2">
      <c r="A74" s="2" t="s">
        <v>150</v>
      </c>
      <c r="B74" s="2" t="s">
        <v>151</v>
      </c>
      <c r="C74" s="2" t="s">
        <v>26</v>
      </c>
      <c r="D74" s="2">
        <v>50</v>
      </c>
      <c r="E74" s="5">
        <v>45400</v>
      </c>
      <c r="F74" s="2">
        <v>159</v>
      </c>
      <c r="G74" s="2" t="s">
        <v>75</v>
      </c>
      <c r="H74" s="2" t="s">
        <v>152</v>
      </c>
      <c r="I74" s="6">
        <v>0.1</v>
      </c>
      <c r="J74" s="2" t="str">
        <f t="shared" si="1"/>
        <v>2024-04</v>
      </c>
    </row>
    <row r="75" spans="1:10" x14ac:dyDescent="0.2">
      <c r="A75" s="2" t="s">
        <v>153</v>
      </c>
      <c r="B75" s="2" t="s">
        <v>54</v>
      </c>
      <c r="C75" s="2" t="s">
        <v>154</v>
      </c>
      <c r="D75" s="2">
        <v>20</v>
      </c>
      <c r="E75" s="5">
        <v>45400</v>
      </c>
      <c r="F75" s="2">
        <v>174</v>
      </c>
      <c r="G75" s="2" t="s">
        <v>12</v>
      </c>
      <c r="H75" s="2" t="s">
        <v>55</v>
      </c>
      <c r="I75" s="6" t="s">
        <v>2954</v>
      </c>
      <c r="J75" s="2" t="str">
        <f t="shared" si="1"/>
        <v>2024-04</v>
      </c>
    </row>
    <row r="76" spans="1:10" x14ac:dyDescent="0.2">
      <c r="A76" s="2" t="s">
        <v>155</v>
      </c>
      <c r="B76" s="2" t="s">
        <v>60</v>
      </c>
      <c r="C76" s="2" t="s">
        <v>48</v>
      </c>
      <c r="D76" s="2" t="s">
        <v>2954</v>
      </c>
      <c r="E76" s="5">
        <v>45400</v>
      </c>
      <c r="F76" s="2">
        <v>400</v>
      </c>
      <c r="G76" s="2" t="s">
        <v>12</v>
      </c>
      <c r="H76" s="2" t="s">
        <v>23</v>
      </c>
      <c r="I76" s="6">
        <v>0.05</v>
      </c>
      <c r="J76" s="2" t="str">
        <f t="shared" si="1"/>
        <v>2024-04</v>
      </c>
    </row>
    <row r="77" spans="1:10" x14ac:dyDescent="0.2">
      <c r="A77" s="2" t="s">
        <v>156</v>
      </c>
      <c r="B77" s="2" t="s">
        <v>157</v>
      </c>
      <c r="C77" s="2" t="s">
        <v>29</v>
      </c>
      <c r="D77" s="2" t="s">
        <v>2954</v>
      </c>
      <c r="E77" s="5">
        <v>45399</v>
      </c>
      <c r="F77" s="2">
        <v>1</v>
      </c>
      <c r="G77" s="2" t="s">
        <v>45</v>
      </c>
      <c r="H77" s="2" t="s">
        <v>23</v>
      </c>
      <c r="I77" s="6" t="s">
        <v>2954</v>
      </c>
      <c r="J77" s="2" t="str">
        <f t="shared" si="1"/>
        <v>2024-04</v>
      </c>
    </row>
    <row r="78" spans="1:10" x14ac:dyDescent="0.2">
      <c r="A78" s="2" t="s">
        <v>33</v>
      </c>
      <c r="B78" s="2" t="s">
        <v>34</v>
      </c>
      <c r="C78" s="2" t="s">
        <v>35</v>
      </c>
      <c r="D78" s="2" t="s">
        <v>2954</v>
      </c>
      <c r="E78" s="5">
        <v>45399</v>
      </c>
      <c r="F78" s="2">
        <v>26</v>
      </c>
      <c r="G78" s="2" t="s">
        <v>17</v>
      </c>
      <c r="H78" s="2" t="s">
        <v>23</v>
      </c>
      <c r="I78" s="6" t="s">
        <v>2954</v>
      </c>
      <c r="J78" s="2" t="str">
        <f t="shared" si="1"/>
        <v>2024-04</v>
      </c>
    </row>
    <row r="79" spans="1:10" x14ac:dyDescent="0.2">
      <c r="A79" s="2" t="s">
        <v>93</v>
      </c>
      <c r="B79" s="2" t="s">
        <v>158</v>
      </c>
      <c r="C79" s="2" t="s">
        <v>52</v>
      </c>
      <c r="D79" s="2" t="s">
        <v>2954</v>
      </c>
      <c r="E79" s="5">
        <v>45399</v>
      </c>
      <c r="F79" s="2">
        <v>10700</v>
      </c>
      <c r="G79" s="2" t="s">
        <v>17</v>
      </c>
      <c r="H79" s="2" t="s">
        <v>23</v>
      </c>
      <c r="I79" s="6">
        <v>0.01</v>
      </c>
      <c r="J79" s="2" t="str">
        <f t="shared" si="1"/>
        <v>2024-04</v>
      </c>
    </row>
    <row r="80" spans="1:10" x14ac:dyDescent="0.2">
      <c r="A80" s="2" t="s">
        <v>159</v>
      </c>
      <c r="B80" s="2" t="s">
        <v>25</v>
      </c>
      <c r="C80" s="2" t="s">
        <v>35</v>
      </c>
      <c r="D80" s="2">
        <v>579</v>
      </c>
      <c r="E80" s="5">
        <v>45398</v>
      </c>
      <c r="F80" s="2">
        <v>4100</v>
      </c>
      <c r="G80" s="2" t="s">
        <v>17</v>
      </c>
      <c r="H80" s="2" t="s">
        <v>23</v>
      </c>
      <c r="I80" s="6">
        <v>0.05</v>
      </c>
      <c r="J80" s="2" t="str">
        <f t="shared" si="1"/>
        <v>2024-04</v>
      </c>
    </row>
    <row r="81" spans="1:10" x14ac:dyDescent="0.2">
      <c r="A81" s="2" t="s">
        <v>160</v>
      </c>
      <c r="B81" s="2" t="s">
        <v>34</v>
      </c>
      <c r="C81" s="2" t="s">
        <v>154</v>
      </c>
      <c r="D81" s="2">
        <v>12</v>
      </c>
      <c r="E81" s="5">
        <v>45398</v>
      </c>
      <c r="F81" s="2">
        <v>75</v>
      </c>
      <c r="G81" s="2" t="s">
        <v>37</v>
      </c>
      <c r="H81" s="2" t="s">
        <v>23</v>
      </c>
      <c r="I81" s="6">
        <v>0.25</v>
      </c>
      <c r="J81" s="2" t="str">
        <f t="shared" si="1"/>
        <v>2024-04</v>
      </c>
    </row>
    <row r="82" spans="1:10" x14ac:dyDescent="0.2">
      <c r="A82" s="2" t="s">
        <v>124</v>
      </c>
      <c r="B82" s="2" t="s">
        <v>86</v>
      </c>
      <c r="C82" s="2" t="s">
        <v>52</v>
      </c>
      <c r="D82" s="2">
        <v>14000</v>
      </c>
      <c r="E82" s="5">
        <v>45397</v>
      </c>
      <c r="F82" s="2">
        <v>20200</v>
      </c>
      <c r="G82" s="2" t="s">
        <v>17</v>
      </c>
      <c r="H82" s="2" t="s">
        <v>23</v>
      </c>
      <c r="I82" s="6">
        <v>0.1</v>
      </c>
      <c r="J82" s="2" t="str">
        <f t="shared" si="1"/>
        <v>2024-04</v>
      </c>
    </row>
    <row r="83" spans="1:10" x14ac:dyDescent="0.2">
      <c r="A83" s="2" t="s">
        <v>161</v>
      </c>
      <c r="B83" s="2" t="s">
        <v>162</v>
      </c>
      <c r="C83" s="2" t="s">
        <v>26</v>
      </c>
      <c r="D83" s="2">
        <v>140</v>
      </c>
      <c r="E83" s="5">
        <v>45394</v>
      </c>
      <c r="F83" s="2">
        <v>61</v>
      </c>
      <c r="G83" s="2" t="s">
        <v>17</v>
      </c>
      <c r="H83" s="2" t="s">
        <v>163</v>
      </c>
      <c r="I83" s="6">
        <v>0.04</v>
      </c>
      <c r="J83" s="2" t="str">
        <f t="shared" si="1"/>
        <v>2024-04</v>
      </c>
    </row>
    <row r="84" spans="1:10" x14ac:dyDescent="0.2">
      <c r="A84" s="2" t="s">
        <v>164</v>
      </c>
      <c r="B84" s="2" t="s">
        <v>165</v>
      </c>
      <c r="C84" s="2" t="s">
        <v>11</v>
      </c>
      <c r="D84" s="2">
        <v>25</v>
      </c>
      <c r="E84" s="5">
        <v>45394</v>
      </c>
      <c r="F84" s="2">
        <v>1200</v>
      </c>
      <c r="G84" s="2" t="s">
        <v>45</v>
      </c>
      <c r="H84" s="2" t="s">
        <v>120</v>
      </c>
      <c r="I84" s="6" t="s">
        <v>2954</v>
      </c>
      <c r="J84" s="2" t="str">
        <f t="shared" si="1"/>
        <v>2024-04</v>
      </c>
    </row>
    <row r="85" spans="1:10" x14ac:dyDescent="0.2">
      <c r="A85" s="2" t="s">
        <v>166</v>
      </c>
      <c r="B85" s="2" t="s">
        <v>167</v>
      </c>
      <c r="C85" s="2" t="s">
        <v>35</v>
      </c>
      <c r="D85" s="2">
        <v>250</v>
      </c>
      <c r="E85" s="5">
        <v>45393</v>
      </c>
      <c r="F85" s="2" t="s">
        <v>2954</v>
      </c>
      <c r="G85" s="2" t="s">
        <v>45</v>
      </c>
      <c r="H85" s="2" t="s">
        <v>168</v>
      </c>
      <c r="I85" s="6" t="s">
        <v>2954</v>
      </c>
      <c r="J85" s="2" t="str">
        <f t="shared" si="1"/>
        <v>2024-04</v>
      </c>
    </row>
    <row r="86" spans="1:10" x14ac:dyDescent="0.2">
      <c r="A86" s="2" t="s">
        <v>169</v>
      </c>
      <c r="B86" s="2" t="s">
        <v>25</v>
      </c>
      <c r="C86" s="2" t="s">
        <v>170</v>
      </c>
      <c r="D86" s="2">
        <v>30</v>
      </c>
      <c r="E86" s="5">
        <v>45393</v>
      </c>
      <c r="F86" s="2">
        <v>336</v>
      </c>
      <c r="G86" s="2" t="s">
        <v>66</v>
      </c>
      <c r="H86" s="2" t="s">
        <v>23</v>
      </c>
      <c r="I86" s="6">
        <v>0.15</v>
      </c>
      <c r="J86" s="2" t="str">
        <f t="shared" si="1"/>
        <v>2024-04</v>
      </c>
    </row>
    <row r="87" spans="1:10" x14ac:dyDescent="0.2">
      <c r="A87" s="2" t="s">
        <v>171</v>
      </c>
      <c r="B87" s="2" t="s">
        <v>34</v>
      </c>
      <c r="C87" s="2" t="s">
        <v>32</v>
      </c>
      <c r="D87" s="2" t="s">
        <v>2954</v>
      </c>
      <c r="E87" s="5">
        <v>45393</v>
      </c>
      <c r="F87" s="2">
        <v>826</v>
      </c>
      <c r="G87" s="2" t="s">
        <v>128</v>
      </c>
      <c r="H87" s="2" t="s">
        <v>23</v>
      </c>
      <c r="I87" s="6">
        <v>0.1</v>
      </c>
      <c r="J87" s="2" t="str">
        <f t="shared" si="1"/>
        <v>2024-04</v>
      </c>
    </row>
    <row r="88" spans="1:10" x14ac:dyDescent="0.2">
      <c r="A88" s="2" t="s">
        <v>172</v>
      </c>
      <c r="B88" s="2" t="s">
        <v>54</v>
      </c>
      <c r="C88" s="2" t="s">
        <v>32</v>
      </c>
      <c r="D88" s="2" t="s">
        <v>2954</v>
      </c>
      <c r="E88" s="5">
        <v>45393</v>
      </c>
      <c r="F88" s="2">
        <v>89</v>
      </c>
      <c r="G88" s="2" t="s">
        <v>37</v>
      </c>
      <c r="H88" s="2" t="s">
        <v>55</v>
      </c>
      <c r="I88" s="6">
        <v>0.2</v>
      </c>
      <c r="J88" s="2" t="str">
        <f t="shared" si="1"/>
        <v>2024-04</v>
      </c>
    </row>
    <row r="89" spans="1:10" x14ac:dyDescent="0.2">
      <c r="A89" s="2" t="s">
        <v>173</v>
      </c>
      <c r="B89" s="2" t="s">
        <v>174</v>
      </c>
      <c r="C89" s="2" t="s">
        <v>11</v>
      </c>
      <c r="D89" s="2">
        <v>200</v>
      </c>
      <c r="E89" s="5">
        <v>45392</v>
      </c>
      <c r="F89" s="2">
        <v>32</v>
      </c>
      <c r="G89" s="2" t="s">
        <v>45</v>
      </c>
      <c r="H89" s="2" t="s">
        <v>175</v>
      </c>
      <c r="I89" s="6" t="s">
        <v>2954</v>
      </c>
      <c r="J89" s="2" t="str">
        <f t="shared" si="1"/>
        <v>2024-04</v>
      </c>
    </row>
    <row r="90" spans="1:10" x14ac:dyDescent="0.2">
      <c r="A90" s="2" t="s">
        <v>176</v>
      </c>
      <c r="B90" s="2" t="s">
        <v>100</v>
      </c>
      <c r="C90" s="2" t="s">
        <v>61</v>
      </c>
      <c r="D90" s="2">
        <v>150</v>
      </c>
      <c r="E90" s="5">
        <v>45392</v>
      </c>
      <c r="F90" s="2">
        <v>55</v>
      </c>
      <c r="G90" s="2" t="s">
        <v>37</v>
      </c>
      <c r="H90" s="2" t="s">
        <v>98</v>
      </c>
      <c r="I90" s="6" t="s">
        <v>2954</v>
      </c>
      <c r="J90" s="2" t="str">
        <f t="shared" si="1"/>
        <v>2024-04</v>
      </c>
    </row>
    <row r="91" spans="1:10" x14ac:dyDescent="0.2">
      <c r="A91" s="2" t="s">
        <v>177</v>
      </c>
      <c r="B91" s="2" t="s">
        <v>34</v>
      </c>
      <c r="C91" s="2" t="s">
        <v>68</v>
      </c>
      <c r="D91" s="2">
        <v>382</v>
      </c>
      <c r="E91" s="5">
        <v>45391</v>
      </c>
      <c r="F91" s="2">
        <v>679</v>
      </c>
      <c r="G91" s="2" t="s">
        <v>75</v>
      </c>
      <c r="H91" s="2" t="s">
        <v>23</v>
      </c>
      <c r="I91" s="6">
        <v>0.32</v>
      </c>
      <c r="J91" s="2" t="str">
        <f t="shared" si="1"/>
        <v>2024-04</v>
      </c>
    </row>
    <row r="92" spans="1:10" x14ac:dyDescent="0.2">
      <c r="A92" s="2" t="s">
        <v>178</v>
      </c>
      <c r="B92" s="2" t="s">
        <v>34</v>
      </c>
      <c r="C92" s="2" t="s">
        <v>103</v>
      </c>
      <c r="D92" s="2">
        <v>62</v>
      </c>
      <c r="E92" s="5">
        <v>45391</v>
      </c>
      <c r="F92" s="2">
        <v>12</v>
      </c>
      <c r="G92" s="2" t="s">
        <v>17</v>
      </c>
      <c r="H92" s="2" t="s">
        <v>23</v>
      </c>
      <c r="I92" s="6" t="s">
        <v>2954</v>
      </c>
      <c r="J92" s="2" t="str">
        <f t="shared" si="1"/>
        <v>2024-04</v>
      </c>
    </row>
    <row r="93" spans="1:10" x14ac:dyDescent="0.2">
      <c r="A93" s="2" t="s">
        <v>179</v>
      </c>
      <c r="B93" s="2" t="s">
        <v>180</v>
      </c>
      <c r="C93" s="2" t="s">
        <v>142</v>
      </c>
      <c r="D93" s="2">
        <v>79</v>
      </c>
      <c r="E93" s="5">
        <v>45390</v>
      </c>
      <c r="F93" s="2" t="s">
        <v>2954</v>
      </c>
      <c r="G93" s="2" t="s">
        <v>45</v>
      </c>
      <c r="H93" s="2" t="s">
        <v>181</v>
      </c>
      <c r="I93" s="6">
        <v>1</v>
      </c>
      <c r="J93" s="2" t="str">
        <f t="shared" si="1"/>
        <v>2024-04</v>
      </c>
    </row>
    <row r="94" spans="1:10" x14ac:dyDescent="0.2">
      <c r="A94" s="2" t="s">
        <v>87</v>
      </c>
      <c r="B94" s="2" t="s">
        <v>47</v>
      </c>
      <c r="C94" s="2" t="s">
        <v>29</v>
      </c>
      <c r="D94" s="2">
        <v>49</v>
      </c>
      <c r="E94" s="5">
        <v>45390</v>
      </c>
      <c r="F94" s="2">
        <v>49</v>
      </c>
      <c r="G94" s="2" t="s">
        <v>37</v>
      </c>
      <c r="H94" s="2" t="s">
        <v>23</v>
      </c>
      <c r="I94" s="6">
        <v>0.35</v>
      </c>
      <c r="J94" s="2" t="str">
        <f t="shared" si="1"/>
        <v>2024-04</v>
      </c>
    </row>
    <row r="95" spans="1:10" x14ac:dyDescent="0.2">
      <c r="A95" s="2" t="s">
        <v>182</v>
      </c>
      <c r="B95" s="2" t="s">
        <v>183</v>
      </c>
      <c r="C95" s="2" t="s">
        <v>29</v>
      </c>
      <c r="D95" s="2" t="s">
        <v>2954</v>
      </c>
      <c r="E95" s="5">
        <v>45389</v>
      </c>
      <c r="F95" s="2" t="s">
        <v>2954</v>
      </c>
      <c r="G95" s="2" t="s">
        <v>12</v>
      </c>
      <c r="H95" s="2" t="s">
        <v>106</v>
      </c>
      <c r="I95" s="6">
        <v>1</v>
      </c>
      <c r="J95" s="2" t="str">
        <f t="shared" si="1"/>
        <v>2024-04</v>
      </c>
    </row>
    <row r="96" spans="1:10" x14ac:dyDescent="0.2">
      <c r="A96" s="2" t="s">
        <v>184</v>
      </c>
      <c r="B96" s="2" t="s">
        <v>100</v>
      </c>
      <c r="C96" s="2" t="s">
        <v>109</v>
      </c>
      <c r="D96" s="2">
        <v>70</v>
      </c>
      <c r="E96" s="5">
        <v>45388</v>
      </c>
      <c r="F96" s="2">
        <v>24</v>
      </c>
      <c r="G96" s="2" t="s">
        <v>37</v>
      </c>
      <c r="H96" s="2" t="s">
        <v>98</v>
      </c>
      <c r="I96" s="6">
        <v>0.4</v>
      </c>
      <c r="J96" s="2" t="str">
        <f t="shared" si="1"/>
        <v>2024-04</v>
      </c>
    </row>
    <row r="97" spans="1:10" x14ac:dyDescent="0.2">
      <c r="A97" s="2" t="s">
        <v>185</v>
      </c>
      <c r="B97" s="2" t="s">
        <v>34</v>
      </c>
      <c r="C97" s="2" t="s">
        <v>103</v>
      </c>
      <c r="D97" s="2">
        <v>614</v>
      </c>
      <c r="E97" s="5">
        <v>45386</v>
      </c>
      <c r="F97" s="2">
        <v>1200</v>
      </c>
      <c r="G97" s="2" t="s">
        <v>17</v>
      </c>
      <c r="H97" s="2" t="s">
        <v>23</v>
      </c>
      <c r="I97" s="6" t="s">
        <v>2954</v>
      </c>
      <c r="J97" s="2" t="str">
        <f t="shared" si="1"/>
        <v>2024-04</v>
      </c>
    </row>
    <row r="98" spans="1:10" x14ac:dyDescent="0.2">
      <c r="A98" s="2" t="s">
        <v>186</v>
      </c>
      <c r="B98" s="2" t="s">
        <v>43</v>
      </c>
      <c r="C98" s="2" t="s">
        <v>29</v>
      </c>
      <c r="D98" s="2" t="s">
        <v>2954</v>
      </c>
      <c r="E98" s="5">
        <v>45386</v>
      </c>
      <c r="F98" s="2">
        <v>179</v>
      </c>
      <c r="G98" s="2" t="s">
        <v>37</v>
      </c>
      <c r="H98" s="2" t="s">
        <v>23</v>
      </c>
      <c r="I98" s="6" t="s">
        <v>2954</v>
      </c>
      <c r="J98" s="2" t="str">
        <f t="shared" si="1"/>
        <v>2024-04</v>
      </c>
    </row>
    <row r="99" spans="1:10" x14ac:dyDescent="0.2">
      <c r="A99" s="2" t="s">
        <v>187</v>
      </c>
      <c r="B99" s="2" t="s">
        <v>188</v>
      </c>
      <c r="C99" s="2" t="s">
        <v>142</v>
      </c>
      <c r="D99" s="2">
        <v>280</v>
      </c>
      <c r="E99" s="5">
        <v>45385</v>
      </c>
      <c r="F99" s="2">
        <v>1200</v>
      </c>
      <c r="G99" s="2" t="s">
        <v>17</v>
      </c>
      <c r="H99" s="2" t="s">
        <v>106</v>
      </c>
      <c r="I99" s="6" t="s">
        <v>2954</v>
      </c>
      <c r="J99" s="2" t="str">
        <f t="shared" si="1"/>
        <v>2024-04</v>
      </c>
    </row>
    <row r="100" spans="1:10" x14ac:dyDescent="0.2">
      <c r="A100" s="2" t="s">
        <v>189</v>
      </c>
      <c r="B100" s="2" t="s">
        <v>34</v>
      </c>
      <c r="C100" s="2" t="s">
        <v>52</v>
      </c>
      <c r="D100" s="2">
        <v>100</v>
      </c>
      <c r="E100" s="5">
        <v>45385</v>
      </c>
      <c r="F100" s="2">
        <v>247</v>
      </c>
      <c r="G100" s="2" t="s">
        <v>128</v>
      </c>
      <c r="H100" s="2" t="s">
        <v>23</v>
      </c>
      <c r="I100" s="6">
        <v>1</v>
      </c>
      <c r="J100" s="2" t="str">
        <f t="shared" si="1"/>
        <v>2024-04</v>
      </c>
    </row>
    <row r="101" spans="1:10" x14ac:dyDescent="0.2">
      <c r="A101" s="2" t="s">
        <v>190</v>
      </c>
      <c r="B101" s="2" t="s">
        <v>34</v>
      </c>
      <c r="C101" s="2" t="s">
        <v>32</v>
      </c>
      <c r="D101" s="2">
        <v>13</v>
      </c>
      <c r="E101" s="5">
        <v>45385</v>
      </c>
      <c r="F101" s="2">
        <v>60</v>
      </c>
      <c r="G101" s="2" t="s">
        <v>45</v>
      </c>
      <c r="H101" s="2" t="s">
        <v>23</v>
      </c>
      <c r="I101" s="6" t="s">
        <v>2954</v>
      </c>
      <c r="J101" s="2" t="str">
        <f t="shared" si="1"/>
        <v>2024-04</v>
      </c>
    </row>
    <row r="102" spans="1:10" x14ac:dyDescent="0.2">
      <c r="A102" s="2" t="s">
        <v>191</v>
      </c>
      <c r="B102" s="2" t="s">
        <v>28</v>
      </c>
      <c r="C102" s="2" t="s">
        <v>142</v>
      </c>
      <c r="D102" s="2" t="s">
        <v>2954</v>
      </c>
      <c r="E102" s="5">
        <v>45385</v>
      </c>
      <c r="F102" s="2">
        <v>108</v>
      </c>
      <c r="G102" s="2" t="s">
        <v>17</v>
      </c>
      <c r="H102" s="2" t="s">
        <v>23</v>
      </c>
      <c r="I102" s="6" t="s">
        <v>2954</v>
      </c>
      <c r="J102" s="2" t="str">
        <f t="shared" si="1"/>
        <v>2024-04</v>
      </c>
    </row>
    <row r="103" spans="1:10" x14ac:dyDescent="0.2">
      <c r="A103" s="2" t="s">
        <v>192</v>
      </c>
      <c r="B103" s="2" t="s">
        <v>100</v>
      </c>
      <c r="C103" s="2" t="s">
        <v>154</v>
      </c>
      <c r="D103" s="2" t="s">
        <v>2954</v>
      </c>
      <c r="E103" s="5">
        <v>45385</v>
      </c>
      <c r="F103" s="2" t="s">
        <v>2954</v>
      </c>
      <c r="G103" s="2" t="s">
        <v>12</v>
      </c>
      <c r="H103" s="2" t="s">
        <v>98</v>
      </c>
      <c r="I103" s="6" t="s">
        <v>2954</v>
      </c>
      <c r="J103" s="2" t="str">
        <f t="shared" si="1"/>
        <v>2024-04</v>
      </c>
    </row>
    <row r="104" spans="1:10" x14ac:dyDescent="0.2">
      <c r="A104" s="2" t="s">
        <v>193</v>
      </c>
      <c r="B104" s="2" t="s">
        <v>194</v>
      </c>
      <c r="C104" s="2" t="s">
        <v>195</v>
      </c>
      <c r="D104" s="2" t="s">
        <v>2954</v>
      </c>
      <c r="E104" s="5">
        <v>45385</v>
      </c>
      <c r="F104" s="2">
        <v>547</v>
      </c>
      <c r="G104" s="2" t="s">
        <v>12</v>
      </c>
      <c r="H104" s="2" t="s">
        <v>23</v>
      </c>
      <c r="I104" s="6" t="s">
        <v>2954</v>
      </c>
      <c r="J104" s="2" t="str">
        <f t="shared" si="1"/>
        <v>2024-04</v>
      </c>
    </row>
    <row r="105" spans="1:10" x14ac:dyDescent="0.2">
      <c r="A105" s="2" t="s">
        <v>196</v>
      </c>
      <c r="B105" s="2" t="s">
        <v>34</v>
      </c>
      <c r="C105" s="2" t="s">
        <v>48</v>
      </c>
      <c r="D105" s="2" t="s">
        <v>2954</v>
      </c>
      <c r="E105" s="5">
        <v>45385</v>
      </c>
      <c r="F105" s="2">
        <v>214</v>
      </c>
      <c r="G105" s="2" t="s">
        <v>45</v>
      </c>
      <c r="H105" s="2" t="s">
        <v>23</v>
      </c>
      <c r="I105" s="6" t="s">
        <v>2954</v>
      </c>
      <c r="J105" s="2" t="str">
        <f t="shared" si="1"/>
        <v>2024-04</v>
      </c>
    </row>
    <row r="106" spans="1:10" x14ac:dyDescent="0.2">
      <c r="A106" s="2" t="s">
        <v>197</v>
      </c>
      <c r="B106" s="2" t="s">
        <v>34</v>
      </c>
      <c r="C106" s="2" t="s">
        <v>11</v>
      </c>
      <c r="D106" s="2" t="s">
        <v>2954</v>
      </c>
      <c r="E106" s="5">
        <v>45385</v>
      </c>
      <c r="F106" s="2">
        <v>24</v>
      </c>
      <c r="G106" s="2" t="s">
        <v>45</v>
      </c>
      <c r="H106" s="2" t="s">
        <v>23</v>
      </c>
      <c r="I106" s="6">
        <v>1</v>
      </c>
      <c r="J106" s="2" t="str">
        <f t="shared" si="1"/>
        <v>2024-04</v>
      </c>
    </row>
    <row r="107" spans="1:10" x14ac:dyDescent="0.2">
      <c r="A107" s="2" t="s">
        <v>198</v>
      </c>
      <c r="B107" s="2" t="s">
        <v>100</v>
      </c>
      <c r="C107" s="2" t="s">
        <v>61</v>
      </c>
      <c r="D107" s="2">
        <v>500</v>
      </c>
      <c r="E107" s="5">
        <v>45384</v>
      </c>
      <c r="F107" s="2">
        <v>5500</v>
      </c>
      <c r="G107" s="2" t="s">
        <v>199</v>
      </c>
      <c r="H107" s="2" t="s">
        <v>98</v>
      </c>
      <c r="I107" s="6">
        <v>0.03</v>
      </c>
      <c r="J107" s="2" t="str">
        <f t="shared" si="1"/>
        <v>2024-04</v>
      </c>
    </row>
    <row r="108" spans="1:10" x14ac:dyDescent="0.2">
      <c r="A108" s="2" t="s">
        <v>200</v>
      </c>
      <c r="B108" s="2" t="s">
        <v>201</v>
      </c>
      <c r="C108" s="2" t="s">
        <v>16</v>
      </c>
      <c r="D108" s="2" t="s">
        <v>2954</v>
      </c>
      <c r="E108" s="5">
        <v>45384</v>
      </c>
      <c r="F108" s="2">
        <v>104</v>
      </c>
      <c r="G108" s="2" t="s">
        <v>37</v>
      </c>
      <c r="H108" s="2" t="s">
        <v>98</v>
      </c>
      <c r="I108" s="6" t="s">
        <v>2954</v>
      </c>
      <c r="J108" s="2" t="str">
        <f t="shared" si="1"/>
        <v>2024-04</v>
      </c>
    </row>
    <row r="109" spans="1:10" x14ac:dyDescent="0.2">
      <c r="A109" s="2" t="s">
        <v>202</v>
      </c>
      <c r="B109" s="2" t="s">
        <v>203</v>
      </c>
      <c r="C109" s="2" t="s">
        <v>16</v>
      </c>
      <c r="D109" s="2" t="s">
        <v>2954</v>
      </c>
      <c r="E109" s="5">
        <v>45384</v>
      </c>
      <c r="F109" s="2">
        <v>2</v>
      </c>
      <c r="G109" s="2" t="s">
        <v>132</v>
      </c>
      <c r="H109" s="2" t="s">
        <v>204</v>
      </c>
      <c r="I109" s="6">
        <v>1</v>
      </c>
      <c r="J109" s="2" t="str">
        <f t="shared" si="1"/>
        <v>2024-04</v>
      </c>
    </row>
    <row r="110" spans="1:10" x14ac:dyDescent="0.2">
      <c r="A110" s="2" t="s">
        <v>205</v>
      </c>
      <c r="B110" s="2" t="s">
        <v>34</v>
      </c>
      <c r="C110" s="2" t="s">
        <v>32</v>
      </c>
      <c r="D110" s="2">
        <v>67</v>
      </c>
      <c r="E110" s="5">
        <v>45383</v>
      </c>
      <c r="F110" s="2">
        <v>109</v>
      </c>
      <c r="G110" s="2" t="s">
        <v>66</v>
      </c>
      <c r="H110" s="2" t="s">
        <v>23</v>
      </c>
      <c r="I110" s="6" t="s">
        <v>2954</v>
      </c>
      <c r="J110" s="2" t="str">
        <f t="shared" si="1"/>
        <v>2024-04</v>
      </c>
    </row>
    <row r="111" spans="1:10" x14ac:dyDescent="0.2">
      <c r="A111" s="2" t="s">
        <v>206</v>
      </c>
      <c r="B111" s="2" t="s">
        <v>15</v>
      </c>
      <c r="C111" s="2" t="s">
        <v>195</v>
      </c>
      <c r="D111" s="2">
        <v>20</v>
      </c>
      <c r="E111" s="5">
        <v>45383</v>
      </c>
      <c r="F111" s="2">
        <v>52</v>
      </c>
      <c r="G111" s="2" t="s">
        <v>41</v>
      </c>
      <c r="H111" s="2" t="s">
        <v>18</v>
      </c>
      <c r="I111" s="6">
        <v>0.44</v>
      </c>
      <c r="J111" s="2" t="str">
        <f t="shared" si="1"/>
        <v>2024-04</v>
      </c>
    </row>
    <row r="112" spans="1:10" x14ac:dyDescent="0.2">
      <c r="A112" s="2" t="s">
        <v>207</v>
      </c>
      <c r="B112" s="2" t="s">
        <v>25</v>
      </c>
      <c r="C112" s="2" t="s">
        <v>16</v>
      </c>
      <c r="D112" s="2" t="s">
        <v>2954</v>
      </c>
      <c r="E112" s="5">
        <v>45383</v>
      </c>
      <c r="F112" s="2">
        <v>5</v>
      </c>
      <c r="G112" s="2" t="s">
        <v>132</v>
      </c>
      <c r="H112" s="2" t="s">
        <v>23</v>
      </c>
      <c r="I112" s="6">
        <v>1</v>
      </c>
      <c r="J112" s="2" t="str">
        <f t="shared" si="1"/>
        <v>2024-04</v>
      </c>
    </row>
    <row r="113" spans="1:10" x14ac:dyDescent="0.2">
      <c r="A113" s="2" t="s">
        <v>208</v>
      </c>
      <c r="B113" s="2" t="s">
        <v>25</v>
      </c>
      <c r="C113" s="2" t="s">
        <v>148</v>
      </c>
      <c r="D113" s="2" t="s">
        <v>2954</v>
      </c>
      <c r="E113" s="5">
        <v>45383</v>
      </c>
      <c r="F113" s="2">
        <v>230</v>
      </c>
      <c r="G113" s="2" t="s">
        <v>37</v>
      </c>
      <c r="H113" s="2" t="s">
        <v>23</v>
      </c>
      <c r="I113" s="6">
        <v>1</v>
      </c>
      <c r="J113" s="2" t="str">
        <f t="shared" si="1"/>
        <v>2024-04</v>
      </c>
    </row>
    <row r="114" spans="1:10" x14ac:dyDescent="0.2">
      <c r="A114" s="2" t="s">
        <v>209</v>
      </c>
      <c r="B114" s="2" t="s">
        <v>47</v>
      </c>
      <c r="C114" s="2" t="s">
        <v>11</v>
      </c>
      <c r="D114" s="2">
        <v>60</v>
      </c>
      <c r="E114" s="5">
        <v>45379</v>
      </c>
      <c r="F114" s="2">
        <v>64</v>
      </c>
      <c r="G114" s="2" t="s">
        <v>66</v>
      </c>
      <c r="H114" s="2" t="s">
        <v>23</v>
      </c>
      <c r="I114" s="6">
        <v>0.2</v>
      </c>
      <c r="J114" s="2" t="str">
        <f t="shared" si="1"/>
        <v>2024-03</v>
      </c>
    </row>
    <row r="115" spans="1:10" x14ac:dyDescent="0.2">
      <c r="A115" s="2" t="s">
        <v>210</v>
      </c>
      <c r="B115" s="2" t="s">
        <v>34</v>
      </c>
      <c r="C115" s="2" t="s">
        <v>16</v>
      </c>
      <c r="D115" s="2">
        <v>17</v>
      </c>
      <c r="E115" s="5">
        <v>45377</v>
      </c>
      <c r="F115" s="2">
        <v>79</v>
      </c>
      <c r="G115" s="2" t="s">
        <v>41</v>
      </c>
      <c r="H115" s="2" t="s">
        <v>23</v>
      </c>
      <c r="I115" s="6">
        <v>0.15</v>
      </c>
      <c r="J115" s="2" t="str">
        <f t="shared" si="1"/>
        <v>2024-03</v>
      </c>
    </row>
    <row r="116" spans="1:10" x14ac:dyDescent="0.2">
      <c r="A116" s="2" t="s">
        <v>211</v>
      </c>
      <c r="B116" s="2" t="s">
        <v>34</v>
      </c>
      <c r="C116" s="2" t="s">
        <v>35</v>
      </c>
      <c r="D116" s="2" t="s">
        <v>2954</v>
      </c>
      <c r="E116" s="5">
        <v>45377</v>
      </c>
      <c r="F116" s="2">
        <v>288</v>
      </c>
      <c r="G116" s="2" t="s">
        <v>17</v>
      </c>
      <c r="H116" s="2" t="s">
        <v>23</v>
      </c>
      <c r="I116" s="6">
        <v>0.04</v>
      </c>
      <c r="J116" s="2" t="str">
        <f t="shared" si="1"/>
        <v>2024-03</v>
      </c>
    </row>
    <row r="117" spans="1:10" x14ac:dyDescent="0.2">
      <c r="A117" s="2" t="s">
        <v>212</v>
      </c>
      <c r="B117" s="2" t="s">
        <v>86</v>
      </c>
      <c r="C117" s="2" t="s">
        <v>103</v>
      </c>
      <c r="D117" s="2">
        <v>6000</v>
      </c>
      <c r="E117" s="5">
        <v>45376</v>
      </c>
      <c r="F117" s="2" t="s">
        <v>2954</v>
      </c>
      <c r="G117" s="2" t="s">
        <v>17</v>
      </c>
      <c r="H117" s="2" t="s">
        <v>23</v>
      </c>
      <c r="I117" s="6">
        <v>0.05</v>
      </c>
      <c r="J117" s="2" t="str">
        <f t="shared" si="1"/>
        <v>2024-03</v>
      </c>
    </row>
    <row r="118" spans="1:10" x14ac:dyDescent="0.2">
      <c r="A118" s="2" t="s">
        <v>213</v>
      </c>
      <c r="B118" s="2" t="s">
        <v>34</v>
      </c>
      <c r="C118" s="2" t="s">
        <v>32</v>
      </c>
      <c r="D118" s="2" t="s">
        <v>2954</v>
      </c>
      <c r="E118" s="5">
        <v>45373</v>
      </c>
      <c r="F118" s="2">
        <v>3500</v>
      </c>
      <c r="G118" s="2" t="s">
        <v>214</v>
      </c>
      <c r="H118" s="2" t="s">
        <v>23</v>
      </c>
      <c r="I118" s="6" t="s">
        <v>2954</v>
      </c>
      <c r="J118" s="2" t="str">
        <f t="shared" si="1"/>
        <v>2024-03</v>
      </c>
    </row>
    <row r="119" spans="1:10" x14ac:dyDescent="0.2">
      <c r="A119" s="2" t="s">
        <v>215</v>
      </c>
      <c r="B119" s="2" t="s">
        <v>89</v>
      </c>
      <c r="C119" s="2" t="s">
        <v>195</v>
      </c>
      <c r="D119" s="2" t="s">
        <v>2954</v>
      </c>
      <c r="E119" s="5">
        <v>45371</v>
      </c>
      <c r="F119" s="2">
        <v>750</v>
      </c>
      <c r="G119" s="2" t="s">
        <v>62</v>
      </c>
      <c r="H119" s="2" t="s">
        <v>23</v>
      </c>
      <c r="I119" s="6" t="s">
        <v>2954</v>
      </c>
      <c r="J119" s="2" t="str">
        <f t="shared" si="1"/>
        <v>2024-03</v>
      </c>
    </row>
    <row r="120" spans="1:10" x14ac:dyDescent="0.2">
      <c r="A120" s="2" t="s">
        <v>216</v>
      </c>
      <c r="B120" s="2" t="s">
        <v>217</v>
      </c>
      <c r="C120" s="2" t="s">
        <v>142</v>
      </c>
      <c r="D120" s="2">
        <v>195</v>
      </c>
      <c r="E120" s="5">
        <v>45370</v>
      </c>
      <c r="F120" s="2">
        <v>355</v>
      </c>
      <c r="G120" s="2" t="s">
        <v>62</v>
      </c>
      <c r="H120" s="2" t="s">
        <v>217</v>
      </c>
      <c r="I120" s="6">
        <v>0.24</v>
      </c>
      <c r="J120" s="2" t="str">
        <f t="shared" si="1"/>
        <v>2024-03</v>
      </c>
    </row>
    <row r="121" spans="1:10" x14ac:dyDescent="0.2">
      <c r="A121" s="2" t="s">
        <v>218</v>
      </c>
      <c r="B121" s="2" t="s">
        <v>219</v>
      </c>
      <c r="C121" s="2" t="s">
        <v>71</v>
      </c>
      <c r="D121" s="2">
        <v>100</v>
      </c>
      <c r="E121" s="5">
        <v>45370</v>
      </c>
      <c r="F121" s="2" t="s">
        <v>2954</v>
      </c>
      <c r="G121" s="2" t="s">
        <v>45</v>
      </c>
      <c r="H121" s="2" t="s">
        <v>18</v>
      </c>
      <c r="I121" s="6" t="s">
        <v>2954</v>
      </c>
      <c r="J121" s="2" t="str">
        <f t="shared" si="1"/>
        <v>2024-03</v>
      </c>
    </row>
    <row r="122" spans="1:10" x14ac:dyDescent="0.2">
      <c r="A122" s="2" t="s">
        <v>220</v>
      </c>
      <c r="B122" s="2" t="s">
        <v>100</v>
      </c>
      <c r="C122" s="2" t="s">
        <v>26</v>
      </c>
      <c r="D122" s="2" t="s">
        <v>2954</v>
      </c>
      <c r="E122" s="5">
        <v>45370</v>
      </c>
      <c r="F122" s="2">
        <v>50</v>
      </c>
      <c r="G122" s="2" t="s">
        <v>37</v>
      </c>
      <c r="H122" s="2" t="s">
        <v>98</v>
      </c>
      <c r="I122" s="6">
        <v>0.2</v>
      </c>
      <c r="J122" s="2" t="str">
        <f t="shared" si="1"/>
        <v>2024-03</v>
      </c>
    </row>
    <row r="123" spans="1:10" x14ac:dyDescent="0.2">
      <c r="A123" s="2" t="s">
        <v>221</v>
      </c>
      <c r="B123" s="2" t="s">
        <v>64</v>
      </c>
      <c r="C123" s="2" t="s">
        <v>32</v>
      </c>
      <c r="D123" s="2" t="s">
        <v>2954</v>
      </c>
      <c r="E123" s="5">
        <v>45370</v>
      </c>
      <c r="F123" s="2">
        <v>176</v>
      </c>
      <c r="G123" s="2" t="s">
        <v>17</v>
      </c>
      <c r="H123" s="2" t="s">
        <v>23</v>
      </c>
      <c r="I123" s="6">
        <v>0.2</v>
      </c>
      <c r="J123" s="2" t="str">
        <f t="shared" si="1"/>
        <v>2024-03</v>
      </c>
    </row>
    <row r="124" spans="1:10" x14ac:dyDescent="0.2">
      <c r="A124" s="2" t="s">
        <v>222</v>
      </c>
      <c r="B124" s="2" t="s">
        <v>223</v>
      </c>
      <c r="C124" s="2" t="s">
        <v>109</v>
      </c>
      <c r="D124" s="2" t="s">
        <v>2954</v>
      </c>
      <c r="E124" s="5">
        <v>45369</v>
      </c>
      <c r="F124" s="2" t="s">
        <v>2954</v>
      </c>
      <c r="G124" s="2" t="s">
        <v>12</v>
      </c>
      <c r="H124" s="2" t="s">
        <v>224</v>
      </c>
      <c r="I124" s="6">
        <v>0.05</v>
      </c>
      <c r="J124" s="2" t="str">
        <f t="shared" si="1"/>
        <v>2024-03</v>
      </c>
    </row>
    <row r="125" spans="1:10" x14ac:dyDescent="0.2">
      <c r="A125" s="2" t="s">
        <v>225</v>
      </c>
      <c r="B125" s="2" t="s">
        <v>64</v>
      </c>
      <c r="C125" s="2" t="s">
        <v>170</v>
      </c>
      <c r="D125" s="2">
        <v>54</v>
      </c>
      <c r="E125" s="5">
        <v>45367</v>
      </c>
      <c r="F125" s="2">
        <v>399</v>
      </c>
      <c r="G125" s="2" t="s">
        <v>75</v>
      </c>
      <c r="H125" s="2" t="s">
        <v>23</v>
      </c>
      <c r="I125" s="6" t="s">
        <v>2954</v>
      </c>
      <c r="J125" s="2" t="str">
        <f t="shared" si="1"/>
        <v>2024-03</v>
      </c>
    </row>
    <row r="126" spans="1:10" x14ac:dyDescent="0.2">
      <c r="A126" s="2" t="s">
        <v>226</v>
      </c>
      <c r="B126" s="2" t="s">
        <v>34</v>
      </c>
      <c r="C126" s="2" t="s">
        <v>16</v>
      </c>
      <c r="D126" s="2">
        <v>20</v>
      </c>
      <c r="E126" s="5">
        <v>45366</v>
      </c>
      <c r="F126" s="2">
        <v>302</v>
      </c>
      <c r="G126" s="2" t="s">
        <v>66</v>
      </c>
      <c r="H126" s="2" t="s">
        <v>23</v>
      </c>
      <c r="I126" s="6" t="s">
        <v>2954</v>
      </c>
      <c r="J126" s="2" t="str">
        <f t="shared" si="1"/>
        <v>2024-03</v>
      </c>
    </row>
    <row r="127" spans="1:10" x14ac:dyDescent="0.2">
      <c r="A127" s="2" t="s">
        <v>227</v>
      </c>
      <c r="B127" s="2" t="s">
        <v>34</v>
      </c>
      <c r="C127" s="2" t="s">
        <v>68</v>
      </c>
      <c r="D127" s="2" t="s">
        <v>2954</v>
      </c>
      <c r="E127" s="5">
        <v>45366</v>
      </c>
      <c r="F127" s="2">
        <v>16</v>
      </c>
      <c r="G127" s="2" t="s">
        <v>41</v>
      </c>
      <c r="H127" s="2" t="s">
        <v>23</v>
      </c>
      <c r="I127" s="6">
        <v>1</v>
      </c>
      <c r="J127" s="2" t="str">
        <f t="shared" si="1"/>
        <v>2024-03</v>
      </c>
    </row>
    <row r="128" spans="1:10" x14ac:dyDescent="0.2">
      <c r="A128" s="2" t="s">
        <v>228</v>
      </c>
      <c r="B128" s="2" t="s">
        <v>229</v>
      </c>
      <c r="C128" s="2" t="s">
        <v>35</v>
      </c>
      <c r="D128" s="2">
        <v>81</v>
      </c>
      <c r="E128" s="5">
        <v>45365</v>
      </c>
      <c r="F128" s="2">
        <v>33</v>
      </c>
      <c r="G128" s="2" t="s">
        <v>17</v>
      </c>
      <c r="H128" s="2" t="s">
        <v>23</v>
      </c>
      <c r="I128" s="6">
        <v>0.06</v>
      </c>
      <c r="J128" s="2" t="str">
        <f t="shared" si="1"/>
        <v>2024-03</v>
      </c>
    </row>
    <row r="129" spans="1:10" x14ac:dyDescent="0.2">
      <c r="A129" s="2" t="s">
        <v>230</v>
      </c>
      <c r="B129" s="2" t="s">
        <v>28</v>
      </c>
      <c r="C129" s="2" t="s">
        <v>84</v>
      </c>
      <c r="D129" s="2">
        <v>14</v>
      </c>
      <c r="E129" s="5">
        <v>45365</v>
      </c>
      <c r="F129" s="2">
        <v>42</v>
      </c>
      <c r="G129" s="2" t="s">
        <v>12</v>
      </c>
      <c r="H129" s="2" t="s">
        <v>23</v>
      </c>
      <c r="I129" s="6">
        <v>0.16</v>
      </c>
      <c r="J129" s="2" t="str">
        <f t="shared" si="1"/>
        <v>2024-03</v>
      </c>
    </row>
    <row r="130" spans="1:10" x14ac:dyDescent="0.2">
      <c r="A130" s="2" t="s">
        <v>231</v>
      </c>
      <c r="B130" s="2" t="s">
        <v>25</v>
      </c>
      <c r="C130" s="2" t="s">
        <v>16</v>
      </c>
      <c r="D130" s="2">
        <v>80</v>
      </c>
      <c r="E130" s="5">
        <v>45364</v>
      </c>
      <c r="F130" s="2">
        <v>480</v>
      </c>
      <c r="G130" s="2" t="s">
        <v>12</v>
      </c>
      <c r="H130" s="2" t="s">
        <v>23</v>
      </c>
      <c r="I130" s="6">
        <v>0.25</v>
      </c>
      <c r="J130" s="2" t="str">
        <f t="shared" si="1"/>
        <v>2024-03</v>
      </c>
    </row>
    <row r="131" spans="1:10" x14ac:dyDescent="0.2">
      <c r="A131" s="2" t="s">
        <v>232</v>
      </c>
      <c r="B131" s="2" t="s">
        <v>34</v>
      </c>
      <c r="C131" s="2" t="s">
        <v>52</v>
      </c>
      <c r="D131" s="2">
        <v>100</v>
      </c>
      <c r="E131" s="5">
        <v>45363</v>
      </c>
      <c r="F131" s="2">
        <v>86</v>
      </c>
      <c r="G131" s="2" t="s">
        <v>12</v>
      </c>
      <c r="H131" s="2" t="s">
        <v>23</v>
      </c>
      <c r="I131" s="6">
        <v>1</v>
      </c>
      <c r="J131" s="2" t="str">
        <f t="shared" ref="J131:J194" si="2">TEXT(E131,"YYYY-MM")</f>
        <v>2024-03</v>
      </c>
    </row>
    <row r="132" spans="1:10" x14ac:dyDescent="0.2">
      <c r="A132" s="2" t="s">
        <v>233</v>
      </c>
      <c r="B132" s="2" t="s">
        <v>25</v>
      </c>
      <c r="C132" s="2" t="s">
        <v>103</v>
      </c>
      <c r="D132" s="2" t="s">
        <v>2954</v>
      </c>
      <c r="E132" s="5">
        <v>45363</v>
      </c>
      <c r="F132" s="2" t="s">
        <v>2954</v>
      </c>
      <c r="G132" s="2" t="s">
        <v>17</v>
      </c>
      <c r="H132" s="2" t="s">
        <v>23</v>
      </c>
      <c r="I132" s="6" t="s">
        <v>2954</v>
      </c>
      <c r="J132" s="2" t="str">
        <f t="shared" si="2"/>
        <v>2024-03</v>
      </c>
    </row>
    <row r="133" spans="1:10" x14ac:dyDescent="0.2">
      <c r="A133" s="2" t="s">
        <v>234</v>
      </c>
      <c r="B133" s="2" t="s">
        <v>25</v>
      </c>
      <c r="C133" s="2" t="s">
        <v>235</v>
      </c>
      <c r="D133" s="2">
        <v>11</v>
      </c>
      <c r="E133" s="5">
        <v>45362</v>
      </c>
      <c r="F133" s="2" t="s">
        <v>2954</v>
      </c>
      <c r="G133" s="2" t="s">
        <v>45</v>
      </c>
      <c r="H133" s="2" t="s">
        <v>23</v>
      </c>
      <c r="I133" s="6">
        <v>1</v>
      </c>
      <c r="J133" s="2" t="str">
        <f t="shared" si="2"/>
        <v>2024-03</v>
      </c>
    </row>
    <row r="134" spans="1:10" x14ac:dyDescent="0.2">
      <c r="A134" s="2" t="s">
        <v>236</v>
      </c>
      <c r="B134" s="2" t="s">
        <v>92</v>
      </c>
      <c r="C134" s="2" t="s">
        <v>61</v>
      </c>
      <c r="D134" s="2">
        <v>24</v>
      </c>
      <c r="E134" s="5">
        <v>45359</v>
      </c>
      <c r="F134" s="2">
        <v>44</v>
      </c>
      <c r="G134" s="2" t="s">
        <v>66</v>
      </c>
      <c r="H134" s="2" t="s">
        <v>23</v>
      </c>
      <c r="I134" s="6">
        <v>7.0000000000000007E-2</v>
      </c>
      <c r="J134" s="2" t="str">
        <f t="shared" si="2"/>
        <v>2024-03</v>
      </c>
    </row>
    <row r="135" spans="1:10" x14ac:dyDescent="0.2">
      <c r="A135" s="2" t="s">
        <v>237</v>
      </c>
      <c r="B135" s="2" t="s">
        <v>34</v>
      </c>
      <c r="C135" s="2" t="s">
        <v>16</v>
      </c>
      <c r="D135" s="2" t="s">
        <v>2954</v>
      </c>
      <c r="E135" s="5">
        <v>45359</v>
      </c>
      <c r="F135" s="2">
        <v>39</v>
      </c>
      <c r="G135" s="2" t="s">
        <v>37</v>
      </c>
      <c r="H135" s="2" t="s">
        <v>23</v>
      </c>
      <c r="I135" s="6">
        <v>0.4</v>
      </c>
      <c r="J135" s="2" t="str">
        <f t="shared" si="2"/>
        <v>2024-03</v>
      </c>
    </row>
    <row r="136" spans="1:10" x14ac:dyDescent="0.2">
      <c r="A136" s="2" t="s">
        <v>238</v>
      </c>
      <c r="B136" s="2" t="s">
        <v>34</v>
      </c>
      <c r="C136" s="2" t="s">
        <v>61</v>
      </c>
      <c r="D136" s="2">
        <v>15</v>
      </c>
      <c r="E136" s="5">
        <v>45358</v>
      </c>
      <c r="F136" s="2" t="s">
        <v>2954</v>
      </c>
      <c r="G136" s="2" t="s">
        <v>45</v>
      </c>
      <c r="H136" s="2" t="s">
        <v>23</v>
      </c>
      <c r="I136" s="6">
        <v>0.02</v>
      </c>
      <c r="J136" s="2" t="str">
        <f t="shared" si="2"/>
        <v>2024-03</v>
      </c>
    </row>
    <row r="137" spans="1:10" x14ac:dyDescent="0.2">
      <c r="A137" s="2" t="s">
        <v>239</v>
      </c>
      <c r="B137" s="2" t="s">
        <v>34</v>
      </c>
      <c r="C137" s="2" t="s">
        <v>113</v>
      </c>
      <c r="D137" s="2" t="s">
        <v>2954</v>
      </c>
      <c r="E137" s="5">
        <v>45358</v>
      </c>
      <c r="F137" s="2">
        <v>147</v>
      </c>
      <c r="G137" s="2" t="s">
        <v>45</v>
      </c>
      <c r="H137" s="2" t="s">
        <v>23</v>
      </c>
      <c r="I137" s="6" t="s">
        <v>2954</v>
      </c>
      <c r="J137" s="2" t="str">
        <f t="shared" si="2"/>
        <v>2024-03</v>
      </c>
    </row>
    <row r="138" spans="1:10" x14ac:dyDescent="0.2">
      <c r="A138" s="2" t="s">
        <v>240</v>
      </c>
      <c r="B138" s="2" t="s">
        <v>25</v>
      </c>
      <c r="C138" s="2" t="s">
        <v>22</v>
      </c>
      <c r="D138" s="2">
        <v>22</v>
      </c>
      <c r="E138" s="5">
        <v>45357</v>
      </c>
      <c r="F138" s="2">
        <v>739</v>
      </c>
      <c r="G138" s="2" t="s">
        <v>37</v>
      </c>
      <c r="H138" s="2" t="s">
        <v>23</v>
      </c>
      <c r="I138" s="6">
        <v>0.13</v>
      </c>
      <c r="J138" s="2" t="str">
        <f t="shared" si="2"/>
        <v>2024-03</v>
      </c>
    </row>
    <row r="139" spans="1:10" x14ac:dyDescent="0.2">
      <c r="A139" s="2" t="s">
        <v>241</v>
      </c>
      <c r="B139" s="2" t="s">
        <v>34</v>
      </c>
      <c r="C139" s="2" t="s">
        <v>35</v>
      </c>
      <c r="D139" s="2" t="s">
        <v>2954</v>
      </c>
      <c r="E139" s="5">
        <v>45357</v>
      </c>
      <c r="F139" s="2">
        <v>26000</v>
      </c>
      <c r="G139" s="2" t="s">
        <v>17</v>
      </c>
      <c r="H139" s="2" t="s">
        <v>23</v>
      </c>
      <c r="I139" s="6" t="s">
        <v>2954</v>
      </c>
      <c r="J139" s="2" t="str">
        <f t="shared" si="2"/>
        <v>2024-03</v>
      </c>
    </row>
    <row r="140" spans="1:10" x14ac:dyDescent="0.2">
      <c r="A140" s="2" t="s">
        <v>242</v>
      </c>
      <c r="B140" s="2" t="s">
        <v>34</v>
      </c>
      <c r="C140" s="2" t="s">
        <v>243</v>
      </c>
      <c r="D140" s="2" t="s">
        <v>2954</v>
      </c>
      <c r="E140" s="5">
        <v>45357</v>
      </c>
      <c r="F140" s="2">
        <v>105</v>
      </c>
      <c r="G140" s="2" t="s">
        <v>66</v>
      </c>
      <c r="H140" s="2" t="s">
        <v>23</v>
      </c>
      <c r="I140" s="6" t="s">
        <v>2954</v>
      </c>
      <c r="J140" s="2" t="str">
        <f t="shared" si="2"/>
        <v>2024-03</v>
      </c>
    </row>
    <row r="141" spans="1:10" x14ac:dyDescent="0.2">
      <c r="A141" s="2" t="s">
        <v>244</v>
      </c>
      <c r="B141" s="2" t="s">
        <v>245</v>
      </c>
      <c r="C141" s="2" t="s">
        <v>29</v>
      </c>
      <c r="D141" s="2">
        <v>90</v>
      </c>
      <c r="E141" s="5">
        <v>45356</v>
      </c>
      <c r="F141" s="2">
        <v>1100</v>
      </c>
      <c r="G141" s="2" t="s">
        <v>66</v>
      </c>
      <c r="H141" s="2" t="s">
        <v>246</v>
      </c>
      <c r="I141" s="6">
        <v>0.2</v>
      </c>
      <c r="J141" s="2" t="str">
        <f t="shared" si="2"/>
        <v>2024-03</v>
      </c>
    </row>
    <row r="142" spans="1:10" x14ac:dyDescent="0.2">
      <c r="A142" s="2" t="s">
        <v>247</v>
      </c>
      <c r="B142" s="2" t="s">
        <v>89</v>
      </c>
      <c r="C142" s="2" t="s">
        <v>109</v>
      </c>
      <c r="D142" s="2" t="s">
        <v>2954</v>
      </c>
      <c r="E142" s="5">
        <v>45356</v>
      </c>
      <c r="F142" s="2">
        <v>966</v>
      </c>
      <c r="G142" s="2" t="s">
        <v>12</v>
      </c>
      <c r="H142" s="2" t="s">
        <v>23</v>
      </c>
      <c r="I142" s="6" t="s">
        <v>2954</v>
      </c>
      <c r="J142" s="2" t="str">
        <f t="shared" si="2"/>
        <v>2024-03</v>
      </c>
    </row>
    <row r="143" spans="1:10" x14ac:dyDescent="0.2">
      <c r="A143" s="2" t="s">
        <v>248</v>
      </c>
      <c r="B143" s="2" t="s">
        <v>25</v>
      </c>
      <c r="C143" s="2" t="s">
        <v>243</v>
      </c>
      <c r="D143" s="2" t="s">
        <v>2954</v>
      </c>
      <c r="E143" s="5">
        <v>45356</v>
      </c>
      <c r="F143" s="2">
        <v>569</v>
      </c>
      <c r="G143" s="2" t="s">
        <v>128</v>
      </c>
      <c r="H143" s="2" t="s">
        <v>23</v>
      </c>
      <c r="I143" s="6" t="s">
        <v>2954</v>
      </c>
      <c r="J143" s="2" t="str">
        <f t="shared" si="2"/>
        <v>2024-03</v>
      </c>
    </row>
    <row r="144" spans="1:10" x14ac:dyDescent="0.2">
      <c r="A144" s="2" t="s">
        <v>249</v>
      </c>
      <c r="B144" s="2" t="s">
        <v>250</v>
      </c>
      <c r="C144" s="2" t="s">
        <v>48</v>
      </c>
      <c r="D144" s="2">
        <v>80</v>
      </c>
      <c r="E144" s="5">
        <v>45355</v>
      </c>
      <c r="F144" s="2">
        <v>462</v>
      </c>
      <c r="G144" s="2" t="s">
        <v>17</v>
      </c>
      <c r="H144" s="2" t="s">
        <v>23</v>
      </c>
      <c r="I144" s="6">
        <v>0.1</v>
      </c>
      <c r="J144" s="2" t="str">
        <f t="shared" si="2"/>
        <v>2024-03</v>
      </c>
    </row>
    <row r="145" spans="1:10" x14ac:dyDescent="0.2">
      <c r="A145" s="2" t="s">
        <v>251</v>
      </c>
      <c r="B145" s="2" t="s">
        <v>25</v>
      </c>
      <c r="C145" s="2" t="s">
        <v>16</v>
      </c>
      <c r="D145" s="2">
        <v>40</v>
      </c>
      <c r="E145" s="5">
        <v>45355</v>
      </c>
      <c r="F145" s="2">
        <v>504</v>
      </c>
      <c r="G145" s="2" t="s">
        <v>75</v>
      </c>
      <c r="H145" s="2" t="s">
        <v>23</v>
      </c>
      <c r="I145" s="6">
        <v>7.0000000000000007E-2</v>
      </c>
      <c r="J145" s="2" t="str">
        <f t="shared" si="2"/>
        <v>2024-03</v>
      </c>
    </row>
    <row r="146" spans="1:10" x14ac:dyDescent="0.2">
      <c r="A146" s="2" t="s">
        <v>252</v>
      </c>
      <c r="B146" s="2" t="s">
        <v>158</v>
      </c>
      <c r="C146" s="2" t="s">
        <v>52</v>
      </c>
      <c r="D146" s="2">
        <v>40</v>
      </c>
      <c r="E146" s="5">
        <v>45355</v>
      </c>
      <c r="F146" s="2">
        <v>390</v>
      </c>
      <c r="G146" s="2" t="s">
        <v>37</v>
      </c>
      <c r="H146" s="2" t="s">
        <v>23</v>
      </c>
      <c r="I146" s="6">
        <v>0.13</v>
      </c>
      <c r="J146" s="2" t="str">
        <f t="shared" si="2"/>
        <v>2024-03</v>
      </c>
    </row>
    <row r="147" spans="1:10" x14ac:dyDescent="0.2">
      <c r="A147" s="2" t="s">
        <v>253</v>
      </c>
      <c r="B147" s="2" t="s">
        <v>34</v>
      </c>
      <c r="C147" s="2" t="s">
        <v>32</v>
      </c>
      <c r="D147" s="2">
        <v>150</v>
      </c>
      <c r="E147" s="5">
        <v>45352</v>
      </c>
      <c r="F147" s="2" t="s">
        <v>2954</v>
      </c>
      <c r="G147" s="2" t="s">
        <v>12</v>
      </c>
      <c r="H147" s="2" t="s">
        <v>23</v>
      </c>
      <c r="I147" s="6">
        <v>1</v>
      </c>
      <c r="J147" s="2" t="str">
        <f t="shared" si="2"/>
        <v>2024-03</v>
      </c>
    </row>
    <row r="148" spans="1:10" x14ac:dyDescent="0.2">
      <c r="A148" s="2" t="s">
        <v>254</v>
      </c>
      <c r="B148" s="2" t="s">
        <v>255</v>
      </c>
      <c r="C148" s="2" t="s">
        <v>32</v>
      </c>
      <c r="D148" s="2">
        <v>120</v>
      </c>
      <c r="E148" s="5">
        <v>45352</v>
      </c>
      <c r="F148" s="2">
        <v>177</v>
      </c>
      <c r="G148" s="2" t="s">
        <v>128</v>
      </c>
      <c r="H148" s="2" t="s">
        <v>98</v>
      </c>
      <c r="I148" s="6">
        <v>7.0000000000000007E-2</v>
      </c>
      <c r="J148" s="2" t="str">
        <f t="shared" si="2"/>
        <v>2024-03</v>
      </c>
    </row>
    <row r="149" spans="1:10" x14ac:dyDescent="0.2">
      <c r="A149" s="2" t="s">
        <v>38</v>
      </c>
      <c r="B149" s="2" t="s">
        <v>25</v>
      </c>
      <c r="C149" s="2" t="s">
        <v>11</v>
      </c>
      <c r="D149" s="2">
        <v>90</v>
      </c>
      <c r="E149" s="5">
        <v>45352</v>
      </c>
      <c r="F149" s="2">
        <v>118</v>
      </c>
      <c r="G149" s="2" t="s">
        <v>37</v>
      </c>
      <c r="H149" s="2" t="s">
        <v>23</v>
      </c>
      <c r="I149" s="6">
        <v>0.6</v>
      </c>
      <c r="J149" s="2" t="str">
        <f t="shared" si="2"/>
        <v>2024-03</v>
      </c>
    </row>
    <row r="150" spans="1:10" x14ac:dyDescent="0.2">
      <c r="A150" s="2" t="s">
        <v>256</v>
      </c>
      <c r="B150" s="2" t="s">
        <v>217</v>
      </c>
      <c r="C150" s="2" t="s">
        <v>16</v>
      </c>
      <c r="D150" s="2" t="s">
        <v>2954</v>
      </c>
      <c r="E150" s="5">
        <v>45352</v>
      </c>
      <c r="F150" s="2">
        <v>175</v>
      </c>
      <c r="G150" s="2" t="s">
        <v>37</v>
      </c>
      <c r="H150" s="2" t="s">
        <v>217</v>
      </c>
      <c r="I150" s="6" t="s">
        <v>2954</v>
      </c>
      <c r="J150" s="2" t="str">
        <f t="shared" si="2"/>
        <v>2024-03</v>
      </c>
    </row>
    <row r="151" spans="1:10" x14ac:dyDescent="0.2">
      <c r="A151" s="2" t="s">
        <v>51</v>
      </c>
      <c r="B151" s="2" t="s">
        <v>47</v>
      </c>
      <c r="C151" s="2" t="s">
        <v>52</v>
      </c>
      <c r="D151" s="2" t="s">
        <v>2954</v>
      </c>
      <c r="E151" s="5">
        <v>45351</v>
      </c>
      <c r="F151" s="2">
        <v>1700</v>
      </c>
      <c r="G151" s="2" t="s">
        <v>17</v>
      </c>
      <c r="H151" s="2" t="s">
        <v>23</v>
      </c>
      <c r="I151" s="6">
        <v>0.15</v>
      </c>
      <c r="J151" s="2" t="str">
        <f t="shared" si="2"/>
        <v>2024-02</v>
      </c>
    </row>
    <row r="152" spans="1:10" x14ac:dyDescent="0.2">
      <c r="A152" s="2" t="s">
        <v>257</v>
      </c>
      <c r="B152" s="2" t="s">
        <v>258</v>
      </c>
      <c r="C152" s="2" t="s">
        <v>16</v>
      </c>
      <c r="D152" s="2" t="s">
        <v>2954</v>
      </c>
      <c r="E152" s="5">
        <v>45351</v>
      </c>
      <c r="F152" s="2">
        <v>79</v>
      </c>
      <c r="G152" s="2" t="s">
        <v>41</v>
      </c>
      <c r="H152" s="2" t="s">
        <v>259</v>
      </c>
      <c r="I152" s="6">
        <v>0.14000000000000001</v>
      </c>
      <c r="J152" s="2" t="str">
        <f t="shared" si="2"/>
        <v>2024-02</v>
      </c>
    </row>
    <row r="153" spans="1:10" x14ac:dyDescent="0.2">
      <c r="A153" s="2" t="s">
        <v>260</v>
      </c>
      <c r="B153" s="2" t="s">
        <v>34</v>
      </c>
      <c r="C153" s="2" t="s">
        <v>35</v>
      </c>
      <c r="D153" s="2">
        <v>670</v>
      </c>
      <c r="E153" s="5">
        <v>45350</v>
      </c>
      <c r="F153" s="2">
        <v>2</v>
      </c>
      <c r="G153" s="2" t="s">
        <v>17</v>
      </c>
      <c r="H153" s="2" t="s">
        <v>23</v>
      </c>
      <c r="I153" s="6">
        <v>0.05</v>
      </c>
      <c r="J153" s="2" t="str">
        <f t="shared" si="2"/>
        <v>2024-02</v>
      </c>
    </row>
    <row r="154" spans="1:10" x14ac:dyDescent="0.2">
      <c r="A154" s="2" t="s">
        <v>94</v>
      </c>
      <c r="B154" s="2" t="s">
        <v>43</v>
      </c>
      <c r="C154" s="2" t="s">
        <v>44</v>
      </c>
      <c r="D154" s="2">
        <v>320</v>
      </c>
      <c r="E154" s="5">
        <v>45350</v>
      </c>
      <c r="F154" s="2">
        <v>834</v>
      </c>
      <c r="G154" s="2" t="s">
        <v>17</v>
      </c>
      <c r="H154" s="2" t="s">
        <v>23</v>
      </c>
      <c r="I154" s="6">
        <v>0.05</v>
      </c>
      <c r="J154" s="2" t="str">
        <f t="shared" si="2"/>
        <v>2024-02</v>
      </c>
    </row>
    <row r="155" spans="1:10" x14ac:dyDescent="0.2">
      <c r="A155" s="2" t="s">
        <v>30</v>
      </c>
      <c r="B155" s="2" t="s">
        <v>31</v>
      </c>
      <c r="C155" s="2" t="s">
        <v>32</v>
      </c>
      <c r="D155" s="2">
        <v>50</v>
      </c>
      <c r="E155" s="5">
        <v>45350</v>
      </c>
      <c r="F155" s="2">
        <v>86</v>
      </c>
      <c r="G155" s="2" t="s">
        <v>12</v>
      </c>
      <c r="H155" s="2" t="s">
        <v>18</v>
      </c>
      <c r="I155" s="6">
        <v>0.19</v>
      </c>
      <c r="J155" s="2" t="str">
        <f t="shared" si="2"/>
        <v>2024-02</v>
      </c>
    </row>
    <row r="156" spans="1:10" x14ac:dyDescent="0.2">
      <c r="A156" s="2" t="s">
        <v>261</v>
      </c>
      <c r="B156" s="2" t="s">
        <v>34</v>
      </c>
      <c r="C156" s="2" t="s">
        <v>16</v>
      </c>
      <c r="D156" s="2">
        <v>40</v>
      </c>
      <c r="E156" s="5">
        <v>45350</v>
      </c>
      <c r="F156" s="2">
        <v>71</v>
      </c>
      <c r="G156" s="2" t="s">
        <v>66</v>
      </c>
      <c r="H156" s="2" t="s">
        <v>23</v>
      </c>
      <c r="I156" s="6">
        <v>0.4</v>
      </c>
      <c r="J156" s="2" t="str">
        <f t="shared" si="2"/>
        <v>2024-02</v>
      </c>
    </row>
    <row r="157" spans="1:10" x14ac:dyDescent="0.2">
      <c r="A157" s="2" t="s">
        <v>91</v>
      </c>
      <c r="B157" s="2" t="s">
        <v>89</v>
      </c>
      <c r="C157" s="2" t="s">
        <v>52</v>
      </c>
      <c r="D157" s="2" t="s">
        <v>2954</v>
      </c>
      <c r="E157" s="5">
        <v>45350</v>
      </c>
      <c r="F157" s="2" t="s">
        <v>2954</v>
      </c>
      <c r="G157" s="2" t="s">
        <v>12</v>
      </c>
      <c r="H157" s="2" t="s">
        <v>23</v>
      </c>
      <c r="I157" s="6">
        <v>0.05</v>
      </c>
      <c r="J157" s="2" t="str">
        <f t="shared" si="2"/>
        <v>2024-02</v>
      </c>
    </row>
    <row r="158" spans="1:10" x14ac:dyDescent="0.2">
      <c r="A158" s="2" t="s">
        <v>262</v>
      </c>
      <c r="B158" s="2" t="s">
        <v>34</v>
      </c>
      <c r="C158" s="2" t="s">
        <v>35</v>
      </c>
      <c r="D158" s="2">
        <v>900</v>
      </c>
      <c r="E158" s="5">
        <v>45349</v>
      </c>
      <c r="F158" s="2" t="s">
        <v>2954</v>
      </c>
      <c r="G158" s="2" t="s">
        <v>214</v>
      </c>
      <c r="H158" s="2" t="s">
        <v>23</v>
      </c>
      <c r="I158" s="6">
        <v>0.08</v>
      </c>
      <c r="J158" s="2" t="str">
        <f t="shared" si="2"/>
        <v>2024-02</v>
      </c>
    </row>
    <row r="159" spans="1:10" x14ac:dyDescent="0.2">
      <c r="A159" s="2" t="s">
        <v>263</v>
      </c>
      <c r="B159" s="2" t="s">
        <v>86</v>
      </c>
      <c r="C159" s="2" t="s">
        <v>35</v>
      </c>
      <c r="D159" s="2">
        <v>350</v>
      </c>
      <c r="E159" s="5">
        <v>45349</v>
      </c>
      <c r="F159" s="2">
        <v>313</v>
      </c>
      <c r="G159" s="2" t="s">
        <v>17</v>
      </c>
      <c r="H159" s="2" t="s">
        <v>23</v>
      </c>
      <c r="I159" s="6">
        <v>0.3</v>
      </c>
      <c r="J159" s="2" t="str">
        <f t="shared" si="2"/>
        <v>2024-02</v>
      </c>
    </row>
    <row r="160" spans="1:10" x14ac:dyDescent="0.2">
      <c r="A160" s="2" t="s">
        <v>264</v>
      </c>
      <c r="B160" s="2" t="s">
        <v>217</v>
      </c>
      <c r="C160" s="2" t="s">
        <v>148</v>
      </c>
      <c r="D160" s="2">
        <v>79</v>
      </c>
      <c r="E160" s="5">
        <v>45349</v>
      </c>
      <c r="F160" s="2">
        <v>676</v>
      </c>
      <c r="G160" s="2" t="s">
        <v>17</v>
      </c>
      <c r="H160" s="2" t="s">
        <v>217</v>
      </c>
      <c r="I160" s="6" t="s">
        <v>2954</v>
      </c>
      <c r="J160" s="2" t="str">
        <f t="shared" si="2"/>
        <v>2024-02</v>
      </c>
    </row>
    <row r="161" spans="1:10" x14ac:dyDescent="0.2">
      <c r="A161" s="2" t="s">
        <v>185</v>
      </c>
      <c r="B161" s="2" t="s">
        <v>34</v>
      </c>
      <c r="C161" s="2" t="s">
        <v>52</v>
      </c>
      <c r="D161" s="2" t="s">
        <v>2954</v>
      </c>
      <c r="E161" s="5">
        <v>45349</v>
      </c>
      <c r="F161" s="2">
        <v>1200</v>
      </c>
      <c r="G161" s="2" t="s">
        <v>17</v>
      </c>
      <c r="H161" s="2" t="s">
        <v>23</v>
      </c>
      <c r="I161" s="6" t="s">
        <v>2954</v>
      </c>
      <c r="J161" s="2" t="str">
        <f t="shared" si="2"/>
        <v>2024-02</v>
      </c>
    </row>
    <row r="162" spans="1:10" x14ac:dyDescent="0.2">
      <c r="A162" s="2" t="s">
        <v>138</v>
      </c>
      <c r="B162" s="2" t="s">
        <v>28</v>
      </c>
      <c r="C162" s="2" t="s">
        <v>44</v>
      </c>
      <c r="D162" s="2">
        <v>1500</v>
      </c>
      <c r="E162" s="5">
        <v>45348</v>
      </c>
      <c r="F162" s="2">
        <v>3300</v>
      </c>
      <c r="G162" s="2" t="s">
        <v>17</v>
      </c>
      <c r="H162" s="2" t="s">
        <v>23</v>
      </c>
      <c r="I162" s="6">
        <v>0.08</v>
      </c>
      <c r="J162" s="2" t="str">
        <f t="shared" si="2"/>
        <v>2024-02</v>
      </c>
    </row>
    <row r="163" spans="1:10" x14ac:dyDescent="0.2">
      <c r="A163" s="2" t="s">
        <v>265</v>
      </c>
      <c r="B163" s="2" t="s">
        <v>266</v>
      </c>
      <c r="C163" s="2" t="s">
        <v>11</v>
      </c>
      <c r="D163" s="2">
        <v>70</v>
      </c>
      <c r="E163" s="5">
        <v>45348</v>
      </c>
      <c r="F163" s="2">
        <v>363</v>
      </c>
      <c r="G163" s="2" t="s">
        <v>12</v>
      </c>
      <c r="H163" s="2" t="s">
        <v>98</v>
      </c>
      <c r="I163" s="6" t="s">
        <v>2954</v>
      </c>
      <c r="J163" s="2" t="str">
        <f t="shared" si="2"/>
        <v>2024-02</v>
      </c>
    </row>
    <row r="164" spans="1:10" x14ac:dyDescent="0.2">
      <c r="A164" s="2" t="s">
        <v>267</v>
      </c>
      <c r="B164" s="2" t="s">
        <v>217</v>
      </c>
      <c r="C164" s="2" t="s">
        <v>142</v>
      </c>
      <c r="D164" s="2" t="s">
        <v>2954</v>
      </c>
      <c r="E164" s="5">
        <v>45348</v>
      </c>
      <c r="F164" s="2" t="s">
        <v>2954</v>
      </c>
      <c r="G164" s="2" t="s">
        <v>12</v>
      </c>
      <c r="H164" s="2" t="s">
        <v>217</v>
      </c>
      <c r="I164" s="6" t="s">
        <v>2954</v>
      </c>
      <c r="J164" s="2" t="str">
        <f t="shared" si="2"/>
        <v>2024-02</v>
      </c>
    </row>
    <row r="165" spans="1:10" x14ac:dyDescent="0.2">
      <c r="A165" s="2" t="s">
        <v>268</v>
      </c>
      <c r="B165" s="2" t="s">
        <v>25</v>
      </c>
      <c r="C165" s="2" t="s">
        <v>32</v>
      </c>
      <c r="D165" s="2">
        <v>77</v>
      </c>
      <c r="E165" s="5">
        <v>45345</v>
      </c>
      <c r="F165" s="2">
        <v>315</v>
      </c>
      <c r="G165" s="2" t="s">
        <v>66</v>
      </c>
      <c r="H165" s="2" t="s">
        <v>23</v>
      </c>
      <c r="I165" s="6" t="s">
        <v>2954</v>
      </c>
      <c r="J165" s="2" t="str">
        <f t="shared" si="2"/>
        <v>2024-02</v>
      </c>
    </row>
    <row r="166" spans="1:10" x14ac:dyDescent="0.2">
      <c r="A166" s="2" t="s">
        <v>269</v>
      </c>
      <c r="B166" s="2" t="s">
        <v>34</v>
      </c>
      <c r="C166" s="2" t="s">
        <v>32</v>
      </c>
      <c r="D166" s="2">
        <v>56</v>
      </c>
      <c r="E166" s="5">
        <v>45345</v>
      </c>
      <c r="F166" s="2">
        <v>522</v>
      </c>
      <c r="G166" s="2" t="s">
        <v>75</v>
      </c>
      <c r="H166" s="2" t="s">
        <v>23</v>
      </c>
      <c r="I166" s="6" t="s">
        <v>2954</v>
      </c>
      <c r="J166" s="2" t="str">
        <f t="shared" si="2"/>
        <v>2024-02</v>
      </c>
    </row>
    <row r="167" spans="1:10" x14ac:dyDescent="0.2">
      <c r="A167" s="2" t="s">
        <v>270</v>
      </c>
      <c r="B167" s="2" t="s">
        <v>25</v>
      </c>
      <c r="C167" s="2" t="s">
        <v>235</v>
      </c>
      <c r="D167" s="2" t="s">
        <v>2954</v>
      </c>
      <c r="E167" s="5">
        <v>45344</v>
      </c>
      <c r="F167" s="2">
        <v>1600</v>
      </c>
      <c r="G167" s="2" t="s">
        <v>12</v>
      </c>
      <c r="H167" s="2" t="s">
        <v>23</v>
      </c>
      <c r="I167" s="6" t="s">
        <v>2954</v>
      </c>
      <c r="J167" s="2" t="str">
        <f t="shared" si="2"/>
        <v>2024-02</v>
      </c>
    </row>
    <row r="168" spans="1:10" x14ac:dyDescent="0.2">
      <c r="A168" s="2" t="s">
        <v>271</v>
      </c>
      <c r="B168" s="2" t="s">
        <v>92</v>
      </c>
      <c r="C168" s="2" t="s">
        <v>16</v>
      </c>
      <c r="D168" s="2">
        <v>60</v>
      </c>
      <c r="E168" s="5">
        <v>45343</v>
      </c>
      <c r="F168" s="2">
        <v>1500</v>
      </c>
      <c r="G168" s="2" t="s">
        <v>17</v>
      </c>
      <c r="H168" s="2" t="s">
        <v>23</v>
      </c>
      <c r="I168" s="6" t="s">
        <v>2954</v>
      </c>
      <c r="J168" s="2" t="str">
        <f t="shared" si="2"/>
        <v>2024-02</v>
      </c>
    </row>
    <row r="169" spans="1:10" x14ac:dyDescent="0.2">
      <c r="A169" s="2" t="s">
        <v>272</v>
      </c>
      <c r="B169" s="2" t="s">
        <v>273</v>
      </c>
      <c r="C169" s="2" t="s">
        <v>142</v>
      </c>
      <c r="D169" s="2">
        <v>60</v>
      </c>
      <c r="E169" s="5">
        <v>45343</v>
      </c>
      <c r="F169" s="2">
        <v>30</v>
      </c>
      <c r="G169" s="2" t="s">
        <v>12</v>
      </c>
      <c r="H169" s="2" t="s">
        <v>274</v>
      </c>
      <c r="I169" s="6">
        <v>0.17</v>
      </c>
      <c r="J169" s="2" t="str">
        <f t="shared" si="2"/>
        <v>2024-02</v>
      </c>
    </row>
    <row r="170" spans="1:10" x14ac:dyDescent="0.2">
      <c r="A170" s="2" t="s">
        <v>275</v>
      </c>
      <c r="B170" s="2" t="s">
        <v>25</v>
      </c>
      <c r="C170" s="2" t="s">
        <v>235</v>
      </c>
      <c r="D170" s="2" t="s">
        <v>2954</v>
      </c>
      <c r="E170" s="5">
        <v>45343</v>
      </c>
      <c r="F170" s="2">
        <v>696</v>
      </c>
      <c r="G170" s="2" t="s">
        <v>17</v>
      </c>
      <c r="H170" s="2" t="s">
        <v>23</v>
      </c>
      <c r="I170" s="6">
        <v>0.16</v>
      </c>
      <c r="J170" s="2" t="str">
        <f t="shared" si="2"/>
        <v>2024-02</v>
      </c>
    </row>
    <row r="171" spans="1:10" x14ac:dyDescent="0.2">
      <c r="A171" s="2" t="s">
        <v>93</v>
      </c>
      <c r="B171" s="2" t="s">
        <v>158</v>
      </c>
      <c r="C171" s="2" t="s">
        <v>52</v>
      </c>
      <c r="D171" s="2" t="s">
        <v>2954</v>
      </c>
      <c r="E171" s="5">
        <v>45343</v>
      </c>
      <c r="F171" s="2">
        <v>10700</v>
      </c>
      <c r="G171" s="2" t="s">
        <v>17</v>
      </c>
      <c r="H171" s="2" t="s">
        <v>23</v>
      </c>
      <c r="I171" s="6">
        <v>0.1</v>
      </c>
      <c r="J171" s="2" t="str">
        <f t="shared" si="2"/>
        <v>2024-02</v>
      </c>
    </row>
    <row r="172" spans="1:10" x14ac:dyDescent="0.2">
      <c r="A172" s="2" t="s">
        <v>276</v>
      </c>
      <c r="B172" s="2" t="s">
        <v>277</v>
      </c>
      <c r="C172" s="2" t="s">
        <v>52</v>
      </c>
      <c r="D172" s="2">
        <v>250</v>
      </c>
      <c r="E172" s="5">
        <v>45342</v>
      </c>
      <c r="F172" s="2">
        <v>8</v>
      </c>
      <c r="G172" s="2" t="s">
        <v>17</v>
      </c>
      <c r="H172" s="2" t="s">
        <v>278</v>
      </c>
      <c r="I172" s="6" t="s">
        <v>2954</v>
      </c>
      <c r="J172" s="2" t="str">
        <f t="shared" si="2"/>
        <v>2024-02</v>
      </c>
    </row>
    <row r="173" spans="1:10" x14ac:dyDescent="0.2">
      <c r="A173" s="2" t="s">
        <v>279</v>
      </c>
      <c r="B173" s="2" t="s">
        <v>54</v>
      </c>
      <c r="C173" s="2" t="s">
        <v>142</v>
      </c>
      <c r="D173" s="2">
        <v>55</v>
      </c>
      <c r="E173" s="5">
        <v>45342</v>
      </c>
      <c r="F173" s="2">
        <v>5</v>
      </c>
      <c r="G173" s="2" t="s">
        <v>41</v>
      </c>
      <c r="H173" s="2" t="s">
        <v>55</v>
      </c>
      <c r="I173" s="6">
        <v>0.25</v>
      </c>
      <c r="J173" s="2" t="str">
        <f t="shared" si="2"/>
        <v>2024-02</v>
      </c>
    </row>
    <row r="174" spans="1:10" x14ac:dyDescent="0.2">
      <c r="A174" s="2" t="s">
        <v>280</v>
      </c>
      <c r="B174" s="2" t="s">
        <v>86</v>
      </c>
      <c r="C174" s="2" t="s">
        <v>142</v>
      </c>
      <c r="D174" s="2" t="s">
        <v>2954</v>
      </c>
      <c r="E174" s="5">
        <v>45342</v>
      </c>
      <c r="F174" s="2" t="s">
        <v>2954</v>
      </c>
      <c r="G174" s="2" t="s">
        <v>12</v>
      </c>
      <c r="H174" s="2" t="s">
        <v>23</v>
      </c>
      <c r="I174" s="6" t="s">
        <v>2954</v>
      </c>
      <c r="J174" s="2" t="str">
        <f t="shared" si="2"/>
        <v>2024-02</v>
      </c>
    </row>
    <row r="175" spans="1:10" x14ac:dyDescent="0.2">
      <c r="A175" s="2" t="s">
        <v>281</v>
      </c>
      <c r="B175" s="2" t="s">
        <v>282</v>
      </c>
      <c r="C175" s="2" t="s">
        <v>22</v>
      </c>
      <c r="D175" s="2" t="s">
        <v>2954</v>
      </c>
      <c r="E175" s="5">
        <v>45342</v>
      </c>
      <c r="F175" s="2">
        <v>3</v>
      </c>
      <c r="G175" s="2" t="s">
        <v>45</v>
      </c>
      <c r="H175" s="2" t="s">
        <v>55</v>
      </c>
      <c r="I175" s="6">
        <v>0.3</v>
      </c>
      <c r="J175" s="2" t="str">
        <f t="shared" si="2"/>
        <v>2024-02</v>
      </c>
    </row>
    <row r="176" spans="1:10" x14ac:dyDescent="0.2">
      <c r="A176" s="2" t="s">
        <v>283</v>
      </c>
      <c r="B176" s="2" t="s">
        <v>284</v>
      </c>
      <c r="C176" s="2" t="s">
        <v>11</v>
      </c>
      <c r="D176" s="2" t="s">
        <v>2954</v>
      </c>
      <c r="E176" s="5">
        <v>45342</v>
      </c>
      <c r="F176" s="2">
        <v>274</v>
      </c>
      <c r="G176" s="2" t="s">
        <v>66</v>
      </c>
      <c r="H176" s="2" t="s">
        <v>23</v>
      </c>
      <c r="I176" s="6">
        <v>0.3</v>
      </c>
      <c r="J176" s="2" t="str">
        <f t="shared" si="2"/>
        <v>2024-02</v>
      </c>
    </row>
    <row r="177" spans="1:10" x14ac:dyDescent="0.2">
      <c r="A177" s="2" t="s">
        <v>285</v>
      </c>
      <c r="B177" s="2" t="s">
        <v>54</v>
      </c>
      <c r="C177" s="2" t="s">
        <v>142</v>
      </c>
      <c r="D177" s="2">
        <v>2000</v>
      </c>
      <c r="E177" s="5">
        <v>45338</v>
      </c>
      <c r="F177" s="2">
        <v>1700</v>
      </c>
      <c r="G177" s="2" t="s">
        <v>45</v>
      </c>
      <c r="H177" s="2" t="s">
        <v>55</v>
      </c>
      <c r="I177" s="6">
        <v>0.25</v>
      </c>
      <c r="J177" s="2" t="str">
        <f t="shared" si="2"/>
        <v>2024-02</v>
      </c>
    </row>
    <row r="178" spans="1:10" x14ac:dyDescent="0.2">
      <c r="A178" s="2" t="s">
        <v>286</v>
      </c>
      <c r="B178" s="2" t="s">
        <v>287</v>
      </c>
      <c r="C178" s="2" t="s">
        <v>52</v>
      </c>
      <c r="D178" s="2">
        <v>120</v>
      </c>
      <c r="E178" s="5">
        <v>45338</v>
      </c>
      <c r="F178" s="2">
        <v>515</v>
      </c>
      <c r="G178" s="2" t="s">
        <v>75</v>
      </c>
      <c r="H178" s="2" t="s">
        <v>23</v>
      </c>
      <c r="I178" s="6">
        <v>0.12</v>
      </c>
      <c r="J178" s="2" t="str">
        <f t="shared" si="2"/>
        <v>2024-02</v>
      </c>
    </row>
    <row r="179" spans="1:10" x14ac:dyDescent="0.2">
      <c r="A179" s="2" t="s">
        <v>288</v>
      </c>
      <c r="B179" s="2" t="s">
        <v>89</v>
      </c>
      <c r="C179" s="2" t="s">
        <v>11</v>
      </c>
      <c r="D179" s="2">
        <v>550</v>
      </c>
      <c r="E179" s="5">
        <v>45337</v>
      </c>
      <c r="F179" s="2">
        <v>962</v>
      </c>
      <c r="G179" s="2" t="s">
        <v>17</v>
      </c>
      <c r="H179" s="2" t="s">
        <v>23</v>
      </c>
      <c r="I179" s="6">
        <v>0.1</v>
      </c>
      <c r="J179" s="2" t="str">
        <f t="shared" si="2"/>
        <v>2024-02</v>
      </c>
    </row>
    <row r="180" spans="1:10" x14ac:dyDescent="0.2">
      <c r="A180" s="2" t="s">
        <v>289</v>
      </c>
      <c r="B180" s="2" t="s">
        <v>34</v>
      </c>
      <c r="C180" s="2" t="s">
        <v>44</v>
      </c>
      <c r="D180" s="2">
        <v>106</v>
      </c>
      <c r="E180" s="5">
        <v>45337</v>
      </c>
      <c r="F180" s="2">
        <v>839</v>
      </c>
      <c r="G180" s="2" t="s">
        <v>17</v>
      </c>
      <c r="H180" s="2" t="s">
        <v>23</v>
      </c>
      <c r="I180" s="6">
        <v>0.17</v>
      </c>
      <c r="J180" s="2" t="str">
        <f t="shared" si="2"/>
        <v>2024-02</v>
      </c>
    </row>
    <row r="181" spans="1:10" x14ac:dyDescent="0.2">
      <c r="A181" s="2" t="s">
        <v>290</v>
      </c>
      <c r="B181" s="2" t="s">
        <v>287</v>
      </c>
      <c r="C181" s="2" t="s">
        <v>35</v>
      </c>
      <c r="D181" s="2">
        <v>80</v>
      </c>
      <c r="E181" s="5">
        <v>45337</v>
      </c>
      <c r="F181" s="2">
        <v>312</v>
      </c>
      <c r="G181" s="2" t="s">
        <v>17</v>
      </c>
      <c r="H181" s="2" t="s">
        <v>291</v>
      </c>
      <c r="I181" s="6">
        <v>0.13</v>
      </c>
      <c r="J181" s="2" t="str">
        <f t="shared" si="2"/>
        <v>2024-02</v>
      </c>
    </row>
    <row r="182" spans="1:10" x14ac:dyDescent="0.2">
      <c r="A182" s="2" t="s">
        <v>38</v>
      </c>
      <c r="B182" s="2" t="s">
        <v>25</v>
      </c>
      <c r="C182" s="2" t="s">
        <v>11</v>
      </c>
      <c r="D182" s="2">
        <v>20</v>
      </c>
      <c r="E182" s="5">
        <v>45337</v>
      </c>
      <c r="F182" s="2">
        <v>118</v>
      </c>
      <c r="G182" s="2" t="s">
        <v>37</v>
      </c>
      <c r="H182" s="2" t="s">
        <v>23</v>
      </c>
      <c r="I182" s="6">
        <v>0.1</v>
      </c>
      <c r="J182" s="2" t="str">
        <f t="shared" si="2"/>
        <v>2024-02</v>
      </c>
    </row>
    <row r="183" spans="1:10" x14ac:dyDescent="0.2">
      <c r="A183" s="2" t="s">
        <v>292</v>
      </c>
      <c r="B183" s="2" t="s">
        <v>34</v>
      </c>
      <c r="C183" s="2" t="s">
        <v>243</v>
      </c>
      <c r="D183" s="2" t="s">
        <v>2954</v>
      </c>
      <c r="E183" s="5">
        <v>45337</v>
      </c>
      <c r="F183" s="2">
        <v>10</v>
      </c>
      <c r="G183" s="2" t="s">
        <v>132</v>
      </c>
      <c r="H183" s="2" t="s">
        <v>23</v>
      </c>
      <c r="I183" s="6">
        <v>1</v>
      </c>
      <c r="J183" s="2" t="str">
        <f t="shared" si="2"/>
        <v>2024-02</v>
      </c>
    </row>
    <row r="184" spans="1:10" x14ac:dyDescent="0.2">
      <c r="A184" s="2" t="s">
        <v>293</v>
      </c>
      <c r="B184" s="2" t="s">
        <v>294</v>
      </c>
      <c r="C184" s="2" t="s">
        <v>52</v>
      </c>
      <c r="D184" s="2" t="s">
        <v>2954</v>
      </c>
      <c r="E184" s="5">
        <v>45337</v>
      </c>
      <c r="F184" s="2">
        <v>303</v>
      </c>
      <c r="G184" s="2" t="s">
        <v>75</v>
      </c>
      <c r="H184" s="2" t="s">
        <v>23</v>
      </c>
      <c r="I184" s="6">
        <v>0.13</v>
      </c>
      <c r="J184" s="2" t="str">
        <f t="shared" si="2"/>
        <v>2024-02</v>
      </c>
    </row>
    <row r="185" spans="1:10" x14ac:dyDescent="0.2">
      <c r="A185" s="2" t="s">
        <v>295</v>
      </c>
      <c r="B185" s="2" t="s">
        <v>34</v>
      </c>
      <c r="C185" s="2" t="s">
        <v>48</v>
      </c>
      <c r="D185" s="2">
        <v>4250</v>
      </c>
      <c r="E185" s="5">
        <v>45336</v>
      </c>
      <c r="F185" s="2">
        <v>2</v>
      </c>
      <c r="G185" s="2" t="s">
        <v>17</v>
      </c>
      <c r="H185" s="2" t="s">
        <v>23</v>
      </c>
      <c r="I185" s="6">
        <v>0.05</v>
      </c>
      <c r="J185" s="2" t="str">
        <f t="shared" si="2"/>
        <v>2024-02</v>
      </c>
    </row>
    <row r="186" spans="1:10" x14ac:dyDescent="0.2">
      <c r="A186" s="2" t="s">
        <v>296</v>
      </c>
      <c r="B186" s="2" t="s">
        <v>297</v>
      </c>
      <c r="C186" s="2" t="s">
        <v>16</v>
      </c>
      <c r="D186" s="2">
        <v>19</v>
      </c>
      <c r="E186" s="5">
        <v>45336</v>
      </c>
      <c r="F186" s="2">
        <v>16</v>
      </c>
      <c r="G186" s="2" t="s">
        <v>41</v>
      </c>
      <c r="H186" s="2" t="s">
        <v>98</v>
      </c>
      <c r="I186" s="6">
        <v>0.2</v>
      </c>
      <c r="J186" s="2" t="str">
        <f t="shared" si="2"/>
        <v>2024-02</v>
      </c>
    </row>
    <row r="187" spans="1:10" x14ac:dyDescent="0.2">
      <c r="A187" s="2" t="s">
        <v>298</v>
      </c>
      <c r="B187" s="2" t="s">
        <v>25</v>
      </c>
      <c r="C187" s="2" t="s">
        <v>142</v>
      </c>
      <c r="D187" s="2" t="s">
        <v>2954</v>
      </c>
      <c r="E187" s="5">
        <v>45336</v>
      </c>
      <c r="F187" s="2">
        <v>181</v>
      </c>
      <c r="G187" s="2" t="s">
        <v>75</v>
      </c>
      <c r="H187" s="2" t="s">
        <v>23</v>
      </c>
      <c r="I187" s="6">
        <v>0.25</v>
      </c>
      <c r="J187" s="2" t="str">
        <f t="shared" si="2"/>
        <v>2024-02</v>
      </c>
    </row>
    <row r="188" spans="1:10" x14ac:dyDescent="0.2">
      <c r="A188" s="2" t="s">
        <v>299</v>
      </c>
      <c r="B188" s="2" t="s">
        <v>34</v>
      </c>
      <c r="C188" s="2" t="s">
        <v>11</v>
      </c>
      <c r="D188" s="2">
        <v>250</v>
      </c>
      <c r="E188" s="5">
        <v>45335</v>
      </c>
      <c r="F188" s="2">
        <v>2900</v>
      </c>
      <c r="G188" s="2" t="s">
        <v>17</v>
      </c>
      <c r="H188" s="2" t="s">
        <v>23</v>
      </c>
      <c r="I188" s="6">
        <v>7.0000000000000007E-2</v>
      </c>
      <c r="J188" s="2" t="str">
        <f t="shared" si="2"/>
        <v>2024-02</v>
      </c>
    </row>
    <row r="189" spans="1:10" x14ac:dyDescent="0.2">
      <c r="A189" s="2" t="s">
        <v>268</v>
      </c>
      <c r="B189" s="2" t="s">
        <v>25</v>
      </c>
      <c r="C189" s="2" t="s">
        <v>32</v>
      </c>
      <c r="D189" s="2">
        <v>77</v>
      </c>
      <c r="E189" s="5">
        <v>45335</v>
      </c>
      <c r="F189" s="2">
        <v>315</v>
      </c>
      <c r="G189" s="2" t="s">
        <v>12</v>
      </c>
      <c r="H189" s="2" t="s">
        <v>23</v>
      </c>
      <c r="I189" s="6" t="s">
        <v>2954</v>
      </c>
      <c r="J189" s="2" t="str">
        <f t="shared" si="2"/>
        <v>2024-02</v>
      </c>
    </row>
    <row r="190" spans="1:10" x14ac:dyDescent="0.2">
      <c r="A190" s="2" t="s">
        <v>300</v>
      </c>
      <c r="B190" s="2" t="s">
        <v>34</v>
      </c>
      <c r="C190" s="2" t="s">
        <v>35</v>
      </c>
      <c r="D190" s="2">
        <v>60</v>
      </c>
      <c r="E190" s="5">
        <v>45335</v>
      </c>
      <c r="F190" s="2">
        <v>2.2999999999999998</v>
      </c>
      <c r="G190" s="2" t="s">
        <v>12</v>
      </c>
      <c r="H190" s="2" t="s">
        <v>23</v>
      </c>
      <c r="I190" s="6">
        <v>0.05</v>
      </c>
      <c r="J190" s="2" t="str">
        <f t="shared" si="2"/>
        <v>2024-02</v>
      </c>
    </row>
    <row r="191" spans="1:10" x14ac:dyDescent="0.2">
      <c r="A191" s="2" t="s">
        <v>301</v>
      </c>
      <c r="B191" s="2" t="s">
        <v>28</v>
      </c>
      <c r="C191" s="2" t="s">
        <v>29</v>
      </c>
      <c r="D191" s="2">
        <v>50</v>
      </c>
      <c r="E191" s="5">
        <v>45335</v>
      </c>
      <c r="F191" s="2">
        <v>137</v>
      </c>
      <c r="G191" s="2" t="s">
        <v>17</v>
      </c>
      <c r="H191" s="2" t="s">
        <v>23</v>
      </c>
      <c r="I191" s="6">
        <v>0.1</v>
      </c>
      <c r="J191" s="2" t="str">
        <f t="shared" si="2"/>
        <v>2024-02</v>
      </c>
    </row>
    <row r="192" spans="1:10" x14ac:dyDescent="0.2">
      <c r="A192" s="2" t="s">
        <v>302</v>
      </c>
      <c r="B192" s="2" t="s">
        <v>25</v>
      </c>
      <c r="C192" s="2" t="s">
        <v>142</v>
      </c>
      <c r="D192" s="2">
        <v>40</v>
      </c>
      <c r="E192" s="5">
        <v>45335</v>
      </c>
      <c r="F192" s="2">
        <v>229</v>
      </c>
      <c r="G192" s="2" t="s">
        <v>17</v>
      </c>
      <c r="H192" s="2" t="s">
        <v>23</v>
      </c>
      <c r="I192" s="6">
        <v>0.06</v>
      </c>
      <c r="J192" s="2" t="str">
        <f t="shared" si="2"/>
        <v>2024-02</v>
      </c>
    </row>
    <row r="193" spans="1:10" x14ac:dyDescent="0.2">
      <c r="A193" s="2" t="s">
        <v>303</v>
      </c>
      <c r="B193" s="2" t="s">
        <v>15</v>
      </c>
      <c r="C193" s="2" t="s">
        <v>35</v>
      </c>
      <c r="D193" s="2" t="s">
        <v>2954</v>
      </c>
      <c r="E193" s="5">
        <v>45335</v>
      </c>
      <c r="F193" s="2">
        <v>15</v>
      </c>
      <c r="G193" s="2" t="s">
        <v>41</v>
      </c>
      <c r="H193" s="2" t="s">
        <v>18</v>
      </c>
      <c r="I193" s="6">
        <v>1</v>
      </c>
      <c r="J193" s="2" t="str">
        <f t="shared" si="2"/>
        <v>2024-02</v>
      </c>
    </row>
    <row r="194" spans="1:10" x14ac:dyDescent="0.2">
      <c r="A194" s="2" t="s">
        <v>304</v>
      </c>
      <c r="B194" s="2" t="s">
        <v>74</v>
      </c>
      <c r="C194" s="2" t="s">
        <v>35</v>
      </c>
      <c r="D194" s="2" t="s">
        <v>2954</v>
      </c>
      <c r="E194" s="5">
        <v>45335</v>
      </c>
      <c r="F194" s="2" t="s">
        <v>2954</v>
      </c>
      <c r="G194" s="2" t="s">
        <v>45</v>
      </c>
      <c r="H194" s="2" t="s">
        <v>76</v>
      </c>
      <c r="I194" s="6" t="s">
        <v>2954</v>
      </c>
      <c r="J194" s="2" t="str">
        <f t="shared" si="2"/>
        <v>2024-02</v>
      </c>
    </row>
    <row r="195" spans="1:10" x14ac:dyDescent="0.2">
      <c r="A195" s="2" t="s">
        <v>305</v>
      </c>
      <c r="B195" s="2" t="s">
        <v>15</v>
      </c>
      <c r="C195" s="2" t="s">
        <v>52</v>
      </c>
      <c r="D195" s="2" t="s">
        <v>2954</v>
      </c>
      <c r="E195" s="5">
        <v>45335</v>
      </c>
      <c r="F195" s="2">
        <v>37</v>
      </c>
      <c r="G195" s="2" t="s">
        <v>12</v>
      </c>
      <c r="H195" s="2" t="s">
        <v>18</v>
      </c>
      <c r="I195" s="6">
        <v>1</v>
      </c>
      <c r="J195" s="2" t="str">
        <f t="shared" ref="J195:J258" si="3">TEXT(E195,"YYYY-MM")</f>
        <v>2024-02</v>
      </c>
    </row>
    <row r="196" spans="1:10" x14ac:dyDescent="0.2">
      <c r="A196" s="2" t="s">
        <v>306</v>
      </c>
      <c r="B196" s="2" t="s">
        <v>25</v>
      </c>
      <c r="C196" s="2" t="s">
        <v>235</v>
      </c>
      <c r="D196" s="2">
        <v>160</v>
      </c>
      <c r="E196" s="5">
        <v>45334</v>
      </c>
      <c r="F196" s="2">
        <v>525</v>
      </c>
      <c r="G196" s="2" t="s">
        <v>17</v>
      </c>
      <c r="H196" s="2" t="s">
        <v>23</v>
      </c>
      <c r="I196" s="6">
        <v>0.03</v>
      </c>
      <c r="J196" s="2" t="str">
        <f t="shared" si="3"/>
        <v>2024-02</v>
      </c>
    </row>
    <row r="197" spans="1:10" x14ac:dyDescent="0.2">
      <c r="A197" s="2" t="s">
        <v>307</v>
      </c>
      <c r="B197" s="2" t="s">
        <v>100</v>
      </c>
      <c r="C197" s="2" t="s">
        <v>11</v>
      </c>
      <c r="D197" s="2">
        <v>80</v>
      </c>
      <c r="E197" s="5">
        <v>45331</v>
      </c>
      <c r="F197" s="2">
        <v>490</v>
      </c>
      <c r="G197" s="2" t="s">
        <v>62</v>
      </c>
      <c r="H197" s="2" t="s">
        <v>98</v>
      </c>
      <c r="I197" s="6">
        <v>0.03</v>
      </c>
      <c r="J197" s="2" t="str">
        <f t="shared" si="3"/>
        <v>2024-02</v>
      </c>
    </row>
    <row r="198" spans="1:10" x14ac:dyDescent="0.2">
      <c r="A198" s="2" t="s">
        <v>308</v>
      </c>
      <c r="B198" s="2" t="s">
        <v>100</v>
      </c>
      <c r="C198" s="2" t="s">
        <v>142</v>
      </c>
      <c r="D198" s="2">
        <v>21</v>
      </c>
      <c r="E198" s="5">
        <v>45331</v>
      </c>
      <c r="F198" s="2">
        <v>20</v>
      </c>
      <c r="G198" s="2" t="s">
        <v>41</v>
      </c>
      <c r="H198" s="2" t="s">
        <v>98</v>
      </c>
      <c r="I198" s="6">
        <v>0.18</v>
      </c>
      <c r="J198" s="2" t="str">
        <f t="shared" si="3"/>
        <v>2024-02</v>
      </c>
    </row>
    <row r="199" spans="1:10" x14ac:dyDescent="0.2">
      <c r="A199" s="2" t="s">
        <v>309</v>
      </c>
      <c r="B199" s="2" t="s">
        <v>64</v>
      </c>
      <c r="C199" s="2" t="s">
        <v>29</v>
      </c>
      <c r="D199" s="2" t="s">
        <v>2954</v>
      </c>
      <c r="E199" s="5">
        <v>45331</v>
      </c>
      <c r="F199" s="2">
        <v>188</v>
      </c>
      <c r="G199" s="2" t="s">
        <v>66</v>
      </c>
      <c r="H199" s="2" t="s">
        <v>23</v>
      </c>
      <c r="I199" s="6" t="s">
        <v>2954</v>
      </c>
      <c r="J199" s="2" t="str">
        <f t="shared" si="3"/>
        <v>2024-02</v>
      </c>
    </row>
    <row r="200" spans="1:10" x14ac:dyDescent="0.2">
      <c r="A200" s="2" t="s">
        <v>310</v>
      </c>
      <c r="B200" s="2" t="s">
        <v>34</v>
      </c>
      <c r="C200" s="2" t="s">
        <v>243</v>
      </c>
      <c r="D200" s="2">
        <v>275</v>
      </c>
      <c r="E200" s="5">
        <v>45330</v>
      </c>
      <c r="F200" s="2">
        <v>529</v>
      </c>
      <c r="G200" s="2" t="s">
        <v>17</v>
      </c>
      <c r="H200" s="2" t="s">
        <v>23</v>
      </c>
      <c r="I200" s="6" t="s">
        <v>2954</v>
      </c>
      <c r="J200" s="2" t="str">
        <f t="shared" si="3"/>
        <v>2024-02</v>
      </c>
    </row>
    <row r="201" spans="1:10" x14ac:dyDescent="0.2">
      <c r="A201" s="2" t="s">
        <v>311</v>
      </c>
      <c r="B201" s="2" t="s">
        <v>10</v>
      </c>
      <c r="C201" s="2" t="s">
        <v>109</v>
      </c>
      <c r="D201" s="2">
        <v>65</v>
      </c>
      <c r="E201" s="5">
        <v>45330</v>
      </c>
      <c r="F201" s="2">
        <v>247</v>
      </c>
      <c r="G201" s="2" t="s">
        <v>17</v>
      </c>
      <c r="H201" s="2" t="s">
        <v>13</v>
      </c>
      <c r="I201" s="6">
        <v>0.15</v>
      </c>
      <c r="J201" s="2" t="str">
        <f t="shared" si="3"/>
        <v>2024-02</v>
      </c>
    </row>
    <row r="202" spans="1:10" x14ac:dyDescent="0.2">
      <c r="A202" s="2" t="s">
        <v>312</v>
      </c>
      <c r="B202" s="2" t="s">
        <v>34</v>
      </c>
      <c r="C202" s="2" t="s">
        <v>52</v>
      </c>
      <c r="D202" s="2" t="s">
        <v>2954</v>
      </c>
      <c r="E202" s="5">
        <v>45330</v>
      </c>
      <c r="F202" s="2">
        <v>948</v>
      </c>
      <c r="G202" s="2" t="s">
        <v>17</v>
      </c>
      <c r="H202" s="2" t="s">
        <v>23</v>
      </c>
      <c r="I202" s="6">
        <v>0.3</v>
      </c>
      <c r="J202" s="2" t="str">
        <f t="shared" si="3"/>
        <v>2024-02</v>
      </c>
    </row>
    <row r="203" spans="1:10" x14ac:dyDescent="0.2">
      <c r="A203" s="2" t="s">
        <v>313</v>
      </c>
      <c r="B203" s="2" t="s">
        <v>314</v>
      </c>
      <c r="C203" s="2" t="s">
        <v>44</v>
      </c>
      <c r="D203" s="2" t="s">
        <v>2954</v>
      </c>
      <c r="E203" s="5">
        <v>45330</v>
      </c>
      <c r="F203" s="2">
        <v>31</v>
      </c>
      <c r="G203" s="2" t="s">
        <v>37</v>
      </c>
      <c r="H203" s="2" t="s">
        <v>23</v>
      </c>
      <c r="I203" s="6">
        <v>1</v>
      </c>
      <c r="J203" s="2" t="str">
        <f t="shared" si="3"/>
        <v>2024-02</v>
      </c>
    </row>
    <row r="204" spans="1:10" x14ac:dyDescent="0.2">
      <c r="A204" s="2" t="s">
        <v>315</v>
      </c>
      <c r="B204" s="2" t="s">
        <v>34</v>
      </c>
      <c r="C204" s="2" t="s">
        <v>35</v>
      </c>
      <c r="D204" s="2">
        <v>230</v>
      </c>
      <c r="E204" s="5">
        <v>45329</v>
      </c>
      <c r="F204" s="2">
        <v>400</v>
      </c>
      <c r="G204" s="2" t="s">
        <v>12</v>
      </c>
      <c r="H204" s="2" t="s">
        <v>23</v>
      </c>
      <c r="I204" s="6" t="s">
        <v>2954</v>
      </c>
      <c r="J204" s="2" t="str">
        <f t="shared" si="3"/>
        <v>2024-02</v>
      </c>
    </row>
    <row r="205" spans="1:10" x14ac:dyDescent="0.2">
      <c r="A205" s="2" t="s">
        <v>316</v>
      </c>
      <c r="B205" s="2" t="s">
        <v>25</v>
      </c>
      <c r="C205" s="2" t="s">
        <v>22</v>
      </c>
      <c r="D205" s="2">
        <v>20</v>
      </c>
      <c r="E205" s="5">
        <v>45329</v>
      </c>
      <c r="F205" s="2">
        <v>1000</v>
      </c>
      <c r="G205" s="2" t="s">
        <v>128</v>
      </c>
      <c r="H205" s="2" t="s">
        <v>23</v>
      </c>
      <c r="I205" s="6">
        <v>0.03</v>
      </c>
      <c r="J205" s="2" t="str">
        <f t="shared" si="3"/>
        <v>2024-02</v>
      </c>
    </row>
    <row r="206" spans="1:10" x14ac:dyDescent="0.2">
      <c r="A206" s="2" t="s">
        <v>317</v>
      </c>
      <c r="B206" s="2" t="s">
        <v>318</v>
      </c>
      <c r="C206" s="2" t="s">
        <v>195</v>
      </c>
      <c r="D206" s="2" t="s">
        <v>2954</v>
      </c>
      <c r="E206" s="5">
        <v>45329</v>
      </c>
      <c r="F206" s="2">
        <v>565</v>
      </c>
      <c r="G206" s="2" t="s">
        <v>17</v>
      </c>
      <c r="H206" s="2" t="s">
        <v>23</v>
      </c>
      <c r="I206" s="6">
        <v>0.05</v>
      </c>
      <c r="J206" s="2" t="str">
        <f t="shared" si="3"/>
        <v>2024-02</v>
      </c>
    </row>
    <row r="207" spans="1:10" x14ac:dyDescent="0.2">
      <c r="A207" s="2" t="s">
        <v>319</v>
      </c>
      <c r="B207" s="2" t="s">
        <v>320</v>
      </c>
      <c r="C207" s="2" t="s">
        <v>68</v>
      </c>
      <c r="D207" s="2" t="s">
        <v>2954</v>
      </c>
      <c r="E207" s="5">
        <v>45329</v>
      </c>
      <c r="F207" s="2">
        <v>3</v>
      </c>
      <c r="G207" s="2" t="s">
        <v>132</v>
      </c>
      <c r="H207" s="2" t="s">
        <v>321</v>
      </c>
      <c r="I207" s="6">
        <v>1</v>
      </c>
      <c r="J207" s="2" t="str">
        <f t="shared" si="3"/>
        <v>2024-02</v>
      </c>
    </row>
    <row r="208" spans="1:10" x14ac:dyDescent="0.2">
      <c r="A208" s="2" t="s">
        <v>322</v>
      </c>
      <c r="B208" s="2" t="s">
        <v>34</v>
      </c>
      <c r="C208" s="2" t="s">
        <v>50</v>
      </c>
      <c r="D208" s="2">
        <v>440</v>
      </c>
      <c r="E208" s="5">
        <v>45328</v>
      </c>
      <c r="F208" s="2">
        <v>536</v>
      </c>
      <c r="G208" s="2" t="s">
        <v>17</v>
      </c>
      <c r="H208" s="2" t="s">
        <v>23</v>
      </c>
      <c r="I208" s="6">
        <v>0.06</v>
      </c>
      <c r="J208" s="2" t="str">
        <f t="shared" si="3"/>
        <v>2024-02</v>
      </c>
    </row>
    <row r="209" spans="1:10" x14ac:dyDescent="0.2">
      <c r="A209" s="2" t="s">
        <v>191</v>
      </c>
      <c r="B209" s="2" t="s">
        <v>28</v>
      </c>
      <c r="C209" s="2" t="s">
        <v>142</v>
      </c>
      <c r="D209" s="2">
        <v>400</v>
      </c>
      <c r="E209" s="5">
        <v>45328</v>
      </c>
      <c r="F209" s="2">
        <v>108</v>
      </c>
      <c r="G209" s="2" t="s">
        <v>17</v>
      </c>
      <c r="H209" s="2" t="s">
        <v>23</v>
      </c>
      <c r="I209" s="6" t="s">
        <v>2954</v>
      </c>
      <c r="J209" s="2" t="str">
        <f t="shared" si="3"/>
        <v>2024-02</v>
      </c>
    </row>
    <row r="210" spans="1:10" x14ac:dyDescent="0.2">
      <c r="A210" s="2" t="s">
        <v>323</v>
      </c>
      <c r="B210" s="2" t="s">
        <v>28</v>
      </c>
      <c r="C210" s="2" t="s">
        <v>71</v>
      </c>
      <c r="D210" s="2" t="s">
        <v>2954</v>
      </c>
      <c r="E210" s="5">
        <v>45328</v>
      </c>
      <c r="F210" s="2">
        <v>133</v>
      </c>
      <c r="G210" s="2" t="s">
        <v>128</v>
      </c>
      <c r="H210" s="2" t="s">
        <v>23</v>
      </c>
      <c r="I210" s="6" t="s">
        <v>2954</v>
      </c>
      <c r="J210" s="2" t="str">
        <f t="shared" si="3"/>
        <v>2024-02</v>
      </c>
    </row>
    <row r="211" spans="1:10" x14ac:dyDescent="0.2">
      <c r="A211" s="2" t="s">
        <v>324</v>
      </c>
      <c r="B211" s="2" t="s">
        <v>47</v>
      </c>
      <c r="C211" s="2" t="s">
        <v>35</v>
      </c>
      <c r="D211" s="2">
        <v>500</v>
      </c>
      <c r="E211" s="5">
        <v>45327</v>
      </c>
      <c r="F211" s="2">
        <v>4900</v>
      </c>
      <c r="G211" s="2" t="s">
        <v>17</v>
      </c>
      <c r="H211" s="2" t="s">
        <v>23</v>
      </c>
      <c r="I211" s="6">
        <v>0.1</v>
      </c>
      <c r="J211" s="2" t="str">
        <f t="shared" si="3"/>
        <v>2024-02</v>
      </c>
    </row>
    <row r="212" spans="1:10" x14ac:dyDescent="0.2">
      <c r="A212" s="2" t="s">
        <v>325</v>
      </c>
      <c r="B212" s="2" t="s">
        <v>89</v>
      </c>
      <c r="C212" s="2" t="s">
        <v>142</v>
      </c>
      <c r="D212" s="2">
        <v>168</v>
      </c>
      <c r="E212" s="5">
        <v>45327</v>
      </c>
      <c r="F212" s="2">
        <v>119</v>
      </c>
      <c r="G212" s="2" t="s">
        <v>45</v>
      </c>
      <c r="H212" s="2" t="s">
        <v>23</v>
      </c>
      <c r="I212" s="6">
        <v>1</v>
      </c>
      <c r="J212" s="2" t="str">
        <f t="shared" si="3"/>
        <v>2024-02</v>
      </c>
    </row>
    <row r="213" spans="1:10" x14ac:dyDescent="0.2">
      <c r="A213" s="2" t="s">
        <v>326</v>
      </c>
      <c r="B213" s="2" t="s">
        <v>327</v>
      </c>
      <c r="C213" s="2" t="s">
        <v>16</v>
      </c>
      <c r="D213" s="2">
        <v>80</v>
      </c>
      <c r="E213" s="5">
        <v>45327</v>
      </c>
      <c r="F213" s="2">
        <v>119</v>
      </c>
      <c r="G213" s="2" t="s">
        <v>37</v>
      </c>
      <c r="H213" s="2" t="s">
        <v>23</v>
      </c>
      <c r="I213" s="6" t="s">
        <v>2954</v>
      </c>
      <c r="J213" s="2" t="str">
        <f t="shared" si="3"/>
        <v>2024-02</v>
      </c>
    </row>
    <row r="214" spans="1:10" x14ac:dyDescent="0.2">
      <c r="A214" s="2" t="s">
        <v>328</v>
      </c>
      <c r="B214" s="2" t="s">
        <v>47</v>
      </c>
      <c r="C214" s="2" t="s">
        <v>50</v>
      </c>
      <c r="D214" s="2">
        <v>40</v>
      </c>
      <c r="E214" s="5">
        <v>45327</v>
      </c>
      <c r="F214" s="2">
        <v>361</v>
      </c>
      <c r="G214" s="2" t="s">
        <v>199</v>
      </c>
      <c r="H214" s="2" t="s">
        <v>23</v>
      </c>
      <c r="I214" s="6">
        <v>0.03</v>
      </c>
      <c r="J214" s="2" t="str">
        <f t="shared" si="3"/>
        <v>2024-02</v>
      </c>
    </row>
    <row r="215" spans="1:10" x14ac:dyDescent="0.2">
      <c r="A215" s="2" t="s">
        <v>329</v>
      </c>
      <c r="B215" s="2" t="s">
        <v>80</v>
      </c>
      <c r="C215" s="2" t="s">
        <v>32</v>
      </c>
      <c r="D215" s="2" t="s">
        <v>2954</v>
      </c>
      <c r="E215" s="5">
        <v>45327</v>
      </c>
      <c r="F215" s="2">
        <v>13</v>
      </c>
      <c r="G215" s="2" t="s">
        <v>41</v>
      </c>
      <c r="H215" s="2" t="s">
        <v>23</v>
      </c>
      <c r="I215" s="6">
        <v>1</v>
      </c>
      <c r="J215" s="2" t="str">
        <f t="shared" si="3"/>
        <v>2024-02</v>
      </c>
    </row>
    <row r="216" spans="1:10" x14ac:dyDescent="0.2">
      <c r="A216" s="2" t="s">
        <v>330</v>
      </c>
      <c r="B216" s="2" t="s">
        <v>25</v>
      </c>
      <c r="C216" s="2" t="s">
        <v>35</v>
      </c>
      <c r="D216" s="2" t="s">
        <v>2954</v>
      </c>
      <c r="E216" s="5">
        <v>45327</v>
      </c>
      <c r="F216" s="2">
        <v>18</v>
      </c>
      <c r="G216" s="2" t="s">
        <v>45</v>
      </c>
      <c r="H216" s="2" t="s">
        <v>23</v>
      </c>
      <c r="I216" s="6" t="s">
        <v>2954</v>
      </c>
      <c r="J216" s="2" t="str">
        <f t="shared" si="3"/>
        <v>2024-02</v>
      </c>
    </row>
    <row r="217" spans="1:10" x14ac:dyDescent="0.2">
      <c r="A217" s="2" t="s">
        <v>331</v>
      </c>
      <c r="B217" s="2" t="s">
        <v>100</v>
      </c>
      <c r="C217" s="2" t="s">
        <v>16</v>
      </c>
      <c r="D217" s="2" t="s">
        <v>2954</v>
      </c>
      <c r="E217" s="5">
        <v>45327</v>
      </c>
      <c r="F217" s="2">
        <v>4</v>
      </c>
      <c r="G217" s="2" t="s">
        <v>132</v>
      </c>
      <c r="H217" s="2" t="s">
        <v>98</v>
      </c>
      <c r="I217" s="6">
        <v>1</v>
      </c>
      <c r="J217" s="2" t="str">
        <f t="shared" si="3"/>
        <v>2024-02</v>
      </c>
    </row>
    <row r="218" spans="1:10" x14ac:dyDescent="0.2">
      <c r="A218" s="2" t="s">
        <v>332</v>
      </c>
      <c r="B218" s="2" t="s">
        <v>25</v>
      </c>
      <c r="C218" s="2" t="s">
        <v>32</v>
      </c>
      <c r="D218" s="2" t="s">
        <v>2954</v>
      </c>
      <c r="E218" s="5">
        <v>45327</v>
      </c>
      <c r="F218" s="2">
        <v>218</v>
      </c>
      <c r="G218" s="2" t="s">
        <v>12</v>
      </c>
      <c r="H218" s="2" t="s">
        <v>23</v>
      </c>
      <c r="I218" s="6" t="s">
        <v>2954</v>
      </c>
      <c r="J218" s="2" t="str">
        <f t="shared" si="3"/>
        <v>2024-02</v>
      </c>
    </row>
    <row r="219" spans="1:10" x14ac:dyDescent="0.2">
      <c r="A219" s="2" t="s">
        <v>333</v>
      </c>
      <c r="B219" s="2" t="s">
        <v>47</v>
      </c>
      <c r="C219" s="2" t="s">
        <v>117</v>
      </c>
      <c r="D219" s="2" t="s">
        <v>2954</v>
      </c>
      <c r="E219" s="5">
        <v>45327</v>
      </c>
      <c r="F219" s="2">
        <v>619</v>
      </c>
      <c r="G219" s="2" t="s">
        <v>66</v>
      </c>
      <c r="H219" s="2" t="s">
        <v>23</v>
      </c>
      <c r="I219" s="6" t="s">
        <v>2954</v>
      </c>
      <c r="J219" s="2" t="str">
        <f t="shared" si="3"/>
        <v>2024-02</v>
      </c>
    </row>
    <row r="220" spans="1:10" x14ac:dyDescent="0.2">
      <c r="A220" s="2" t="s">
        <v>63</v>
      </c>
      <c r="B220" s="2" t="s">
        <v>64</v>
      </c>
      <c r="C220" s="2" t="s">
        <v>32</v>
      </c>
      <c r="D220" s="2">
        <v>245</v>
      </c>
      <c r="E220" s="5">
        <v>45324</v>
      </c>
      <c r="F220" s="2">
        <v>899</v>
      </c>
      <c r="G220" s="2" t="s">
        <v>17</v>
      </c>
      <c r="H220" s="2" t="s">
        <v>23</v>
      </c>
      <c r="I220" s="6">
        <v>0.3</v>
      </c>
      <c r="J220" s="2" t="str">
        <f t="shared" si="3"/>
        <v>2024-02</v>
      </c>
    </row>
    <row r="221" spans="1:10" x14ac:dyDescent="0.2">
      <c r="A221" s="2" t="s">
        <v>334</v>
      </c>
      <c r="B221" s="2" t="s">
        <v>335</v>
      </c>
      <c r="C221" s="2" t="s">
        <v>61</v>
      </c>
      <c r="D221" s="2">
        <v>35</v>
      </c>
      <c r="E221" s="5">
        <v>45324</v>
      </c>
      <c r="F221" s="2">
        <v>234</v>
      </c>
      <c r="G221" s="2" t="s">
        <v>128</v>
      </c>
      <c r="H221" s="2" t="s">
        <v>106</v>
      </c>
      <c r="I221" s="6">
        <v>7.0000000000000007E-2</v>
      </c>
      <c r="J221" s="2" t="str">
        <f t="shared" si="3"/>
        <v>2024-02</v>
      </c>
    </row>
    <row r="222" spans="1:10" x14ac:dyDescent="0.2">
      <c r="A222" s="2" t="s">
        <v>336</v>
      </c>
      <c r="B222" s="2" t="s">
        <v>287</v>
      </c>
      <c r="C222" s="2" t="s">
        <v>52</v>
      </c>
      <c r="D222" s="2" t="s">
        <v>2954</v>
      </c>
      <c r="E222" s="5">
        <v>45324</v>
      </c>
      <c r="F222" s="2">
        <v>74</v>
      </c>
      <c r="G222" s="2" t="s">
        <v>12</v>
      </c>
      <c r="H222" s="2" t="s">
        <v>291</v>
      </c>
      <c r="I222" s="6">
        <v>1</v>
      </c>
      <c r="J222" s="2" t="str">
        <f t="shared" si="3"/>
        <v>2024-02</v>
      </c>
    </row>
    <row r="223" spans="1:10" x14ac:dyDescent="0.2">
      <c r="A223" s="2" t="s">
        <v>337</v>
      </c>
      <c r="B223" s="2" t="s">
        <v>338</v>
      </c>
      <c r="C223" s="2" t="s">
        <v>11</v>
      </c>
      <c r="D223" s="2" t="s">
        <v>2954</v>
      </c>
      <c r="E223" s="5">
        <v>45324</v>
      </c>
      <c r="F223" s="2">
        <v>10</v>
      </c>
      <c r="G223" s="2" t="s">
        <v>12</v>
      </c>
      <c r="H223" s="2" t="s">
        <v>55</v>
      </c>
      <c r="I223" s="6">
        <v>1</v>
      </c>
      <c r="J223" s="2" t="str">
        <f t="shared" si="3"/>
        <v>2024-02</v>
      </c>
    </row>
    <row r="224" spans="1:10" x14ac:dyDescent="0.2">
      <c r="A224" s="2" t="s">
        <v>339</v>
      </c>
      <c r="B224" s="2" t="s">
        <v>54</v>
      </c>
      <c r="C224" s="2" t="s">
        <v>16</v>
      </c>
      <c r="D224" s="2" t="s">
        <v>2954</v>
      </c>
      <c r="E224" s="5">
        <v>45324</v>
      </c>
      <c r="F224" s="2">
        <v>41</v>
      </c>
      <c r="G224" s="2" t="s">
        <v>12</v>
      </c>
      <c r="H224" s="2" t="s">
        <v>55</v>
      </c>
      <c r="I224" s="6">
        <v>1</v>
      </c>
      <c r="J224" s="2" t="str">
        <f t="shared" si="3"/>
        <v>2024-02</v>
      </c>
    </row>
    <row r="225" spans="1:10" x14ac:dyDescent="0.2">
      <c r="A225" s="2" t="s">
        <v>340</v>
      </c>
      <c r="B225" s="2" t="s">
        <v>34</v>
      </c>
      <c r="C225" s="2" t="s">
        <v>195</v>
      </c>
      <c r="D225" s="2">
        <v>400</v>
      </c>
      <c r="E225" s="5">
        <v>45323</v>
      </c>
      <c r="F225" s="2">
        <v>1200</v>
      </c>
      <c r="G225" s="2" t="s">
        <v>17</v>
      </c>
      <c r="H225" s="2" t="s">
        <v>23</v>
      </c>
      <c r="I225" s="6">
        <v>7.0000000000000007E-2</v>
      </c>
      <c r="J225" s="2" t="str">
        <f t="shared" si="3"/>
        <v>2024-02</v>
      </c>
    </row>
    <row r="226" spans="1:10" x14ac:dyDescent="0.2">
      <c r="A226" s="2" t="s">
        <v>341</v>
      </c>
      <c r="B226" s="2" t="s">
        <v>34</v>
      </c>
      <c r="C226" s="2" t="s">
        <v>29</v>
      </c>
      <c r="D226" s="2">
        <v>150</v>
      </c>
      <c r="E226" s="5">
        <v>45323</v>
      </c>
      <c r="F226" s="2">
        <v>276</v>
      </c>
      <c r="G226" s="2" t="s">
        <v>17</v>
      </c>
      <c r="H226" s="2" t="s">
        <v>23</v>
      </c>
      <c r="I226" s="6">
        <v>0.02</v>
      </c>
      <c r="J226" s="2" t="str">
        <f t="shared" si="3"/>
        <v>2024-02</v>
      </c>
    </row>
    <row r="227" spans="1:10" x14ac:dyDescent="0.2">
      <c r="A227" s="2" t="s">
        <v>342</v>
      </c>
      <c r="B227" s="2" t="s">
        <v>64</v>
      </c>
      <c r="C227" s="2" t="s">
        <v>32</v>
      </c>
      <c r="D227" s="2">
        <v>111</v>
      </c>
      <c r="E227" s="5">
        <v>45323</v>
      </c>
      <c r="F227" s="2">
        <v>28</v>
      </c>
      <c r="G227" s="2" t="s">
        <v>17</v>
      </c>
      <c r="H227" s="2" t="s">
        <v>23</v>
      </c>
      <c r="I227" s="6" t="s">
        <v>2954</v>
      </c>
      <c r="J227" s="2" t="str">
        <f t="shared" si="3"/>
        <v>2024-02</v>
      </c>
    </row>
    <row r="228" spans="1:10" x14ac:dyDescent="0.2">
      <c r="A228" s="2" t="s">
        <v>343</v>
      </c>
      <c r="B228" s="2" t="s">
        <v>344</v>
      </c>
      <c r="C228" s="2" t="s">
        <v>22</v>
      </c>
      <c r="D228" s="2">
        <v>60</v>
      </c>
      <c r="E228" s="5">
        <v>45323</v>
      </c>
      <c r="F228" s="2">
        <v>451</v>
      </c>
      <c r="G228" s="2" t="s">
        <v>12</v>
      </c>
      <c r="H228" s="2" t="s">
        <v>344</v>
      </c>
      <c r="I228" s="6">
        <v>0.19</v>
      </c>
      <c r="J228" s="2" t="str">
        <f t="shared" si="3"/>
        <v>2024-02</v>
      </c>
    </row>
    <row r="229" spans="1:10" x14ac:dyDescent="0.2">
      <c r="A229" s="2" t="s">
        <v>345</v>
      </c>
      <c r="B229" s="2" t="s">
        <v>89</v>
      </c>
      <c r="C229" s="2" t="s">
        <v>29</v>
      </c>
      <c r="D229" s="2" t="s">
        <v>2954</v>
      </c>
      <c r="E229" s="5">
        <v>45323</v>
      </c>
      <c r="F229" s="2">
        <v>1200</v>
      </c>
      <c r="G229" s="2" t="s">
        <v>62</v>
      </c>
      <c r="H229" s="2" t="s">
        <v>23</v>
      </c>
      <c r="I229" s="6" t="s">
        <v>2954</v>
      </c>
      <c r="J229" s="2" t="str">
        <f t="shared" si="3"/>
        <v>2024-02</v>
      </c>
    </row>
    <row r="230" spans="1:10" x14ac:dyDescent="0.2">
      <c r="A230" s="2" t="s">
        <v>346</v>
      </c>
      <c r="B230" s="2" t="s">
        <v>34</v>
      </c>
      <c r="C230" s="2" t="s">
        <v>195</v>
      </c>
      <c r="D230" s="2">
        <v>280</v>
      </c>
      <c r="E230" s="5">
        <v>45322</v>
      </c>
      <c r="F230" s="2">
        <v>885</v>
      </c>
      <c r="G230" s="2" t="s">
        <v>45</v>
      </c>
      <c r="H230" s="2" t="s">
        <v>23</v>
      </c>
      <c r="I230" s="6">
        <v>0.06</v>
      </c>
      <c r="J230" s="2" t="str">
        <f t="shared" si="3"/>
        <v>2024-01</v>
      </c>
    </row>
    <row r="231" spans="1:10" x14ac:dyDescent="0.2">
      <c r="A231" s="2" t="s">
        <v>347</v>
      </c>
      <c r="B231" s="2" t="s">
        <v>34</v>
      </c>
      <c r="C231" s="2" t="s">
        <v>142</v>
      </c>
      <c r="D231" s="2">
        <v>130</v>
      </c>
      <c r="E231" s="5">
        <v>45322</v>
      </c>
      <c r="F231" s="2">
        <v>152</v>
      </c>
      <c r="G231" s="2" t="s">
        <v>128</v>
      </c>
      <c r="H231" s="2" t="s">
        <v>23</v>
      </c>
      <c r="I231" s="6" t="s">
        <v>2954</v>
      </c>
      <c r="J231" s="2" t="str">
        <f t="shared" si="3"/>
        <v>2024-01</v>
      </c>
    </row>
    <row r="232" spans="1:10" x14ac:dyDescent="0.2">
      <c r="A232" s="2" t="s">
        <v>348</v>
      </c>
      <c r="B232" s="2" t="s">
        <v>34</v>
      </c>
      <c r="C232" s="2" t="s">
        <v>78</v>
      </c>
      <c r="D232" s="2">
        <v>100</v>
      </c>
      <c r="E232" s="5">
        <v>45322</v>
      </c>
      <c r="F232" s="2">
        <v>315</v>
      </c>
      <c r="G232" s="2" t="s">
        <v>62</v>
      </c>
      <c r="H232" s="2" t="s">
        <v>23</v>
      </c>
      <c r="I232" s="6" t="s">
        <v>2954</v>
      </c>
      <c r="J232" s="2" t="str">
        <f t="shared" si="3"/>
        <v>2024-01</v>
      </c>
    </row>
    <row r="233" spans="1:10" x14ac:dyDescent="0.2">
      <c r="A233" s="2" t="s">
        <v>349</v>
      </c>
      <c r="B233" s="2" t="s">
        <v>25</v>
      </c>
      <c r="C233" s="2" t="s">
        <v>142</v>
      </c>
      <c r="D233" s="2">
        <v>95</v>
      </c>
      <c r="E233" s="5">
        <v>45322</v>
      </c>
      <c r="F233" s="2">
        <v>26</v>
      </c>
      <c r="G233" s="2" t="s">
        <v>45</v>
      </c>
      <c r="H233" s="2" t="s">
        <v>23</v>
      </c>
      <c r="I233" s="6" t="s">
        <v>2954</v>
      </c>
      <c r="J233" s="2" t="str">
        <f t="shared" si="3"/>
        <v>2024-01</v>
      </c>
    </row>
    <row r="234" spans="1:10" x14ac:dyDescent="0.2">
      <c r="A234" s="2" t="s">
        <v>350</v>
      </c>
      <c r="B234" s="2" t="s">
        <v>15</v>
      </c>
      <c r="C234" s="2" t="s">
        <v>52</v>
      </c>
      <c r="D234" s="2">
        <v>60</v>
      </c>
      <c r="E234" s="5">
        <v>45322</v>
      </c>
      <c r="F234" s="2">
        <v>547</v>
      </c>
      <c r="G234" s="2" t="s">
        <v>17</v>
      </c>
      <c r="H234" s="2" t="s">
        <v>18</v>
      </c>
      <c r="I234" s="6">
        <v>0.13</v>
      </c>
      <c r="J234" s="2" t="str">
        <f t="shared" si="3"/>
        <v>2024-01</v>
      </c>
    </row>
    <row r="235" spans="1:10" x14ac:dyDescent="0.2">
      <c r="A235" s="2" t="s">
        <v>351</v>
      </c>
      <c r="B235" s="2" t="s">
        <v>194</v>
      </c>
      <c r="C235" s="2" t="s">
        <v>235</v>
      </c>
      <c r="D235" s="2" t="s">
        <v>2954</v>
      </c>
      <c r="E235" s="5">
        <v>45322</v>
      </c>
      <c r="F235" s="2" t="s">
        <v>2954</v>
      </c>
      <c r="G235" s="2" t="s">
        <v>12</v>
      </c>
      <c r="H235" s="2" t="s">
        <v>23</v>
      </c>
      <c r="I235" s="6">
        <v>1</v>
      </c>
      <c r="J235" s="2" t="str">
        <f t="shared" si="3"/>
        <v>2024-01</v>
      </c>
    </row>
    <row r="236" spans="1:10" x14ac:dyDescent="0.2">
      <c r="A236" s="2" t="s">
        <v>352</v>
      </c>
      <c r="B236" s="2" t="s">
        <v>34</v>
      </c>
      <c r="C236" s="2" t="s">
        <v>16</v>
      </c>
      <c r="D236" s="2" t="s">
        <v>2954</v>
      </c>
      <c r="E236" s="5">
        <v>45322</v>
      </c>
      <c r="F236" s="2">
        <v>647</v>
      </c>
      <c r="G236" s="2" t="s">
        <v>17</v>
      </c>
      <c r="H236" s="2" t="s">
        <v>23</v>
      </c>
      <c r="I236" s="6">
        <v>0.08</v>
      </c>
      <c r="J236" s="2" t="str">
        <f t="shared" si="3"/>
        <v>2024-01</v>
      </c>
    </row>
    <row r="237" spans="1:10" x14ac:dyDescent="0.2">
      <c r="A237" s="2" t="s">
        <v>353</v>
      </c>
      <c r="B237" s="2" t="s">
        <v>34</v>
      </c>
      <c r="C237" s="2" t="s">
        <v>16</v>
      </c>
      <c r="D237" s="2">
        <v>2500</v>
      </c>
      <c r="E237" s="5">
        <v>45321</v>
      </c>
      <c r="F237" s="2">
        <v>216</v>
      </c>
      <c r="G237" s="2" t="s">
        <v>17</v>
      </c>
      <c r="H237" s="2" t="s">
        <v>23</v>
      </c>
      <c r="I237" s="6">
        <v>0.09</v>
      </c>
      <c r="J237" s="2" t="str">
        <f t="shared" si="3"/>
        <v>2024-01</v>
      </c>
    </row>
    <row r="238" spans="1:10" x14ac:dyDescent="0.2">
      <c r="A238" s="2" t="s">
        <v>354</v>
      </c>
      <c r="B238" s="2" t="s">
        <v>34</v>
      </c>
      <c r="C238" s="2" t="s">
        <v>16</v>
      </c>
      <c r="D238" s="2">
        <v>1000</v>
      </c>
      <c r="E238" s="5">
        <v>45321</v>
      </c>
      <c r="F238" s="2">
        <v>150</v>
      </c>
      <c r="G238" s="2" t="s">
        <v>17</v>
      </c>
      <c r="H238" s="2" t="s">
        <v>23</v>
      </c>
      <c r="I238" s="6">
        <v>0.1</v>
      </c>
      <c r="J238" s="2" t="str">
        <f t="shared" si="3"/>
        <v>2024-01</v>
      </c>
    </row>
    <row r="239" spans="1:10" x14ac:dyDescent="0.2">
      <c r="A239" s="2" t="s">
        <v>355</v>
      </c>
      <c r="B239" s="2" t="s">
        <v>356</v>
      </c>
      <c r="C239" s="2" t="s">
        <v>44</v>
      </c>
      <c r="D239" s="2">
        <v>216</v>
      </c>
      <c r="E239" s="5">
        <v>45321</v>
      </c>
      <c r="F239" s="2">
        <v>107</v>
      </c>
      <c r="G239" s="2" t="s">
        <v>12</v>
      </c>
      <c r="H239" s="2" t="s">
        <v>143</v>
      </c>
      <c r="I239" s="6">
        <v>0.18</v>
      </c>
      <c r="J239" s="2" t="str">
        <f t="shared" si="3"/>
        <v>2024-01</v>
      </c>
    </row>
    <row r="240" spans="1:10" x14ac:dyDescent="0.2">
      <c r="A240" s="2" t="s">
        <v>357</v>
      </c>
      <c r="B240" s="2" t="s">
        <v>34</v>
      </c>
      <c r="C240" s="2" t="s">
        <v>109</v>
      </c>
      <c r="D240" s="2">
        <v>111</v>
      </c>
      <c r="E240" s="5">
        <v>45321</v>
      </c>
      <c r="F240" s="2">
        <v>523</v>
      </c>
      <c r="G240" s="2" t="s">
        <v>75</v>
      </c>
      <c r="H240" s="2" t="s">
        <v>23</v>
      </c>
      <c r="I240" s="6">
        <v>0.2</v>
      </c>
      <c r="J240" s="2" t="str">
        <f t="shared" si="3"/>
        <v>2024-01</v>
      </c>
    </row>
    <row r="241" spans="1:10" x14ac:dyDescent="0.2">
      <c r="A241" s="2" t="s">
        <v>358</v>
      </c>
      <c r="B241" s="2" t="s">
        <v>335</v>
      </c>
      <c r="C241" s="2" t="s">
        <v>235</v>
      </c>
      <c r="D241" s="2">
        <v>20</v>
      </c>
      <c r="E241" s="5">
        <v>45321</v>
      </c>
      <c r="F241" s="2">
        <v>117</v>
      </c>
      <c r="G241" s="2" t="s">
        <v>45</v>
      </c>
      <c r="H241" s="2" t="s">
        <v>106</v>
      </c>
      <c r="I241" s="6">
        <v>0.1</v>
      </c>
      <c r="J241" s="2" t="str">
        <f t="shared" si="3"/>
        <v>2024-01</v>
      </c>
    </row>
    <row r="242" spans="1:10" x14ac:dyDescent="0.2">
      <c r="A242" s="2" t="s">
        <v>359</v>
      </c>
      <c r="B242" s="2" t="s">
        <v>34</v>
      </c>
      <c r="C242" s="2" t="s">
        <v>235</v>
      </c>
      <c r="D242" s="2">
        <v>7</v>
      </c>
      <c r="E242" s="5">
        <v>45321</v>
      </c>
      <c r="F242" s="2" t="s">
        <v>2954</v>
      </c>
      <c r="G242" s="2" t="s">
        <v>45</v>
      </c>
      <c r="H242" s="2" t="s">
        <v>23</v>
      </c>
      <c r="I242" s="6" t="s">
        <v>2954</v>
      </c>
      <c r="J242" s="2" t="str">
        <f t="shared" si="3"/>
        <v>2024-01</v>
      </c>
    </row>
    <row r="243" spans="1:10" x14ac:dyDescent="0.2">
      <c r="A243" s="2" t="s">
        <v>360</v>
      </c>
      <c r="B243" s="2" t="s">
        <v>25</v>
      </c>
      <c r="C243" s="2" t="s">
        <v>117</v>
      </c>
      <c r="D243" s="2" t="s">
        <v>2954</v>
      </c>
      <c r="E243" s="5">
        <v>45321</v>
      </c>
      <c r="F243" s="2">
        <v>657</v>
      </c>
      <c r="G243" s="2" t="s">
        <v>62</v>
      </c>
      <c r="H243" s="2" t="s">
        <v>23</v>
      </c>
      <c r="I243" s="6" t="s">
        <v>2954</v>
      </c>
      <c r="J243" s="2" t="str">
        <f t="shared" si="3"/>
        <v>2024-01</v>
      </c>
    </row>
    <row r="244" spans="1:10" x14ac:dyDescent="0.2">
      <c r="A244" s="2" t="s">
        <v>361</v>
      </c>
      <c r="B244" s="2" t="s">
        <v>362</v>
      </c>
      <c r="C244" s="2" t="s">
        <v>363</v>
      </c>
      <c r="D244" s="2" t="s">
        <v>2954</v>
      </c>
      <c r="E244" s="5">
        <v>45321</v>
      </c>
      <c r="F244" s="2">
        <v>654</v>
      </c>
      <c r="G244" s="2" t="s">
        <v>17</v>
      </c>
      <c r="H244" s="2" t="s">
        <v>23</v>
      </c>
      <c r="I244" s="6">
        <v>0.04</v>
      </c>
      <c r="J244" s="2" t="str">
        <f t="shared" si="3"/>
        <v>2024-01</v>
      </c>
    </row>
    <row r="245" spans="1:10" x14ac:dyDescent="0.2">
      <c r="A245" s="2" t="s">
        <v>364</v>
      </c>
      <c r="B245" s="2" t="s">
        <v>258</v>
      </c>
      <c r="C245" s="2" t="s">
        <v>16</v>
      </c>
      <c r="D245" s="2" t="s">
        <v>2954</v>
      </c>
      <c r="E245" s="5">
        <v>45321</v>
      </c>
      <c r="F245" s="2" t="s">
        <v>2954</v>
      </c>
      <c r="G245" s="2" t="s">
        <v>12</v>
      </c>
      <c r="H245" s="2" t="s">
        <v>259</v>
      </c>
      <c r="I245" s="6" t="s">
        <v>2954</v>
      </c>
      <c r="J245" s="2" t="str">
        <f t="shared" si="3"/>
        <v>2024-01</v>
      </c>
    </row>
    <row r="246" spans="1:10" x14ac:dyDescent="0.2">
      <c r="A246" s="2" t="s">
        <v>365</v>
      </c>
      <c r="B246" s="2" t="s">
        <v>89</v>
      </c>
      <c r="C246" s="2" t="s">
        <v>35</v>
      </c>
      <c r="D246" s="2">
        <v>350</v>
      </c>
      <c r="E246" s="5">
        <v>45320</v>
      </c>
      <c r="F246" s="2">
        <v>30</v>
      </c>
      <c r="G246" s="2" t="s">
        <v>17</v>
      </c>
      <c r="H246" s="2" t="s">
        <v>23</v>
      </c>
      <c r="I246" s="6">
        <v>0.31</v>
      </c>
      <c r="J246" s="2" t="str">
        <f t="shared" si="3"/>
        <v>2024-01</v>
      </c>
    </row>
    <row r="247" spans="1:10" x14ac:dyDescent="0.2">
      <c r="A247" s="2" t="s">
        <v>366</v>
      </c>
      <c r="B247" s="2" t="s">
        <v>60</v>
      </c>
      <c r="C247" s="2" t="s">
        <v>32</v>
      </c>
      <c r="D247" s="2">
        <v>88</v>
      </c>
      <c r="E247" s="5">
        <v>45320</v>
      </c>
      <c r="F247" s="2">
        <v>733</v>
      </c>
      <c r="G247" s="2" t="s">
        <v>128</v>
      </c>
      <c r="H247" s="2" t="s">
        <v>23</v>
      </c>
      <c r="I247" s="6" t="s">
        <v>2954</v>
      </c>
      <c r="J247" s="2" t="str">
        <f t="shared" si="3"/>
        <v>2024-01</v>
      </c>
    </row>
    <row r="248" spans="1:10" x14ac:dyDescent="0.2">
      <c r="A248" s="2" t="s">
        <v>367</v>
      </c>
      <c r="B248" s="2" t="s">
        <v>335</v>
      </c>
      <c r="C248" s="2" t="s">
        <v>50</v>
      </c>
      <c r="D248" s="2" t="s">
        <v>2954</v>
      </c>
      <c r="E248" s="5">
        <v>45320</v>
      </c>
      <c r="F248" s="2">
        <v>263</v>
      </c>
      <c r="G248" s="2" t="s">
        <v>199</v>
      </c>
      <c r="H248" s="2" t="s">
        <v>106</v>
      </c>
      <c r="I248" s="6">
        <v>0.06</v>
      </c>
      <c r="J248" s="2" t="str">
        <f t="shared" si="3"/>
        <v>2024-01</v>
      </c>
    </row>
    <row r="249" spans="1:10" x14ac:dyDescent="0.2">
      <c r="A249" s="2" t="s">
        <v>368</v>
      </c>
      <c r="B249" s="2" t="s">
        <v>34</v>
      </c>
      <c r="C249" s="2" t="s">
        <v>50</v>
      </c>
      <c r="D249" s="2">
        <v>700</v>
      </c>
      <c r="E249" s="5">
        <v>45317</v>
      </c>
      <c r="F249" s="2">
        <v>65</v>
      </c>
      <c r="G249" s="2" t="s">
        <v>17</v>
      </c>
      <c r="H249" s="2" t="s">
        <v>23</v>
      </c>
      <c r="I249" s="6">
        <v>0.01</v>
      </c>
      <c r="J249" s="2" t="str">
        <f t="shared" si="3"/>
        <v>2024-01</v>
      </c>
    </row>
    <row r="250" spans="1:10" x14ac:dyDescent="0.2">
      <c r="A250" s="2" t="s">
        <v>369</v>
      </c>
      <c r="B250" s="2" t="s">
        <v>34</v>
      </c>
      <c r="C250" s="2" t="s">
        <v>170</v>
      </c>
      <c r="D250" s="2" t="s">
        <v>2954</v>
      </c>
      <c r="E250" s="5">
        <v>45317</v>
      </c>
      <c r="F250" s="2">
        <v>2400</v>
      </c>
      <c r="G250" s="2" t="s">
        <v>128</v>
      </c>
      <c r="H250" s="2" t="s">
        <v>23</v>
      </c>
      <c r="I250" s="6">
        <v>0.2</v>
      </c>
      <c r="J250" s="2" t="str">
        <f t="shared" si="3"/>
        <v>2024-01</v>
      </c>
    </row>
    <row r="251" spans="1:10" x14ac:dyDescent="0.2">
      <c r="A251" s="2" t="s">
        <v>370</v>
      </c>
      <c r="B251" s="2" t="s">
        <v>34</v>
      </c>
      <c r="C251" s="2" t="s">
        <v>78</v>
      </c>
      <c r="D251" s="2" t="s">
        <v>2954</v>
      </c>
      <c r="E251" s="5">
        <v>45317</v>
      </c>
      <c r="F251" s="2" t="s">
        <v>2954</v>
      </c>
      <c r="G251" s="2" t="s">
        <v>75</v>
      </c>
      <c r="H251" s="2" t="s">
        <v>23</v>
      </c>
      <c r="I251" s="6" t="s">
        <v>2954</v>
      </c>
      <c r="J251" s="2" t="str">
        <f t="shared" si="3"/>
        <v>2024-01</v>
      </c>
    </row>
    <row r="252" spans="1:10" x14ac:dyDescent="0.2">
      <c r="A252" s="2" t="s">
        <v>27</v>
      </c>
      <c r="B252" s="2" t="s">
        <v>28</v>
      </c>
      <c r="C252" s="2" t="s">
        <v>29</v>
      </c>
      <c r="D252" s="2">
        <v>1900</v>
      </c>
      <c r="E252" s="5">
        <v>45316</v>
      </c>
      <c r="F252" s="2">
        <v>1</v>
      </c>
      <c r="G252" s="2" t="s">
        <v>17</v>
      </c>
      <c r="H252" s="2" t="s">
        <v>23</v>
      </c>
      <c r="I252" s="6" t="s">
        <v>2954</v>
      </c>
      <c r="J252" s="2" t="str">
        <f t="shared" si="3"/>
        <v>2024-01</v>
      </c>
    </row>
    <row r="253" spans="1:10" x14ac:dyDescent="0.2">
      <c r="A253" s="2" t="s">
        <v>371</v>
      </c>
      <c r="B253" s="2" t="s">
        <v>100</v>
      </c>
      <c r="C253" s="2" t="s">
        <v>11</v>
      </c>
      <c r="D253" s="2">
        <v>400</v>
      </c>
      <c r="E253" s="5">
        <v>45316</v>
      </c>
      <c r="F253" s="2">
        <v>3600</v>
      </c>
      <c r="G253" s="2" t="s">
        <v>12</v>
      </c>
      <c r="H253" s="2" t="s">
        <v>98</v>
      </c>
      <c r="I253" s="6">
        <v>7.0000000000000007E-2</v>
      </c>
      <c r="J253" s="2" t="str">
        <f t="shared" si="3"/>
        <v>2024-01</v>
      </c>
    </row>
    <row r="254" spans="1:10" x14ac:dyDescent="0.2">
      <c r="A254" s="2" t="s">
        <v>372</v>
      </c>
      <c r="B254" s="2" t="s">
        <v>284</v>
      </c>
      <c r="C254" s="2" t="s">
        <v>170</v>
      </c>
      <c r="D254" s="2">
        <v>65</v>
      </c>
      <c r="E254" s="5">
        <v>45316</v>
      </c>
      <c r="F254" s="2">
        <v>299</v>
      </c>
      <c r="G254" s="2" t="s">
        <v>37</v>
      </c>
      <c r="H254" s="2" t="s">
        <v>23</v>
      </c>
      <c r="I254" s="6">
        <v>0.19</v>
      </c>
      <c r="J254" s="2" t="str">
        <f t="shared" si="3"/>
        <v>2024-01</v>
      </c>
    </row>
    <row r="255" spans="1:10" x14ac:dyDescent="0.2">
      <c r="A255" s="2" t="s">
        <v>373</v>
      </c>
      <c r="B255" s="2" t="s">
        <v>28</v>
      </c>
      <c r="C255" s="2" t="s">
        <v>26</v>
      </c>
      <c r="D255" s="2">
        <v>20</v>
      </c>
      <c r="E255" s="5">
        <v>45316</v>
      </c>
      <c r="F255" s="2">
        <v>187</v>
      </c>
      <c r="G255" s="2" t="s">
        <v>75</v>
      </c>
      <c r="H255" s="2" t="s">
        <v>23</v>
      </c>
      <c r="I255" s="6" t="s">
        <v>2954</v>
      </c>
      <c r="J255" s="2" t="str">
        <f t="shared" si="3"/>
        <v>2024-01</v>
      </c>
    </row>
    <row r="256" spans="1:10" x14ac:dyDescent="0.2">
      <c r="A256" s="2" t="s">
        <v>374</v>
      </c>
      <c r="B256" s="2" t="s">
        <v>86</v>
      </c>
      <c r="C256" s="2" t="s">
        <v>26</v>
      </c>
      <c r="D256" s="2">
        <v>12</v>
      </c>
      <c r="E256" s="5">
        <v>45316</v>
      </c>
      <c r="F256" s="2">
        <v>27</v>
      </c>
      <c r="G256" s="2" t="s">
        <v>37</v>
      </c>
      <c r="H256" s="2" t="s">
        <v>23</v>
      </c>
      <c r="I256" s="6">
        <v>0.3</v>
      </c>
      <c r="J256" s="2" t="str">
        <f t="shared" si="3"/>
        <v>2024-01</v>
      </c>
    </row>
    <row r="257" spans="1:10" x14ac:dyDescent="0.2">
      <c r="A257" s="2" t="s">
        <v>375</v>
      </c>
      <c r="B257" s="2" t="s">
        <v>25</v>
      </c>
      <c r="C257" s="2" t="s">
        <v>235</v>
      </c>
      <c r="D257" s="2" t="s">
        <v>2954</v>
      </c>
      <c r="E257" s="5">
        <v>45316</v>
      </c>
      <c r="F257" s="2">
        <v>56</v>
      </c>
      <c r="G257" s="2" t="s">
        <v>45</v>
      </c>
      <c r="H257" s="2" t="s">
        <v>23</v>
      </c>
      <c r="I257" s="6">
        <v>0.08</v>
      </c>
      <c r="J257" s="2" t="str">
        <f t="shared" si="3"/>
        <v>2024-01</v>
      </c>
    </row>
    <row r="258" spans="1:10" x14ac:dyDescent="0.2">
      <c r="A258" s="2" t="s">
        <v>376</v>
      </c>
      <c r="B258" s="2" t="s">
        <v>203</v>
      </c>
      <c r="C258" s="2" t="s">
        <v>16</v>
      </c>
      <c r="D258" s="2" t="s">
        <v>2954</v>
      </c>
      <c r="E258" s="5">
        <v>45316</v>
      </c>
      <c r="F258" s="2" t="s">
        <v>2954</v>
      </c>
      <c r="G258" s="2" t="s">
        <v>12</v>
      </c>
      <c r="H258" s="2" t="s">
        <v>204</v>
      </c>
      <c r="I258" s="6">
        <v>1</v>
      </c>
      <c r="J258" s="2" t="str">
        <f t="shared" si="3"/>
        <v>2024-01</v>
      </c>
    </row>
    <row r="259" spans="1:10" x14ac:dyDescent="0.2">
      <c r="A259" s="2" t="s">
        <v>377</v>
      </c>
      <c r="B259" s="2" t="s">
        <v>378</v>
      </c>
      <c r="C259" s="2" t="s">
        <v>29</v>
      </c>
      <c r="D259" s="2" t="s">
        <v>2954</v>
      </c>
      <c r="E259" s="5">
        <v>45316</v>
      </c>
      <c r="F259" s="2">
        <v>332</v>
      </c>
      <c r="G259" s="2" t="s">
        <v>17</v>
      </c>
      <c r="H259" s="2" t="s">
        <v>23</v>
      </c>
      <c r="I259" s="6">
        <v>0.06</v>
      </c>
      <c r="J259" s="2" t="str">
        <f t="shared" ref="J259:J322" si="4">TEXT(E259,"YYYY-MM")</f>
        <v>2024-01</v>
      </c>
    </row>
    <row r="260" spans="1:10" x14ac:dyDescent="0.2">
      <c r="A260" s="2" t="s">
        <v>379</v>
      </c>
      <c r="B260" s="2" t="s">
        <v>100</v>
      </c>
      <c r="C260" s="2" t="s">
        <v>117</v>
      </c>
      <c r="D260" s="2">
        <v>100</v>
      </c>
      <c r="E260" s="5">
        <v>45315</v>
      </c>
      <c r="F260" s="2">
        <v>635</v>
      </c>
      <c r="G260" s="2" t="s">
        <v>62</v>
      </c>
      <c r="H260" s="2" t="s">
        <v>98</v>
      </c>
      <c r="I260" s="6" t="s">
        <v>2954</v>
      </c>
      <c r="J260" s="2" t="str">
        <f t="shared" si="4"/>
        <v>2024-01</v>
      </c>
    </row>
    <row r="261" spans="1:10" x14ac:dyDescent="0.2">
      <c r="A261" s="2" t="s">
        <v>380</v>
      </c>
      <c r="B261" s="2" t="s">
        <v>381</v>
      </c>
      <c r="C261" s="2" t="s">
        <v>68</v>
      </c>
      <c r="D261" s="2">
        <v>100</v>
      </c>
      <c r="E261" s="5">
        <v>45315</v>
      </c>
      <c r="F261" s="2">
        <v>724</v>
      </c>
      <c r="G261" s="2" t="s">
        <v>128</v>
      </c>
      <c r="H261" s="2" t="s">
        <v>76</v>
      </c>
      <c r="I261" s="6" t="s">
        <v>2954</v>
      </c>
      <c r="J261" s="2" t="str">
        <f t="shared" si="4"/>
        <v>2024-01</v>
      </c>
    </row>
    <row r="262" spans="1:10" x14ac:dyDescent="0.2">
      <c r="A262" s="2" t="s">
        <v>290</v>
      </c>
      <c r="B262" s="2" t="s">
        <v>287</v>
      </c>
      <c r="C262" s="2" t="s">
        <v>235</v>
      </c>
      <c r="D262" s="2">
        <v>80</v>
      </c>
      <c r="E262" s="5">
        <v>45315</v>
      </c>
      <c r="F262" s="2">
        <v>275</v>
      </c>
      <c r="G262" s="2" t="s">
        <v>17</v>
      </c>
      <c r="H262" s="2" t="s">
        <v>291</v>
      </c>
      <c r="I262" s="6">
        <v>0.13</v>
      </c>
      <c r="J262" s="2" t="str">
        <f t="shared" si="4"/>
        <v>2024-01</v>
      </c>
    </row>
    <row r="263" spans="1:10" x14ac:dyDescent="0.2">
      <c r="A263" s="2" t="s">
        <v>382</v>
      </c>
      <c r="B263" s="2" t="s">
        <v>92</v>
      </c>
      <c r="C263" s="2" t="s">
        <v>52</v>
      </c>
      <c r="D263" s="2" t="s">
        <v>2954</v>
      </c>
      <c r="E263" s="5">
        <v>45315</v>
      </c>
      <c r="F263" s="2">
        <v>3700</v>
      </c>
      <c r="G263" s="2" t="s">
        <v>17</v>
      </c>
      <c r="H263" s="2" t="s">
        <v>23</v>
      </c>
      <c r="I263" s="6">
        <v>0.03</v>
      </c>
      <c r="J263" s="2" t="str">
        <f t="shared" si="4"/>
        <v>2024-01</v>
      </c>
    </row>
    <row r="264" spans="1:10" x14ac:dyDescent="0.2">
      <c r="A264" s="2" t="s">
        <v>383</v>
      </c>
      <c r="B264" s="2" t="s">
        <v>89</v>
      </c>
      <c r="C264" s="2" t="s">
        <v>29</v>
      </c>
      <c r="D264" s="2" t="s">
        <v>2954</v>
      </c>
      <c r="E264" s="5">
        <v>45315</v>
      </c>
      <c r="F264" s="2">
        <v>811</v>
      </c>
      <c r="G264" s="2" t="s">
        <v>17</v>
      </c>
      <c r="H264" s="2" t="s">
        <v>23</v>
      </c>
      <c r="I264" s="6">
        <v>0.2</v>
      </c>
      <c r="J264" s="2" t="str">
        <f t="shared" si="4"/>
        <v>2024-01</v>
      </c>
    </row>
    <row r="265" spans="1:10" x14ac:dyDescent="0.2">
      <c r="A265" s="2" t="s">
        <v>384</v>
      </c>
      <c r="B265" s="2" t="s">
        <v>89</v>
      </c>
      <c r="C265" s="2" t="s">
        <v>26</v>
      </c>
      <c r="D265" s="2" t="s">
        <v>2954</v>
      </c>
      <c r="E265" s="5">
        <v>45315</v>
      </c>
      <c r="F265" s="2">
        <v>100</v>
      </c>
      <c r="G265" s="2" t="s">
        <v>17</v>
      </c>
      <c r="H265" s="2" t="s">
        <v>23</v>
      </c>
      <c r="I265" s="6" t="s">
        <v>2954</v>
      </c>
      <c r="J265" s="2" t="str">
        <f t="shared" si="4"/>
        <v>2024-01</v>
      </c>
    </row>
    <row r="266" spans="1:10" x14ac:dyDescent="0.2">
      <c r="A266" s="2" t="s">
        <v>385</v>
      </c>
      <c r="B266" s="2" t="s">
        <v>386</v>
      </c>
      <c r="C266" s="2" t="s">
        <v>29</v>
      </c>
      <c r="D266" s="2">
        <v>8000</v>
      </c>
      <c r="E266" s="5">
        <v>45314</v>
      </c>
      <c r="F266" s="2">
        <v>1300</v>
      </c>
      <c r="G266" s="2" t="s">
        <v>17</v>
      </c>
      <c r="H266" s="2" t="s">
        <v>76</v>
      </c>
      <c r="I266" s="6">
        <v>7.0000000000000007E-2</v>
      </c>
      <c r="J266" s="2" t="str">
        <f t="shared" si="4"/>
        <v>2024-01</v>
      </c>
    </row>
    <row r="267" spans="1:10" x14ac:dyDescent="0.2">
      <c r="A267" s="2" t="s">
        <v>387</v>
      </c>
      <c r="B267" s="2" t="s">
        <v>34</v>
      </c>
      <c r="C267" s="2" t="s">
        <v>142</v>
      </c>
      <c r="D267" s="2">
        <v>1000</v>
      </c>
      <c r="E267" s="5">
        <v>45314</v>
      </c>
      <c r="F267" s="2">
        <v>1200</v>
      </c>
      <c r="G267" s="2" t="s">
        <v>17</v>
      </c>
      <c r="H267" s="2" t="s">
        <v>23</v>
      </c>
      <c r="I267" s="6">
        <v>0.09</v>
      </c>
      <c r="J267" s="2" t="str">
        <f t="shared" si="4"/>
        <v>2024-01</v>
      </c>
    </row>
    <row r="268" spans="1:10" x14ac:dyDescent="0.2">
      <c r="A268" s="2" t="s">
        <v>388</v>
      </c>
      <c r="B268" s="2" t="s">
        <v>25</v>
      </c>
      <c r="C268" s="2" t="s">
        <v>52</v>
      </c>
      <c r="D268" s="2">
        <v>800</v>
      </c>
      <c r="E268" s="5">
        <v>45314</v>
      </c>
      <c r="F268" s="2">
        <v>1300</v>
      </c>
      <c r="G268" s="2" t="s">
        <v>17</v>
      </c>
      <c r="H268" s="2" t="s">
        <v>23</v>
      </c>
      <c r="I268" s="6">
        <v>0.9</v>
      </c>
      <c r="J268" s="2" t="str">
        <f t="shared" si="4"/>
        <v>2024-01</v>
      </c>
    </row>
    <row r="269" spans="1:10" x14ac:dyDescent="0.2">
      <c r="A269" s="2" t="s">
        <v>389</v>
      </c>
      <c r="B269" s="2" t="s">
        <v>34</v>
      </c>
      <c r="C269" s="2" t="s">
        <v>16</v>
      </c>
      <c r="D269" s="2">
        <v>282</v>
      </c>
      <c r="E269" s="5">
        <v>45314</v>
      </c>
      <c r="F269" s="2">
        <v>1500</v>
      </c>
      <c r="G269" s="2" t="s">
        <v>75</v>
      </c>
      <c r="H269" s="2" t="s">
        <v>23</v>
      </c>
      <c r="I269" s="6">
        <v>0.2</v>
      </c>
      <c r="J269" s="2" t="str">
        <f t="shared" si="4"/>
        <v>2024-01</v>
      </c>
    </row>
    <row r="270" spans="1:10" x14ac:dyDescent="0.2">
      <c r="A270" s="2" t="s">
        <v>390</v>
      </c>
      <c r="B270" s="2" t="s">
        <v>100</v>
      </c>
      <c r="C270" s="2" t="s">
        <v>117</v>
      </c>
      <c r="D270" s="2">
        <v>120</v>
      </c>
      <c r="E270" s="5">
        <v>45314</v>
      </c>
      <c r="F270" s="2">
        <v>625</v>
      </c>
      <c r="G270" s="2" t="s">
        <v>62</v>
      </c>
      <c r="H270" s="2" t="s">
        <v>98</v>
      </c>
      <c r="I270" s="6" t="s">
        <v>2954</v>
      </c>
      <c r="J270" s="2" t="str">
        <f t="shared" si="4"/>
        <v>2024-01</v>
      </c>
    </row>
    <row r="271" spans="1:10" x14ac:dyDescent="0.2">
      <c r="A271" s="2" t="s">
        <v>391</v>
      </c>
      <c r="B271" s="2" t="s">
        <v>392</v>
      </c>
      <c r="C271" s="2" t="s">
        <v>61</v>
      </c>
      <c r="D271" s="2">
        <v>100</v>
      </c>
      <c r="E271" s="5">
        <v>45314</v>
      </c>
      <c r="F271" s="2">
        <v>686</v>
      </c>
      <c r="G271" s="2" t="s">
        <v>75</v>
      </c>
      <c r="H271" s="2" t="s">
        <v>393</v>
      </c>
      <c r="I271" s="6" t="s">
        <v>2954</v>
      </c>
      <c r="J271" s="2" t="str">
        <f t="shared" si="4"/>
        <v>2024-01</v>
      </c>
    </row>
    <row r="272" spans="1:10" x14ac:dyDescent="0.2">
      <c r="A272" s="2" t="s">
        <v>394</v>
      </c>
      <c r="B272" s="2" t="s">
        <v>89</v>
      </c>
      <c r="C272" s="2" t="s">
        <v>29</v>
      </c>
      <c r="D272" s="2">
        <v>29</v>
      </c>
      <c r="E272" s="5">
        <v>45314</v>
      </c>
      <c r="F272" s="2">
        <v>2</v>
      </c>
      <c r="G272" s="2" t="s">
        <v>45</v>
      </c>
      <c r="H272" s="2" t="s">
        <v>23</v>
      </c>
      <c r="I272" s="6" t="s">
        <v>2954</v>
      </c>
      <c r="J272" s="2" t="str">
        <f t="shared" si="4"/>
        <v>2024-01</v>
      </c>
    </row>
    <row r="273" spans="1:10" x14ac:dyDescent="0.2">
      <c r="A273" s="2" t="s">
        <v>395</v>
      </c>
      <c r="B273" s="2" t="s">
        <v>54</v>
      </c>
      <c r="C273" s="2" t="s">
        <v>16</v>
      </c>
      <c r="D273" s="2">
        <v>15</v>
      </c>
      <c r="E273" s="5">
        <v>45314</v>
      </c>
      <c r="F273" s="2">
        <v>28</v>
      </c>
      <c r="G273" s="2" t="s">
        <v>45</v>
      </c>
      <c r="H273" s="2" t="s">
        <v>55</v>
      </c>
      <c r="I273" s="6" t="s">
        <v>2954</v>
      </c>
      <c r="J273" s="2" t="str">
        <f t="shared" si="4"/>
        <v>2024-01</v>
      </c>
    </row>
    <row r="274" spans="1:10" x14ac:dyDescent="0.2">
      <c r="A274" s="2" t="s">
        <v>396</v>
      </c>
      <c r="B274" s="2" t="s">
        <v>47</v>
      </c>
      <c r="C274" s="2" t="s">
        <v>35</v>
      </c>
      <c r="D274" s="2">
        <v>530</v>
      </c>
      <c r="E274" s="5">
        <v>45313</v>
      </c>
      <c r="F274" s="2">
        <v>21</v>
      </c>
      <c r="G274" s="2" t="s">
        <v>45</v>
      </c>
      <c r="H274" s="2" t="s">
        <v>23</v>
      </c>
      <c r="I274" s="6">
        <v>0.11</v>
      </c>
      <c r="J274" s="2" t="str">
        <f t="shared" si="4"/>
        <v>2024-01</v>
      </c>
    </row>
    <row r="275" spans="1:10" x14ac:dyDescent="0.2">
      <c r="A275" s="2" t="s">
        <v>397</v>
      </c>
      <c r="B275" s="2" t="s">
        <v>398</v>
      </c>
      <c r="C275" s="2" t="s">
        <v>16</v>
      </c>
      <c r="D275" s="2">
        <v>200</v>
      </c>
      <c r="E275" s="5">
        <v>45313</v>
      </c>
      <c r="F275" s="2">
        <v>534</v>
      </c>
      <c r="G275" s="2" t="s">
        <v>75</v>
      </c>
      <c r="H275" s="2" t="s">
        <v>399</v>
      </c>
      <c r="I275" s="6" t="s">
        <v>2954</v>
      </c>
      <c r="J275" s="2" t="str">
        <f t="shared" si="4"/>
        <v>2024-01</v>
      </c>
    </row>
    <row r="276" spans="1:10" x14ac:dyDescent="0.2">
      <c r="A276" s="2" t="s">
        <v>166</v>
      </c>
      <c r="B276" s="2" t="s">
        <v>47</v>
      </c>
      <c r="C276" s="2" t="s">
        <v>35</v>
      </c>
      <c r="D276" s="2">
        <v>60</v>
      </c>
      <c r="E276" s="5">
        <v>45313</v>
      </c>
      <c r="F276" s="2" t="s">
        <v>2954</v>
      </c>
      <c r="G276" s="2" t="s">
        <v>45</v>
      </c>
      <c r="H276" s="2" t="s">
        <v>23</v>
      </c>
      <c r="I276" s="6" t="s">
        <v>2954</v>
      </c>
      <c r="J276" s="2" t="str">
        <f t="shared" si="4"/>
        <v>2024-01</v>
      </c>
    </row>
    <row r="277" spans="1:10" x14ac:dyDescent="0.2">
      <c r="A277" s="2" t="s">
        <v>400</v>
      </c>
      <c r="B277" s="2" t="s">
        <v>401</v>
      </c>
      <c r="C277" s="2" t="s">
        <v>61</v>
      </c>
      <c r="D277" s="2" t="s">
        <v>2954</v>
      </c>
      <c r="E277" s="5">
        <v>45313</v>
      </c>
      <c r="F277" s="2">
        <v>426</v>
      </c>
      <c r="G277" s="2" t="s">
        <v>17</v>
      </c>
      <c r="H277" s="2" t="s">
        <v>23</v>
      </c>
      <c r="I277" s="6" t="s">
        <v>2954</v>
      </c>
      <c r="J277" s="2" t="str">
        <f t="shared" si="4"/>
        <v>2024-01</v>
      </c>
    </row>
    <row r="278" spans="1:10" x14ac:dyDescent="0.2">
      <c r="A278" s="2" t="s">
        <v>33</v>
      </c>
      <c r="B278" s="2" t="s">
        <v>34</v>
      </c>
      <c r="C278" s="2" t="s">
        <v>35</v>
      </c>
      <c r="D278" s="2" t="s">
        <v>2954</v>
      </c>
      <c r="E278" s="5">
        <v>45313</v>
      </c>
      <c r="F278" s="2">
        <v>26</v>
      </c>
      <c r="G278" s="2" t="s">
        <v>17</v>
      </c>
      <c r="H278" s="2" t="s">
        <v>23</v>
      </c>
      <c r="I278" s="6" t="s">
        <v>2954</v>
      </c>
      <c r="J278" s="2" t="str">
        <f t="shared" si="4"/>
        <v>2024-01</v>
      </c>
    </row>
    <row r="279" spans="1:10" x14ac:dyDescent="0.2">
      <c r="A279" s="2" t="s">
        <v>397</v>
      </c>
      <c r="B279" s="2" t="s">
        <v>398</v>
      </c>
      <c r="C279" s="2" t="s">
        <v>16</v>
      </c>
      <c r="D279" s="2" t="s">
        <v>2954</v>
      </c>
      <c r="E279" s="5">
        <v>45313</v>
      </c>
      <c r="F279" s="2">
        <v>534</v>
      </c>
      <c r="G279" s="2" t="s">
        <v>75</v>
      </c>
      <c r="H279" s="2" t="s">
        <v>399</v>
      </c>
      <c r="I279" s="6" t="s">
        <v>2954</v>
      </c>
      <c r="J279" s="2" t="str">
        <f t="shared" si="4"/>
        <v>2024-01</v>
      </c>
    </row>
    <row r="280" spans="1:10" x14ac:dyDescent="0.2">
      <c r="A280" s="2" t="s">
        <v>402</v>
      </c>
      <c r="B280" s="2" t="s">
        <v>15</v>
      </c>
      <c r="C280" s="2" t="s">
        <v>109</v>
      </c>
      <c r="D280" s="2">
        <v>900</v>
      </c>
      <c r="E280" s="5">
        <v>45312</v>
      </c>
      <c r="F280" s="2">
        <v>155</v>
      </c>
      <c r="G280" s="2" t="s">
        <v>17</v>
      </c>
      <c r="H280" s="2" t="s">
        <v>18</v>
      </c>
      <c r="I280" s="6">
        <v>0.16</v>
      </c>
      <c r="J280" s="2" t="str">
        <f t="shared" si="4"/>
        <v>2024-01</v>
      </c>
    </row>
    <row r="281" spans="1:10" x14ac:dyDescent="0.2">
      <c r="A281" s="2" t="s">
        <v>403</v>
      </c>
      <c r="B281" s="2" t="s">
        <v>89</v>
      </c>
      <c r="C281" s="2" t="s">
        <v>142</v>
      </c>
      <c r="D281" s="2">
        <v>1650</v>
      </c>
      <c r="E281" s="5">
        <v>45310</v>
      </c>
      <c r="F281" s="2">
        <v>1700</v>
      </c>
      <c r="G281" s="2" t="s">
        <v>17</v>
      </c>
      <c r="H281" s="2" t="s">
        <v>23</v>
      </c>
      <c r="I281" s="6">
        <v>0.13</v>
      </c>
      <c r="J281" s="2" t="str">
        <f t="shared" si="4"/>
        <v>2024-01</v>
      </c>
    </row>
    <row r="282" spans="1:10" x14ac:dyDescent="0.2">
      <c r="A282" s="2" t="s">
        <v>191</v>
      </c>
      <c r="B282" s="2" t="s">
        <v>28</v>
      </c>
      <c r="C282" s="2" t="s">
        <v>142</v>
      </c>
      <c r="D282" s="2">
        <v>30</v>
      </c>
      <c r="E282" s="5">
        <v>45309</v>
      </c>
      <c r="F282" s="2">
        <v>108</v>
      </c>
      <c r="G282" s="2" t="s">
        <v>17</v>
      </c>
      <c r="H282" s="2" t="s">
        <v>23</v>
      </c>
      <c r="I282" s="6" t="s">
        <v>2954</v>
      </c>
      <c r="J282" s="2" t="str">
        <f t="shared" si="4"/>
        <v>2024-01</v>
      </c>
    </row>
    <row r="283" spans="1:10" x14ac:dyDescent="0.2">
      <c r="A283" s="2" t="s">
        <v>404</v>
      </c>
      <c r="B283" s="2" t="s">
        <v>25</v>
      </c>
      <c r="C283" s="2" t="s">
        <v>142</v>
      </c>
      <c r="D283" s="2" t="s">
        <v>2954</v>
      </c>
      <c r="E283" s="5">
        <v>45309</v>
      </c>
      <c r="F283" s="2">
        <v>153</v>
      </c>
      <c r="G283" s="2" t="s">
        <v>12</v>
      </c>
      <c r="H283" s="2" t="s">
        <v>23</v>
      </c>
      <c r="I283" s="6" t="s">
        <v>2954</v>
      </c>
      <c r="J283" s="2" t="str">
        <f t="shared" si="4"/>
        <v>2024-01</v>
      </c>
    </row>
    <row r="284" spans="1:10" x14ac:dyDescent="0.2">
      <c r="A284" s="2" t="s">
        <v>405</v>
      </c>
      <c r="B284" s="2" t="s">
        <v>406</v>
      </c>
      <c r="C284" s="2" t="s">
        <v>142</v>
      </c>
      <c r="D284" s="2" t="s">
        <v>2954</v>
      </c>
      <c r="E284" s="5">
        <v>45309</v>
      </c>
      <c r="F284" s="2">
        <v>79</v>
      </c>
      <c r="G284" s="2" t="s">
        <v>17</v>
      </c>
      <c r="H284" s="2" t="s">
        <v>23</v>
      </c>
      <c r="I284" s="6" t="s">
        <v>2954</v>
      </c>
      <c r="J284" s="2" t="str">
        <f t="shared" si="4"/>
        <v>2024-01</v>
      </c>
    </row>
    <row r="285" spans="1:10" x14ac:dyDescent="0.2">
      <c r="A285" s="2" t="s">
        <v>407</v>
      </c>
      <c r="B285" s="2" t="s">
        <v>34</v>
      </c>
      <c r="C285" s="2" t="s">
        <v>235</v>
      </c>
      <c r="D285" s="2">
        <v>100</v>
      </c>
      <c r="E285" s="5">
        <v>45308</v>
      </c>
      <c r="F285" s="2">
        <v>11</v>
      </c>
      <c r="G285" s="2" t="s">
        <v>45</v>
      </c>
      <c r="H285" s="2" t="s">
        <v>23</v>
      </c>
      <c r="I285" s="6" t="s">
        <v>2954</v>
      </c>
      <c r="J285" s="2" t="str">
        <f t="shared" si="4"/>
        <v>2024-01</v>
      </c>
    </row>
    <row r="286" spans="1:10" x14ac:dyDescent="0.2">
      <c r="A286" s="2" t="s">
        <v>408</v>
      </c>
      <c r="B286" s="2" t="s">
        <v>74</v>
      </c>
      <c r="C286" s="2" t="s">
        <v>11</v>
      </c>
      <c r="D286" s="2">
        <v>60</v>
      </c>
      <c r="E286" s="5">
        <v>45308</v>
      </c>
      <c r="F286" s="2" t="s">
        <v>2954</v>
      </c>
      <c r="G286" s="2" t="s">
        <v>132</v>
      </c>
      <c r="H286" s="2" t="s">
        <v>76</v>
      </c>
      <c r="I286" s="6" t="s">
        <v>2954</v>
      </c>
      <c r="J286" s="2" t="str">
        <f t="shared" si="4"/>
        <v>2024-01</v>
      </c>
    </row>
    <row r="287" spans="1:10" x14ac:dyDescent="0.2">
      <c r="A287" s="2" t="s">
        <v>409</v>
      </c>
      <c r="B287" s="2" t="s">
        <v>60</v>
      </c>
      <c r="C287" s="2" t="s">
        <v>32</v>
      </c>
      <c r="D287" s="2">
        <v>49</v>
      </c>
      <c r="E287" s="5">
        <v>45307</v>
      </c>
      <c r="F287" s="2">
        <v>183</v>
      </c>
      <c r="G287" s="2" t="s">
        <v>66</v>
      </c>
      <c r="H287" s="2" t="s">
        <v>23</v>
      </c>
      <c r="I287" s="6">
        <v>0.17</v>
      </c>
      <c r="J287" s="2" t="str">
        <f t="shared" si="4"/>
        <v>2024-01</v>
      </c>
    </row>
    <row r="288" spans="1:10" x14ac:dyDescent="0.2">
      <c r="A288" s="2" t="s">
        <v>410</v>
      </c>
      <c r="B288" s="2" t="s">
        <v>28</v>
      </c>
      <c r="C288" s="2" t="s">
        <v>52</v>
      </c>
      <c r="D288" s="2">
        <v>48</v>
      </c>
      <c r="E288" s="5">
        <v>45307</v>
      </c>
      <c r="F288" s="2">
        <v>9</v>
      </c>
      <c r="G288" s="2" t="s">
        <v>45</v>
      </c>
      <c r="H288" s="2" t="s">
        <v>23</v>
      </c>
      <c r="I288" s="6">
        <v>0.2</v>
      </c>
      <c r="J288" s="2" t="str">
        <f t="shared" si="4"/>
        <v>2024-01</v>
      </c>
    </row>
    <row r="289" spans="1:10" x14ac:dyDescent="0.2">
      <c r="A289" s="2" t="s">
        <v>411</v>
      </c>
      <c r="B289" s="2" t="s">
        <v>70</v>
      </c>
      <c r="C289" s="2" t="s">
        <v>52</v>
      </c>
      <c r="D289" s="2" t="s">
        <v>2954</v>
      </c>
      <c r="E289" s="5">
        <v>45307</v>
      </c>
      <c r="F289" s="2" t="s">
        <v>2954</v>
      </c>
      <c r="G289" s="2" t="s">
        <v>12</v>
      </c>
      <c r="H289" s="2" t="s">
        <v>72</v>
      </c>
      <c r="I289" s="6">
        <v>1</v>
      </c>
      <c r="J289" s="2" t="str">
        <f t="shared" si="4"/>
        <v>2024-01</v>
      </c>
    </row>
    <row r="290" spans="1:10" x14ac:dyDescent="0.2">
      <c r="A290" s="2" t="s">
        <v>33</v>
      </c>
      <c r="B290" s="2" t="s">
        <v>34</v>
      </c>
      <c r="C290" s="2" t="s">
        <v>35</v>
      </c>
      <c r="D290" s="2" t="s">
        <v>2954</v>
      </c>
      <c r="E290" s="5">
        <v>45307</v>
      </c>
      <c r="F290" s="2">
        <v>26</v>
      </c>
      <c r="G290" s="2" t="s">
        <v>17</v>
      </c>
      <c r="H290" s="2" t="s">
        <v>23</v>
      </c>
      <c r="I290" s="6" t="s">
        <v>2954</v>
      </c>
      <c r="J290" s="2" t="str">
        <f t="shared" si="4"/>
        <v>2024-01</v>
      </c>
    </row>
    <row r="291" spans="1:10" x14ac:dyDescent="0.2">
      <c r="A291" s="2" t="s">
        <v>412</v>
      </c>
      <c r="B291" s="2" t="s">
        <v>54</v>
      </c>
      <c r="C291" s="2" t="s">
        <v>35</v>
      </c>
      <c r="D291" s="2" t="s">
        <v>2954</v>
      </c>
      <c r="E291" s="5">
        <v>45307</v>
      </c>
      <c r="F291" s="2">
        <v>3</v>
      </c>
      <c r="G291" s="2" t="s">
        <v>132</v>
      </c>
      <c r="H291" s="2" t="s">
        <v>55</v>
      </c>
      <c r="I291" s="6">
        <v>0.7</v>
      </c>
      <c r="J291" s="2" t="str">
        <f t="shared" si="4"/>
        <v>2024-01</v>
      </c>
    </row>
    <row r="292" spans="1:10" x14ac:dyDescent="0.2">
      <c r="A292" s="2" t="s">
        <v>413</v>
      </c>
      <c r="B292" s="2" t="s">
        <v>414</v>
      </c>
      <c r="C292" s="2" t="s">
        <v>243</v>
      </c>
      <c r="D292" s="2">
        <v>300</v>
      </c>
      <c r="E292" s="5">
        <v>45303</v>
      </c>
      <c r="F292" s="2">
        <v>500</v>
      </c>
      <c r="G292" s="2" t="s">
        <v>45</v>
      </c>
      <c r="H292" s="2" t="s">
        <v>23</v>
      </c>
      <c r="I292" s="6" t="s">
        <v>2954</v>
      </c>
      <c r="J292" s="2" t="str">
        <f t="shared" si="4"/>
        <v>2024-01</v>
      </c>
    </row>
    <row r="293" spans="1:10" x14ac:dyDescent="0.2">
      <c r="A293" s="2" t="s">
        <v>415</v>
      </c>
      <c r="B293" s="2" t="s">
        <v>416</v>
      </c>
      <c r="C293" s="2" t="s">
        <v>29</v>
      </c>
      <c r="D293" s="2">
        <v>13</v>
      </c>
      <c r="E293" s="5">
        <v>45303</v>
      </c>
      <c r="F293" s="2">
        <v>28</v>
      </c>
      <c r="G293" s="2" t="s">
        <v>45</v>
      </c>
      <c r="H293" s="2" t="s">
        <v>417</v>
      </c>
      <c r="I293" s="6" t="s">
        <v>2954</v>
      </c>
      <c r="J293" s="2" t="str">
        <f t="shared" si="4"/>
        <v>2024-01</v>
      </c>
    </row>
    <row r="294" spans="1:10" x14ac:dyDescent="0.2">
      <c r="A294" s="2" t="s">
        <v>418</v>
      </c>
      <c r="B294" s="2" t="s">
        <v>34</v>
      </c>
      <c r="C294" s="2" t="s">
        <v>235</v>
      </c>
      <c r="D294" s="2" t="s">
        <v>2954</v>
      </c>
      <c r="E294" s="5">
        <v>45303</v>
      </c>
      <c r="F294" s="2" t="s">
        <v>2954</v>
      </c>
      <c r="G294" s="2" t="s">
        <v>12</v>
      </c>
      <c r="H294" s="2" t="s">
        <v>23</v>
      </c>
      <c r="I294" s="6">
        <v>1</v>
      </c>
      <c r="J294" s="2" t="str">
        <f t="shared" si="4"/>
        <v>2024-01</v>
      </c>
    </row>
    <row r="295" spans="1:10" x14ac:dyDescent="0.2">
      <c r="A295" s="2" t="s">
        <v>419</v>
      </c>
      <c r="B295" s="2" t="s">
        <v>420</v>
      </c>
      <c r="C295" s="2" t="s">
        <v>142</v>
      </c>
      <c r="D295" s="2" t="s">
        <v>2954</v>
      </c>
      <c r="E295" s="5">
        <v>45303</v>
      </c>
      <c r="F295" s="2">
        <v>41</v>
      </c>
      <c r="G295" s="2" t="s">
        <v>41</v>
      </c>
      <c r="H295" s="2" t="s">
        <v>421</v>
      </c>
      <c r="I295" s="6">
        <v>0.8</v>
      </c>
      <c r="J295" s="2" t="str">
        <f t="shared" si="4"/>
        <v>2024-01</v>
      </c>
    </row>
    <row r="296" spans="1:10" x14ac:dyDescent="0.2">
      <c r="A296" s="2" t="s">
        <v>422</v>
      </c>
      <c r="B296" s="2" t="s">
        <v>314</v>
      </c>
      <c r="C296" s="2" t="s">
        <v>48</v>
      </c>
      <c r="D296" s="2" t="s">
        <v>2954</v>
      </c>
      <c r="E296" s="5">
        <v>45303</v>
      </c>
      <c r="F296" s="2">
        <v>82</v>
      </c>
      <c r="G296" s="2" t="s">
        <v>12</v>
      </c>
      <c r="H296" s="2" t="s">
        <v>23</v>
      </c>
      <c r="I296" s="6" t="s">
        <v>2954</v>
      </c>
      <c r="J296" s="2" t="str">
        <f t="shared" si="4"/>
        <v>2024-01</v>
      </c>
    </row>
    <row r="297" spans="1:10" x14ac:dyDescent="0.2">
      <c r="A297" s="2" t="s">
        <v>423</v>
      </c>
      <c r="B297" s="2" t="s">
        <v>89</v>
      </c>
      <c r="C297" s="2" t="s">
        <v>29</v>
      </c>
      <c r="D297" s="2" t="s">
        <v>2954</v>
      </c>
      <c r="E297" s="5">
        <v>45303</v>
      </c>
      <c r="F297" s="2">
        <v>216</v>
      </c>
      <c r="G297" s="2" t="s">
        <v>37</v>
      </c>
      <c r="H297" s="2" t="s">
        <v>23</v>
      </c>
      <c r="I297" s="6" t="s">
        <v>2954</v>
      </c>
      <c r="J297" s="2" t="str">
        <f t="shared" si="4"/>
        <v>2024-01</v>
      </c>
    </row>
    <row r="298" spans="1:10" x14ac:dyDescent="0.2">
      <c r="A298" s="2" t="s">
        <v>424</v>
      </c>
      <c r="B298" s="2" t="s">
        <v>425</v>
      </c>
      <c r="C298" s="2" t="s">
        <v>35</v>
      </c>
      <c r="D298" s="2">
        <v>400</v>
      </c>
      <c r="E298" s="5">
        <v>45302</v>
      </c>
      <c r="F298" s="2" t="s">
        <v>2954</v>
      </c>
      <c r="G298" s="2" t="s">
        <v>17</v>
      </c>
      <c r="H298" s="2" t="s">
        <v>76</v>
      </c>
      <c r="I298" s="6" t="s">
        <v>2954</v>
      </c>
      <c r="J298" s="2" t="str">
        <f t="shared" si="4"/>
        <v>2024-01</v>
      </c>
    </row>
    <row r="299" spans="1:10" x14ac:dyDescent="0.2">
      <c r="A299" s="2" t="s">
        <v>426</v>
      </c>
      <c r="B299" s="2" t="s">
        <v>15</v>
      </c>
      <c r="C299" s="2" t="s">
        <v>35</v>
      </c>
      <c r="D299" s="2">
        <v>300</v>
      </c>
      <c r="E299" s="5">
        <v>45302</v>
      </c>
      <c r="F299" s="2" t="s">
        <v>2954</v>
      </c>
      <c r="G299" s="2" t="s">
        <v>17</v>
      </c>
      <c r="H299" s="2" t="s">
        <v>18</v>
      </c>
      <c r="I299" s="6">
        <v>0.1</v>
      </c>
      <c r="J299" s="2" t="str">
        <f t="shared" si="4"/>
        <v>2024-01</v>
      </c>
    </row>
    <row r="300" spans="1:10" x14ac:dyDescent="0.2">
      <c r="A300" s="2" t="s">
        <v>427</v>
      </c>
      <c r="B300" s="2" t="s">
        <v>34</v>
      </c>
      <c r="C300" s="2" t="s">
        <v>35</v>
      </c>
      <c r="D300" s="2">
        <v>170</v>
      </c>
      <c r="E300" s="5">
        <v>45302</v>
      </c>
      <c r="F300" s="2">
        <v>995</v>
      </c>
      <c r="G300" s="2" t="s">
        <v>81</v>
      </c>
      <c r="H300" s="2" t="s">
        <v>23</v>
      </c>
      <c r="I300" s="6">
        <v>0.17</v>
      </c>
      <c r="J300" s="2" t="str">
        <f t="shared" si="4"/>
        <v>2024-01</v>
      </c>
    </row>
    <row r="301" spans="1:10" x14ac:dyDescent="0.2">
      <c r="A301" s="2" t="s">
        <v>428</v>
      </c>
      <c r="B301" s="2" t="s">
        <v>100</v>
      </c>
      <c r="C301" s="2" t="s">
        <v>26</v>
      </c>
      <c r="D301" s="2">
        <v>125</v>
      </c>
      <c r="E301" s="5">
        <v>45302</v>
      </c>
      <c r="F301" s="2">
        <v>320</v>
      </c>
      <c r="G301" s="2" t="s">
        <v>12</v>
      </c>
      <c r="H301" s="2" t="s">
        <v>98</v>
      </c>
      <c r="I301" s="6">
        <v>0.05</v>
      </c>
      <c r="J301" s="2" t="str">
        <f t="shared" si="4"/>
        <v>2024-01</v>
      </c>
    </row>
    <row r="302" spans="1:10" x14ac:dyDescent="0.2">
      <c r="A302" s="2" t="s">
        <v>429</v>
      </c>
      <c r="B302" s="2" t="s">
        <v>25</v>
      </c>
      <c r="C302" s="2" t="s">
        <v>235</v>
      </c>
      <c r="D302" s="2">
        <v>100</v>
      </c>
      <c r="E302" s="5">
        <v>45302</v>
      </c>
      <c r="F302" s="2">
        <v>14</v>
      </c>
      <c r="G302" s="2" t="s">
        <v>45</v>
      </c>
      <c r="H302" s="2" t="s">
        <v>23</v>
      </c>
      <c r="I302" s="6">
        <v>0.05</v>
      </c>
      <c r="J302" s="2" t="str">
        <f t="shared" si="4"/>
        <v>2024-01</v>
      </c>
    </row>
    <row r="303" spans="1:10" x14ac:dyDescent="0.2">
      <c r="A303" s="2" t="s">
        <v>430</v>
      </c>
      <c r="B303" s="2" t="s">
        <v>431</v>
      </c>
      <c r="C303" s="2" t="s">
        <v>11</v>
      </c>
      <c r="D303" s="2">
        <v>68</v>
      </c>
      <c r="E303" s="5">
        <v>45302</v>
      </c>
      <c r="F303" s="2">
        <v>131</v>
      </c>
      <c r="G303" s="2" t="s">
        <v>66</v>
      </c>
      <c r="H303" s="2" t="s">
        <v>106</v>
      </c>
      <c r="I303" s="6">
        <v>0.19</v>
      </c>
      <c r="J303" s="2" t="str">
        <f t="shared" si="4"/>
        <v>2024-01</v>
      </c>
    </row>
    <row r="304" spans="1:10" x14ac:dyDescent="0.2">
      <c r="A304" s="2" t="s">
        <v>432</v>
      </c>
      <c r="B304" s="2" t="s">
        <v>25</v>
      </c>
      <c r="C304" s="2" t="s">
        <v>243</v>
      </c>
      <c r="D304" s="2">
        <v>60</v>
      </c>
      <c r="E304" s="5">
        <v>45302</v>
      </c>
      <c r="F304" s="2">
        <v>274</v>
      </c>
      <c r="G304" s="2" t="s">
        <v>62</v>
      </c>
      <c r="H304" s="2" t="s">
        <v>23</v>
      </c>
      <c r="I304" s="6">
        <v>0.13</v>
      </c>
      <c r="J304" s="2" t="str">
        <f t="shared" si="4"/>
        <v>2024-01</v>
      </c>
    </row>
    <row r="305" spans="1:10" x14ac:dyDescent="0.2">
      <c r="A305" s="2" t="s">
        <v>433</v>
      </c>
      <c r="B305" s="2" t="s">
        <v>34</v>
      </c>
      <c r="C305" s="2" t="s">
        <v>195</v>
      </c>
      <c r="D305" s="2">
        <v>40</v>
      </c>
      <c r="E305" s="5">
        <v>45302</v>
      </c>
      <c r="F305" s="2">
        <v>332</v>
      </c>
      <c r="G305" s="2" t="s">
        <v>17</v>
      </c>
      <c r="H305" s="2" t="s">
        <v>23</v>
      </c>
      <c r="I305" s="6" t="s">
        <v>2954</v>
      </c>
      <c r="J305" s="2" t="str">
        <f t="shared" si="4"/>
        <v>2024-01</v>
      </c>
    </row>
    <row r="306" spans="1:10" x14ac:dyDescent="0.2">
      <c r="A306" s="2">
        <v>888</v>
      </c>
      <c r="B306" s="2" t="s">
        <v>15</v>
      </c>
      <c r="C306" s="2" t="s">
        <v>35</v>
      </c>
      <c r="D306" s="2" t="s">
        <v>2954</v>
      </c>
      <c r="E306" s="5">
        <v>45302</v>
      </c>
      <c r="F306" s="2" t="s">
        <v>2954</v>
      </c>
      <c r="G306" s="2" t="s">
        <v>17</v>
      </c>
      <c r="H306" s="2" t="s">
        <v>18</v>
      </c>
      <c r="I306" s="6" t="s">
        <v>2954</v>
      </c>
      <c r="J306" s="2" t="str">
        <f t="shared" si="4"/>
        <v>2024-01</v>
      </c>
    </row>
    <row r="307" spans="1:10" x14ac:dyDescent="0.2">
      <c r="A307" s="2" t="s">
        <v>434</v>
      </c>
      <c r="B307" s="2" t="s">
        <v>34</v>
      </c>
      <c r="C307" s="2" t="s">
        <v>29</v>
      </c>
      <c r="D307" s="2" t="s">
        <v>2954</v>
      </c>
      <c r="E307" s="5">
        <v>45302</v>
      </c>
      <c r="F307" s="2">
        <v>194</v>
      </c>
      <c r="G307" s="2" t="s">
        <v>12</v>
      </c>
      <c r="H307" s="2" t="s">
        <v>23</v>
      </c>
      <c r="I307" s="6" t="s">
        <v>2954</v>
      </c>
      <c r="J307" s="2" t="str">
        <f t="shared" si="4"/>
        <v>2024-01</v>
      </c>
    </row>
    <row r="308" spans="1:10" x14ac:dyDescent="0.2">
      <c r="A308" s="2" t="s">
        <v>435</v>
      </c>
      <c r="B308" s="2" t="s">
        <v>25</v>
      </c>
      <c r="C308" s="2" t="s">
        <v>68</v>
      </c>
      <c r="D308" s="2" t="s">
        <v>2954</v>
      </c>
      <c r="E308" s="5">
        <v>45302</v>
      </c>
      <c r="F308" s="2">
        <v>140</v>
      </c>
      <c r="G308" s="2" t="s">
        <v>37</v>
      </c>
      <c r="H308" s="2" t="s">
        <v>23</v>
      </c>
      <c r="I308" s="6" t="s">
        <v>2954</v>
      </c>
      <c r="J308" s="2" t="str">
        <f t="shared" si="4"/>
        <v>2024-01</v>
      </c>
    </row>
    <row r="309" spans="1:10" x14ac:dyDescent="0.2">
      <c r="A309" s="2" t="s">
        <v>436</v>
      </c>
      <c r="B309" s="2" t="s">
        <v>437</v>
      </c>
      <c r="C309" s="2" t="s">
        <v>170</v>
      </c>
      <c r="D309" s="2" t="s">
        <v>2954</v>
      </c>
      <c r="E309" s="5">
        <v>45302</v>
      </c>
      <c r="F309" s="2" t="s">
        <v>2954</v>
      </c>
      <c r="G309" s="2" t="s">
        <v>12</v>
      </c>
      <c r="H309" s="2" t="s">
        <v>23</v>
      </c>
      <c r="I309" s="6">
        <v>1</v>
      </c>
      <c r="J309" s="2" t="str">
        <f t="shared" si="4"/>
        <v>2024-01</v>
      </c>
    </row>
    <row r="310" spans="1:10" x14ac:dyDescent="0.2">
      <c r="A310" s="2" t="s">
        <v>438</v>
      </c>
      <c r="B310" s="2" t="s">
        <v>194</v>
      </c>
      <c r="C310" s="2" t="s">
        <v>48</v>
      </c>
      <c r="D310" s="2">
        <v>1000</v>
      </c>
      <c r="E310" s="5">
        <v>45301</v>
      </c>
      <c r="F310" s="2">
        <v>20</v>
      </c>
      <c r="G310" s="2" t="s">
        <v>45</v>
      </c>
      <c r="H310" s="2" t="s">
        <v>23</v>
      </c>
      <c r="I310" s="6">
        <v>0.12</v>
      </c>
      <c r="J310" s="2" t="str">
        <f t="shared" si="4"/>
        <v>2024-01</v>
      </c>
    </row>
    <row r="311" spans="1:10" x14ac:dyDescent="0.2">
      <c r="A311" s="2" t="s">
        <v>33</v>
      </c>
      <c r="B311" s="2" t="s">
        <v>34</v>
      </c>
      <c r="C311" s="2" t="s">
        <v>35</v>
      </c>
      <c r="D311" s="2">
        <v>1000</v>
      </c>
      <c r="E311" s="5">
        <v>45301</v>
      </c>
      <c r="F311" s="2">
        <v>26</v>
      </c>
      <c r="G311" s="2" t="s">
        <v>17</v>
      </c>
      <c r="H311" s="2" t="s">
        <v>23</v>
      </c>
      <c r="I311" s="6" t="s">
        <v>2954</v>
      </c>
      <c r="J311" s="2" t="str">
        <f t="shared" si="4"/>
        <v>2024-01</v>
      </c>
    </row>
    <row r="312" spans="1:10" x14ac:dyDescent="0.2">
      <c r="A312" s="2" t="s">
        <v>439</v>
      </c>
      <c r="B312" s="2" t="s">
        <v>25</v>
      </c>
      <c r="C312" s="2" t="s">
        <v>35</v>
      </c>
      <c r="D312" s="2">
        <v>330</v>
      </c>
      <c r="E312" s="5">
        <v>45301</v>
      </c>
      <c r="F312" s="2" t="s">
        <v>2954</v>
      </c>
      <c r="G312" s="2" t="s">
        <v>17</v>
      </c>
      <c r="H312" s="2" t="s">
        <v>23</v>
      </c>
      <c r="I312" s="6" t="s">
        <v>2954</v>
      </c>
      <c r="J312" s="2" t="str">
        <f t="shared" si="4"/>
        <v>2024-01</v>
      </c>
    </row>
    <row r="313" spans="1:10" x14ac:dyDescent="0.2">
      <c r="A313" s="2" t="s">
        <v>440</v>
      </c>
      <c r="B313" s="2" t="s">
        <v>25</v>
      </c>
      <c r="C313" s="2" t="s">
        <v>11</v>
      </c>
      <c r="D313" s="2">
        <v>100</v>
      </c>
      <c r="E313" s="5">
        <v>45301</v>
      </c>
      <c r="F313" s="2">
        <v>280</v>
      </c>
      <c r="G313" s="2" t="s">
        <v>45</v>
      </c>
      <c r="H313" s="2" t="s">
        <v>23</v>
      </c>
      <c r="I313" s="6">
        <v>0.03</v>
      </c>
      <c r="J313" s="2" t="str">
        <f t="shared" si="4"/>
        <v>2024-01</v>
      </c>
    </row>
    <row r="314" spans="1:10" x14ac:dyDescent="0.2">
      <c r="A314" s="2" t="s">
        <v>441</v>
      </c>
      <c r="B314" s="2" t="s">
        <v>414</v>
      </c>
      <c r="C314" s="2" t="s">
        <v>32</v>
      </c>
      <c r="D314" s="2">
        <v>74</v>
      </c>
      <c r="E314" s="5">
        <v>45301</v>
      </c>
      <c r="F314" s="2">
        <v>168</v>
      </c>
      <c r="G314" s="2" t="s">
        <v>128</v>
      </c>
      <c r="H314" s="2" t="s">
        <v>23</v>
      </c>
      <c r="I314" s="6" t="s">
        <v>2954</v>
      </c>
      <c r="J314" s="2" t="str">
        <f t="shared" si="4"/>
        <v>2024-01</v>
      </c>
    </row>
    <row r="315" spans="1:10" x14ac:dyDescent="0.2">
      <c r="A315" s="2" t="s">
        <v>442</v>
      </c>
      <c r="B315" s="2" t="s">
        <v>34</v>
      </c>
      <c r="C315" s="2" t="s">
        <v>35</v>
      </c>
      <c r="D315" s="2">
        <v>60</v>
      </c>
      <c r="E315" s="5">
        <v>45301</v>
      </c>
      <c r="F315" s="2">
        <v>57</v>
      </c>
      <c r="G315" s="2" t="s">
        <v>45</v>
      </c>
      <c r="H315" s="2" t="s">
        <v>23</v>
      </c>
      <c r="I315" s="6" t="s">
        <v>2954</v>
      </c>
      <c r="J315" s="2" t="str">
        <f t="shared" si="4"/>
        <v>2024-01</v>
      </c>
    </row>
    <row r="316" spans="1:10" x14ac:dyDescent="0.2">
      <c r="A316" s="2" t="s">
        <v>191</v>
      </c>
      <c r="B316" s="2" t="s">
        <v>28</v>
      </c>
      <c r="C316" s="2" t="s">
        <v>142</v>
      </c>
      <c r="D316" s="2" t="s">
        <v>2954</v>
      </c>
      <c r="E316" s="5">
        <v>45301</v>
      </c>
      <c r="F316" s="2">
        <v>108</v>
      </c>
      <c r="G316" s="2" t="s">
        <v>17</v>
      </c>
      <c r="H316" s="2" t="s">
        <v>23</v>
      </c>
      <c r="I316" s="6" t="s">
        <v>2954</v>
      </c>
      <c r="J316" s="2" t="str">
        <f t="shared" si="4"/>
        <v>2024-01</v>
      </c>
    </row>
    <row r="317" spans="1:10" x14ac:dyDescent="0.2">
      <c r="A317" s="2" t="s">
        <v>443</v>
      </c>
      <c r="B317" s="2" t="s">
        <v>34</v>
      </c>
      <c r="C317" s="2" t="s">
        <v>71</v>
      </c>
      <c r="D317" s="2" t="s">
        <v>2954</v>
      </c>
      <c r="E317" s="5">
        <v>45301</v>
      </c>
      <c r="F317" s="2">
        <v>1400</v>
      </c>
      <c r="G317" s="2" t="s">
        <v>12</v>
      </c>
      <c r="H317" s="2" t="s">
        <v>23</v>
      </c>
      <c r="I317" s="6">
        <v>0.12</v>
      </c>
      <c r="J317" s="2" t="str">
        <f t="shared" si="4"/>
        <v>2024-01</v>
      </c>
    </row>
    <row r="318" spans="1:10" x14ac:dyDescent="0.2">
      <c r="A318" s="2" t="s">
        <v>444</v>
      </c>
      <c r="B318" s="2" t="s">
        <v>34</v>
      </c>
      <c r="C318" s="2" t="s">
        <v>16</v>
      </c>
      <c r="D318" s="2" t="s">
        <v>2954</v>
      </c>
      <c r="E318" s="5">
        <v>45301</v>
      </c>
      <c r="F318" s="2">
        <v>3000</v>
      </c>
      <c r="G318" s="2" t="s">
        <v>17</v>
      </c>
      <c r="H318" s="2" t="s">
        <v>23</v>
      </c>
      <c r="I318" s="6">
        <v>0.04</v>
      </c>
      <c r="J318" s="2" t="str">
        <f t="shared" si="4"/>
        <v>2024-01</v>
      </c>
    </row>
    <row r="319" spans="1:10" x14ac:dyDescent="0.2">
      <c r="A319" s="2" t="s">
        <v>445</v>
      </c>
      <c r="B319" s="2" t="s">
        <v>34</v>
      </c>
      <c r="C319" s="2" t="s">
        <v>35</v>
      </c>
      <c r="D319" s="2">
        <v>500</v>
      </c>
      <c r="E319" s="5">
        <v>45300</v>
      </c>
      <c r="F319" s="2">
        <v>35</v>
      </c>
      <c r="G319" s="2" t="s">
        <v>45</v>
      </c>
      <c r="H319" s="2" t="s">
        <v>23</v>
      </c>
      <c r="I319" s="6">
        <v>0.35</v>
      </c>
      <c r="J319" s="2" t="str">
        <f t="shared" si="4"/>
        <v>2024-01</v>
      </c>
    </row>
    <row r="320" spans="1:10" x14ac:dyDescent="0.2">
      <c r="A320" s="2" t="s">
        <v>446</v>
      </c>
      <c r="B320" s="2" t="s">
        <v>414</v>
      </c>
      <c r="C320" s="2" t="s">
        <v>16</v>
      </c>
      <c r="D320" s="2">
        <v>85</v>
      </c>
      <c r="E320" s="5">
        <v>45300</v>
      </c>
      <c r="F320" s="2">
        <v>229</v>
      </c>
      <c r="G320" s="2" t="s">
        <v>66</v>
      </c>
      <c r="H320" s="2" t="s">
        <v>23</v>
      </c>
      <c r="I320" s="6" t="s">
        <v>2954</v>
      </c>
      <c r="J320" s="2" t="str">
        <f t="shared" si="4"/>
        <v>2024-01</v>
      </c>
    </row>
    <row r="321" spans="1:10" x14ac:dyDescent="0.2">
      <c r="A321" s="2" t="s">
        <v>447</v>
      </c>
      <c r="B321" s="2" t="s">
        <v>34</v>
      </c>
      <c r="C321" s="2" t="s">
        <v>32</v>
      </c>
      <c r="D321" s="2">
        <v>63</v>
      </c>
      <c r="E321" s="5">
        <v>45300</v>
      </c>
      <c r="F321" s="2">
        <v>556</v>
      </c>
      <c r="G321" s="2" t="s">
        <v>17</v>
      </c>
      <c r="H321" s="2" t="s">
        <v>23</v>
      </c>
      <c r="I321" s="6">
        <v>0.05</v>
      </c>
      <c r="J321" s="2" t="str">
        <f t="shared" si="4"/>
        <v>2024-01</v>
      </c>
    </row>
    <row r="322" spans="1:10" x14ac:dyDescent="0.2">
      <c r="A322" s="2" t="s">
        <v>448</v>
      </c>
      <c r="B322" s="2" t="s">
        <v>115</v>
      </c>
      <c r="C322" s="2" t="s">
        <v>26</v>
      </c>
      <c r="D322" s="2">
        <v>50</v>
      </c>
      <c r="E322" s="5">
        <v>45300</v>
      </c>
      <c r="F322" s="2">
        <v>197</v>
      </c>
      <c r="G322" s="2" t="s">
        <v>12</v>
      </c>
      <c r="H322" s="2" t="s">
        <v>23</v>
      </c>
      <c r="I322" s="6">
        <v>0.1</v>
      </c>
      <c r="J322" s="2" t="str">
        <f t="shared" si="4"/>
        <v>2024-01</v>
      </c>
    </row>
    <row r="323" spans="1:10" x14ac:dyDescent="0.2">
      <c r="A323" s="2" t="s">
        <v>449</v>
      </c>
      <c r="B323" s="2" t="s">
        <v>34</v>
      </c>
      <c r="C323" s="2" t="s">
        <v>170</v>
      </c>
      <c r="D323" s="2">
        <v>40</v>
      </c>
      <c r="E323" s="5">
        <v>45300</v>
      </c>
      <c r="F323" s="2">
        <v>2700</v>
      </c>
      <c r="G323" s="2" t="s">
        <v>214</v>
      </c>
      <c r="H323" s="2" t="s">
        <v>23</v>
      </c>
      <c r="I323" s="6" t="s">
        <v>2954</v>
      </c>
      <c r="J323" s="2" t="str">
        <f t="shared" ref="J323:J386" si="5">TEXT(E323,"YYYY-MM")</f>
        <v>2024-01</v>
      </c>
    </row>
    <row r="324" spans="1:10" x14ac:dyDescent="0.2">
      <c r="A324" s="2" t="s">
        <v>450</v>
      </c>
      <c r="B324" s="2" t="s">
        <v>25</v>
      </c>
      <c r="C324" s="2" t="s">
        <v>142</v>
      </c>
      <c r="D324" s="2">
        <v>37</v>
      </c>
      <c r="E324" s="5">
        <v>45300</v>
      </c>
      <c r="F324" s="2">
        <v>526</v>
      </c>
      <c r="G324" s="2" t="s">
        <v>17</v>
      </c>
      <c r="H324" s="2" t="s">
        <v>23</v>
      </c>
      <c r="I324" s="6">
        <v>0.1</v>
      </c>
      <c r="J324" s="2" t="str">
        <f t="shared" si="5"/>
        <v>2024-01</v>
      </c>
    </row>
    <row r="325" spans="1:10" x14ac:dyDescent="0.2">
      <c r="A325" s="2" t="s">
        <v>451</v>
      </c>
      <c r="B325" s="2" t="s">
        <v>34</v>
      </c>
      <c r="C325" s="2" t="s">
        <v>16</v>
      </c>
      <c r="D325" s="2">
        <v>14</v>
      </c>
      <c r="E325" s="5">
        <v>45300</v>
      </c>
      <c r="F325" s="2">
        <v>14</v>
      </c>
      <c r="G325" s="2" t="s">
        <v>41</v>
      </c>
      <c r="H325" s="2" t="s">
        <v>23</v>
      </c>
      <c r="I325" s="6">
        <v>0.6</v>
      </c>
      <c r="J325" s="2" t="str">
        <f t="shared" si="5"/>
        <v>2024-01</v>
      </c>
    </row>
    <row r="326" spans="1:10" x14ac:dyDescent="0.2">
      <c r="A326" s="2" t="s">
        <v>452</v>
      </c>
      <c r="B326" s="2" t="s">
        <v>34</v>
      </c>
      <c r="C326" s="2" t="s">
        <v>103</v>
      </c>
      <c r="D326" s="2">
        <v>10</v>
      </c>
      <c r="E326" s="5">
        <v>45300</v>
      </c>
      <c r="F326" s="2">
        <v>230</v>
      </c>
      <c r="G326" s="2" t="s">
        <v>66</v>
      </c>
      <c r="H326" s="2" t="s">
        <v>23</v>
      </c>
      <c r="I326" s="6">
        <v>0.04</v>
      </c>
      <c r="J326" s="2" t="str">
        <f t="shared" si="5"/>
        <v>2024-01</v>
      </c>
    </row>
    <row r="327" spans="1:10" x14ac:dyDescent="0.2">
      <c r="A327" s="2" t="s">
        <v>453</v>
      </c>
      <c r="B327" s="2" t="s">
        <v>245</v>
      </c>
      <c r="C327" s="2" t="s">
        <v>109</v>
      </c>
      <c r="D327" s="2" t="s">
        <v>2954</v>
      </c>
      <c r="E327" s="5">
        <v>45300</v>
      </c>
      <c r="F327" s="2" t="s">
        <v>2954</v>
      </c>
      <c r="G327" s="2" t="s">
        <v>17</v>
      </c>
      <c r="H327" s="2" t="s">
        <v>246</v>
      </c>
      <c r="I327" s="6" t="s">
        <v>2954</v>
      </c>
      <c r="J327" s="2" t="str">
        <f t="shared" si="5"/>
        <v>2024-01</v>
      </c>
    </row>
    <row r="328" spans="1:10" x14ac:dyDescent="0.2">
      <c r="A328" s="2" t="s">
        <v>454</v>
      </c>
      <c r="B328" s="2" t="s">
        <v>401</v>
      </c>
      <c r="C328" s="2" t="s">
        <v>243</v>
      </c>
      <c r="D328" s="2" t="s">
        <v>2954</v>
      </c>
      <c r="E328" s="5">
        <v>45300</v>
      </c>
      <c r="F328" s="2">
        <v>91</v>
      </c>
      <c r="G328" s="2" t="s">
        <v>37</v>
      </c>
      <c r="H328" s="2" t="s">
        <v>23</v>
      </c>
      <c r="I328" s="6" t="s">
        <v>2954</v>
      </c>
      <c r="J328" s="2" t="str">
        <f t="shared" si="5"/>
        <v>2024-01</v>
      </c>
    </row>
    <row r="329" spans="1:10" x14ac:dyDescent="0.2">
      <c r="A329" s="2" t="s">
        <v>455</v>
      </c>
      <c r="B329" s="2" t="s">
        <v>70</v>
      </c>
      <c r="C329" s="2" t="s">
        <v>195</v>
      </c>
      <c r="D329" s="2" t="s">
        <v>2954</v>
      </c>
      <c r="E329" s="5">
        <v>45300</v>
      </c>
      <c r="F329" s="2" t="s">
        <v>2954</v>
      </c>
      <c r="G329" s="2" t="s">
        <v>12</v>
      </c>
      <c r="H329" s="2" t="s">
        <v>72</v>
      </c>
      <c r="I329" s="6">
        <v>0.02</v>
      </c>
      <c r="J329" s="2" t="str">
        <f t="shared" si="5"/>
        <v>2024-01</v>
      </c>
    </row>
    <row r="330" spans="1:10" x14ac:dyDescent="0.2">
      <c r="A330" s="2" t="s">
        <v>456</v>
      </c>
      <c r="B330" s="2" t="s">
        <v>34</v>
      </c>
      <c r="C330" s="2" t="s">
        <v>29</v>
      </c>
      <c r="D330" s="2">
        <v>1800</v>
      </c>
      <c r="E330" s="5">
        <v>45299</v>
      </c>
      <c r="F330" s="2">
        <v>1300</v>
      </c>
      <c r="G330" s="2" t="s">
        <v>17</v>
      </c>
      <c r="H330" s="2" t="s">
        <v>23</v>
      </c>
      <c r="I330" s="6">
        <v>0.25</v>
      </c>
      <c r="J330" s="2" t="str">
        <f t="shared" si="5"/>
        <v>2024-01</v>
      </c>
    </row>
    <row r="331" spans="1:10" x14ac:dyDescent="0.2">
      <c r="A331" s="2" t="s">
        <v>457</v>
      </c>
      <c r="B331" s="2" t="s">
        <v>100</v>
      </c>
      <c r="C331" s="2" t="s">
        <v>142</v>
      </c>
      <c r="D331" s="2">
        <v>1100</v>
      </c>
      <c r="E331" s="5">
        <v>45299</v>
      </c>
      <c r="F331" s="2">
        <v>12900</v>
      </c>
      <c r="G331" s="2" t="s">
        <v>45</v>
      </c>
      <c r="H331" s="2" t="s">
        <v>98</v>
      </c>
      <c r="I331" s="6">
        <v>0.05</v>
      </c>
      <c r="J331" s="2" t="str">
        <f t="shared" si="5"/>
        <v>2024-01</v>
      </c>
    </row>
    <row r="332" spans="1:10" x14ac:dyDescent="0.2">
      <c r="A332" s="2" t="s">
        <v>458</v>
      </c>
      <c r="B332" s="2" t="s">
        <v>459</v>
      </c>
      <c r="C332" s="2" t="s">
        <v>109</v>
      </c>
      <c r="D332" s="2">
        <v>154</v>
      </c>
      <c r="E332" s="5">
        <v>45299</v>
      </c>
      <c r="F332" s="2">
        <v>470</v>
      </c>
      <c r="G332" s="2" t="s">
        <v>17</v>
      </c>
      <c r="H332" s="2" t="s">
        <v>23</v>
      </c>
      <c r="I332" s="6">
        <v>0.28000000000000003</v>
      </c>
      <c r="J332" s="2" t="str">
        <f t="shared" si="5"/>
        <v>2024-01</v>
      </c>
    </row>
    <row r="333" spans="1:10" x14ac:dyDescent="0.2">
      <c r="A333" s="2" t="s">
        <v>460</v>
      </c>
      <c r="B333" s="2" t="s">
        <v>28</v>
      </c>
      <c r="C333" s="2" t="s">
        <v>170</v>
      </c>
      <c r="D333" s="2">
        <v>99</v>
      </c>
      <c r="E333" s="5">
        <v>45299</v>
      </c>
      <c r="F333" s="2">
        <v>263</v>
      </c>
      <c r="G333" s="2" t="s">
        <v>75</v>
      </c>
      <c r="H333" s="2" t="s">
        <v>23</v>
      </c>
      <c r="I333" s="6">
        <v>0.38</v>
      </c>
      <c r="J333" s="2" t="str">
        <f t="shared" si="5"/>
        <v>2024-01</v>
      </c>
    </row>
    <row r="334" spans="1:10" x14ac:dyDescent="0.2">
      <c r="A334" s="2" t="s">
        <v>461</v>
      </c>
      <c r="B334" s="2" t="s">
        <v>74</v>
      </c>
      <c r="C334" s="2" t="s">
        <v>29</v>
      </c>
      <c r="D334" s="2">
        <v>80</v>
      </c>
      <c r="E334" s="5">
        <v>45299</v>
      </c>
      <c r="F334" s="2">
        <v>138</v>
      </c>
      <c r="G334" s="2" t="s">
        <v>37</v>
      </c>
      <c r="H334" s="2" t="s">
        <v>76</v>
      </c>
      <c r="I334" s="6">
        <v>0.67</v>
      </c>
      <c r="J334" s="2" t="str">
        <f t="shared" si="5"/>
        <v>2024-01</v>
      </c>
    </row>
    <row r="335" spans="1:10" x14ac:dyDescent="0.2">
      <c r="A335" s="2" t="s">
        <v>462</v>
      </c>
      <c r="B335" s="2" t="s">
        <v>335</v>
      </c>
      <c r="C335" s="2" t="s">
        <v>32</v>
      </c>
      <c r="D335" s="2">
        <v>70</v>
      </c>
      <c r="E335" s="5">
        <v>45299</v>
      </c>
      <c r="F335" s="2">
        <v>164</v>
      </c>
      <c r="G335" s="2" t="s">
        <v>75</v>
      </c>
      <c r="H335" s="2" t="s">
        <v>106</v>
      </c>
      <c r="I335" s="6">
        <v>0.17</v>
      </c>
      <c r="J335" s="2" t="str">
        <f t="shared" si="5"/>
        <v>2024-01</v>
      </c>
    </row>
    <row r="336" spans="1:10" x14ac:dyDescent="0.2">
      <c r="A336" s="2" t="s">
        <v>463</v>
      </c>
      <c r="B336" s="2" t="s">
        <v>194</v>
      </c>
      <c r="C336" s="2" t="s">
        <v>148</v>
      </c>
      <c r="D336" s="2" t="s">
        <v>2954</v>
      </c>
      <c r="E336" s="5">
        <v>45299</v>
      </c>
      <c r="F336" s="2">
        <v>5</v>
      </c>
      <c r="G336" s="2" t="s">
        <v>132</v>
      </c>
      <c r="H336" s="2" t="s">
        <v>23</v>
      </c>
      <c r="I336" s="6">
        <v>1</v>
      </c>
      <c r="J336" s="2" t="str">
        <f t="shared" si="5"/>
        <v>2024-01</v>
      </c>
    </row>
    <row r="337" spans="1:10" x14ac:dyDescent="0.2">
      <c r="A337" s="2" t="s">
        <v>464</v>
      </c>
      <c r="B337" s="2" t="s">
        <v>25</v>
      </c>
      <c r="C337" s="2" t="s">
        <v>16</v>
      </c>
      <c r="D337" s="2" t="s">
        <v>2954</v>
      </c>
      <c r="E337" s="5">
        <v>45299</v>
      </c>
      <c r="F337" s="2">
        <v>91</v>
      </c>
      <c r="G337" s="2" t="s">
        <v>37</v>
      </c>
      <c r="H337" s="2" t="s">
        <v>23</v>
      </c>
      <c r="I337" s="6">
        <v>0.25</v>
      </c>
      <c r="J337" s="2" t="str">
        <f t="shared" si="5"/>
        <v>2024-01</v>
      </c>
    </row>
    <row r="338" spans="1:10" x14ac:dyDescent="0.2">
      <c r="A338" s="2" t="s">
        <v>465</v>
      </c>
      <c r="B338" s="2" t="s">
        <v>229</v>
      </c>
      <c r="C338" s="2" t="s">
        <v>16</v>
      </c>
      <c r="D338" s="2" t="s">
        <v>2954</v>
      </c>
      <c r="E338" s="5">
        <v>45299</v>
      </c>
      <c r="F338" s="2">
        <v>108</v>
      </c>
      <c r="G338" s="2" t="s">
        <v>128</v>
      </c>
      <c r="H338" s="2" t="s">
        <v>23</v>
      </c>
      <c r="I338" s="6" t="s">
        <v>2954</v>
      </c>
      <c r="J338" s="2" t="str">
        <f t="shared" si="5"/>
        <v>2024-01</v>
      </c>
    </row>
    <row r="339" spans="1:10" x14ac:dyDescent="0.2">
      <c r="A339" s="2" t="s">
        <v>466</v>
      </c>
      <c r="B339" s="2" t="s">
        <v>47</v>
      </c>
      <c r="C339" s="2" t="s">
        <v>16</v>
      </c>
      <c r="D339" s="2" t="s">
        <v>2954</v>
      </c>
      <c r="E339" s="5">
        <v>45299</v>
      </c>
      <c r="F339" s="2">
        <v>485</v>
      </c>
      <c r="G339" s="2" t="s">
        <v>17</v>
      </c>
      <c r="H339" s="2" t="s">
        <v>23</v>
      </c>
      <c r="I339" s="6">
        <v>0.09</v>
      </c>
      <c r="J339" s="2" t="str">
        <f t="shared" si="5"/>
        <v>2024-01</v>
      </c>
    </row>
    <row r="340" spans="1:10" x14ac:dyDescent="0.2">
      <c r="A340" s="2" t="s">
        <v>467</v>
      </c>
      <c r="B340" s="2" t="s">
        <v>34</v>
      </c>
      <c r="C340" s="2" t="s">
        <v>113</v>
      </c>
      <c r="D340" s="2" t="s">
        <v>2954</v>
      </c>
      <c r="E340" s="5">
        <v>45298</v>
      </c>
      <c r="F340" s="2">
        <v>12</v>
      </c>
      <c r="G340" s="2" t="s">
        <v>45</v>
      </c>
      <c r="H340" s="2" t="s">
        <v>23</v>
      </c>
      <c r="I340" s="6" t="s">
        <v>2954</v>
      </c>
      <c r="J340" s="2" t="str">
        <f t="shared" si="5"/>
        <v>2024-01</v>
      </c>
    </row>
    <row r="341" spans="1:10" x14ac:dyDescent="0.2">
      <c r="A341" s="2" t="s">
        <v>468</v>
      </c>
      <c r="B341" s="2" t="s">
        <v>28</v>
      </c>
      <c r="C341" s="2" t="s">
        <v>32</v>
      </c>
      <c r="D341" s="2">
        <v>50</v>
      </c>
      <c r="E341" s="5">
        <v>45297</v>
      </c>
      <c r="F341" s="2">
        <v>826</v>
      </c>
      <c r="G341" s="2" t="s">
        <v>17</v>
      </c>
      <c r="H341" s="2" t="s">
        <v>23</v>
      </c>
      <c r="I341" s="6">
        <v>0.09</v>
      </c>
      <c r="J341" s="2" t="str">
        <f t="shared" si="5"/>
        <v>2024-01</v>
      </c>
    </row>
    <row r="342" spans="1:10" x14ac:dyDescent="0.2">
      <c r="A342" s="2" t="s">
        <v>63</v>
      </c>
      <c r="B342" s="2" t="s">
        <v>64</v>
      </c>
      <c r="C342" s="2" t="s">
        <v>32</v>
      </c>
      <c r="D342" s="2">
        <v>94</v>
      </c>
      <c r="E342" s="5">
        <v>45296</v>
      </c>
      <c r="F342" s="2">
        <v>899</v>
      </c>
      <c r="G342" s="2" t="s">
        <v>17</v>
      </c>
      <c r="H342" s="2" t="s">
        <v>23</v>
      </c>
      <c r="I342" s="6">
        <v>0.13</v>
      </c>
      <c r="J342" s="2" t="str">
        <f t="shared" si="5"/>
        <v>2024-01</v>
      </c>
    </row>
    <row r="343" spans="1:10" x14ac:dyDescent="0.2">
      <c r="A343" s="2" t="s">
        <v>469</v>
      </c>
      <c r="B343" s="2" t="s">
        <v>34</v>
      </c>
      <c r="C343" s="2" t="s">
        <v>84</v>
      </c>
      <c r="D343" s="2" t="s">
        <v>2954</v>
      </c>
      <c r="E343" s="5">
        <v>45296</v>
      </c>
      <c r="F343" s="2">
        <v>123</v>
      </c>
      <c r="G343" s="2" t="s">
        <v>45</v>
      </c>
      <c r="H343" s="2" t="s">
        <v>23</v>
      </c>
      <c r="I343" s="6" t="s">
        <v>2954</v>
      </c>
      <c r="J343" s="2" t="str">
        <f t="shared" si="5"/>
        <v>2024-01</v>
      </c>
    </row>
    <row r="344" spans="1:10" x14ac:dyDescent="0.2">
      <c r="A344" s="2" t="s">
        <v>470</v>
      </c>
      <c r="B344" s="2" t="s">
        <v>15</v>
      </c>
      <c r="C344" s="2" t="s">
        <v>142</v>
      </c>
      <c r="D344" s="2">
        <v>30</v>
      </c>
      <c r="E344" s="5">
        <v>45295</v>
      </c>
      <c r="F344" s="2">
        <v>199</v>
      </c>
      <c r="G344" s="2" t="s">
        <v>66</v>
      </c>
      <c r="H344" s="2" t="s">
        <v>18</v>
      </c>
      <c r="I344" s="6">
        <v>0.15</v>
      </c>
      <c r="J344" s="2" t="str">
        <f t="shared" si="5"/>
        <v>2024-01</v>
      </c>
    </row>
    <row r="345" spans="1:10" x14ac:dyDescent="0.2">
      <c r="A345" s="2" t="s">
        <v>471</v>
      </c>
      <c r="B345" s="2" t="s">
        <v>25</v>
      </c>
      <c r="C345" s="2" t="s">
        <v>78</v>
      </c>
      <c r="D345" s="2" t="s">
        <v>2954</v>
      </c>
      <c r="E345" s="5">
        <v>45295</v>
      </c>
      <c r="F345" s="2">
        <v>356</v>
      </c>
      <c r="G345" s="2" t="s">
        <v>62</v>
      </c>
      <c r="H345" s="2" t="s">
        <v>23</v>
      </c>
      <c r="I345" s="6">
        <v>1</v>
      </c>
      <c r="J345" s="2" t="str">
        <f t="shared" si="5"/>
        <v>2024-01</v>
      </c>
    </row>
    <row r="346" spans="1:10" x14ac:dyDescent="0.2">
      <c r="A346" s="2" t="s">
        <v>472</v>
      </c>
      <c r="B346" s="2" t="s">
        <v>47</v>
      </c>
      <c r="C346" s="2" t="s">
        <v>26</v>
      </c>
      <c r="D346" s="2" t="s">
        <v>2954</v>
      </c>
      <c r="E346" s="5">
        <v>45295</v>
      </c>
      <c r="F346" s="2">
        <v>456</v>
      </c>
      <c r="G346" s="2" t="s">
        <v>62</v>
      </c>
      <c r="H346" s="2" t="s">
        <v>23</v>
      </c>
      <c r="I346" s="6">
        <v>0.2</v>
      </c>
      <c r="J346" s="2" t="str">
        <f t="shared" si="5"/>
        <v>2024-01</v>
      </c>
    </row>
    <row r="347" spans="1:10" x14ac:dyDescent="0.2">
      <c r="A347" s="2" t="s">
        <v>473</v>
      </c>
      <c r="B347" s="2" t="s">
        <v>474</v>
      </c>
      <c r="C347" s="2" t="s">
        <v>103</v>
      </c>
      <c r="D347" s="2">
        <v>3000</v>
      </c>
      <c r="E347" s="5">
        <v>45294</v>
      </c>
      <c r="F347" s="2">
        <v>27200</v>
      </c>
      <c r="G347" s="2" t="s">
        <v>17</v>
      </c>
      <c r="H347" s="2" t="s">
        <v>23</v>
      </c>
      <c r="I347" s="6">
        <v>0.15</v>
      </c>
      <c r="J347" s="2" t="str">
        <f t="shared" si="5"/>
        <v>2024-01</v>
      </c>
    </row>
    <row r="348" spans="1:10" x14ac:dyDescent="0.2">
      <c r="A348" s="2" t="s">
        <v>475</v>
      </c>
      <c r="B348" s="2" t="s">
        <v>217</v>
      </c>
      <c r="C348" s="2" t="s">
        <v>142</v>
      </c>
      <c r="D348" s="2">
        <v>100</v>
      </c>
      <c r="E348" s="5">
        <v>45294</v>
      </c>
      <c r="F348" s="2">
        <v>7200</v>
      </c>
      <c r="G348" s="2" t="s">
        <v>45</v>
      </c>
      <c r="H348" s="2" t="s">
        <v>217</v>
      </c>
      <c r="I348" s="6">
        <v>0.3</v>
      </c>
      <c r="J348" s="2" t="str">
        <f t="shared" si="5"/>
        <v>2024-01</v>
      </c>
    </row>
    <row r="349" spans="1:10" x14ac:dyDescent="0.2">
      <c r="A349" s="2" t="s">
        <v>476</v>
      </c>
      <c r="B349" s="2" t="s">
        <v>15</v>
      </c>
      <c r="C349" s="2" t="s">
        <v>195</v>
      </c>
      <c r="D349" s="2">
        <v>60</v>
      </c>
      <c r="E349" s="5">
        <v>45294</v>
      </c>
      <c r="F349" s="2">
        <v>632</v>
      </c>
      <c r="G349" s="2" t="s">
        <v>66</v>
      </c>
      <c r="H349" s="2" t="s">
        <v>18</v>
      </c>
      <c r="I349" s="6">
        <v>0.15</v>
      </c>
      <c r="J349" s="2" t="str">
        <f t="shared" si="5"/>
        <v>2024-01</v>
      </c>
    </row>
    <row r="350" spans="1:10" x14ac:dyDescent="0.2">
      <c r="A350" s="2" t="s">
        <v>477</v>
      </c>
      <c r="B350" s="2" t="s">
        <v>478</v>
      </c>
      <c r="C350" s="2" t="s">
        <v>44</v>
      </c>
      <c r="D350" s="2">
        <v>200</v>
      </c>
      <c r="E350" s="5">
        <v>45293</v>
      </c>
      <c r="F350" s="2">
        <v>26</v>
      </c>
      <c r="G350" s="2" t="s">
        <v>12</v>
      </c>
      <c r="H350" s="2" t="s">
        <v>23</v>
      </c>
      <c r="I350" s="6">
        <v>1</v>
      </c>
      <c r="J350" s="2" t="str">
        <f t="shared" si="5"/>
        <v>2024-01</v>
      </c>
    </row>
    <row r="351" spans="1:10" x14ac:dyDescent="0.2">
      <c r="A351" s="2" t="s">
        <v>351</v>
      </c>
      <c r="B351" s="2" t="s">
        <v>25</v>
      </c>
      <c r="C351" s="2" t="s">
        <v>235</v>
      </c>
      <c r="D351" s="2">
        <v>24</v>
      </c>
      <c r="E351" s="5">
        <v>45293</v>
      </c>
      <c r="F351" s="2" t="s">
        <v>2954</v>
      </c>
      <c r="G351" s="2" t="s">
        <v>12</v>
      </c>
      <c r="H351" s="2" t="s">
        <v>23</v>
      </c>
      <c r="I351" s="6" t="s">
        <v>2954</v>
      </c>
      <c r="J351" s="2" t="str">
        <f t="shared" si="5"/>
        <v>2024-01</v>
      </c>
    </row>
    <row r="352" spans="1:10" x14ac:dyDescent="0.2">
      <c r="A352" s="2" t="s">
        <v>184</v>
      </c>
      <c r="B352" s="2" t="s">
        <v>100</v>
      </c>
      <c r="C352" s="2" t="s">
        <v>109</v>
      </c>
      <c r="D352" s="2" t="s">
        <v>2954</v>
      </c>
      <c r="E352" s="5">
        <v>45289</v>
      </c>
      <c r="F352" s="2">
        <v>24</v>
      </c>
      <c r="G352" s="2" t="s">
        <v>37</v>
      </c>
      <c r="H352" s="2" t="s">
        <v>98</v>
      </c>
      <c r="I352" s="6">
        <v>0.2</v>
      </c>
      <c r="J352" s="2" t="str">
        <f t="shared" si="5"/>
        <v>2023-12</v>
      </c>
    </row>
    <row r="353" spans="1:10" x14ac:dyDescent="0.2">
      <c r="A353" s="2" t="s">
        <v>479</v>
      </c>
      <c r="B353" s="2" t="s">
        <v>284</v>
      </c>
      <c r="C353" s="2" t="s">
        <v>48</v>
      </c>
      <c r="D353" s="2" t="s">
        <v>2954</v>
      </c>
      <c r="E353" s="5">
        <v>45288</v>
      </c>
      <c r="F353" s="2" t="s">
        <v>2954</v>
      </c>
      <c r="G353" s="2" t="s">
        <v>12</v>
      </c>
      <c r="H353" s="2" t="s">
        <v>23</v>
      </c>
      <c r="I353" s="6">
        <v>1</v>
      </c>
      <c r="J353" s="2" t="str">
        <f t="shared" si="5"/>
        <v>2023-12</v>
      </c>
    </row>
    <row r="354" spans="1:10" x14ac:dyDescent="0.2">
      <c r="A354" s="2" t="s">
        <v>480</v>
      </c>
      <c r="B354" s="2" t="s">
        <v>481</v>
      </c>
      <c r="C354" s="2" t="s">
        <v>16</v>
      </c>
      <c r="D354" s="2">
        <v>1000</v>
      </c>
      <c r="E354" s="5">
        <v>45285</v>
      </c>
      <c r="F354" s="2" t="s">
        <v>2954</v>
      </c>
      <c r="G354" s="2" t="s">
        <v>12</v>
      </c>
      <c r="H354" s="2" t="s">
        <v>98</v>
      </c>
      <c r="I354" s="6" t="s">
        <v>2954</v>
      </c>
      <c r="J354" s="2" t="str">
        <f t="shared" si="5"/>
        <v>2023-12</v>
      </c>
    </row>
    <row r="355" spans="1:10" x14ac:dyDescent="0.2">
      <c r="A355" s="2" t="s">
        <v>178</v>
      </c>
      <c r="B355" s="2" t="s">
        <v>137</v>
      </c>
      <c r="C355" s="2" t="s">
        <v>103</v>
      </c>
      <c r="D355" s="2">
        <v>311</v>
      </c>
      <c r="E355" s="5">
        <v>45281</v>
      </c>
      <c r="F355" s="2">
        <v>12</v>
      </c>
      <c r="G355" s="2" t="s">
        <v>17</v>
      </c>
      <c r="H355" s="2" t="s">
        <v>23</v>
      </c>
      <c r="I355" s="6" t="s">
        <v>2954</v>
      </c>
      <c r="J355" s="2" t="str">
        <f t="shared" si="5"/>
        <v>2023-12</v>
      </c>
    </row>
    <row r="356" spans="1:10" x14ac:dyDescent="0.2">
      <c r="A356" s="2" t="s">
        <v>482</v>
      </c>
      <c r="B356" s="2" t="s">
        <v>47</v>
      </c>
      <c r="C356" s="2" t="s">
        <v>52</v>
      </c>
      <c r="D356" s="2" t="s">
        <v>2954</v>
      </c>
      <c r="E356" s="5">
        <v>45281</v>
      </c>
      <c r="F356" s="2">
        <v>368</v>
      </c>
      <c r="G356" s="2" t="s">
        <v>12</v>
      </c>
      <c r="H356" s="2" t="s">
        <v>23</v>
      </c>
      <c r="I356" s="6">
        <v>1</v>
      </c>
      <c r="J356" s="2" t="str">
        <f t="shared" si="5"/>
        <v>2023-12</v>
      </c>
    </row>
    <row r="357" spans="1:10" x14ac:dyDescent="0.2">
      <c r="A357" s="2" t="s">
        <v>483</v>
      </c>
      <c r="B357" s="2" t="s">
        <v>484</v>
      </c>
      <c r="C357" s="2" t="s">
        <v>109</v>
      </c>
      <c r="D357" s="2" t="s">
        <v>2954</v>
      </c>
      <c r="E357" s="5">
        <v>45281</v>
      </c>
      <c r="F357" s="2">
        <v>628</v>
      </c>
      <c r="G357" s="2" t="s">
        <v>199</v>
      </c>
      <c r="H357" s="2" t="s">
        <v>23</v>
      </c>
      <c r="I357" s="6" t="s">
        <v>2954</v>
      </c>
      <c r="J357" s="2" t="str">
        <f t="shared" si="5"/>
        <v>2023-12</v>
      </c>
    </row>
    <row r="358" spans="1:10" x14ac:dyDescent="0.2">
      <c r="A358" s="2" t="s">
        <v>485</v>
      </c>
      <c r="B358" s="2" t="s">
        <v>100</v>
      </c>
      <c r="C358" s="2" t="s">
        <v>35</v>
      </c>
      <c r="D358" s="2">
        <v>200</v>
      </c>
      <c r="E358" s="5">
        <v>45280</v>
      </c>
      <c r="F358" s="2">
        <v>1700</v>
      </c>
      <c r="G358" s="2" t="s">
        <v>81</v>
      </c>
      <c r="H358" s="2" t="s">
        <v>98</v>
      </c>
      <c r="I358" s="6">
        <v>0.15</v>
      </c>
      <c r="J358" s="2" t="str">
        <f t="shared" si="5"/>
        <v>2023-12</v>
      </c>
    </row>
    <row r="359" spans="1:10" x14ac:dyDescent="0.2">
      <c r="A359" s="2" t="s">
        <v>486</v>
      </c>
      <c r="B359" s="2" t="s">
        <v>487</v>
      </c>
      <c r="C359" s="2" t="s">
        <v>32</v>
      </c>
      <c r="D359" s="2">
        <v>100</v>
      </c>
      <c r="E359" s="5">
        <v>45279</v>
      </c>
      <c r="F359" s="2">
        <v>733</v>
      </c>
      <c r="G359" s="2" t="s">
        <v>12</v>
      </c>
      <c r="H359" s="2" t="s">
        <v>23</v>
      </c>
      <c r="I359" s="6">
        <v>0.2</v>
      </c>
      <c r="J359" s="2" t="str">
        <f t="shared" si="5"/>
        <v>2023-12</v>
      </c>
    </row>
    <row r="360" spans="1:10" x14ac:dyDescent="0.2">
      <c r="A360" s="2" t="s">
        <v>488</v>
      </c>
      <c r="B360" s="2" t="s">
        <v>28</v>
      </c>
      <c r="C360" s="2" t="s">
        <v>142</v>
      </c>
      <c r="D360" s="2" t="s">
        <v>2954</v>
      </c>
      <c r="E360" s="5">
        <v>45279</v>
      </c>
      <c r="F360" s="2">
        <v>52</v>
      </c>
      <c r="G360" s="2" t="s">
        <v>17</v>
      </c>
      <c r="H360" s="2" t="s">
        <v>23</v>
      </c>
      <c r="I360" s="6">
        <v>1</v>
      </c>
      <c r="J360" s="2" t="str">
        <f t="shared" si="5"/>
        <v>2023-12</v>
      </c>
    </row>
    <row r="361" spans="1:10" x14ac:dyDescent="0.2">
      <c r="A361" s="2" t="s">
        <v>489</v>
      </c>
      <c r="B361" s="2" t="s">
        <v>34</v>
      </c>
      <c r="C361" s="2" t="s">
        <v>109</v>
      </c>
      <c r="D361" s="2">
        <v>350</v>
      </c>
      <c r="E361" s="5">
        <v>45278</v>
      </c>
      <c r="F361" s="2">
        <v>116</v>
      </c>
      <c r="G361" s="2" t="s">
        <v>17</v>
      </c>
      <c r="H361" s="2" t="s">
        <v>23</v>
      </c>
      <c r="I361" s="6">
        <v>0.1</v>
      </c>
      <c r="J361" s="2" t="str">
        <f t="shared" si="5"/>
        <v>2023-12</v>
      </c>
    </row>
    <row r="362" spans="1:10" x14ac:dyDescent="0.2">
      <c r="A362" s="2" t="s">
        <v>490</v>
      </c>
      <c r="B362" s="2" t="s">
        <v>100</v>
      </c>
      <c r="C362" s="2" t="s">
        <v>142</v>
      </c>
      <c r="D362" s="2">
        <v>100</v>
      </c>
      <c r="E362" s="5">
        <v>45278</v>
      </c>
      <c r="F362" s="2">
        <v>1500</v>
      </c>
      <c r="G362" s="2" t="s">
        <v>12</v>
      </c>
      <c r="H362" s="2" t="s">
        <v>98</v>
      </c>
      <c r="I362" s="6">
        <v>0.1</v>
      </c>
      <c r="J362" s="2" t="str">
        <f t="shared" si="5"/>
        <v>2023-12</v>
      </c>
    </row>
    <row r="363" spans="1:10" x14ac:dyDescent="0.2">
      <c r="A363" s="2" t="s">
        <v>491</v>
      </c>
      <c r="B363" s="2" t="s">
        <v>54</v>
      </c>
      <c r="C363" s="2" t="s">
        <v>16</v>
      </c>
      <c r="D363" s="2">
        <v>80</v>
      </c>
      <c r="E363" s="5">
        <v>45278</v>
      </c>
      <c r="F363" s="2">
        <v>1800</v>
      </c>
      <c r="G363" s="2" t="s">
        <v>75</v>
      </c>
      <c r="H363" s="2" t="s">
        <v>55</v>
      </c>
      <c r="I363" s="6" t="s">
        <v>2954</v>
      </c>
      <c r="J363" s="2" t="str">
        <f t="shared" si="5"/>
        <v>2023-12</v>
      </c>
    </row>
    <row r="364" spans="1:10" x14ac:dyDescent="0.2">
      <c r="A364" s="2" t="s">
        <v>492</v>
      </c>
      <c r="B364" s="2" t="s">
        <v>493</v>
      </c>
      <c r="C364" s="2" t="s">
        <v>103</v>
      </c>
      <c r="D364" s="2">
        <v>70</v>
      </c>
      <c r="E364" s="5">
        <v>45278</v>
      </c>
      <c r="F364" s="2" t="s">
        <v>2954</v>
      </c>
      <c r="G364" s="2" t="s">
        <v>17</v>
      </c>
      <c r="H364" s="2" t="s">
        <v>224</v>
      </c>
      <c r="I364" s="6" t="s">
        <v>2954</v>
      </c>
      <c r="J364" s="2" t="str">
        <f t="shared" si="5"/>
        <v>2023-12</v>
      </c>
    </row>
    <row r="365" spans="1:10" x14ac:dyDescent="0.2">
      <c r="A365" s="2" t="s">
        <v>494</v>
      </c>
      <c r="B365" s="2" t="s">
        <v>74</v>
      </c>
      <c r="C365" s="2" t="s">
        <v>11</v>
      </c>
      <c r="D365" s="2" t="s">
        <v>2954</v>
      </c>
      <c r="E365" s="5">
        <v>45278</v>
      </c>
      <c r="F365" s="2">
        <v>9900</v>
      </c>
      <c r="G365" s="2" t="s">
        <v>17</v>
      </c>
      <c r="H365" s="2" t="s">
        <v>76</v>
      </c>
      <c r="I365" s="6" t="s">
        <v>2954</v>
      </c>
      <c r="J365" s="2" t="str">
        <f t="shared" si="5"/>
        <v>2023-12</v>
      </c>
    </row>
    <row r="366" spans="1:10" x14ac:dyDescent="0.2">
      <c r="A366" s="2" t="s">
        <v>387</v>
      </c>
      <c r="B366" s="2" t="s">
        <v>15</v>
      </c>
      <c r="C366" s="2" t="s">
        <v>142</v>
      </c>
      <c r="D366" s="2">
        <v>20</v>
      </c>
      <c r="E366" s="5">
        <v>45277</v>
      </c>
      <c r="F366" s="2">
        <v>1200</v>
      </c>
      <c r="G366" s="2" t="s">
        <v>17</v>
      </c>
      <c r="H366" s="2" t="s">
        <v>23</v>
      </c>
      <c r="I366" s="6" t="s">
        <v>2954</v>
      </c>
      <c r="J366" s="2" t="str">
        <f t="shared" si="5"/>
        <v>2023-12</v>
      </c>
    </row>
    <row r="367" spans="1:10" x14ac:dyDescent="0.2">
      <c r="A367" s="2" t="s">
        <v>323</v>
      </c>
      <c r="B367" s="2" t="s">
        <v>28</v>
      </c>
      <c r="C367" s="2" t="s">
        <v>71</v>
      </c>
      <c r="D367" s="2">
        <v>30</v>
      </c>
      <c r="E367" s="5">
        <v>45275</v>
      </c>
      <c r="F367" s="2">
        <v>133</v>
      </c>
      <c r="G367" s="2" t="s">
        <v>128</v>
      </c>
      <c r="H367" s="2" t="s">
        <v>23</v>
      </c>
      <c r="I367" s="6" t="s">
        <v>2954</v>
      </c>
      <c r="J367" s="2" t="str">
        <f t="shared" si="5"/>
        <v>2023-12</v>
      </c>
    </row>
    <row r="368" spans="1:10" x14ac:dyDescent="0.2">
      <c r="A368" s="2" t="s">
        <v>495</v>
      </c>
      <c r="B368" s="2" t="s">
        <v>162</v>
      </c>
      <c r="C368" s="2" t="s">
        <v>235</v>
      </c>
      <c r="D368" s="2" t="s">
        <v>2954</v>
      </c>
      <c r="E368" s="5">
        <v>45275</v>
      </c>
      <c r="F368" s="2">
        <v>22</v>
      </c>
      <c r="G368" s="2" t="s">
        <v>66</v>
      </c>
      <c r="H368" s="2" t="s">
        <v>163</v>
      </c>
      <c r="I368" s="6" t="s">
        <v>2954</v>
      </c>
      <c r="J368" s="2" t="str">
        <f t="shared" si="5"/>
        <v>2023-12</v>
      </c>
    </row>
    <row r="369" spans="1:10" x14ac:dyDescent="0.2">
      <c r="A369" s="2" t="s">
        <v>496</v>
      </c>
      <c r="B369" s="2" t="s">
        <v>89</v>
      </c>
      <c r="C369" s="2" t="s">
        <v>52</v>
      </c>
      <c r="D369" s="2" t="s">
        <v>2954</v>
      </c>
      <c r="E369" s="5">
        <v>45275</v>
      </c>
      <c r="F369" s="2">
        <v>262</v>
      </c>
      <c r="G369" s="2" t="s">
        <v>66</v>
      </c>
      <c r="H369" s="2" t="s">
        <v>23</v>
      </c>
      <c r="I369" s="6" t="s">
        <v>2954</v>
      </c>
      <c r="J369" s="2" t="str">
        <f t="shared" si="5"/>
        <v>2023-12</v>
      </c>
    </row>
    <row r="370" spans="1:10" x14ac:dyDescent="0.2">
      <c r="A370" s="2" t="s">
        <v>497</v>
      </c>
      <c r="B370" s="2" t="s">
        <v>34</v>
      </c>
      <c r="C370" s="2" t="s">
        <v>52</v>
      </c>
      <c r="D370" s="2">
        <v>900</v>
      </c>
      <c r="E370" s="5">
        <v>45274</v>
      </c>
      <c r="F370" s="2">
        <v>15000</v>
      </c>
      <c r="G370" s="2" t="s">
        <v>45</v>
      </c>
      <c r="H370" s="2" t="s">
        <v>23</v>
      </c>
      <c r="I370" s="6">
        <v>0.24</v>
      </c>
      <c r="J370" s="2" t="str">
        <f t="shared" si="5"/>
        <v>2023-12</v>
      </c>
    </row>
    <row r="371" spans="1:10" x14ac:dyDescent="0.2">
      <c r="A371" s="2" t="s">
        <v>498</v>
      </c>
      <c r="B371" s="2" t="s">
        <v>74</v>
      </c>
      <c r="C371" s="2" t="s">
        <v>16</v>
      </c>
      <c r="D371" s="2">
        <v>20</v>
      </c>
      <c r="E371" s="5">
        <v>45274</v>
      </c>
      <c r="F371" s="2">
        <v>385</v>
      </c>
      <c r="G371" s="2" t="s">
        <v>12</v>
      </c>
      <c r="H371" s="2" t="s">
        <v>76</v>
      </c>
      <c r="I371" s="6" t="s">
        <v>2954</v>
      </c>
      <c r="J371" s="2" t="str">
        <f t="shared" si="5"/>
        <v>2023-12</v>
      </c>
    </row>
    <row r="372" spans="1:10" x14ac:dyDescent="0.2">
      <c r="A372" s="2" t="s">
        <v>499</v>
      </c>
      <c r="B372" s="2" t="s">
        <v>34</v>
      </c>
      <c r="C372" s="2" t="s">
        <v>16</v>
      </c>
      <c r="D372" s="2" t="s">
        <v>2954</v>
      </c>
      <c r="E372" s="5">
        <v>45274</v>
      </c>
      <c r="F372" s="2">
        <v>1300</v>
      </c>
      <c r="G372" s="2" t="s">
        <v>128</v>
      </c>
      <c r="H372" s="2" t="s">
        <v>23</v>
      </c>
      <c r="I372" s="6">
        <v>0.28999999999999998</v>
      </c>
      <c r="J372" s="2" t="str">
        <f t="shared" si="5"/>
        <v>2023-12</v>
      </c>
    </row>
    <row r="373" spans="1:10" x14ac:dyDescent="0.2">
      <c r="A373" s="2" t="s">
        <v>500</v>
      </c>
      <c r="B373" s="2" t="s">
        <v>74</v>
      </c>
      <c r="C373" s="2" t="s">
        <v>32</v>
      </c>
      <c r="D373" s="2" t="s">
        <v>2954</v>
      </c>
      <c r="E373" s="5">
        <v>45274</v>
      </c>
      <c r="F373" s="2" t="s">
        <v>2954</v>
      </c>
      <c r="G373" s="2" t="s">
        <v>12</v>
      </c>
      <c r="H373" s="2" t="s">
        <v>76</v>
      </c>
      <c r="I373" s="6">
        <v>1</v>
      </c>
      <c r="J373" s="2" t="str">
        <f t="shared" si="5"/>
        <v>2023-12</v>
      </c>
    </row>
    <row r="374" spans="1:10" x14ac:dyDescent="0.2">
      <c r="A374" s="2" t="s">
        <v>501</v>
      </c>
      <c r="B374" s="2" t="s">
        <v>401</v>
      </c>
      <c r="C374" s="2" t="s">
        <v>148</v>
      </c>
      <c r="D374" s="2" t="s">
        <v>2954</v>
      </c>
      <c r="E374" s="5">
        <v>45274</v>
      </c>
      <c r="F374" s="2">
        <v>76</v>
      </c>
      <c r="G374" s="2" t="s">
        <v>37</v>
      </c>
      <c r="H374" s="2" t="s">
        <v>23</v>
      </c>
      <c r="I374" s="6" t="s">
        <v>2954</v>
      </c>
      <c r="J374" s="2" t="str">
        <f t="shared" si="5"/>
        <v>2023-12</v>
      </c>
    </row>
    <row r="375" spans="1:10" x14ac:dyDescent="0.2">
      <c r="A375" s="2" t="s">
        <v>502</v>
      </c>
      <c r="B375" s="2" t="s">
        <v>28</v>
      </c>
      <c r="C375" s="2" t="s">
        <v>148</v>
      </c>
      <c r="D375" s="2" t="s">
        <v>2954</v>
      </c>
      <c r="E375" s="5">
        <v>45274</v>
      </c>
      <c r="F375" s="2">
        <v>310</v>
      </c>
      <c r="G375" s="2" t="s">
        <v>66</v>
      </c>
      <c r="H375" s="2" t="s">
        <v>23</v>
      </c>
      <c r="I375" s="6" t="s">
        <v>2954</v>
      </c>
      <c r="J375" s="2" t="str">
        <f t="shared" si="5"/>
        <v>2023-12</v>
      </c>
    </row>
    <row r="376" spans="1:10" x14ac:dyDescent="0.2">
      <c r="A376" s="2" t="s">
        <v>503</v>
      </c>
      <c r="B376" s="2" t="s">
        <v>47</v>
      </c>
      <c r="C376" s="2" t="s">
        <v>11</v>
      </c>
      <c r="D376" s="2" t="s">
        <v>2954</v>
      </c>
      <c r="E376" s="5">
        <v>45274</v>
      </c>
      <c r="F376" s="2">
        <v>25</v>
      </c>
      <c r="G376" s="2" t="s">
        <v>41</v>
      </c>
      <c r="H376" s="2" t="s">
        <v>23</v>
      </c>
      <c r="I376" s="6">
        <v>0.5</v>
      </c>
      <c r="J376" s="2" t="str">
        <f t="shared" si="5"/>
        <v>2023-12</v>
      </c>
    </row>
    <row r="377" spans="1:10" x14ac:dyDescent="0.2">
      <c r="A377" s="2" t="s">
        <v>504</v>
      </c>
      <c r="B377" s="2" t="s">
        <v>34</v>
      </c>
      <c r="C377" s="2" t="s">
        <v>32</v>
      </c>
      <c r="D377" s="2">
        <v>235</v>
      </c>
      <c r="E377" s="5">
        <v>45273</v>
      </c>
      <c r="F377" s="2">
        <v>2500</v>
      </c>
      <c r="G377" s="2" t="s">
        <v>17</v>
      </c>
      <c r="H377" s="2" t="s">
        <v>23</v>
      </c>
      <c r="I377" s="6">
        <v>0.15</v>
      </c>
      <c r="J377" s="2" t="str">
        <f t="shared" si="5"/>
        <v>2023-12</v>
      </c>
    </row>
    <row r="378" spans="1:10" x14ac:dyDescent="0.2">
      <c r="A378" s="2" t="s">
        <v>505</v>
      </c>
      <c r="B378" s="2" t="s">
        <v>25</v>
      </c>
      <c r="C378" s="2" t="s">
        <v>142</v>
      </c>
      <c r="D378" s="2">
        <v>225</v>
      </c>
      <c r="E378" s="5">
        <v>45273</v>
      </c>
      <c r="F378" s="2">
        <v>97</v>
      </c>
      <c r="G378" s="2" t="s">
        <v>17</v>
      </c>
      <c r="H378" s="2" t="s">
        <v>23</v>
      </c>
      <c r="I378" s="6">
        <v>0.11</v>
      </c>
      <c r="J378" s="2" t="str">
        <f t="shared" si="5"/>
        <v>2023-12</v>
      </c>
    </row>
    <row r="379" spans="1:10" x14ac:dyDescent="0.2">
      <c r="A379" s="2" t="s">
        <v>506</v>
      </c>
      <c r="B379" s="2" t="s">
        <v>34</v>
      </c>
      <c r="C379" s="2" t="s">
        <v>71</v>
      </c>
      <c r="D379" s="2">
        <v>111</v>
      </c>
      <c r="E379" s="5">
        <v>45273</v>
      </c>
      <c r="F379" s="2" t="s">
        <v>2954</v>
      </c>
      <c r="G379" s="2" t="s">
        <v>17</v>
      </c>
      <c r="H379" s="2" t="s">
        <v>23</v>
      </c>
      <c r="I379" s="6" t="s">
        <v>2954</v>
      </c>
      <c r="J379" s="2" t="str">
        <f t="shared" si="5"/>
        <v>2023-12</v>
      </c>
    </row>
    <row r="380" spans="1:10" x14ac:dyDescent="0.2">
      <c r="A380" s="2" t="s">
        <v>507</v>
      </c>
      <c r="B380" s="2" t="s">
        <v>34</v>
      </c>
      <c r="C380" s="2" t="s">
        <v>29</v>
      </c>
      <c r="D380" s="2">
        <v>109</v>
      </c>
      <c r="E380" s="5">
        <v>45273</v>
      </c>
      <c r="F380" s="2">
        <v>234</v>
      </c>
      <c r="G380" s="2" t="s">
        <v>45</v>
      </c>
      <c r="H380" s="2" t="s">
        <v>23</v>
      </c>
      <c r="I380" s="6" t="s">
        <v>2954</v>
      </c>
      <c r="J380" s="2" t="str">
        <f t="shared" si="5"/>
        <v>2023-12</v>
      </c>
    </row>
    <row r="381" spans="1:10" x14ac:dyDescent="0.2">
      <c r="A381" s="2" t="s">
        <v>508</v>
      </c>
      <c r="B381" s="2" t="s">
        <v>34</v>
      </c>
      <c r="C381" s="2" t="s">
        <v>71</v>
      </c>
      <c r="D381" s="2">
        <v>31</v>
      </c>
      <c r="E381" s="5">
        <v>45273</v>
      </c>
      <c r="F381" s="2" t="s">
        <v>2954</v>
      </c>
      <c r="G381" s="2" t="s">
        <v>12</v>
      </c>
      <c r="H381" s="2" t="s">
        <v>23</v>
      </c>
      <c r="I381" s="6" t="s">
        <v>2954</v>
      </c>
      <c r="J381" s="2" t="str">
        <f t="shared" si="5"/>
        <v>2023-12</v>
      </c>
    </row>
    <row r="382" spans="1:10" x14ac:dyDescent="0.2">
      <c r="A382" s="2" t="s">
        <v>509</v>
      </c>
      <c r="B382" s="2" t="s">
        <v>314</v>
      </c>
      <c r="C382" s="2" t="s">
        <v>170</v>
      </c>
      <c r="D382" s="2" t="s">
        <v>2954</v>
      </c>
      <c r="E382" s="5">
        <v>45273</v>
      </c>
      <c r="F382" s="2">
        <v>241</v>
      </c>
      <c r="G382" s="2" t="s">
        <v>12</v>
      </c>
      <c r="H382" s="2" t="s">
        <v>23</v>
      </c>
      <c r="I382" s="6">
        <v>0.15</v>
      </c>
      <c r="J382" s="2" t="str">
        <f t="shared" si="5"/>
        <v>2023-12</v>
      </c>
    </row>
    <row r="383" spans="1:10" x14ac:dyDescent="0.2">
      <c r="A383" s="2" t="s">
        <v>510</v>
      </c>
      <c r="B383" s="2" t="s">
        <v>34</v>
      </c>
      <c r="C383" s="2" t="s">
        <v>26</v>
      </c>
      <c r="D383" s="2" t="s">
        <v>2954</v>
      </c>
      <c r="E383" s="5">
        <v>45273</v>
      </c>
      <c r="F383" s="2">
        <v>172</v>
      </c>
      <c r="G383" s="2" t="s">
        <v>12</v>
      </c>
      <c r="H383" s="2" t="s">
        <v>23</v>
      </c>
      <c r="I383" s="6">
        <v>0.2</v>
      </c>
      <c r="J383" s="2" t="str">
        <f t="shared" si="5"/>
        <v>2023-12</v>
      </c>
    </row>
    <row r="384" spans="1:10" x14ac:dyDescent="0.2">
      <c r="A384" s="2" t="s">
        <v>511</v>
      </c>
      <c r="B384" s="2" t="s">
        <v>512</v>
      </c>
      <c r="C384" s="2" t="s">
        <v>52</v>
      </c>
      <c r="D384" s="2">
        <v>45</v>
      </c>
      <c r="E384" s="5">
        <v>45272</v>
      </c>
      <c r="F384" s="2" t="s">
        <v>2954</v>
      </c>
      <c r="G384" s="2" t="s">
        <v>17</v>
      </c>
      <c r="H384" s="2" t="s">
        <v>278</v>
      </c>
      <c r="I384" s="6" t="s">
        <v>2954</v>
      </c>
      <c r="J384" s="2" t="str">
        <f t="shared" si="5"/>
        <v>2023-12</v>
      </c>
    </row>
    <row r="385" spans="1:10" x14ac:dyDescent="0.2">
      <c r="A385" s="2" t="s">
        <v>226</v>
      </c>
      <c r="B385" s="2" t="s">
        <v>34</v>
      </c>
      <c r="C385" s="2" t="s">
        <v>16</v>
      </c>
      <c r="D385" s="2">
        <v>15</v>
      </c>
      <c r="E385" s="5">
        <v>45271</v>
      </c>
      <c r="F385" s="2">
        <v>302</v>
      </c>
      <c r="G385" s="2" t="s">
        <v>66</v>
      </c>
      <c r="H385" s="2" t="s">
        <v>23</v>
      </c>
      <c r="I385" s="6">
        <v>0.33</v>
      </c>
      <c r="J385" s="2" t="str">
        <f t="shared" si="5"/>
        <v>2023-12</v>
      </c>
    </row>
    <row r="386" spans="1:10" x14ac:dyDescent="0.2">
      <c r="A386" s="2" t="s">
        <v>513</v>
      </c>
      <c r="B386" s="2" t="s">
        <v>86</v>
      </c>
      <c r="C386" s="2" t="s">
        <v>142</v>
      </c>
      <c r="D386" s="2" t="s">
        <v>2954</v>
      </c>
      <c r="E386" s="5">
        <v>45269</v>
      </c>
      <c r="F386" s="2">
        <v>110</v>
      </c>
      <c r="G386" s="2" t="s">
        <v>199</v>
      </c>
      <c r="H386" s="2" t="s">
        <v>23</v>
      </c>
      <c r="I386" s="6" t="s">
        <v>2954</v>
      </c>
      <c r="J386" s="2" t="str">
        <f t="shared" si="5"/>
        <v>2023-12</v>
      </c>
    </row>
    <row r="387" spans="1:10" x14ac:dyDescent="0.2">
      <c r="A387" s="2" t="s">
        <v>514</v>
      </c>
      <c r="B387" s="2" t="s">
        <v>515</v>
      </c>
      <c r="C387" s="2" t="s">
        <v>32</v>
      </c>
      <c r="D387" s="2" t="s">
        <v>2954</v>
      </c>
      <c r="E387" s="5">
        <v>45269</v>
      </c>
      <c r="F387" s="2">
        <v>694</v>
      </c>
      <c r="G387" s="2" t="s">
        <v>17</v>
      </c>
      <c r="H387" s="2" t="s">
        <v>23</v>
      </c>
      <c r="I387" s="6">
        <v>1</v>
      </c>
      <c r="J387" s="2" t="str">
        <f t="shared" ref="J387:J450" si="6">TEXT(E387,"YYYY-MM")</f>
        <v>2023-12</v>
      </c>
    </row>
    <row r="388" spans="1:10" x14ac:dyDescent="0.2">
      <c r="A388" s="2" t="s">
        <v>516</v>
      </c>
      <c r="B388" s="2" t="s">
        <v>34</v>
      </c>
      <c r="C388" s="2" t="s">
        <v>109</v>
      </c>
      <c r="D388" s="2" t="s">
        <v>2954</v>
      </c>
      <c r="E388" s="5">
        <v>45269</v>
      </c>
      <c r="F388" s="2">
        <v>32</v>
      </c>
      <c r="G388" s="2" t="s">
        <v>37</v>
      </c>
      <c r="H388" s="2" t="s">
        <v>23</v>
      </c>
      <c r="I388" s="6">
        <v>1</v>
      </c>
      <c r="J388" s="2" t="str">
        <f t="shared" si="6"/>
        <v>2023-12</v>
      </c>
    </row>
    <row r="389" spans="1:10" x14ac:dyDescent="0.2">
      <c r="A389" s="2" t="s">
        <v>517</v>
      </c>
      <c r="B389" s="2" t="s">
        <v>28</v>
      </c>
      <c r="C389" s="2" t="s">
        <v>142</v>
      </c>
      <c r="D389" s="2">
        <v>839</v>
      </c>
      <c r="E389" s="5">
        <v>45268</v>
      </c>
      <c r="F389" s="2">
        <v>194</v>
      </c>
      <c r="G389" s="2" t="s">
        <v>45</v>
      </c>
      <c r="H389" s="2" t="s">
        <v>23</v>
      </c>
      <c r="I389" s="6">
        <v>1</v>
      </c>
      <c r="J389" s="2" t="str">
        <f t="shared" si="6"/>
        <v>2023-12</v>
      </c>
    </row>
    <row r="390" spans="1:10" x14ac:dyDescent="0.2">
      <c r="A390" s="2" t="s">
        <v>518</v>
      </c>
      <c r="B390" s="2" t="s">
        <v>34</v>
      </c>
      <c r="C390" s="2" t="s">
        <v>48</v>
      </c>
      <c r="D390" s="2" t="s">
        <v>2954</v>
      </c>
      <c r="E390" s="5">
        <v>45268</v>
      </c>
      <c r="F390" s="2">
        <v>247</v>
      </c>
      <c r="G390" s="2" t="s">
        <v>75</v>
      </c>
      <c r="H390" s="2" t="s">
        <v>23</v>
      </c>
      <c r="I390" s="6">
        <v>1</v>
      </c>
      <c r="J390" s="2" t="str">
        <f t="shared" si="6"/>
        <v>2023-12</v>
      </c>
    </row>
    <row r="391" spans="1:10" x14ac:dyDescent="0.2">
      <c r="A391" s="2" t="s">
        <v>519</v>
      </c>
      <c r="B391" s="2" t="s">
        <v>100</v>
      </c>
      <c r="C391" s="2" t="s">
        <v>61</v>
      </c>
      <c r="D391" s="2">
        <v>200</v>
      </c>
      <c r="E391" s="5">
        <v>45267</v>
      </c>
      <c r="F391" s="2">
        <v>76</v>
      </c>
      <c r="G391" s="2" t="s">
        <v>45</v>
      </c>
      <c r="H391" s="2" t="s">
        <v>98</v>
      </c>
      <c r="I391" s="6" t="s">
        <v>2954</v>
      </c>
      <c r="J391" s="2" t="str">
        <f t="shared" si="6"/>
        <v>2023-12</v>
      </c>
    </row>
    <row r="392" spans="1:10" x14ac:dyDescent="0.2">
      <c r="A392" s="2" t="s">
        <v>93</v>
      </c>
      <c r="B392" s="2" t="s">
        <v>158</v>
      </c>
      <c r="C392" s="2" t="s">
        <v>52</v>
      </c>
      <c r="D392" s="2">
        <v>20</v>
      </c>
      <c r="E392" s="5">
        <v>45267</v>
      </c>
      <c r="F392" s="2">
        <v>10700</v>
      </c>
      <c r="G392" s="2" t="s">
        <v>17</v>
      </c>
      <c r="H392" s="2" t="s">
        <v>23</v>
      </c>
      <c r="I392" s="6" t="s">
        <v>2954</v>
      </c>
      <c r="J392" s="2" t="str">
        <f t="shared" si="6"/>
        <v>2023-12</v>
      </c>
    </row>
    <row r="393" spans="1:10" x14ac:dyDescent="0.2">
      <c r="A393" s="2" t="s">
        <v>85</v>
      </c>
      <c r="B393" s="2" t="s">
        <v>86</v>
      </c>
      <c r="C393" s="2" t="s">
        <v>29</v>
      </c>
      <c r="D393" s="2" t="s">
        <v>2954</v>
      </c>
      <c r="E393" s="5">
        <v>45267</v>
      </c>
      <c r="F393" s="2">
        <v>214</v>
      </c>
      <c r="G393" s="2" t="s">
        <v>75</v>
      </c>
      <c r="H393" s="2" t="s">
        <v>23</v>
      </c>
      <c r="I393" s="6" t="s">
        <v>2954</v>
      </c>
      <c r="J393" s="2" t="str">
        <f t="shared" si="6"/>
        <v>2023-12</v>
      </c>
    </row>
    <row r="394" spans="1:10" x14ac:dyDescent="0.2">
      <c r="A394" s="2" t="s">
        <v>520</v>
      </c>
      <c r="B394" s="2" t="s">
        <v>34</v>
      </c>
      <c r="C394" s="2" t="s">
        <v>44</v>
      </c>
      <c r="D394" s="2">
        <v>145</v>
      </c>
      <c r="E394" s="5">
        <v>45266</v>
      </c>
      <c r="F394" s="2">
        <v>2200</v>
      </c>
      <c r="G394" s="2" t="s">
        <v>12</v>
      </c>
      <c r="H394" s="2" t="s">
        <v>23</v>
      </c>
      <c r="I394" s="6" t="s">
        <v>2954</v>
      </c>
      <c r="J394" s="2" t="str">
        <f t="shared" si="6"/>
        <v>2023-12</v>
      </c>
    </row>
    <row r="395" spans="1:10" x14ac:dyDescent="0.2">
      <c r="A395" s="2" t="s">
        <v>521</v>
      </c>
      <c r="B395" s="2" t="s">
        <v>25</v>
      </c>
      <c r="C395" s="2" t="s">
        <v>35</v>
      </c>
      <c r="D395" s="2">
        <v>40</v>
      </c>
      <c r="E395" s="5">
        <v>45266</v>
      </c>
      <c r="F395" s="2" t="s">
        <v>2954</v>
      </c>
      <c r="G395" s="2" t="s">
        <v>45</v>
      </c>
      <c r="H395" s="2" t="s">
        <v>23</v>
      </c>
      <c r="I395" s="6">
        <v>0.1</v>
      </c>
      <c r="J395" s="2" t="str">
        <f t="shared" si="6"/>
        <v>2023-12</v>
      </c>
    </row>
    <row r="396" spans="1:10" x14ac:dyDescent="0.2">
      <c r="A396" s="2" t="s">
        <v>522</v>
      </c>
      <c r="B396" s="2" t="s">
        <v>100</v>
      </c>
      <c r="C396" s="2" t="s">
        <v>16</v>
      </c>
      <c r="D396" s="2">
        <v>150</v>
      </c>
      <c r="E396" s="5">
        <v>45265</v>
      </c>
      <c r="F396" s="2">
        <v>120</v>
      </c>
      <c r="G396" s="2" t="s">
        <v>66</v>
      </c>
      <c r="H396" s="2" t="s">
        <v>98</v>
      </c>
      <c r="I396" s="6">
        <v>1</v>
      </c>
      <c r="J396" s="2" t="str">
        <f t="shared" si="6"/>
        <v>2023-12</v>
      </c>
    </row>
    <row r="397" spans="1:10" x14ac:dyDescent="0.2">
      <c r="A397" s="2" t="s">
        <v>520</v>
      </c>
      <c r="B397" s="2" t="s">
        <v>34</v>
      </c>
      <c r="C397" s="2" t="s">
        <v>16</v>
      </c>
      <c r="D397" s="2">
        <v>145</v>
      </c>
      <c r="E397" s="5">
        <v>45265</v>
      </c>
      <c r="F397" s="2">
        <v>2200</v>
      </c>
      <c r="G397" s="2" t="s">
        <v>12</v>
      </c>
      <c r="H397" s="2" t="s">
        <v>23</v>
      </c>
      <c r="I397" s="6">
        <v>0.05</v>
      </c>
      <c r="J397" s="2" t="str">
        <f t="shared" si="6"/>
        <v>2023-12</v>
      </c>
    </row>
    <row r="398" spans="1:10" x14ac:dyDescent="0.2">
      <c r="A398" s="2" t="s">
        <v>523</v>
      </c>
      <c r="B398" s="2" t="s">
        <v>15</v>
      </c>
      <c r="C398" s="2" t="s">
        <v>78</v>
      </c>
      <c r="D398" s="2">
        <v>40</v>
      </c>
      <c r="E398" s="5">
        <v>45265</v>
      </c>
      <c r="F398" s="2">
        <v>35</v>
      </c>
      <c r="G398" s="2" t="s">
        <v>37</v>
      </c>
      <c r="H398" s="2" t="s">
        <v>18</v>
      </c>
      <c r="I398" s="6">
        <v>0.2</v>
      </c>
      <c r="J398" s="2" t="str">
        <f t="shared" si="6"/>
        <v>2023-12</v>
      </c>
    </row>
    <row r="399" spans="1:10" x14ac:dyDescent="0.2">
      <c r="A399" s="2" t="s">
        <v>524</v>
      </c>
      <c r="B399" s="2" t="s">
        <v>34</v>
      </c>
      <c r="C399" s="2" t="s">
        <v>16</v>
      </c>
      <c r="D399" s="2" t="s">
        <v>2954</v>
      </c>
      <c r="E399" s="5">
        <v>45265</v>
      </c>
      <c r="F399" s="2">
        <v>280</v>
      </c>
      <c r="G399" s="2" t="s">
        <v>17</v>
      </c>
      <c r="H399" s="2" t="s">
        <v>23</v>
      </c>
      <c r="I399" s="6">
        <v>0.15</v>
      </c>
      <c r="J399" s="2" t="str">
        <f t="shared" si="6"/>
        <v>2023-12</v>
      </c>
    </row>
    <row r="400" spans="1:10" x14ac:dyDescent="0.2">
      <c r="A400" s="2" t="s">
        <v>525</v>
      </c>
      <c r="B400" s="2" t="s">
        <v>74</v>
      </c>
      <c r="C400" s="2" t="s">
        <v>26</v>
      </c>
      <c r="D400" s="2" t="s">
        <v>2954</v>
      </c>
      <c r="E400" s="5">
        <v>45265</v>
      </c>
      <c r="F400" s="2">
        <v>350</v>
      </c>
      <c r="G400" s="2" t="s">
        <v>62</v>
      </c>
      <c r="H400" s="2" t="s">
        <v>76</v>
      </c>
      <c r="I400" s="6" t="s">
        <v>2954</v>
      </c>
      <c r="J400" s="2" t="str">
        <f t="shared" si="6"/>
        <v>2023-12</v>
      </c>
    </row>
    <row r="401" spans="1:10" x14ac:dyDescent="0.2">
      <c r="A401" s="2" t="s">
        <v>526</v>
      </c>
      <c r="B401" s="2" t="s">
        <v>34</v>
      </c>
      <c r="C401" s="2" t="s">
        <v>61</v>
      </c>
      <c r="D401" s="2" t="s">
        <v>2954</v>
      </c>
      <c r="E401" s="5">
        <v>45265</v>
      </c>
      <c r="F401" s="2">
        <v>477</v>
      </c>
      <c r="G401" s="2" t="s">
        <v>66</v>
      </c>
      <c r="H401" s="2" t="s">
        <v>23</v>
      </c>
      <c r="I401" s="6">
        <v>0.25</v>
      </c>
      <c r="J401" s="2" t="str">
        <f t="shared" si="6"/>
        <v>2023-12</v>
      </c>
    </row>
    <row r="402" spans="1:10" x14ac:dyDescent="0.2">
      <c r="A402" s="2" t="s">
        <v>527</v>
      </c>
      <c r="B402" s="2" t="s">
        <v>528</v>
      </c>
      <c r="C402" s="2" t="s">
        <v>16</v>
      </c>
      <c r="D402" s="2" t="s">
        <v>2954</v>
      </c>
      <c r="E402" s="5">
        <v>45265</v>
      </c>
      <c r="F402" s="2">
        <v>3</v>
      </c>
      <c r="G402" s="2" t="s">
        <v>132</v>
      </c>
      <c r="H402" s="2" t="s">
        <v>204</v>
      </c>
      <c r="I402" s="6">
        <v>1</v>
      </c>
      <c r="J402" s="2" t="str">
        <f t="shared" si="6"/>
        <v>2023-12</v>
      </c>
    </row>
    <row r="403" spans="1:10" x14ac:dyDescent="0.2">
      <c r="A403" s="2" t="s">
        <v>529</v>
      </c>
      <c r="B403" s="2" t="s">
        <v>34</v>
      </c>
      <c r="C403" s="2" t="s">
        <v>35</v>
      </c>
      <c r="D403" s="2" t="s">
        <v>2954</v>
      </c>
      <c r="E403" s="5">
        <v>45265</v>
      </c>
      <c r="F403" s="2">
        <v>6</v>
      </c>
      <c r="G403" s="2" t="s">
        <v>45</v>
      </c>
      <c r="H403" s="2" t="s">
        <v>23</v>
      </c>
      <c r="I403" s="6" t="s">
        <v>2954</v>
      </c>
      <c r="J403" s="2" t="str">
        <f t="shared" si="6"/>
        <v>2023-12</v>
      </c>
    </row>
    <row r="404" spans="1:10" x14ac:dyDescent="0.2">
      <c r="A404" s="2" t="s">
        <v>530</v>
      </c>
      <c r="B404" s="2" t="s">
        <v>287</v>
      </c>
      <c r="C404" s="2" t="s">
        <v>235</v>
      </c>
      <c r="D404" s="2">
        <v>1500</v>
      </c>
      <c r="E404" s="5">
        <v>45264</v>
      </c>
      <c r="F404" s="2">
        <v>2100</v>
      </c>
      <c r="G404" s="2" t="s">
        <v>17</v>
      </c>
      <c r="H404" s="2" t="s">
        <v>291</v>
      </c>
      <c r="I404" s="6">
        <v>0.17</v>
      </c>
      <c r="J404" s="2" t="str">
        <f t="shared" si="6"/>
        <v>2023-12</v>
      </c>
    </row>
    <row r="405" spans="1:10" x14ac:dyDescent="0.2">
      <c r="A405" s="2" t="s">
        <v>531</v>
      </c>
      <c r="B405" s="2" t="s">
        <v>64</v>
      </c>
      <c r="C405" s="2" t="s">
        <v>52</v>
      </c>
      <c r="D405" s="2">
        <v>150</v>
      </c>
      <c r="E405" s="5">
        <v>45264</v>
      </c>
      <c r="F405" s="2">
        <v>648</v>
      </c>
      <c r="G405" s="2" t="s">
        <v>17</v>
      </c>
      <c r="H405" s="2" t="s">
        <v>23</v>
      </c>
      <c r="I405" s="6" t="s">
        <v>2954</v>
      </c>
      <c r="J405" s="2" t="str">
        <f t="shared" si="6"/>
        <v>2023-12</v>
      </c>
    </row>
    <row r="406" spans="1:10" x14ac:dyDescent="0.2">
      <c r="A406" s="2" t="s">
        <v>532</v>
      </c>
      <c r="B406" s="2" t="s">
        <v>533</v>
      </c>
      <c r="C406" s="2" t="s">
        <v>235</v>
      </c>
      <c r="D406" s="2">
        <v>8</v>
      </c>
      <c r="E406" s="5">
        <v>45264</v>
      </c>
      <c r="F406" s="2">
        <v>185</v>
      </c>
      <c r="G406" s="2" t="s">
        <v>12</v>
      </c>
      <c r="H406" s="2" t="s">
        <v>23</v>
      </c>
      <c r="I406" s="6" t="s">
        <v>2954</v>
      </c>
      <c r="J406" s="2" t="str">
        <f t="shared" si="6"/>
        <v>2023-12</v>
      </c>
    </row>
    <row r="407" spans="1:10" x14ac:dyDescent="0.2">
      <c r="A407" s="2" t="s">
        <v>534</v>
      </c>
      <c r="B407" s="2" t="s">
        <v>47</v>
      </c>
      <c r="C407" s="2" t="s">
        <v>148</v>
      </c>
      <c r="D407" s="2" t="s">
        <v>2954</v>
      </c>
      <c r="E407" s="5">
        <v>45264</v>
      </c>
      <c r="F407" s="2">
        <v>6</v>
      </c>
      <c r="G407" s="2" t="s">
        <v>132</v>
      </c>
      <c r="H407" s="2" t="s">
        <v>23</v>
      </c>
      <c r="I407" s="6">
        <v>1</v>
      </c>
      <c r="J407" s="2" t="str">
        <f t="shared" si="6"/>
        <v>2023-12</v>
      </c>
    </row>
    <row r="408" spans="1:10" x14ac:dyDescent="0.2">
      <c r="A408" s="2" t="s">
        <v>535</v>
      </c>
      <c r="B408" s="2" t="s">
        <v>34</v>
      </c>
      <c r="C408" s="2" t="s">
        <v>29</v>
      </c>
      <c r="D408" s="2" t="s">
        <v>2954</v>
      </c>
      <c r="E408" s="5">
        <v>45264</v>
      </c>
      <c r="F408" s="2">
        <v>614</v>
      </c>
      <c r="G408" s="2" t="s">
        <v>17</v>
      </c>
      <c r="H408" s="2" t="s">
        <v>23</v>
      </c>
      <c r="I408" s="6">
        <v>0.05</v>
      </c>
      <c r="J408" s="2" t="str">
        <f t="shared" si="6"/>
        <v>2023-12</v>
      </c>
    </row>
    <row r="409" spans="1:10" x14ac:dyDescent="0.2">
      <c r="A409" s="2" t="s">
        <v>536</v>
      </c>
      <c r="B409" s="2" t="s">
        <v>28</v>
      </c>
      <c r="C409" s="2" t="s">
        <v>29</v>
      </c>
      <c r="D409" s="2" t="s">
        <v>2954</v>
      </c>
      <c r="E409" s="5">
        <v>45261</v>
      </c>
      <c r="F409" s="2" t="s">
        <v>2954</v>
      </c>
      <c r="G409" s="2" t="s">
        <v>45</v>
      </c>
      <c r="H409" s="2" t="s">
        <v>23</v>
      </c>
      <c r="I409" s="6">
        <v>1</v>
      </c>
      <c r="J409" s="2" t="str">
        <f t="shared" si="6"/>
        <v>2023-12</v>
      </c>
    </row>
    <row r="410" spans="1:10" x14ac:dyDescent="0.2">
      <c r="A410" s="2" t="s">
        <v>537</v>
      </c>
      <c r="B410" s="2" t="s">
        <v>538</v>
      </c>
      <c r="C410" s="2" t="s">
        <v>35</v>
      </c>
      <c r="D410" s="2">
        <v>40</v>
      </c>
      <c r="E410" s="5">
        <v>45260</v>
      </c>
      <c r="F410" s="2">
        <v>52</v>
      </c>
      <c r="G410" s="2" t="s">
        <v>45</v>
      </c>
      <c r="H410" s="2" t="s">
        <v>98</v>
      </c>
      <c r="I410" s="6">
        <v>0.36</v>
      </c>
      <c r="J410" s="2" t="str">
        <f t="shared" si="6"/>
        <v>2023-11</v>
      </c>
    </row>
    <row r="411" spans="1:10" x14ac:dyDescent="0.2">
      <c r="A411" s="2" t="s">
        <v>539</v>
      </c>
      <c r="B411" s="2" t="s">
        <v>54</v>
      </c>
      <c r="C411" s="2" t="s">
        <v>16</v>
      </c>
      <c r="D411" s="2">
        <v>30</v>
      </c>
      <c r="E411" s="5">
        <v>45260</v>
      </c>
      <c r="F411" s="2">
        <v>700</v>
      </c>
      <c r="G411" s="2" t="s">
        <v>128</v>
      </c>
      <c r="H411" s="2" t="s">
        <v>55</v>
      </c>
      <c r="I411" s="6">
        <v>0.02</v>
      </c>
      <c r="J411" s="2" t="str">
        <f t="shared" si="6"/>
        <v>2023-11</v>
      </c>
    </row>
    <row r="412" spans="1:10" x14ac:dyDescent="0.2">
      <c r="A412" s="2" t="s">
        <v>540</v>
      </c>
      <c r="B412" s="2" t="s">
        <v>147</v>
      </c>
      <c r="C412" s="2" t="s">
        <v>243</v>
      </c>
      <c r="D412" s="2" t="s">
        <v>2954</v>
      </c>
      <c r="E412" s="5">
        <v>45260</v>
      </c>
      <c r="F412" s="2">
        <v>689</v>
      </c>
      <c r="G412" s="2" t="s">
        <v>17</v>
      </c>
      <c r="H412" s="2" t="s">
        <v>23</v>
      </c>
      <c r="I412" s="6">
        <v>7.0000000000000007E-2</v>
      </c>
      <c r="J412" s="2" t="str">
        <f t="shared" si="6"/>
        <v>2023-11</v>
      </c>
    </row>
    <row r="413" spans="1:10" x14ac:dyDescent="0.2">
      <c r="A413" s="2" t="s">
        <v>541</v>
      </c>
      <c r="B413" s="2" t="s">
        <v>25</v>
      </c>
      <c r="C413" s="2" t="s">
        <v>35</v>
      </c>
      <c r="D413" s="2" t="s">
        <v>2954</v>
      </c>
      <c r="E413" s="5">
        <v>45260</v>
      </c>
      <c r="F413" s="2">
        <v>100</v>
      </c>
      <c r="G413" s="2" t="s">
        <v>12</v>
      </c>
      <c r="H413" s="2" t="s">
        <v>23</v>
      </c>
      <c r="I413" s="6" t="s">
        <v>2954</v>
      </c>
      <c r="J413" s="2" t="str">
        <f t="shared" si="6"/>
        <v>2023-11</v>
      </c>
    </row>
    <row r="414" spans="1:10" x14ac:dyDescent="0.2">
      <c r="A414" s="2" t="s">
        <v>542</v>
      </c>
      <c r="B414" s="2" t="s">
        <v>416</v>
      </c>
      <c r="C414" s="2" t="s">
        <v>50</v>
      </c>
      <c r="D414" s="2" t="s">
        <v>2954</v>
      </c>
      <c r="E414" s="5">
        <v>45260</v>
      </c>
      <c r="F414" s="2">
        <v>90</v>
      </c>
      <c r="G414" s="2" t="s">
        <v>199</v>
      </c>
      <c r="H414" s="2" t="s">
        <v>417</v>
      </c>
      <c r="I414" s="6" t="s">
        <v>2954</v>
      </c>
      <c r="J414" s="2" t="str">
        <f t="shared" si="6"/>
        <v>2023-11</v>
      </c>
    </row>
    <row r="415" spans="1:10" x14ac:dyDescent="0.2">
      <c r="A415" s="2" t="s">
        <v>543</v>
      </c>
      <c r="B415" s="2" t="s">
        <v>401</v>
      </c>
      <c r="C415" s="2" t="s">
        <v>235</v>
      </c>
      <c r="D415" s="2" t="s">
        <v>2954</v>
      </c>
      <c r="E415" s="5">
        <v>45260</v>
      </c>
      <c r="F415" s="2">
        <v>307</v>
      </c>
      <c r="G415" s="2" t="s">
        <v>62</v>
      </c>
      <c r="H415" s="2" t="s">
        <v>23</v>
      </c>
      <c r="I415" s="6">
        <v>0.04</v>
      </c>
      <c r="J415" s="2" t="str">
        <f t="shared" si="6"/>
        <v>2023-11</v>
      </c>
    </row>
    <row r="416" spans="1:10" x14ac:dyDescent="0.2">
      <c r="A416" s="2" t="s">
        <v>456</v>
      </c>
      <c r="B416" s="2" t="s">
        <v>34</v>
      </c>
      <c r="C416" s="2" t="s">
        <v>29</v>
      </c>
      <c r="D416" s="2">
        <v>265</v>
      </c>
      <c r="E416" s="5">
        <v>45258</v>
      </c>
      <c r="F416" s="2">
        <v>1300</v>
      </c>
      <c r="G416" s="2" t="s">
        <v>17</v>
      </c>
      <c r="H416" s="2" t="s">
        <v>23</v>
      </c>
      <c r="I416" s="6">
        <v>0.04</v>
      </c>
      <c r="J416" s="2" t="str">
        <f t="shared" si="6"/>
        <v>2023-11</v>
      </c>
    </row>
    <row r="417" spans="1:10" x14ac:dyDescent="0.2">
      <c r="A417" s="2" t="s">
        <v>544</v>
      </c>
      <c r="B417" s="2" t="s">
        <v>25</v>
      </c>
      <c r="C417" s="2" t="s">
        <v>154</v>
      </c>
      <c r="D417" s="2">
        <v>150</v>
      </c>
      <c r="E417" s="5">
        <v>45258</v>
      </c>
      <c r="F417" s="2">
        <v>1100</v>
      </c>
      <c r="G417" s="2" t="s">
        <v>62</v>
      </c>
      <c r="H417" s="2" t="s">
        <v>23</v>
      </c>
      <c r="I417" s="6">
        <v>0.2</v>
      </c>
      <c r="J417" s="2" t="str">
        <f t="shared" si="6"/>
        <v>2023-11</v>
      </c>
    </row>
    <row r="418" spans="1:10" x14ac:dyDescent="0.2">
      <c r="A418" s="2" t="s">
        <v>545</v>
      </c>
      <c r="B418" s="2" t="s">
        <v>54</v>
      </c>
      <c r="C418" s="2" t="s">
        <v>61</v>
      </c>
      <c r="D418" s="2" t="s">
        <v>2954</v>
      </c>
      <c r="E418" s="5">
        <v>45258</v>
      </c>
      <c r="F418" s="2">
        <v>414</v>
      </c>
      <c r="G418" s="2" t="s">
        <v>75</v>
      </c>
      <c r="H418" s="2" t="s">
        <v>55</v>
      </c>
      <c r="I418" s="6">
        <v>0.05</v>
      </c>
      <c r="J418" s="2" t="str">
        <f t="shared" si="6"/>
        <v>2023-11</v>
      </c>
    </row>
    <row r="419" spans="1:10" x14ac:dyDescent="0.2">
      <c r="A419" s="2" t="s">
        <v>546</v>
      </c>
      <c r="B419" s="2" t="s">
        <v>74</v>
      </c>
      <c r="C419" s="2" t="s">
        <v>52</v>
      </c>
      <c r="D419" s="2" t="s">
        <v>2954</v>
      </c>
      <c r="E419" s="5">
        <v>45258</v>
      </c>
      <c r="F419" s="2">
        <v>646</v>
      </c>
      <c r="G419" s="2" t="s">
        <v>75</v>
      </c>
      <c r="H419" s="2" t="s">
        <v>76</v>
      </c>
      <c r="I419" s="6">
        <v>0.22</v>
      </c>
      <c r="J419" s="2" t="str">
        <f t="shared" si="6"/>
        <v>2023-11</v>
      </c>
    </row>
    <row r="420" spans="1:10" x14ac:dyDescent="0.2">
      <c r="A420" s="2" t="s">
        <v>547</v>
      </c>
      <c r="B420" s="2" t="s">
        <v>34</v>
      </c>
      <c r="C420" s="2" t="s">
        <v>48</v>
      </c>
      <c r="D420" s="2">
        <v>2837</v>
      </c>
      <c r="E420" s="5">
        <v>45257</v>
      </c>
      <c r="F420" s="2">
        <v>393</v>
      </c>
      <c r="G420" s="2" t="s">
        <v>45</v>
      </c>
      <c r="H420" s="2" t="s">
        <v>23</v>
      </c>
      <c r="I420" s="6" t="s">
        <v>2954</v>
      </c>
      <c r="J420" s="2" t="str">
        <f t="shared" si="6"/>
        <v>2023-11</v>
      </c>
    </row>
    <row r="421" spans="1:10" x14ac:dyDescent="0.2">
      <c r="A421" s="2" t="s">
        <v>548</v>
      </c>
      <c r="B421" s="2" t="s">
        <v>493</v>
      </c>
      <c r="C421" s="2" t="s">
        <v>35</v>
      </c>
      <c r="D421" s="2">
        <v>1000</v>
      </c>
      <c r="E421" s="5">
        <v>45257</v>
      </c>
      <c r="F421" s="2">
        <v>9400</v>
      </c>
      <c r="G421" s="2" t="s">
        <v>12</v>
      </c>
      <c r="H421" s="2" t="s">
        <v>224</v>
      </c>
      <c r="I421" s="6" t="s">
        <v>2954</v>
      </c>
      <c r="J421" s="2" t="str">
        <f t="shared" si="6"/>
        <v>2023-11</v>
      </c>
    </row>
    <row r="422" spans="1:10" x14ac:dyDescent="0.2">
      <c r="A422" s="2" t="s">
        <v>252</v>
      </c>
      <c r="B422" s="2" t="s">
        <v>158</v>
      </c>
      <c r="C422" s="2" t="s">
        <v>52</v>
      </c>
      <c r="D422" s="2">
        <v>128</v>
      </c>
      <c r="E422" s="5">
        <v>45257</v>
      </c>
      <c r="F422" s="2">
        <v>390</v>
      </c>
      <c r="G422" s="2" t="s">
        <v>37</v>
      </c>
      <c r="H422" s="2" t="s">
        <v>23</v>
      </c>
      <c r="I422" s="6">
        <v>0.25</v>
      </c>
      <c r="J422" s="2" t="str">
        <f t="shared" si="6"/>
        <v>2023-11</v>
      </c>
    </row>
    <row r="423" spans="1:10" x14ac:dyDescent="0.2">
      <c r="A423" s="2" t="s">
        <v>549</v>
      </c>
      <c r="B423" s="2" t="s">
        <v>34</v>
      </c>
      <c r="C423" s="2" t="s">
        <v>363</v>
      </c>
      <c r="D423" s="2" t="s">
        <v>2954</v>
      </c>
      <c r="E423" s="5">
        <v>45256</v>
      </c>
      <c r="F423" s="2">
        <v>597</v>
      </c>
      <c r="G423" s="2" t="s">
        <v>75</v>
      </c>
      <c r="H423" s="2" t="s">
        <v>23</v>
      </c>
      <c r="I423" s="6">
        <v>1</v>
      </c>
      <c r="J423" s="2" t="str">
        <f t="shared" si="6"/>
        <v>2023-11</v>
      </c>
    </row>
    <row r="424" spans="1:10" x14ac:dyDescent="0.2">
      <c r="A424" s="2" t="s">
        <v>550</v>
      </c>
      <c r="B424" s="2" t="s">
        <v>538</v>
      </c>
      <c r="C424" s="2" t="s">
        <v>26</v>
      </c>
      <c r="D424" s="2" t="s">
        <v>2954</v>
      </c>
      <c r="E424" s="5">
        <v>45255</v>
      </c>
      <c r="F424" s="2">
        <v>6</v>
      </c>
      <c r="G424" s="2" t="s">
        <v>132</v>
      </c>
      <c r="H424" s="2" t="s">
        <v>98</v>
      </c>
      <c r="I424" s="6">
        <v>1</v>
      </c>
      <c r="J424" s="2" t="str">
        <f t="shared" si="6"/>
        <v>2023-11</v>
      </c>
    </row>
    <row r="425" spans="1:10" x14ac:dyDescent="0.2">
      <c r="A425" s="2" t="s">
        <v>551</v>
      </c>
      <c r="B425" s="2" t="s">
        <v>552</v>
      </c>
      <c r="C425" s="2" t="s">
        <v>142</v>
      </c>
      <c r="D425" s="2">
        <v>100</v>
      </c>
      <c r="E425" s="5">
        <v>45251</v>
      </c>
      <c r="F425" s="2">
        <v>16</v>
      </c>
      <c r="G425" s="2" t="s">
        <v>37</v>
      </c>
      <c r="H425" s="2" t="s">
        <v>204</v>
      </c>
      <c r="I425" s="6" t="s">
        <v>2954</v>
      </c>
      <c r="J425" s="2" t="str">
        <f t="shared" si="6"/>
        <v>2023-11</v>
      </c>
    </row>
    <row r="426" spans="1:10" x14ac:dyDescent="0.2">
      <c r="A426" s="2" t="s">
        <v>553</v>
      </c>
      <c r="B426" s="2" t="s">
        <v>74</v>
      </c>
      <c r="C426" s="2" t="s">
        <v>148</v>
      </c>
      <c r="D426" s="2">
        <v>60</v>
      </c>
      <c r="E426" s="5">
        <v>45251</v>
      </c>
      <c r="F426" s="2">
        <v>214</v>
      </c>
      <c r="G426" s="2" t="s">
        <v>12</v>
      </c>
      <c r="H426" s="2" t="s">
        <v>76</v>
      </c>
      <c r="I426" s="6" t="s">
        <v>2954</v>
      </c>
      <c r="J426" s="2" t="str">
        <f t="shared" si="6"/>
        <v>2023-11</v>
      </c>
    </row>
    <row r="427" spans="1:10" x14ac:dyDescent="0.2">
      <c r="A427" s="2" t="s">
        <v>554</v>
      </c>
      <c r="B427" s="2" t="s">
        <v>335</v>
      </c>
      <c r="C427" s="2" t="s">
        <v>142</v>
      </c>
      <c r="D427" s="2">
        <v>25</v>
      </c>
      <c r="E427" s="5">
        <v>45251</v>
      </c>
      <c r="F427" s="2">
        <v>79</v>
      </c>
      <c r="G427" s="2" t="s">
        <v>66</v>
      </c>
      <c r="H427" s="2" t="s">
        <v>106</v>
      </c>
      <c r="I427" s="6" t="s">
        <v>2954</v>
      </c>
      <c r="J427" s="2" t="str">
        <f t="shared" si="6"/>
        <v>2023-11</v>
      </c>
    </row>
    <row r="428" spans="1:10" x14ac:dyDescent="0.2">
      <c r="A428" s="2" t="s">
        <v>555</v>
      </c>
      <c r="B428" s="2" t="s">
        <v>100</v>
      </c>
      <c r="C428" s="2" t="s">
        <v>16</v>
      </c>
      <c r="D428" s="2">
        <v>100</v>
      </c>
      <c r="E428" s="5">
        <v>45250</v>
      </c>
      <c r="F428" s="2">
        <v>19</v>
      </c>
      <c r="G428" s="2" t="s">
        <v>41</v>
      </c>
      <c r="H428" s="2" t="s">
        <v>98</v>
      </c>
      <c r="I428" s="6" t="s">
        <v>2954</v>
      </c>
      <c r="J428" s="2" t="str">
        <f t="shared" si="6"/>
        <v>2023-11</v>
      </c>
    </row>
    <row r="429" spans="1:10" x14ac:dyDescent="0.2">
      <c r="A429" s="2" t="s">
        <v>556</v>
      </c>
      <c r="B429" s="2" t="s">
        <v>34</v>
      </c>
      <c r="C429" s="2" t="s">
        <v>154</v>
      </c>
      <c r="D429" s="2" t="s">
        <v>2954</v>
      </c>
      <c r="E429" s="5">
        <v>45250</v>
      </c>
      <c r="F429" s="2">
        <v>228</v>
      </c>
      <c r="G429" s="2" t="s">
        <v>62</v>
      </c>
      <c r="H429" s="2" t="s">
        <v>23</v>
      </c>
      <c r="I429" s="6" t="s">
        <v>2954</v>
      </c>
      <c r="J429" s="2" t="str">
        <f t="shared" si="6"/>
        <v>2023-11</v>
      </c>
    </row>
    <row r="430" spans="1:10" x14ac:dyDescent="0.2">
      <c r="A430" s="2" t="s">
        <v>557</v>
      </c>
      <c r="B430" s="2" t="s">
        <v>34</v>
      </c>
      <c r="C430" s="2" t="s">
        <v>11</v>
      </c>
      <c r="D430" s="2" t="s">
        <v>2954</v>
      </c>
      <c r="E430" s="5">
        <v>45250</v>
      </c>
      <c r="F430" s="2">
        <v>167</v>
      </c>
      <c r="G430" s="2" t="s">
        <v>17</v>
      </c>
      <c r="H430" s="2" t="s">
        <v>23</v>
      </c>
      <c r="I430" s="6">
        <v>0.17</v>
      </c>
      <c r="J430" s="2" t="str">
        <f t="shared" si="6"/>
        <v>2023-11</v>
      </c>
    </row>
    <row r="431" spans="1:10" x14ac:dyDescent="0.2">
      <c r="A431" s="2" t="s">
        <v>558</v>
      </c>
      <c r="B431" s="2" t="s">
        <v>481</v>
      </c>
      <c r="C431" s="2" t="s">
        <v>61</v>
      </c>
      <c r="D431" s="2">
        <v>120</v>
      </c>
      <c r="E431" s="5">
        <v>45249</v>
      </c>
      <c r="F431" s="2">
        <v>100</v>
      </c>
      <c r="G431" s="2" t="s">
        <v>41</v>
      </c>
      <c r="H431" s="2" t="s">
        <v>98</v>
      </c>
      <c r="I431" s="6">
        <v>0.01</v>
      </c>
      <c r="J431" s="2" t="str">
        <f t="shared" si="6"/>
        <v>2023-11</v>
      </c>
    </row>
    <row r="432" spans="1:10" x14ac:dyDescent="0.2">
      <c r="A432" s="2" t="s">
        <v>559</v>
      </c>
      <c r="B432" s="2" t="s">
        <v>560</v>
      </c>
      <c r="C432" s="2" t="s">
        <v>32</v>
      </c>
      <c r="D432" s="2">
        <v>84</v>
      </c>
      <c r="E432" s="5">
        <v>45247</v>
      </c>
      <c r="F432" s="2" t="s">
        <v>2954</v>
      </c>
      <c r="G432" s="2" t="s">
        <v>45</v>
      </c>
      <c r="H432" s="2" t="s">
        <v>23</v>
      </c>
      <c r="I432" s="6" t="s">
        <v>2954</v>
      </c>
      <c r="J432" s="2" t="str">
        <f t="shared" si="6"/>
        <v>2023-11</v>
      </c>
    </row>
    <row r="433" spans="1:10" x14ac:dyDescent="0.2">
      <c r="A433" s="2" t="s">
        <v>191</v>
      </c>
      <c r="B433" s="2" t="s">
        <v>28</v>
      </c>
      <c r="C433" s="2" t="s">
        <v>142</v>
      </c>
      <c r="D433" s="2" t="s">
        <v>2954</v>
      </c>
      <c r="E433" s="5">
        <v>45247</v>
      </c>
      <c r="F433" s="2">
        <v>108</v>
      </c>
      <c r="G433" s="2" t="s">
        <v>17</v>
      </c>
      <c r="H433" s="2" t="s">
        <v>23</v>
      </c>
      <c r="I433" s="6" t="s">
        <v>2954</v>
      </c>
      <c r="J433" s="2" t="str">
        <f t="shared" si="6"/>
        <v>2023-11</v>
      </c>
    </row>
    <row r="434" spans="1:10" x14ac:dyDescent="0.2">
      <c r="A434" s="2" t="s">
        <v>561</v>
      </c>
      <c r="B434" s="2" t="s">
        <v>562</v>
      </c>
      <c r="C434" s="2" t="s">
        <v>363</v>
      </c>
      <c r="D434" s="2" t="s">
        <v>2954</v>
      </c>
      <c r="E434" s="5">
        <v>45247</v>
      </c>
      <c r="F434" s="2" t="s">
        <v>2954</v>
      </c>
      <c r="G434" s="2" t="s">
        <v>12</v>
      </c>
      <c r="H434" s="2" t="s">
        <v>23</v>
      </c>
      <c r="I434" s="6">
        <v>0.16</v>
      </c>
      <c r="J434" s="2" t="str">
        <f t="shared" si="6"/>
        <v>2023-11</v>
      </c>
    </row>
    <row r="435" spans="1:10" x14ac:dyDescent="0.2">
      <c r="A435" s="2" t="s">
        <v>563</v>
      </c>
      <c r="B435" s="2" t="s">
        <v>229</v>
      </c>
      <c r="C435" s="2" t="s">
        <v>142</v>
      </c>
      <c r="D435" s="2" t="s">
        <v>2954</v>
      </c>
      <c r="E435" s="5">
        <v>45247</v>
      </c>
      <c r="F435" s="2">
        <v>40</v>
      </c>
      <c r="G435" s="2" t="s">
        <v>41</v>
      </c>
      <c r="H435" s="2" t="s">
        <v>23</v>
      </c>
      <c r="I435" s="6">
        <v>1</v>
      </c>
      <c r="J435" s="2" t="str">
        <f t="shared" si="6"/>
        <v>2023-11</v>
      </c>
    </row>
    <row r="436" spans="1:10" x14ac:dyDescent="0.2">
      <c r="A436" s="2" t="s">
        <v>564</v>
      </c>
      <c r="B436" s="2" t="s">
        <v>54</v>
      </c>
      <c r="C436" s="2" t="s">
        <v>16</v>
      </c>
      <c r="D436" s="2" t="s">
        <v>2954</v>
      </c>
      <c r="E436" s="5">
        <v>45247</v>
      </c>
      <c r="F436" s="2" t="s">
        <v>2954</v>
      </c>
      <c r="G436" s="2" t="s">
        <v>12</v>
      </c>
      <c r="H436" s="2" t="s">
        <v>55</v>
      </c>
      <c r="I436" s="6" t="s">
        <v>2954</v>
      </c>
      <c r="J436" s="2" t="str">
        <f t="shared" si="6"/>
        <v>2023-11</v>
      </c>
    </row>
    <row r="437" spans="1:10" x14ac:dyDescent="0.2">
      <c r="A437" s="2" t="s">
        <v>565</v>
      </c>
      <c r="B437" s="2" t="s">
        <v>284</v>
      </c>
      <c r="C437" s="2" t="s">
        <v>135</v>
      </c>
      <c r="D437" s="2">
        <v>115</v>
      </c>
      <c r="E437" s="5">
        <v>45246</v>
      </c>
      <c r="F437" s="2">
        <v>1700</v>
      </c>
      <c r="G437" s="2" t="s">
        <v>37</v>
      </c>
      <c r="H437" s="2" t="s">
        <v>23</v>
      </c>
      <c r="I437" s="6" t="s">
        <v>2954</v>
      </c>
      <c r="J437" s="2" t="str">
        <f t="shared" si="6"/>
        <v>2023-11</v>
      </c>
    </row>
    <row r="438" spans="1:10" x14ac:dyDescent="0.2">
      <c r="A438" s="2" t="s">
        <v>566</v>
      </c>
      <c r="B438" s="2" t="s">
        <v>203</v>
      </c>
      <c r="C438" s="2" t="s">
        <v>16</v>
      </c>
      <c r="D438" s="2">
        <v>33</v>
      </c>
      <c r="E438" s="5">
        <v>45246</v>
      </c>
      <c r="F438" s="2">
        <v>10</v>
      </c>
      <c r="G438" s="2" t="s">
        <v>45</v>
      </c>
      <c r="H438" s="2" t="s">
        <v>204</v>
      </c>
      <c r="I438" s="6" t="s">
        <v>2954</v>
      </c>
      <c r="J438" s="2" t="str">
        <f t="shared" si="6"/>
        <v>2023-11</v>
      </c>
    </row>
    <row r="439" spans="1:10" x14ac:dyDescent="0.2">
      <c r="A439" s="2" t="s">
        <v>567</v>
      </c>
      <c r="B439" s="2" t="s">
        <v>54</v>
      </c>
      <c r="C439" s="2" t="s">
        <v>68</v>
      </c>
      <c r="D439" s="2" t="s">
        <v>2954</v>
      </c>
      <c r="E439" s="5">
        <v>45246</v>
      </c>
      <c r="F439" s="2">
        <v>223</v>
      </c>
      <c r="G439" s="2" t="s">
        <v>75</v>
      </c>
      <c r="H439" s="2" t="s">
        <v>55</v>
      </c>
      <c r="I439" s="6">
        <v>0.25</v>
      </c>
      <c r="J439" s="2" t="str">
        <f t="shared" si="6"/>
        <v>2023-11</v>
      </c>
    </row>
    <row r="440" spans="1:10" x14ac:dyDescent="0.2">
      <c r="A440" s="2" t="s">
        <v>568</v>
      </c>
      <c r="B440" s="2" t="s">
        <v>25</v>
      </c>
      <c r="C440" s="2" t="s">
        <v>35</v>
      </c>
      <c r="D440" s="2" t="s">
        <v>2954</v>
      </c>
      <c r="E440" s="5">
        <v>45246</v>
      </c>
      <c r="F440" s="2">
        <v>455.2</v>
      </c>
      <c r="G440" s="2" t="s">
        <v>17</v>
      </c>
      <c r="H440" s="2" t="s">
        <v>23</v>
      </c>
      <c r="I440" s="6" t="s">
        <v>2954</v>
      </c>
      <c r="J440" s="2" t="str">
        <f t="shared" si="6"/>
        <v>2023-11</v>
      </c>
    </row>
    <row r="441" spans="1:10" x14ac:dyDescent="0.2">
      <c r="A441" s="2" t="s">
        <v>569</v>
      </c>
      <c r="B441" s="2" t="s">
        <v>570</v>
      </c>
      <c r="C441" s="2" t="s">
        <v>16</v>
      </c>
      <c r="D441" s="2" t="s">
        <v>2954</v>
      </c>
      <c r="E441" s="5">
        <v>45245</v>
      </c>
      <c r="F441" s="2">
        <v>91</v>
      </c>
      <c r="G441" s="2" t="s">
        <v>37</v>
      </c>
      <c r="H441" s="2" t="s">
        <v>571</v>
      </c>
      <c r="I441" s="6" t="s">
        <v>2954</v>
      </c>
      <c r="J441" s="2" t="str">
        <f t="shared" si="6"/>
        <v>2023-11</v>
      </c>
    </row>
    <row r="442" spans="1:10" x14ac:dyDescent="0.2">
      <c r="A442" s="2" t="s">
        <v>572</v>
      </c>
      <c r="B442" s="2" t="s">
        <v>335</v>
      </c>
      <c r="C442" s="2" t="s">
        <v>16</v>
      </c>
      <c r="D442" s="2" t="s">
        <v>2954</v>
      </c>
      <c r="E442" s="5">
        <v>45245</v>
      </c>
      <c r="F442" s="2">
        <v>331</v>
      </c>
      <c r="G442" s="2" t="s">
        <v>12</v>
      </c>
      <c r="H442" s="2" t="s">
        <v>106</v>
      </c>
      <c r="I442" s="6">
        <v>0.06</v>
      </c>
      <c r="J442" s="2" t="str">
        <f t="shared" si="6"/>
        <v>2023-11</v>
      </c>
    </row>
    <row r="443" spans="1:10" x14ac:dyDescent="0.2">
      <c r="A443" s="2" t="s">
        <v>573</v>
      </c>
      <c r="B443" s="2" t="s">
        <v>574</v>
      </c>
      <c r="C443" s="2" t="s">
        <v>148</v>
      </c>
      <c r="D443" s="2" t="s">
        <v>2954</v>
      </c>
      <c r="E443" s="5">
        <v>45245</v>
      </c>
      <c r="F443" s="2">
        <v>347</v>
      </c>
      <c r="G443" s="2" t="s">
        <v>66</v>
      </c>
      <c r="H443" s="2" t="s">
        <v>23</v>
      </c>
      <c r="I443" s="6" t="s">
        <v>2954</v>
      </c>
      <c r="J443" s="2" t="str">
        <f t="shared" si="6"/>
        <v>2023-11</v>
      </c>
    </row>
    <row r="444" spans="1:10" x14ac:dyDescent="0.2">
      <c r="A444" s="2" t="s">
        <v>221</v>
      </c>
      <c r="B444" s="2" t="s">
        <v>64</v>
      </c>
      <c r="C444" s="2" t="s">
        <v>32</v>
      </c>
      <c r="D444" s="2" t="s">
        <v>2954</v>
      </c>
      <c r="E444" s="5">
        <v>45245</v>
      </c>
      <c r="F444" s="2">
        <v>176</v>
      </c>
      <c r="G444" s="2" t="s">
        <v>17</v>
      </c>
      <c r="H444" s="2" t="s">
        <v>23</v>
      </c>
      <c r="I444" s="6">
        <v>0.1</v>
      </c>
      <c r="J444" s="2" t="str">
        <f t="shared" si="6"/>
        <v>2023-11</v>
      </c>
    </row>
    <row r="445" spans="1:10" x14ac:dyDescent="0.2">
      <c r="A445" s="2" t="s">
        <v>575</v>
      </c>
      <c r="B445" s="2" t="s">
        <v>414</v>
      </c>
      <c r="C445" s="2" t="s">
        <v>32</v>
      </c>
      <c r="D445" s="2" t="s">
        <v>2954</v>
      </c>
      <c r="E445" s="5">
        <v>45245</v>
      </c>
      <c r="F445" s="2" t="s">
        <v>2954</v>
      </c>
      <c r="G445" s="2" t="s">
        <v>12</v>
      </c>
      <c r="H445" s="2" t="s">
        <v>23</v>
      </c>
      <c r="I445" s="6">
        <v>1</v>
      </c>
      <c r="J445" s="2" t="str">
        <f t="shared" si="6"/>
        <v>2023-11</v>
      </c>
    </row>
    <row r="446" spans="1:10" x14ac:dyDescent="0.2">
      <c r="A446" s="2" t="s">
        <v>576</v>
      </c>
      <c r="B446" s="2" t="s">
        <v>194</v>
      </c>
      <c r="C446" s="2" t="s">
        <v>142</v>
      </c>
      <c r="D446" s="2">
        <v>200</v>
      </c>
      <c r="E446" s="5">
        <v>45244</v>
      </c>
      <c r="F446" s="2">
        <v>451</v>
      </c>
      <c r="G446" s="2" t="s">
        <v>17</v>
      </c>
      <c r="H446" s="2" t="s">
        <v>23</v>
      </c>
      <c r="I446" s="6" t="s">
        <v>2954</v>
      </c>
      <c r="J446" s="2" t="str">
        <f t="shared" si="6"/>
        <v>2023-11</v>
      </c>
    </row>
    <row r="447" spans="1:10" x14ac:dyDescent="0.2">
      <c r="A447" s="2" t="s">
        <v>577</v>
      </c>
      <c r="B447" s="2" t="s">
        <v>92</v>
      </c>
      <c r="C447" s="2" t="s">
        <v>135</v>
      </c>
      <c r="D447" s="2">
        <v>150</v>
      </c>
      <c r="E447" s="5">
        <v>45244</v>
      </c>
      <c r="F447" s="2">
        <v>316</v>
      </c>
      <c r="G447" s="2" t="s">
        <v>17</v>
      </c>
      <c r="H447" s="2" t="s">
        <v>23</v>
      </c>
      <c r="I447" s="6" t="s">
        <v>2954</v>
      </c>
      <c r="J447" s="2" t="str">
        <f t="shared" si="6"/>
        <v>2023-11</v>
      </c>
    </row>
    <row r="448" spans="1:10" x14ac:dyDescent="0.2">
      <c r="A448" s="2" t="s">
        <v>578</v>
      </c>
      <c r="B448" s="2" t="s">
        <v>217</v>
      </c>
      <c r="C448" s="2" t="s">
        <v>22</v>
      </c>
      <c r="D448" s="2">
        <v>50</v>
      </c>
      <c r="E448" s="5">
        <v>45244</v>
      </c>
      <c r="F448" s="2" t="s">
        <v>2954</v>
      </c>
      <c r="G448" s="2" t="s">
        <v>12</v>
      </c>
      <c r="H448" s="2" t="s">
        <v>217</v>
      </c>
      <c r="I448" s="6">
        <v>0.3</v>
      </c>
      <c r="J448" s="2" t="str">
        <f t="shared" si="6"/>
        <v>2023-11</v>
      </c>
    </row>
    <row r="449" spans="1:10" x14ac:dyDescent="0.2">
      <c r="A449" s="2" t="s">
        <v>579</v>
      </c>
      <c r="B449" s="2" t="s">
        <v>398</v>
      </c>
      <c r="C449" s="2" t="s">
        <v>32</v>
      </c>
      <c r="D449" s="2" t="s">
        <v>2954</v>
      </c>
      <c r="E449" s="5">
        <v>45244</v>
      </c>
      <c r="F449" s="2">
        <v>245</v>
      </c>
      <c r="G449" s="2" t="s">
        <v>75</v>
      </c>
      <c r="H449" s="2" t="s">
        <v>98</v>
      </c>
      <c r="I449" s="6" t="s">
        <v>2954</v>
      </c>
      <c r="J449" s="2" t="str">
        <f t="shared" si="6"/>
        <v>2023-11</v>
      </c>
    </row>
    <row r="450" spans="1:10" x14ac:dyDescent="0.2">
      <c r="A450" s="2" t="s">
        <v>580</v>
      </c>
      <c r="B450" s="2" t="s">
        <v>89</v>
      </c>
      <c r="C450" s="2" t="s">
        <v>71</v>
      </c>
      <c r="D450" s="2" t="s">
        <v>2954</v>
      </c>
      <c r="E450" s="5">
        <v>45244</v>
      </c>
      <c r="F450" s="2">
        <v>347</v>
      </c>
      <c r="G450" s="2" t="s">
        <v>17</v>
      </c>
      <c r="H450" s="2" t="s">
        <v>23</v>
      </c>
      <c r="I450" s="6" t="s">
        <v>2954</v>
      </c>
      <c r="J450" s="2" t="str">
        <f t="shared" si="6"/>
        <v>2023-11</v>
      </c>
    </row>
    <row r="451" spans="1:10" x14ac:dyDescent="0.2">
      <c r="A451" s="2" t="s">
        <v>581</v>
      </c>
      <c r="B451" s="2" t="s">
        <v>60</v>
      </c>
      <c r="C451" s="2" t="s">
        <v>195</v>
      </c>
      <c r="D451" s="2" t="s">
        <v>2954</v>
      </c>
      <c r="E451" s="5">
        <v>45244</v>
      </c>
      <c r="F451" s="2">
        <v>128</v>
      </c>
      <c r="G451" s="2" t="s">
        <v>45</v>
      </c>
      <c r="H451" s="2" t="s">
        <v>23</v>
      </c>
      <c r="I451" s="6" t="s">
        <v>2954</v>
      </c>
      <c r="J451" s="2" t="str">
        <f t="shared" ref="J451:J514" si="7">TEXT(E451,"YYYY-MM")</f>
        <v>2023-11</v>
      </c>
    </row>
    <row r="452" spans="1:10" x14ac:dyDescent="0.2">
      <c r="A452" s="2" t="s">
        <v>191</v>
      </c>
      <c r="B452" s="2" t="s">
        <v>28</v>
      </c>
      <c r="C452" s="2" t="s">
        <v>142</v>
      </c>
      <c r="D452" s="2">
        <v>180</v>
      </c>
      <c r="E452" s="5">
        <v>45243</v>
      </c>
      <c r="F452" s="2">
        <v>108</v>
      </c>
      <c r="G452" s="2" t="s">
        <v>17</v>
      </c>
      <c r="H452" s="2" t="s">
        <v>23</v>
      </c>
      <c r="I452" s="6" t="s">
        <v>2954</v>
      </c>
      <c r="J452" s="2" t="str">
        <f t="shared" si="7"/>
        <v>2023-11</v>
      </c>
    </row>
    <row r="453" spans="1:10" x14ac:dyDescent="0.2">
      <c r="A453" s="2" t="s">
        <v>582</v>
      </c>
      <c r="B453" s="2" t="s">
        <v>89</v>
      </c>
      <c r="C453" s="2" t="s">
        <v>44</v>
      </c>
      <c r="D453" s="2">
        <v>125</v>
      </c>
      <c r="E453" s="5">
        <v>45242</v>
      </c>
      <c r="F453" s="2">
        <v>3</v>
      </c>
      <c r="G453" s="2" t="s">
        <v>17</v>
      </c>
      <c r="H453" s="2" t="s">
        <v>23</v>
      </c>
      <c r="I453" s="6">
        <v>0.04</v>
      </c>
      <c r="J453" s="2" t="str">
        <f t="shared" si="7"/>
        <v>2023-11</v>
      </c>
    </row>
    <row r="454" spans="1:10" x14ac:dyDescent="0.2">
      <c r="A454" s="2" t="s">
        <v>583</v>
      </c>
      <c r="B454" s="2" t="s">
        <v>25</v>
      </c>
      <c r="C454" s="2" t="s">
        <v>11</v>
      </c>
      <c r="D454" s="2" t="s">
        <v>2954</v>
      </c>
      <c r="E454" s="5">
        <v>45240</v>
      </c>
      <c r="F454" s="2">
        <v>626</v>
      </c>
      <c r="G454" s="2" t="s">
        <v>12</v>
      </c>
      <c r="H454" s="2" t="s">
        <v>23</v>
      </c>
      <c r="I454" s="6" t="s">
        <v>2954</v>
      </c>
      <c r="J454" s="2" t="str">
        <f t="shared" si="7"/>
        <v>2023-11</v>
      </c>
    </row>
    <row r="455" spans="1:10" x14ac:dyDescent="0.2">
      <c r="A455" s="2" t="s">
        <v>584</v>
      </c>
      <c r="B455" s="2" t="s">
        <v>34</v>
      </c>
      <c r="C455" s="2" t="s">
        <v>68</v>
      </c>
      <c r="D455" s="2" t="s">
        <v>2954</v>
      </c>
      <c r="E455" s="5">
        <v>45239</v>
      </c>
      <c r="F455" s="2">
        <v>1100</v>
      </c>
      <c r="G455" s="2" t="s">
        <v>58</v>
      </c>
      <c r="H455" s="2" t="s">
        <v>23</v>
      </c>
      <c r="I455" s="6" t="s">
        <v>2954</v>
      </c>
      <c r="J455" s="2" t="str">
        <f t="shared" si="7"/>
        <v>2023-11</v>
      </c>
    </row>
    <row r="456" spans="1:10" x14ac:dyDescent="0.2">
      <c r="A456" s="2" t="s">
        <v>585</v>
      </c>
      <c r="B456" s="2" t="s">
        <v>34</v>
      </c>
      <c r="C456" s="2" t="s">
        <v>32</v>
      </c>
      <c r="D456" s="2" t="s">
        <v>2954</v>
      </c>
      <c r="E456" s="5">
        <v>45239</v>
      </c>
      <c r="F456" s="2">
        <v>1900</v>
      </c>
      <c r="G456" s="2" t="s">
        <v>12</v>
      </c>
      <c r="H456" s="2" t="s">
        <v>23</v>
      </c>
      <c r="I456" s="6" t="s">
        <v>2954</v>
      </c>
      <c r="J456" s="2" t="str">
        <f t="shared" si="7"/>
        <v>2023-11</v>
      </c>
    </row>
    <row r="457" spans="1:10" x14ac:dyDescent="0.2">
      <c r="A457" s="2" t="s">
        <v>586</v>
      </c>
      <c r="B457" s="2" t="s">
        <v>100</v>
      </c>
      <c r="C457" s="2" t="s">
        <v>29</v>
      </c>
      <c r="D457" s="2" t="s">
        <v>2954</v>
      </c>
      <c r="E457" s="5">
        <v>45239</v>
      </c>
      <c r="F457" s="2">
        <v>7</v>
      </c>
      <c r="G457" s="2" t="s">
        <v>132</v>
      </c>
      <c r="H457" s="2" t="s">
        <v>98</v>
      </c>
      <c r="I457" s="6">
        <v>1</v>
      </c>
      <c r="J457" s="2" t="str">
        <f t="shared" si="7"/>
        <v>2023-11</v>
      </c>
    </row>
    <row r="458" spans="1:10" x14ac:dyDescent="0.2">
      <c r="A458" s="2" t="s">
        <v>324</v>
      </c>
      <c r="B458" s="2" t="s">
        <v>47</v>
      </c>
      <c r="C458" s="2" t="s">
        <v>35</v>
      </c>
      <c r="D458" s="2">
        <v>20</v>
      </c>
      <c r="E458" s="5">
        <v>45238</v>
      </c>
      <c r="F458" s="2">
        <v>4900</v>
      </c>
      <c r="G458" s="2" t="s">
        <v>17</v>
      </c>
      <c r="H458" s="2" t="s">
        <v>23</v>
      </c>
      <c r="I458" s="6" t="s">
        <v>2954</v>
      </c>
      <c r="J458" s="2" t="str">
        <f t="shared" si="7"/>
        <v>2023-11</v>
      </c>
    </row>
    <row r="459" spans="1:10" x14ac:dyDescent="0.2">
      <c r="A459" s="2" t="s">
        <v>191</v>
      </c>
      <c r="B459" s="2" t="s">
        <v>28</v>
      </c>
      <c r="C459" s="2" t="s">
        <v>142</v>
      </c>
      <c r="D459" s="2" t="s">
        <v>2954</v>
      </c>
      <c r="E459" s="5">
        <v>45238</v>
      </c>
      <c r="F459" s="2">
        <v>108</v>
      </c>
      <c r="G459" s="2" t="s">
        <v>17</v>
      </c>
      <c r="H459" s="2" t="s">
        <v>23</v>
      </c>
      <c r="I459" s="6" t="s">
        <v>2954</v>
      </c>
      <c r="J459" s="2" t="str">
        <f t="shared" si="7"/>
        <v>2023-11</v>
      </c>
    </row>
    <row r="460" spans="1:10" x14ac:dyDescent="0.2">
      <c r="A460" s="2" t="s">
        <v>587</v>
      </c>
      <c r="B460" s="2" t="s">
        <v>86</v>
      </c>
      <c r="C460" s="2" t="s">
        <v>142</v>
      </c>
      <c r="D460" s="2" t="s">
        <v>2954</v>
      </c>
      <c r="E460" s="5">
        <v>45238</v>
      </c>
      <c r="F460" s="2">
        <v>224</v>
      </c>
      <c r="G460" s="2" t="s">
        <v>17</v>
      </c>
      <c r="H460" s="2" t="s">
        <v>23</v>
      </c>
      <c r="I460" s="6">
        <v>7.0000000000000007E-2</v>
      </c>
      <c r="J460" s="2" t="str">
        <f t="shared" si="7"/>
        <v>2023-11</v>
      </c>
    </row>
    <row r="461" spans="1:10" x14ac:dyDescent="0.2">
      <c r="A461" s="2" t="s">
        <v>588</v>
      </c>
      <c r="B461" s="2" t="s">
        <v>47</v>
      </c>
      <c r="C461" s="2" t="s">
        <v>148</v>
      </c>
      <c r="D461" s="2" t="s">
        <v>2954</v>
      </c>
      <c r="E461" s="5">
        <v>45238</v>
      </c>
      <c r="F461" s="2">
        <v>1300</v>
      </c>
      <c r="G461" s="2" t="s">
        <v>12</v>
      </c>
      <c r="H461" s="2" t="s">
        <v>23</v>
      </c>
      <c r="I461" s="6" t="s">
        <v>2954</v>
      </c>
      <c r="J461" s="2" t="str">
        <f t="shared" si="7"/>
        <v>2023-11</v>
      </c>
    </row>
    <row r="462" spans="1:10" x14ac:dyDescent="0.2">
      <c r="A462" s="2" t="s">
        <v>33</v>
      </c>
      <c r="B462" s="2" t="s">
        <v>34</v>
      </c>
      <c r="C462" s="2" t="s">
        <v>35</v>
      </c>
      <c r="D462" s="2" t="s">
        <v>2954</v>
      </c>
      <c r="E462" s="5">
        <v>45238</v>
      </c>
      <c r="F462" s="2">
        <v>26</v>
      </c>
      <c r="G462" s="2" t="s">
        <v>17</v>
      </c>
      <c r="H462" s="2" t="s">
        <v>23</v>
      </c>
      <c r="I462" s="6" t="s">
        <v>2954</v>
      </c>
      <c r="J462" s="2" t="str">
        <f t="shared" si="7"/>
        <v>2023-11</v>
      </c>
    </row>
    <row r="463" spans="1:10" x14ac:dyDescent="0.2">
      <c r="A463" s="2" t="s">
        <v>589</v>
      </c>
      <c r="B463" s="2" t="s">
        <v>34</v>
      </c>
      <c r="C463" s="2" t="s">
        <v>16</v>
      </c>
      <c r="D463" s="2">
        <v>185</v>
      </c>
      <c r="E463" s="5">
        <v>45237</v>
      </c>
      <c r="F463" s="2">
        <v>766</v>
      </c>
      <c r="G463" s="2" t="s">
        <v>17</v>
      </c>
      <c r="H463" s="2" t="s">
        <v>23</v>
      </c>
      <c r="I463" s="6">
        <v>7.0000000000000007E-2</v>
      </c>
      <c r="J463" s="2" t="str">
        <f t="shared" si="7"/>
        <v>2023-11</v>
      </c>
    </row>
    <row r="464" spans="1:10" x14ac:dyDescent="0.2">
      <c r="A464" s="2" t="s">
        <v>590</v>
      </c>
      <c r="B464" s="2" t="s">
        <v>28</v>
      </c>
      <c r="C464" s="2" t="s">
        <v>148</v>
      </c>
      <c r="D464" s="2">
        <v>23</v>
      </c>
      <c r="E464" s="5">
        <v>45237</v>
      </c>
      <c r="F464" s="2">
        <v>97</v>
      </c>
      <c r="G464" s="2" t="s">
        <v>17</v>
      </c>
      <c r="H464" s="2" t="s">
        <v>23</v>
      </c>
      <c r="I464" s="6" t="s">
        <v>2954</v>
      </c>
      <c r="J464" s="2" t="str">
        <f t="shared" si="7"/>
        <v>2023-11</v>
      </c>
    </row>
    <row r="465" spans="1:10" x14ac:dyDescent="0.2">
      <c r="A465" s="2" t="s">
        <v>591</v>
      </c>
      <c r="B465" s="2" t="s">
        <v>34</v>
      </c>
      <c r="C465" s="2" t="s">
        <v>35</v>
      </c>
      <c r="D465" s="2" t="s">
        <v>2954</v>
      </c>
      <c r="E465" s="5">
        <v>45237</v>
      </c>
      <c r="F465" s="2">
        <v>736</v>
      </c>
      <c r="G465" s="2" t="s">
        <v>17</v>
      </c>
      <c r="H465" s="2" t="s">
        <v>23</v>
      </c>
      <c r="I465" s="6">
        <v>0.25</v>
      </c>
      <c r="J465" s="2" t="str">
        <f t="shared" si="7"/>
        <v>2023-11</v>
      </c>
    </row>
    <row r="466" spans="1:10" x14ac:dyDescent="0.2">
      <c r="A466" s="2" t="s">
        <v>592</v>
      </c>
      <c r="B466" s="2" t="s">
        <v>34</v>
      </c>
      <c r="C466" s="2" t="s">
        <v>148</v>
      </c>
      <c r="D466" s="2" t="s">
        <v>2954</v>
      </c>
      <c r="E466" s="5">
        <v>45237</v>
      </c>
      <c r="F466" s="2">
        <v>151</v>
      </c>
      <c r="G466" s="2" t="s">
        <v>66</v>
      </c>
      <c r="H466" s="2" t="s">
        <v>23</v>
      </c>
      <c r="I466" s="6">
        <v>1</v>
      </c>
      <c r="J466" s="2" t="str">
        <f t="shared" si="7"/>
        <v>2023-11</v>
      </c>
    </row>
    <row r="467" spans="1:10" x14ac:dyDescent="0.2">
      <c r="A467" s="2" t="s">
        <v>593</v>
      </c>
      <c r="B467" s="2" t="s">
        <v>25</v>
      </c>
      <c r="C467" s="2" t="s">
        <v>22</v>
      </c>
      <c r="D467" s="2" t="s">
        <v>2954</v>
      </c>
      <c r="E467" s="5">
        <v>45236</v>
      </c>
      <c r="F467" s="2">
        <v>640</v>
      </c>
      <c r="G467" s="2" t="s">
        <v>12</v>
      </c>
      <c r="H467" s="2" t="s">
        <v>23</v>
      </c>
      <c r="I467" s="6">
        <v>0.12</v>
      </c>
      <c r="J467" s="2" t="str">
        <f t="shared" si="7"/>
        <v>2023-11</v>
      </c>
    </row>
    <row r="468" spans="1:10" x14ac:dyDescent="0.2">
      <c r="A468" s="2" t="s">
        <v>146</v>
      </c>
      <c r="B468" s="2" t="s">
        <v>147</v>
      </c>
      <c r="C468" s="2" t="s">
        <v>148</v>
      </c>
      <c r="D468" s="2" t="s">
        <v>2954</v>
      </c>
      <c r="E468" s="5">
        <v>45236</v>
      </c>
      <c r="F468" s="2">
        <v>35</v>
      </c>
      <c r="G468" s="2" t="s">
        <v>37</v>
      </c>
      <c r="H468" s="2" t="s">
        <v>23</v>
      </c>
      <c r="I468" s="6" t="s">
        <v>2954</v>
      </c>
      <c r="J468" s="2" t="str">
        <f t="shared" si="7"/>
        <v>2023-11</v>
      </c>
    </row>
    <row r="469" spans="1:10" x14ac:dyDescent="0.2">
      <c r="A469" s="2" t="s">
        <v>594</v>
      </c>
      <c r="B469" s="2" t="s">
        <v>595</v>
      </c>
      <c r="C469" s="2" t="s">
        <v>103</v>
      </c>
      <c r="D469" s="2" t="s">
        <v>2954</v>
      </c>
      <c r="E469" s="5">
        <v>45236</v>
      </c>
      <c r="F469" s="2" t="s">
        <v>2954</v>
      </c>
      <c r="G469" s="2" t="s">
        <v>37</v>
      </c>
      <c r="H469" s="2" t="s">
        <v>224</v>
      </c>
      <c r="I469" s="6" t="s">
        <v>2954</v>
      </c>
      <c r="J469" s="2" t="str">
        <f t="shared" si="7"/>
        <v>2023-11</v>
      </c>
    </row>
    <row r="470" spans="1:10" x14ac:dyDescent="0.2">
      <c r="A470" s="2" t="s">
        <v>596</v>
      </c>
      <c r="B470" s="2" t="s">
        <v>34</v>
      </c>
      <c r="C470" s="2" t="s">
        <v>29</v>
      </c>
      <c r="D470" s="2" t="s">
        <v>2954</v>
      </c>
      <c r="E470" s="5">
        <v>45236</v>
      </c>
      <c r="F470" s="2">
        <v>62</v>
      </c>
      <c r="G470" s="2" t="s">
        <v>45</v>
      </c>
      <c r="H470" s="2" t="s">
        <v>23</v>
      </c>
      <c r="I470" s="6" t="s">
        <v>2954</v>
      </c>
      <c r="J470" s="2" t="str">
        <f t="shared" si="7"/>
        <v>2023-11</v>
      </c>
    </row>
    <row r="471" spans="1:10" x14ac:dyDescent="0.2">
      <c r="A471" s="2" t="s">
        <v>597</v>
      </c>
      <c r="B471" s="2" t="s">
        <v>28</v>
      </c>
      <c r="C471" s="2" t="s">
        <v>195</v>
      </c>
      <c r="D471" s="2">
        <v>120</v>
      </c>
      <c r="E471" s="5">
        <v>45233</v>
      </c>
      <c r="F471" s="2" t="s">
        <v>2954</v>
      </c>
      <c r="G471" s="2" t="s">
        <v>17</v>
      </c>
      <c r="H471" s="2" t="s">
        <v>23</v>
      </c>
      <c r="I471" s="6">
        <v>0.02</v>
      </c>
      <c r="J471" s="2" t="str">
        <f t="shared" si="7"/>
        <v>2023-11</v>
      </c>
    </row>
    <row r="472" spans="1:10" x14ac:dyDescent="0.2">
      <c r="A472" s="2" t="s">
        <v>598</v>
      </c>
      <c r="B472" s="2" t="s">
        <v>493</v>
      </c>
      <c r="C472" s="2" t="s">
        <v>52</v>
      </c>
      <c r="D472" s="2" t="s">
        <v>2954</v>
      </c>
      <c r="E472" s="5">
        <v>45233</v>
      </c>
      <c r="F472" s="2">
        <v>7200</v>
      </c>
      <c r="G472" s="2" t="s">
        <v>17</v>
      </c>
      <c r="H472" s="2" t="s">
        <v>224</v>
      </c>
      <c r="I472" s="6">
        <v>0.1</v>
      </c>
      <c r="J472" s="2" t="str">
        <f t="shared" si="7"/>
        <v>2023-11</v>
      </c>
    </row>
    <row r="473" spans="1:10" x14ac:dyDescent="0.2">
      <c r="A473" s="2" t="s">
        <v>599</v>
      </c>
      <c r="B473" s="2" t="s">
        <v>25</v>
      </c>
      <c r="C473" s="2" t="s">
        <v>22</v>
      </c>
      <c r="D473" s="2" t="s">
        <v>2954</v>
      </c>
      <c r="E473" s="5">
        <v>45233</v>
      </c>
      <c r="F473" s="2">
        <v>427</v>
      </c>
      <c r="G473" s="2" t="s">
        <v>66</v>
      </c>
      <c r="H473" s="2" t="s">
        <v>23</v>
      </c>
      <c r="I473" s="6">
        <v>0.5</v>
      </c>
      <c r="J473" s="2" t="str">
        <f t="shared" si="7"/>
        <v>2023-11</v>
      </c>
    </row>
    <row r="474" spans="1:10" x14ac:dyDescent="0.2">
      <c r="A474" s="2" t="s">
        <v>600</v>
      </c>
      <c r="B474" s="2" t="s">
        <v>64</v>
      </c>
      <c r="C474" s="2" t="s">
        <v>29</v>
      </c>
      <c r="D474" s="2">
        <v>800</v>
      </c>
      <c r="E474" s="5">
        <v>45232</v>
      </c>
      <c r="F474" s="2">
        <v>366</v>
      </c>
      <c r="G474" s="2" t="s">
        <v>17</v>
      </c>
      <c r="H474" s="2" t="s">
        <v>23</v>
      </c>
      <c r="I474" s="6">
        <v>0.1</v>
      </c>
      <c r="J474" s="2" t="str">
        <f t="shared" si="7"/>
        <v>2023-11</v>
      </c>
    </row>
    <row r="475" spans="1:10" x14ac:dyDescent="0.2">
      <c r="A475" s="2" t="s">
        <v>601</v>
      </c>
      <c r="B475" s="2" t="s">
        <v>47</v>
      </c>
      <c r="C475" s="2" t="s">
        <v>11</v>
      </c>
      <c r="D475" s="2">
        <v>65</v>
      </c>
      <c r="E475" s="5">
        <v>45232</v>
      </c>
      <c r="F475" s="2">
        <v>122</v>
      </c>
      <c r="G475" s="2" t="s">
        <v>17</v>
      </c>
      <c r="H475" s="2" t="s">
        <v>23</v>
      </c>
      <c r="I475" s="6">
        <v>0.08</v>
      </c>
      <c r="J475" s="2" t="str">
        <f t="shared" si="7"/>
        <v>2023-11</v>
      </c>
    </row>
    <row r="476" spans="1:10" x14ac:dyDescent="0.2">
      <c r="A476" s="2" t="s">
        <v>602</v>
      </c>
      <c r="B476" s="2" t="s">
        <v>34</v>
      </c>
      <c r="C476" s="2" t="s">
        <v>363</v>
      </c>
      <c r="D476" s="2" t="s">
        <v>2954</v>
      </c>
      <c r="E476" s="5">
        <v>45232</v>
      </c>
      <c r="F476" s="2">
        <v>200</v>
      </c>
      <c r="G476" s="2" t="s">
        <v>75</v>
      </c>
      <c r="H476" s="2" t="s">
        <v>23</v>
      </c>
      <c r="I476" s="6" t="s">
        <v>2954</v>
      </c>
      <c r="J476" s="2" t="str">
        <f t="shared" si="7"/>
        <v>2023-11</v>
      </c>
    </row>
    <row r="477" spans="1:10" x14ac:dyDescent="0.2">
      <c r="A477" s="2" t="s">
        <v>603</v>
      </c>
      <c r="B477" s="2" t="s">
        <v>25</v>
      </c>
      <c r="C477" s="2" t="s">
        <v>148</v>
      </c>
      <c r="D477" s="2" t="s">
        <v>2954</v>
      </c>
      <c r="E477" s="5">
        <v>45232</v>
      </c>
      <c r="F477" s="2">
        <v>472</v>
      </c>
      <c r="G477" s="2" t="s">
        <v>75</v>
      </c>
      <c r="H477" s="2" t="s">
        <v>23</v>
      </c>
      <c r="I477" s="6" t="s">
        <v>2954</v>
      </c>
      <c r="J477" s="2" t="str">
        <f t="shared" si="7"/>
        <v>2023-11</v>
      </c>
    </row>
    <row r="478" spans="1:10" x14ac:dyDescent="0.2">
      <c r="A478" s="2" t="s">
        <v>604</v>
      </c>
      <c r="B478" s="2" t="s">
        <v>605</v>
      </c>
      <c r="C478" s="2" t="s">
        <v>243</v>
      </c>
      <c r="D478" s="2" t="s">
        <v>2954</v>
      </c>
      <c r="E478" s="5">
        <v>45232</v>
      </c>
      <c r="F478" s="2">
        <v>84</v>
      </c>
      <c r="G478" s="2" t="s">
        <v>17</v>
      </c>
      <c r="H478" s="2" t="s">
        <v>606</v>
      </c>
      <c r="I478" s="6">
        <v>0.1</v>
      </c>
      <c r="J478" s="2" t="str">
        <f t="shared" si="7"/>
        <v>2023-11</v>
      </c>
    </row>
    <row r="479" spans="1:10" x14ac:dyDescent="0.2">
      <c r="A479" s="2" t="s">
        <v>607</v>
      </c>
      <c r="B479" s="2" t="s">
        <v>34</v>
      </c>
      <c r="C479" s="2" t="s">
        <v>243</v>
      </c>
      <c r="D479" s="2">
        <v>545</v>
      </c>
      <c r="E479" s="5">
        <v>45231</v>
      </c>
      <c r="F479" s="2" t="s">
        <v>2954</v>
      </c>
      <c r="G479" s="2" t="s">
        <v>17</v>
      </c>
      <c r="H479" s="2" t="s">
        <v>23</v>
      </c>
      <c r="I479" s="6">
        <v>0.1</v>
      </c>
      <c r="J479" s="2" t="str">
        <f t="shared" si="7"/>
        <v>2023-11</v>
      </c>
    </row>
    <row r="480" spans="1:10" x14ac:dyDescent="0.2">
      <c r="A480" s="2" t="s">
        <v>608</v>
      </c>
      <c r="B480" s="2" t="s">
        <v>34</v>
      </c>
      <c r="C480" s="2" t="s">
        <v>243</v>
      </c>
      <c r="D480" s="2">
        <v>500</v>
      </c>
      <c r="E480" s="5">
        <v>45231</v>
      </c>
      <c r="F480" s="2">
        <v>2400</v>
      </c>
      <c r="G480" s="2" t="s">
        <v>17</v>
      </c>
      <c r="H480" s="2" t="s">
        <v>23</v>
      </c>
      <c r="I480" s="6">
        <v>7.0000000000000007E-2</v>
      </c>
      <c r="J480" s="2" t="str">
        <f t="shared" si="7"/>
        <v>2023-11</v>
      </c>
    </row>
    <row r="481" spans="1:10" x14ac:dyDescent="0.2">
      <c r="A481" s="2" t="s">
        <v>609</v>
      </c>
      <c r="B481" s="2" t="s">
        <v>34</v>
      </c>
      <c r="C481" s="2" t="s">
        <v>142</v>
      </c>
      <c r="D481" s="2">
        <v>250</v>
      </c>
      <c r="E481" s="5">
        <v>45231</v>
      </c>
      <c r="F481" s="2">
        <v>1700</v>
      </c>
      <c r="G481" s="2" t="s">
        <v>58</v>
      </c>
      <c r="H481" s="2" t="s">
        <v>23</v>
      </c>
      <c r="I481" s="6">
        <v>0.2</v>
      </c>
      <c r="J481" s="2" t="str">
        <f t="shared" si="7"/>
        <v>2023-11</v>
      </c>
    </row>
    <row r="482" spans="1:10" x14ac:dyDescent="0.2">
      <c r="A482" s="2" t="s">
        <v>610</v>
      </c>
      <c r="B482" s="2" t="s">
        <v>86</v>
      </c>
      <c r="C482" s="2" t="s">
        <v>68</v>
      </c>
      <c r="D482" s="2">
        <v>73</v>
      </c>
      <c r="E482" s="5">
        <v>45231</v>
      </c>
      <c r="F482" s="2">
        <v>106</v>
      </c>
      <c r="G482" s="2" t="s">
        <v>37</v>
      </c>
      <c r="H482" s="2" t="s">
        <v>23</v>
      </c>
      <c r="I482" s="6">
        <v>0.5</v>
      </c>
      <c r="J482" s="2" t="str">
        <f t="shared" si="7"/>
        <v>2023-11</v>
      </c>
    </row>
    <row r="483" spans="1:10" x14ac:dyDescent="0.2">
      <c r="A483" s="2" t="s">
        <v>611</v>
      </c>
      <c r="B483" s="2" t="s">
        <v>414</v>
      </c>
      <c r="C483" s="2" t="s">
        <v>32</v>
      </c>
      <c r="D483" s="2" t="s">
        <v>2954</v>
      </c>
      <c r="E483" s="5">
        <v>45230</v>
      </c>
      <c r="F483" s="2">
        <v>856</v>
      </c>
      <c r="G483" s="2" t="s">
        <v>81</v>
      </c>
      <c r="H483" s="2" t="s">
        <v>23</v>
      </c>
      <c r="I483" s="6">
        <v>1</v>
      </c>
      <c r="J483" s="2" t="str">
        <f t="shared" si="7"/>
        <v>2023-10</v>
      </c>
    </row>
    <row r="484" spans="1:10" x14ac:dyDescent="0.2">
      <c r="A484" s="2" t="s">
        <v>612</v>
      </c>
      <c r="B484" s="2" t="s">
        <v>74</v>
      </c>
      <c r="C484" s="2" t="s">
        <v>84</v>
      </c>
      <c r="D484" s="2">
        <v>215</v>
      </c>
      <c r="E484" s="5">
        <v>45229</v>
      </c>
      <c r="F484" s="2" t="s">
        <v>2954</v>
      </c>
      <c r="G484" s="2" t="s">
        <v>45</v>
      </c>
      <c r="H484" s="2" t="s">
        <v>76</v>
      </c>
      <c r="I484" s="6">
        <v>0.05</v>
      </c>
      <c r="J484" s="2" t="str">
        <f t="shared" si="7"/>
        <v>2023-10</v>
      </c>
    </row>
    <row r="485" spans="1:10" x14ac:dyDescent="0.2">
      <c r="A485" s="2" t="s">
        <v>613</v>
      </c>
      <c r="B485" s="2" t="s">
        <v>34</v>
      </c>
      <c r="C485" s="2" t="s">
        <v>29</v>
      </c>
      <c r="D485" s="2">
        <v>50</v>
      </c>
      <c r="E485" s="5">
        <v>45229</v>
      </c>
      <c r="F485" s="2">
        <v>153</v>
      </c>
      <c r="G485" s="2" t="s">
        <v>37</v>
      </c>
      <c r="H485" s="2" t="s">
        <v>23</v>
      </c>
      <c r="I485" s="6" t="s">
        <v>2954</v>
      </c>
      <c r="J485" s="2" t="str">
        <f t="shared" si="7"/>
        <v>2023-10</v>
      </c>
    </row>
    <row r="486" spans="1:10" x14ac:dyDescent="0.2">
      <c r="A486" s="2" t="s">
        <v>614</v>
      </c>
      <c r="B486" s="2" t="s">
        <v>47</v>
      </c>
      <c r="C486" s="2" t="s">
        <v>16</v>
      </c>
      <c r="D486" s="2" t="s">
        <v>2954</v>
      </c>
      <c r="E486" s="5">
        <v>45226</v>
      </c>
      <c r="F486" s="2">
        <v>116</v>
      </c>
      <c r="G486" s="2" t="s">
        <v>37</v>
      </c>
      <c r="H486" s="2" t="s">
        <v>23</v>
      </c>
      <c r="I486" s="6" t="s">
        <v>2954</v>
      </c>
      <c r="J486" s="2" t="str">
        <f t="shared" si="7"/>
        <v>2023-10</v>
      </c>
    </row>
    <row r="487" spans="1:10" x14ac:dyDescent="0.2">
      <c r="A487" s="2" t="s">
        <v>615</v>
      </c>
      <c r="B487" s="2" t="s">
        <v>34</v>
      </c>
      <c r="C487" s="2" t="s">
        <v>16</v>
      </c>
      <c r="D487" s="2">
        <v>120</v>
      </c>
      <c r="E487" s="5">
        <v>45225</v>
      </c>
      <c r="F487" s="2">
        <v>1300</v>
      </c>
      <c r="G487" s="2" t="s">
        <v>17</v>
      </c>
      <c r="H487" s="2" t="s">
        <v>23</v>
      </c>
      <c r="I487" s="6">
        <v>0.2</v>
      </c>
      <c r="J487" s="2" t="str">
        <f t="shared" si="7"/>
        <v>2023-10</v>
      </c>
    </row>
    <row r="488" spans="1:10" x14ac:dyDescent="0.2">
      <c r="A488" s="2" t="s">
        <v>616</v>
      </c>
      <c r="B488" s="2" t="s">
        <v>100</v>
      </c>
      <c r="C488" s="2" t="s">
        <v>61</v>
      </c>
      <c r="D488" s="2">
        <v>50</v>
      </c>
      <c r="E488" s="5">
        <v>45225</v>
      </c>
      <c r="F488" s="2" t="s">
        <v>2954</v>
      </c>
      <c r="G488" s="2" t="s">
        <v>214</v>
      </c>
      <c r="H488" s="2" t="s">
        <v>98</v>
      </c>
      <c r="I488" s="6">
        <v>0.2</v>
      </c>
      <c r="J488" s="2" t="str">
        <f t="shared" si="7"/>
        <v>2023-10</v>
      </c>
    </row>
    <row r="489" spans="1:10" x14ac:dyDescent="0.2">
      <c r="A489" s="2" t="s">
        <v>617</v>
      </c>
      <c r="B489" s="2" t="s">
        <v>89</v>
      </c>
      <c r="C489" s="2" t="s">
        <v>142</v>
      </c>
      <c r="D489" s="2">
        <v>110</v>
      </c>
      <c r="E489" s="5">
        <v>45224</v>
      </c>
      <c r="F489" s="2">
        <v>453</v>
      </c>
      <c r="G489" s="2" t="s">
        <v>12</v>
      </c>
      <c r="H489" s="2" t="s">
        <v>23</v>
      </c>
      <c r="I489" s="6" t="s">
        <v>2954</v>
      </c>
      <c r="J489" s="2" t="str">
        <f t="shared" si="7"/>
        <v>2023-10</v>
      </c>
    </row>
    <row r="490" spans="1:10" x14ac:dyDescent="0.2">
      <c r="A490" s="2" t="s">
        <v>618</v>
      </c>
      <c r="B490" s="2" t="s">
        <v>619</v>
      </c>
      <c r="C490" s="2" t="s">
        <v>195</v>
      </c>
      <c r="D490" s="2">
        <v>70</v>
      </c>
      <c r="E490" s="5">
        <v>45224</v>
      </c>
      <c r="F490" s="2" t="s">
        <v>2954</v>
      </c>
      <c r="G490" s="2" t="s">
        <v>17</v>
      </c>
      <c r="H490" s="2" t="s">
        <v>321</v>
      </c>
      <c r="I490" s="6" t="s">
        <v>2954</v>
      </c>
      <c r="J490" s="2" t="str">
        <f t="shared" si="7"/>
        <v>2023-10</v>
      </c>
    </row>
    <row r="491" spans="1:10" x14ac:dyDescent="0.2">
      <c r="A491" s="2" t="s">
        <v>620</v>
      </c>
      <c r="B491" s="2" t="s">
        <v>100</v>
      </c>
      <c r="C491" s="2" t="s">
        <v>142</v>
      </c>
      <c r="D491" s="2">
        <v>20</v>
      </c>
      <c r="E491" s="5">
        <v>45224</v>
      </c>
      <c r="F491" s="2" t="s">
        <v>2954</v>
      </c>
      <c r="G491" s="2" t="s">
        <v>41</v>
      </c>
      <c r="H491" s="2" t="s">
        <v>98</v>
      </c>
      <c r="I491" s="6">
        <v>0.33</v>
      </c>
      <c r="J491" s="2" t="str">
        <f t="shared" si="7"/>
        <v>2023-10</v>
      </c>
    </row>
    <row r="492" spans="1:10" x14ac:dyDescent="0.2">
      <c r="A492" s="2" t="s">
        <v>621</v>
      </c>
      <c r="B492" s="2" t="s">
        <v>34</v>
      </c>
      <c r="C492" s="2" t="s">
        <v>195</v>
      </c>
      <c r="D492" s="2" t="s">
        <v>2954</v>
      </c>
      <c r="E492" s="5">
        <v>45224</v>
      </c>
      <c r="F492" s="2">
        <v>391</v>
      </c>
      <c r="G492" s="2" t="s">
        <v>62</v>
      </c>
      <c r="H492" s="2" t="s">
        <v>23</v>
      </c>
      <c r="I492" s="6">
        <v>0.2</v>
      </c>
      <c r="J492" s="2" t="str">
        <f t="shared" si="7"/>
        <v>2023-10</v>
      </c>
    </row>
    <row r="493" spans="1:10" x14ac:dyDescent="0.2">
      <c r="A493" s="2" t="s">
        <v>545</v>
      </c>
      <c r="B493" s="2" t="s">
        <v>54</v>
      </c>
      <c r="C493" s="2" t="s">
        <v>61</v>
      </c>
      <c r="D493" s="2" t="s">
        <v>2954</v>
      </c>
      <c r="E493" s="5">
        <v>45224</v>
      </c>
      <c r="F493" s="2">
        <v>414</v>
      </c>
      <c r="G493" s="2" t="s">
        <v>75</v>
      </c>
      <c r="H493" s="2" t="s">
        <v>55</v>
      </c>
      <c r="I493" s="6" t="s">
        <v>2954</v>
      </c>
      <c r="J493" s="2" t="str">
        <f t="shared" si="7"/>
        <v>2023-10</v>
      </c>
    </row>
    <row r="494" spans="1:10" x14ac:dyDescent="0.2">
      <c r="A494" s="2" t="s">
        <v>622</v>
      </c>
      <c r="B494" s="2" t="s">
        <v>406</v>
      </c>
      <c r="C494" s="2" t="s">
        <v>170</v>
      </c>
      <c r="D494" s="2" t="s">
        <v>2954</v>
      </c>
      <c r="E494" s="5">
        <v>45224</v>
      </c>
      <c r="F494" s="2">
        <v>76</v>
      </c>
      <c r="G494" s="2" t="s">
        <v>37</v>
      </c>
      <c r="H494" s="2" t="s">
        <v>23</v>
      </c>
      <c r="I494" s="6">
        <v>1</v>
      </c>
      <c r="J494" s="2" t="str">
        <f t="shared" si="7"/>
        <v>2023-10</v>
      </c>
    </row>
    <row r="495" spans="1:10" x14ac:dyDescent="0.2">
      <c r="A495" s="2" t="s">
        <v>623</v>
      </c>
      <c r="B495" s="2" t="s">
        <v>34</v>
      </c>
      <c r="C495" s="2" t="s">
        <v>103</v>
      </c>
      <c r="D495" s="2">
        <v>130</v>
      </c>
      <c r="E495" s="5">
        <v>45223</v>
      </c>
      <c r="F495" s="2">
        <v>365</v>
      </c>
      <c r="G495" s="2" t="s">
        <v>62</v>
      </c>
      <c r="H495" s="2" t="s">
        <v>23</v>
      </c>
      <c r="I495" s="6">
        <v>0.2</v>
      </c>
      <c r="J495" s="2" t="str">
        <f t="shared" si="7"/>
        <v>2023-10</v>
      </c>
    </row>
    <row r="496" spans="1:10" x14ac:dyDescent="0.2">
      <c r="A496" s="2" t="s">
        <v>624</v>
      </c>
      <c r="B496" s="2" t="s">
        <v>34</v>
      </c>
      <c r="C496" s="2" t="s">
        <v>35</v>
      </c>
      <c r="D496" s="2" t="s">
        <v>2954</v>
      </c>
      <c r="E496" s="5">
        <v>45223</v>
      </c>
      <c r="F496" s="2">
        <v>1</v>
      </c>
      <c r="G496" s="2" t="s">
        <v>132</v>
      </c>
      <c r="H496" s="2" t="s">
        <v>23</v>
      </c>
      <c r="I496" s="6">
        <v>1</v>
      </c>
      <c r="J496" s="2" t="str">
        <f t="shared" si="7"/>
        <v>2023-10</v>
      </c>
    </row>
    <row r="497" spans="1:10" x14ac:dyDescent="0.2">
      <c r="A497" s="2" t="s">
        <v>625</v>
      </c>
      <c r="B497" s="2" t="s">
        <v>574</v>
      </c>
      <c r="C497" s="2" t="s">
        <v>142</v>
      </c>
      <c r="D497" s="2" t="s">
        <v>2954</v>
      </c>
      <c r="E497" s="5">
        <v>45223</v>
      </c>
      <c r="F497" s="2">
        <v>65</v>
      </c>
      <c r="G497" s="2" t="s">
        <v>45</v>
      </c>
      <c r="H497" s="2" t="s">
        <v>23</v>
      </c>
      <c r="I497" s="6">
        <v>0.03</v>
      </c>
      <c r="J497" s="2" t="str">
        <f t="shared" si="7"/>
        <v>2023-10</v>
      </c>
    </row>
    <row r="498" spans="1:10" x14ac:dyDescent="0.2">
      <c r="A498" s="2" t="s">
        <v>626</v>
      </c>
      <c r="B498" s="2" t="s">
        <v>54</v>
      </c>
      <c r="C498" s="2" t="s">
        <v>22</v>
      </c>
      <c r="D498" s="2">
        <v>100</v>
      </c>
      <c r="E498" s="5">
        <v>45222</v>
      </c>
      <c r="F498" s="2" t="s">
        <v>2954</v>
      </c>
      <c r="G498" s="2" t="s">
        <v>12</v>
      </c>
      <c r="H498" s="2" t="s">
        <v>55</v>
      </c>
      <c r="I498" s="6">
        <v>0.3</v>
      </c>
      <c r="J498" s="2" t="str">
        <f t="shared" si="7"/>
        <v>2023-10</v>
      </c>
    </row>
    <row r="499" spans="1:10" x14ac:dyDescent="0.2">
      <c r="A499" s="2" t="s">
        <v>627</v>
      </c>
      <c r="B499" s="2" t="s">
        <v>628</v>
      </c>
      <c r="C499" s="2" t="s">
        <v>35</v>
      </c>
      <c r="D499" s="2">
        <v>15</v>
      </c>
      <c r="E499" s="5">
        <v>45222</v>
      </c>
      <c r="F499" s="2" t="s">
        <v>2954</v>
      </c>
      <c r="G499" s="2" t="s">
        <v>214</v>
      </c>
      <c r="H499" s="2" t="s">
        <v>224</v>
      </c>
      <c r="I499" s="6" t="s">
        <v>2954</v>
      </c>
      <c r="J499" s="2" t="str">
        <f t="shared" si="7"/>
        <v>2023-10</v>
      </c>
    </row>
    <row r="500" spans="1:10" x14ac:dyDescent="0.2">
      <c r="A500" s="2" t="s">
        <v>332</v>
      </c>
      <c r="B500" s="2" t="s">
        <v>25</v>
      </c>
      <c r="C500" s="2" t="s">
        <v>32</v>
      </c>
      <c r="D500" s="2">
        <v>119</v>
      </c>
      <c r="E500" s="5">
        <v>45219</v>
      </c>
      <c r="F500" s="2">
        <v>218</v>
      </c>
      <c r="G500" s="2" t="s">
        <v>12</v>
      </c>
      <c r="H500" s="2" t="s">
        <v>23</v>
      </c>
      <c r="I500" s="6">
        <v>0.17</v>
      </c>
      <c r="J500" s="2" t="str">
        <f t="shared" si="7"/>
        <v>2023-10</v>
      </c>
    </row>
    <row r="501" spans="1:10" x14ac:dyDescent="0.2">
      <c r="A501" s="2" t="s">
        <v>36</v>
      </c>
      <c r="B501" s="2" t="s">
        <v>25</v>
      </c>
      <c r="C501" s="2" t="s">
        <v>16</v>
      </c>
      <c r="D501" s="2">
        <v>26</v>
      </c>
      <c r="E501" s="5">
        <v>45219</v>
      </c>
      <c r="F501" s="2">
        <v>67</v>
      </c>
      <c r="G501" s="2" t="s">
        <v>37</v>
      </c>
      <c r="H501" s="2" t="s">
        <v>23</v>
      </c>
      <c r="I501" s="6" t="s">
        <v>2954</v>
      </c>
      <c r="J501" s="2" t="str">
        <f t="shared" si="7"/>
        <v>2023-10</v>
      </c>
    </row>
    <row r="502" spans="1:10" x14ac:dyDescent="0.2">
      <c r="A502" s="2" t="s">
        <v>332</v>
      </c>
      <c r="B502" s="2" t="s">
        <v>25</v>
      </c>
      <c r="C502" s="2" t="s">
        <v>32</v>
      </c>
      <c r="D502" s="2" t="s">
        <v>2954</v>
      </c>
      <c r="E502" s="5">
        <v>45219</v>
      </c>
      <c r="F502" s="2">
        <v>218</v>
      </c>
      <c r="G502" s="2" t="s">
        <v>12</v>
      </c>
      <c r="H502" s="2" t="s">
        <v>23</v>
      </c>
      <c r="I502" s="6">
        <v>0.25</v>
      </c>
      <c r="J502" s="2" t="str">
        <f t="shared" si="7"/>
        <v>2023-10</v>
      </c>
    </row>
    <row r="503" spans="1:10" x14ac:dyDescent="0.2">
      <c r="A503" s="2" t="s">
        <v>629</v>
      </c>
      <c r="B503" s="2" t="s">
        <v>28</v>
      </c>
      <c r="C503" s="2" t="s">
        <v>170</v>
      </c>
      <c r="D503" s="2">
        <v>500</v>
      </c>
      <c r="E503" s="5">
        <v>45218</v>
      </c>
      <c r="F503" s="2">
        <v>1100</v>
      </c>
      <c r="G503" s="2" t="s">
        <v>128</v>
      </c>
      <c r="H503" s="2" t="s">
        <v>23</v>
      </c>
      <c r="I503" s="6">
        <v>1</v>
      </c>
      <c r="J503" s="2" t="str">
        <f t="shared" si="7"/>
        <v>2023-10</v>
      </c>
    </row>
    <row r="504" spans="1:10" x14ac:dyDescent="0.2">
      <c r="A504" s="2" t="s">
        <v>630</v>
      </c>
      <c r="B504" s="2" t="s">
        <v>89</v>
      </c>
      <c r="C504" s="2" t="s">
        <v>50</v>
      </c>
      <c r="D504" s="2">
        <v>140</v>
      </c>
      <c r="E504" s="5">
        <v>45218</v>
      </c>
      <c r="F504" s="2">
        <v>32</v>
      </c>
      <c r="G504" s="2" t="s">
        <v>45</v>
      </c>
      <c r="H504" s="2" t="s">
        <v>23</v>
      </c>
      <c r="I504" s="6">
        <v>0.09</v>
      </c>
      <c r="J504" s="2" t="str">
        <f t="shared" si="7"/>
        <v>2023-10</v>
      </c>
    </row>
    <row r="505" spans="1:10" x14ac:dyDescent="0.2">
      <c r="A505" s="2" t="s">
        <v>631</v>
      </c>
      <c r="B505" s="2" t="s">
        <v>86</v>
      </c>
      <c r="C505" s="2" t="s">
        <v>632</v>
      </c>
      <c r="D505" s="2">
        <v>100</v>
      </c>
      <c r="E505" s="5">
        <v>45218</v>
      </c>
      <c r="F505" s="2">
        <v>951</v>
      </c>
      <c r="G505" s="2" t="s">
        <v>17</v>
      </c>
      <c r="H505" s="2" t="s">
        <v>23</v>
      </c>
      <c r="I505" s="6" t="s">
        <v>2954</v>
      </c>
      <c r="J505" s="2" t="str">
        <f t="shared" si="7"/>
        <v>2023-10</v>
      </c>
    </row>
    <row r="506" spans="1:10" x14ac:dyDescent="0.2">
      <c r="A506" s="2" t="s">
        <v>633</v>
      </c>
      <c r="B506" s="2" t="s">
        <v>634</v>
      </c>
      <c r="C506" s="2" t="s">
        <v>243</v>
      </c>
      <c r="D506" s="2">
        <v>21</v>
      </c>
      <c r="E506" s="5">
        <v>45218</v>
      </c>
      <c r="F506" s="2">
        <v>16</v>
      </c>
      <c r="G506" s="2" t="s">
        <v>41</v>
      </c>
      <c r="H506" s="2" t="s">
        <v>106</v>
      </c>
      <c r="I506" s="6">
        <v>0.28000000000000003</v>
      </c>
      <c r="J506" s="2" t="str">
        <f t="shared" si="7"/>
        <v>2023-10</v>
      </c>
    </row>
    <row r="507" spans="1:10" x14ac:dyDescent="0.2">
      <c r="A507" s="2" t="s">
        <v>635</v>
      </c>
      <c r="B507" s="2" t="s">
        <v>162</v>
      </c>
      <c r="C507" s="2" t="s">
        <v>142</v>
      </c>
      <c r="D507" s="2">
        <v>230</v>
      </c>
      <c r="E507" s="5">
        <v>45217</v>
      </c>
      <c r="F507" s="2">
        <v>705</v>
      </c>
      <c r="G507" s="2" t="s">
        <v>62</v>
      </c>
      <c r="H507" s="2" t="s">
        <v>163</v>
      </c>
      <c r="I507" s="6">
        <v>0.25</v>
      </c>
      <c r="J507" s="2" t="str">
        <f t="shared" si="7"/>
        <v>2023-10</v>
      </c>
    </row>
    <row r="508" spans="1:10" x14ac:dyDescent="0.2">
      <c r="A508" s="2" t="s">
        <v>33</v>
      </c>
      <c r="B508" s="2" t="s">
        <v>34</v>
      </c>
      <c r="C508" s="2" t="s">
        <v>35</v>
      </c>
      <c r="D508" s="2">
        <v>40</v>
      </c>
      <c r="E508" s="5">
        <v>45217</v>
      </c>
      <c r="F508" s="2">
        <v>26</v>
      </c>
      <c r="G508" s="2" t="s">
        <v>17</v>
      </c>
      <c r="H508" s="2" t="s">
        <v>23</v>
      </c>
      <c r="I508" s="6" t="s">
        <v>2954</v>
      </c>
      <c r="J508" s="2" t="str">
        <f t="shared" si="7"/>
        <v>2023-10</v>
      </c>
    </row>
    <row r="509" spans="1:10" x14ac:dyDescent="0.2">
      <c r="A509" s="2" t="s">
        <v>636</v>
      </c>
      <c r="B509" s="2" t="s">
        <v>245</v>
      </c>
      <c r="C509" s="2" t="s">
        <v>29</v>
      </c>
      <c r="D509" s="2">
        <v>35</v>
      </c>
      <c r="E509" s="5">
        <v>45217</v>
      </c>
      <c r="F509" s="2">
        <v>64</v>
      </c>
      <c r="G509" s="2" t="s">
        <v>41</v>
      </c>
      <c r="H509" s="2" t="s">
        <v>246</v>
      </c>
      <c r="I509" s="6">
        <v>0.1</v>
      </c>
      <c r="J509" s="2" t="str">
        <f t="shared" si="7"/>
        <v>2023-10</v>
      </c>
    </row>
    <row r="510" spans="1:10" x14ac:dyDescent="0.2">
      <c r="A510" s="2" t="s">
        <v>637</v>
      </c>
      <c r="B510" s="2" t="s">
        <v>60</v>
      </c>
      <c r="C510" s="2" t="s">
        <v>32</v>
      </c>
      <c r="D510" s="2">
        <v>24</v>
      </c>
      <c r="E510" s="5">
        <v>45217</v>
      </c>
      <c r="F510" s="2">
        <v>38</v>
      </c>
      <c r="G510" s="2" t="s">
        <v>37</v>
      </c>
      <c r="H510" s="2" t="s">
        <v>23</v>
      </c>
      <c r="I510" s="6" t="s">
        <v>2954</v>
      </c>
      <c r="J510" s="2" t="str">
        <f t="shared" si="7"/>
        <v>2023-10</v>
      </c>
    </row>
    <row r="511" spans="1:10" x14ac:dyDescent="0.2">
      <c r="A511" s="2" t="s">
        <v>638</v>
      </c>
      <c r="B511" s="2" t="s">
        <v>255</v>
      </c>
      <c r="C511" s="2" t="s">
        <v>142</v>
      </c>
      <c r="D511" s="2" t="s">
        <v>2954</v>
      </c>
      <c r="E511" s="5">
        <v>45217</v>
      </c>
      <c r="F511" s="2" t="s">
        <v>2954</v>
      </c>
      <c r="G511" s="2" t="s">
        <v>132</v>
      </c>
      <c r="H511" s="2" t="s">
        <v>98</v>
      </c>
      <c r="I511" s="6">
        <v>1</v>
      </c>
      <c r="J511" s="2" t="str">
        <f t="shared" si="7"/>
        <v>2023-10</v>
      </c>
    </row>
    <row r="512" spans="1:10" x14ac:dyDescent="0.2">
      <c r="A512" s="2" t="s">
        <v>639</v>
      </c>
      <c r="B512" s="2" t="s">
        <v>34</v>
      </c>
      <c r="C512" s="2" t="s">
        <v>363</v>
      </c>
      <c r="D512" s="2" t="s">
        <v>2954</v>
      </c>
      <c r="E512" s="5">
        <v>45217</v>
      </c>
      <c r="F512" s="2">
        <v>9</v>
      </c>
      <c r="G512" s="2" t="s">
        <v>132</v>
      </c>
      <c r="H512" s="2" t="s">
        <v>23</v>
      </c>
      <c r="I512" s="6">
        <v>1</v>
      </c>
      <c r="J512" s="2" t="str">
        <f t="shared" si="7"/>
        <v>2023-10</v>
      </c>
    </row>
    <row r="513" spans="1:10" x14ac:dyDescent="0.2">
      <c r="A513" s="2" t="s">
        <v>640</v>
      </c>
      <c r="B513" s="2" t="s">
        <v>287</v>
      </c>
      <c r="C513" s="2" t="s">
        <v>52</v>
      </c>
      <c r="D513" s="2" t="s">
        <v>2954</v>
      </c>
      <c r="E513" s="5">
        <v>45217</v>
      </c>
      <c r="F513" s="2">
        <v>391</v>
      </c>
      <c r="G513" s="2" t="s">
        <v>66</v>
      </c>
      <c r="H513" s="2" t="s">
        <v>291</v>
      </c>
      <c r="I513" s="6">
        <v>1</v>
      </c>
      <c r="J513" s="2" t="str">
        <f t="shared" si="7"/>
        <v>2023-10</v>
      </c>
    </row>
    <row r="514" spans="1:10" x14ac:dyDescent="0.2">
      <c r="A514" s="2" t="s">
        <v>138</v>
      </c>
      <c r="B514" s="2" t="s">
        <v>28</v>
      </c>
      <c r="C514" s="2" t="s">
        <v>44</v>
      </c>
      <c r="D514" s="2">
        <v>100</v>
      </c>
      <c r="E514" s="5">
        <v>45216</v>
      </c>
      <c r="F514" s="2">
        <v>3300</v>
      </c>
      <c r="G514" s="2" t="s">
        <v>17</v>
      </c>
      <c r="H514" s="2" t="s">
        <v>23</v>
      </c>
      <c r="I514" s="6" t="s">
        <v>2954</v>
      </c>
      <c r="J514" s="2" t="str">
        <f t="shared" si="7"/>
        <v>2023-10</v>
      </c>
    </row>
    <row r="515" spans="1:10" x14ac:dyDescent="0.2">
      <c r="A515" s="2" t="s">
        <v>641</v>
      </c>
      <c r="B515" s="2" t="s">
        <v>34</v>
      </c>
      <c r="C515" s="2" t="s">
        <v>52</v>
      </c>
      <c r="D515" s="2" t="s">
        <v>2954</v>
      </c>
      <c r="E515" s="5">
        <v>45216</v>
      </c>
      <c r="F515" s="2">
        <v>5500</v>
      </c>
      <c r="G515" s="2" t="s">
        <v>214</v>
      </c>
      <c r="H515" s="2" t="s">
        <v>23</v>
      </c>
      <c r="I515" s="6" t="s">
        <v>2954</v>
      </c>
      <c r="J515" s="2" t="str">
        <f t="shared" ref="J515:J578" si="8">TEXT(E515,"YYYY-MM")</f>
        <v>2023-10</v>
      </c>
    </row>
    <row r="516" spans="1:10" x14ac:dyDescent="0.2">
      <c r="A516" s="2" t="s">
        <v>642</v>
      </c>
      <c r="B516" s="2" t="s">
        <v>34</v>
      </c>
      <c r="C516" s="2" t="s">
        <v>84</v>
      </c>
      <c r="D516" s="2">
        <v>660</v>
      </c>
      <c r="E516" s="5">
        <v>45215</v>
      </c>
      <c r="F516" s="2">
        <v>154</v>
      </c>
      <c r="G516" s="2" t="s">
        <v>45</v>
      </c>
      <c r="H516" s="2" t="s">
        <v>23</v>
      </c>
      <c r="I516" s="6">
        <v>0.03</v>
      </c>
      <c r="J516" s="2" t="str">
        <f t="shared" si="8"/>
        <v>2023-10</v>
      </c>
    </row>
    <row r="517" spans="1:10" x14ac:dyDescent="0.2">
      <c r="A517" s="2" t="s">
        <v>643</v>
      </c>
      <c r="B517" s="2" t="s">
        <v>255</v>
      </c>
      <c r="C517" s="2" t="s">
        <v>142</v>
      </c>
      <c r="D517" s="2">
        <v>90</v>
      </c>
      <c r="E517" s="5">
        <v>45215</v>
      </c>
      <c r="F517" s="2">
        <v>112</v>
      </c>
      <c r="G517" s="2" t="s">
        <v>66</v>
      </c>
      <c r="H517" s="2" t="s">
        <v>98</v>
      </c>
      <c r="I517" s="6" t="s">
        <v>2954</v>
      </c>
      <c r="J517" s="2" t="str">
        <f t="shared" si="8"/>
        <v>2023-10</v>
      </c>
    </row>
    <row r="518" spans="1:10" x14ac:dyDescent="0.2">
      <c r="A518" s="2" t="s">
        <v>644</v>
      </c>
      <c r="B518" s="2" t="s">
        <v>645</v>
      </c>
      <c r="C518" s="2" t="s">
        <v>16</v>
      </c>
      <c r="D518" s="2">
        <v>80</v>
      </c>
      <c r="E518" s="5">
        <v>45215</v>
      </c>
      <c r="F518" s="2">
        <v>537</v>
      </c>
      <c r="G518" s="2" t="s">
        <v>81</v>
      </c>
      <c r="H518" s="2" t="s">
        <v>23</v>
      </c>
      <c r="I518" s="6">
        <v>0.03</v>
      </c>
      <c r="J518" s="2" t="str">
        <f t="shared" si="8"/>
        <v>2023-10</v>
      </c>
    </row>
    <row r="519" spans="1:10" x14ac:dyDescent="0.2">
      <c r="A519" s="2" t="s">
        <v>646</v>
      </c>
      <c r="B519" s="2" t="s">
        <v>647</v>
      </c>
      <c r="C519" s="2" t="s">
        <v>44</v>
      </c>
      <c r="D519" s="2">
        <v>80</v>
      </c>
      <c r="E519" s="5">
        <v>45215</v>
      </c>
      <c r="F519" s="2">
        <v>229</v>
      </c>
      <c r="G519" s="2" t="s">
        <v>45</v>
      </c>
      <c r="H519" s="2" t="s">
        <v>23</v>
      </c>
      <c r="I519" s="6" t="s">
        <v>2954</v>
      </c>
      <c r="J519" s="2" t="str">
        <f t="shared" si="8"/>
        <v>2023-10</v>
      </c>
    </row>
    <row r="520" spans="1:10" x14ac:dyDescent="0.2">
      <c r="A520" s="2" t="s">
        <v>648</v>
      </c>
      <c r="B520" s="2" t="s">
        <v>34</v>
      </c>
      <c r="C520" s="2" t="s">
        <v>29</v>
      </c>
      <c r="D520" s="2">
        <v>58</v>
      </c>
      <c r="E520" s="5">
        <v>45215</v>
      </c>
      <c r="F520" s="2" t="s">
        <v>2954</v>
      </c>
      <c r="G520" s="2" t="s">
        <v>45</v>
      </c>
      <c r="H520" s="2" t="s">
        <v>23</v>
      </c>
      <c r="I520" s="6">
        <v>0.5</v>
      </c>
      <c r="J520" s="2" t="str">
        <f t="shared" si="8"/>
        <v>2023-10</v>
      </c>
    </row>
    <row r="521" spans="1:10" x14ac:dyDescent="0.2">
      <c r="A521" s="2" t="s">
        <v>649</v>
      </c>
      <c r="B521" s="2" t="s">
        <v>25</v>
      </c>
      <c r="C521" s="2" t="s">
        <v>84</v>
      </c>
      <c r="D521" s="2" t="s">
        <v>2954</v>
      </c>
      <c r="E521" s="5">
        <v>45215</v>
      </c>
      <c r="F521" s="2">
        <v>153</v>
      </c>
      <c r="G521" s="2" t="s">
        <v>45</v>
      </c>
      <c r="H521" s="2" t="s">
        <v>23</v>
      </c>
      <c r="I521" s="6">
        <v>0.28000000000000003</v>
      </c>
      <c r="J521" s="2" t="str">
        <f t="shared" si="8"/>
        <v>2023-10</v>
      </c>
    </row>
    <row r="522" spans="1:10" x14ac:dyDescent="0.2">
      <c r="A522" s="2" t="s">
        <v>650</v>
      </c>
      <c r="B522" s="2" t="s">
        <v>651</v>
      </c>
      <c r="C522" s="2" t="s">
        <v>35</v>
      </c>
      <c r="D522" s="2" t="s">
        <v>2954</v>
      </c>
      <c r="E522" s="5">
        <v>45214</v>
      </c>
      <c r="F522" s="2" t="s">
        <v>2954</v>
      </c>
      <c r="G522" s="2" t="s">
        <v>45</v>
      </c>
      <c r="H522" s="2" t="s">
        <v>55</v>
      </c>
      <c r="I522" s="6" t="s">
        <v>2954</v>
      </c>
      <c r="J522" s="2" t="str">
        <f t="shared" si="8"/>
        <v>2023-10</v>
      </c>
    </row>
    <row r="523" spans="1:10" x14ac:dyDescent="0.2">
      <c r="A523" s="2" t="s">
        <v>652</v>
      </c>
      <c r="B523" s="2" t="s">
        <v>255</v>
      </c>
      <c r="C523" s="2" t="s">
        <v>61</v>
      </c>
      <c r="D523" s="2">
        <v>300</v>
      </c>
      <c r="E523" s="5">
        <v>45213</v>
      </c>
      <c r="F523" s="2">
        <v>61</v>
      </c>
      <c r="G523" s="2" t="s">
        <v>37</v>
      </c>
      <c r="H523" s="2" t="s">
        <v>98</v>
      </c>
      <c r="I523" s="6" t="s">
        <v>2954</v>
      </c>
      <c r="J523" s="2" t="str">
        <f t="shared" si="8"/>
        <v>2023-10</v>
      </c>
    </row>
    <row r="524" spans="1:10" x14ac:dyDescent="0.2">
      <c r="A524" s="2" t="s">
        <v>369</v>
      </c>
      <c r="B524" s="2" t="s">
        <v>34</v>
      </c>
      <c r="C524" s="2" t="s">
        <v>170</v>
      </c>
      <c r="D524" s="2" t="s">
        <v>2954</v>
      </c>
      <c r="E524" s="5">
        <v>45212</v>
      </c>
      <c r="F524" s="2">
        <v>2400</v>
      </c>
      <c r="G524" s="2" t="s">
        <v>128</v>
      </c>
      <c r="H524" s="2" t="s">
        <v>23</v>
      </c>
      <c r="I524" s="6">
        <v>0.2</v>
      </c>
      <c r="J524" s="2" t="str">
        <f t="shared" si="8"/>
        <v>2023-10</v>
      </c>
    </row>
    <row r="525" spans="1:10" x14ac:dyDescent="0.2">
      <c r="A525" s="2" t="s">
        <v>653</v>
      </c>
      <c r="B525" s="2" t="s">
        <v>25</v>
      </c>
      <c r="C525" s="2" t="s">
        <v>32</v>
      </c>
      <c r="D525" s="2" t="s">
        <v>2954</v>
      </c>
      <c r="E525" s="5">
        <v>45212</v>
      </c>
      <c r="F525" s="2" t="s">
        <v>2954</v>
      </c>
      <c r="G525" s="2" t="s">
        <v>12</v>
      </c>
      <c r="H525" s="2" t="s">
        <v>23</v>
      </c>
      <c r="I525" s="6" t="s">
        <v>2954</v>
      </c>
      <c r="J525" s="2" t="str">
        <f t="shared" si="8"/>
        <v>2023-10</v>
      </c>
    </row>
    <row r="526" spans="1:10" x14ac:dyDescent="0.2">
      <c r="A526" s="2" t="s">
        <v>654</v>
      </c>
      <c r="B526" s="2" t="s">
        <v>64</v>
      </c>
      <c r="C526" s="2" t="s">
        <v>103</v>
      </c>
      <c r="D526" s="2">
        <v>1258</v>
      </c>
      <c r="E526" s="5">
        <v>45211</v>
      </c>
      <c r="F526" s="2" t="s">
        <v>2954</v>
      </c>
      <c r="G526" s="2" t="s">
        <v>17</v>
      </c>
      <c r="H526" s="2" t="s">
        <v>23</v>
      </c>
      <c r="I526" s="6">
        <v>0.02</v>
      </c>
      <c r="J526" s="2" t="str">
        <f t="shared" si="8"/>
        <v>2023-10</v>
      </c>
    </row>
    <row r="527" spans="1:10" x14ac:dyDescent="0.2">
      <c r="A527" s="2" t="s">
        <v>655</v>
      </c>
      <c r="B527" s="2" t="s">
        <v>34</v>
      </c>
      <c r="C527" s="2" t="s">
        <v>16</v>
      </c>
      <c r="D527" s="2">
        <v>172</v>
      </c>
      <c r="E527" s="5">
        <v>45211</v>
      </c>
      <c r="F527" s="2">
        <v>392</v>
      </c>
      <c r="G527" s="2" t="s">
        <v>17</v>
      </c>
      <c r="H527" s="2" t="s">
        <v>23</v>
      </c>
      <c r="I527" s="6">
        <v>0.14000000000000001</v>
      </c>
      <c r="J527" s="2" t="str">
        <f t="shared" si="8"/>
        <v>2023-10</v>
      </c>
    </row>
    <row r="528" spans="1:10" x14ac:dyDescent="0.2">
      <c r="A528" s="2" t="s">
        <v>656</v>
      </c>
      <c r="B528" s="2" t="s">
        <v>34</v>
      </c>
      <c r="C528" s="2" t="s">
        <v>243</v>
      </c>
      <c r="D528" s="2">
        <v>84</v>
      </c>
      <c r="E528" s="5">
        <v>45211</v>
      </c>
      <c r="F528" s="2">
        <v>272</v>
      </c>
      <c r="G528" s="2" t="s">
        <v>17</v>
      </c>
      <c r="H528" s="2" t="s">
        <v>23</v>
      </c>
      <c r="I528" s="6">
        <v>0.28000000000000003</v>
      </c>
      <c r="J528" s="2" t="str">
        <f t="shared" si="8"/>
        <v>2023-10</v>
      </c>
    </row>
    <row r="529" spans="1:10" x14ac:dyDescent="0.2">
      <c r="A529" s="2" t="s">
        <v>657</v>
      </c>
      <c r="B529" s="2" t="s">
        <v>34</v>
      </c>
      <c r="C529" s="2" t="s">
        <v>154</v>
      </c>
      <c r="D529" s="2">
        <v>20</v>
      </c>
      <c r="E529" s="5">
        <v>45210</v>
      </c>
      <c r="F529" s="2">
        <v>86</v>
      </c>
      <c r="G529" s="2" t="s">
        <v>37</v>
      </c>
      <c r="H529" s="2" t="s">
        <v>23</v>
      </c>
      <c r="I529" s="6">
        <v>0.2</v>
      </c>
      <c r="J529" s="2" t="str">
        <f t="shared" si="8"/>
        <v>2023-10</v>
      </c>
    </row>
    <row r="530" spans="1:10" x14ac:dyDescent="0.2">
      <c r="A530" s="2" t="s">
        <v>658</v>
      </c>
      <c r="B530" s="2" t="s">
        <v>659</v>
      </c>
      <c r="C530" s="2" t="s">
        <v>195</v>
      </c>
      <c r="D530" s="2" t="s">
        <v>2954</v>
      </c>
      <c r="E530" s="5">
        <v>45210</v>
      </c>
      <c r="F530" s="2">
        <v>658</v>
      </c>
      <c r="G530" s="2" t="s">
        <v>199</v>
      </c>
      <c r="H530" s="2" t="s">
        <v>606</v>
      </c>
      <c r="I530" s="6" t="s">
        <v>2954</v>
      </c>
      <c r="J530" s="2" t="str">
        <f t="shared" si="8"/>
        <v>2023-10</v>
      </c>
    </row>
    <row r="531" spans="1:10" x14ac:dyDescent="0.2">
      <c r="A531" s="2" t="s">
        <v>660</v>
      </c>
      <c r="B531" s="2" t="s">
        <v>661</v>
      </c>
      <c r="C531" s="2" t="s">
        <v>16</v>
      </c>
      <c r="D531" s="2">
        <v>180</v>
      </c>
      <c r="E531" s="5">
        <v>45209</v>
      </c>
      <c r="F531" s="2">
        <v>727</v>
      </c>
      <c r="G531" s="2" t="s">
        <v>75</v>
      </c>
      <c r="H531" s="2" t="s">
        <v>662</v>
      </c>
      <c r="I531" s="6" t="s">
        <v>2954</v>
      </c>
      <c r="J531" s="2" t="str">
        <f t="shared" si="8"/>
        <v>2023-10</v>
      </c>
    </row>
    <row r="532" spans="1:10" x14ac:dyDescent="0.2">
      <c r="A532" s="2" t="s">
        <v>405</v>
      </c>
      <c r="B532" s="2" t="s">
        <v>406</v>
      </c>
      <c r="C532" s="2" t="s">
        <v>142</v>
      </c>
      <c r="D532" s="2">
        <v>558</v>
      </c>
      <c r="E532" s="5">
        <v>45208</v>
      </c>
      <c r="F532" s="2">
        <v>79</v>
      </c>
      <c r="G532" s="2" t="s">
        <v>17</v>
      </c>
      <c r="H532" s="2" t="s">
        <v>23</v>
      </c>
      <c r="I532" s="6" t="s">
        <v>2954</v>
      </c>
      <c r="J532" s="2" t="str">
        <f t="shared" si="8"/>
        <v>2023-10</v>
      </c>
    </row>
    <row r="533" spans="1:10" x14ac:dyDescent="0.2">
      <c r="A533" s="2" t="s">
        <v>269</v>
      </c>
      <c r="B533" s="2" t="s">
        <v>34</v>
      </c>
      <c r="C533" s="2" t="s">
        <v>32</v>
      </c>
      <c r="D533" s="2">
        <v>114</v>
      </c>
      <c r="E533" s="5">
        <v>45208</v>
      </c>
      <c r="F533" s="2">
        <v>522</v>
      </c>
      <c r="G533" s="2" t="s">
        <v>75</v>
      </c>
      <c r="H533" s="2" t="s">
        <v>23</v>
      </c>
      <c r="I533" s="6">
        <v>0.05</v>
      </c>
      <c r="J533" s="2" t="str">
        <f t="shared" si="8"/>
        <v>2023-10</v>
      </c>
    </row>
    <row r="534" spans="1:10" x14ac:dyDescent="0.2">
      <c r="A534" s="2" t="s">
        <v>663</v>
      </c>
      <c r="B534" s="2" t="s">
        <v>28</v>
      </c>
      <c r="C534" s="2" t="s">
        <v>135</v>
      </c>
      <c r="D534" s="2">
        <v>40</v>
      </c>
      <c r="E534" s="5">
        <v>45208</v>
      </c>
      <c r="F534" s="2">
        <v>167</v>
      </c>
      <c r="G534" s="2" t="s">
        <v>12</v>
      </c>
      <c r="H534" s="2" t="s">
        <v>23</v>
      </c>
      <c r="I534" s="6" t="s">
        <v>2954</v>
      </c>
      <c r="J534" s="2" t="str">
        <f t="shared" si="8"/>
        <v>2023-10</v>
      </c>
    </row>
    <row r="535" spans="1:10" x14ac:dyDescent="0.2">
      <c r="A535" s="2" t="s">
        <v>664</v>
      </c>
      <c r="B535" s="2" t="s">
        <v>34</v>
      </c>
      <c r="C535" s="2" t="s">
        <v>16</v>
      </c>
      <c r="D535" s="2" t="s">
        <v>2954</v>
      </c>
      <c r="E535" s="5">
        <v>45208</v>
      </c>
      <c r="F535" s="2" t="s">
        <v>2954</v>
      </c>
      <c r="G535" s="2" t="s">
        <v>12</v>
      </c>
      <c r="H535" s="2" t="s">
        <v>23</v>
      </c>
      <c r="I535" s="6">
        <v>1</v>
      </c>
      <c r="J535" s="2" t="str">
        <f t="shared" si="8"/>
        <v>2023-10</v>
      </c>
    </row>
    <row r="536" spans="1:10" x14ac:dyDescent="0.2">
      <c r="A536" s="2" t="s">
        <v>665</v>
      </c>
      <c r="B536" s="2" t="s">
        <v>12</v>
      </c>
      <c r="C536" s="2" t="s">
        <v>35</v>
      </c>
      <c r="D536" s="2" t="s">
        <v>2954</v>
      </c>
      <c r="E536" s="5">
        <v>45208</v>
      </c>
      <c r="F536" s="2" t="s">
        <v>2954</v>
      </c>
      <c r="G536" s="2" t="s">
        <v>45</v>
      </c>
      <c r="H536" s="2" t="s">
        <v>23</v>
      </c>
      <c r="I536" s="6">
        <v>0.6</v>
      </c>
      <c r="J536" s="2" t="str">
        <f t="shared" si="8"/>
        <v>2023-10</v>
      </c>
    </row>
    <row r="537" spans="1:10" x14ac:dyDescent="0.2">
      <c r="A537" s="2" t="s">
        <v>666</v>
      </c>
      <c r="B537" s="2" t="s">
        <v>667</v>
      </c>
      <c r="C537" s="2" t="s">
        <v>44</v>
      </c>
      <c r="D537" s="2">
        <v>75</v>
      </c>
      <c r="E537" s="5">
        <v>45206</v>
      </c>
      <c r="F537" s="2" t="s">
        <v>2954</v>
      </c>
      <c r="G537" s="2" t="s">
        <v>199</v>
      </c>
      <c r="H537" s="2" t="s">
        <v>23</v>
      </c>
      <c r="I537" s="6">
        <v>0.09</v>
      </c>
      <c r="J537" s="2" t="str">
        <f t="shared" si="8"/>
        <v>2023-10</v>
      </c>
    </row>
    <row r="538" spans="1:10" x14ac:dyDescent="0.2">
      <c r="A538" s="2" t="s">
        <v>668</v>
      </c>
      <c r="B538" s="2" t="s">
        <v>34</v>
      </c>
      <c r="C538" s="2" t="s">
        <v>103</v>
      </c>
      <c r="D538" s="2">
        <v>440</v>
      </c>
      <c r="E538" s="5">
        <v>45205</v>
      </c>
      <c r="F538" s="2">
        <v>39</v>
      </c>
      <c r="G538" s="2" t="s">
        <v>17</v>
      </c>
      <c r="H538" s="2" t="s">
        <v>23</v>
      </c>
      <c r="I538" s="6">
        <v>0.04</v>
      </c>
      <c r="J538" s="2" t="str">
        <f t="shared" si="8"/>
        <v>2023-10</v>
      </c>
    </row>
    <row r="539" spans="1:10" x14ac:dyDescent="0.2">
      <c r="A539" s="2" t="s">
        <v>669</v>
      </c>
      <c r="B539" s="2" t="s">
        <v>47</v>
      </c>
      <c r="C539" s="2" t="s">
        <v>16</v>
      </c>
      <c r="D539" s="2">
        <v>80</v>
      </c>
      <c r="E539" s="5">
        <v>45205</v>
      </c>
      <c r="F539" s="2">
        <v>54</v>
      </c>
      <c r="G539" s="2" t="s">
        <v>199</v>
      </c>
      <c r="H539" s="2" t="s">
        <v>23</v>
      </c>
      <c r="I539" s="6">
        <v>0.05</v>
      </c>
      <c r="J539" s="2" t="str">
        <f t="shared" si="8"/>
        <v>2023-10</v>
      </c>
    </row>
    <row r="540" spans="1:10" x14ac:dyDescent="0.2">
      <c r="A540" s="2" t="s">
        <v>670</v>
      </c>
      <c r="B540" s="2" t="s">
        <v>34</v>
      </c>
      <c r="C540" s="2" t="s">
        <v>35</v>
      </c>
      <c r="D540" s="2" t="s">
        <v>2954</v>
      </c>
      <c r="E540" s="5">
        <v>45205</v>
      </c>
      <c r="F540" s="2">
        <v>42</v>
      </c>
      <c r="G540" s="2" t="s">
        <v>37</v>
      </c>
      <c r="H540" s="2" t="s">
        <v>23</v>
      </c>
      <c r="I540" s="6">
        <v>0.09</v>
      </c>
      <c r="J540" s="2" t="str">
        <f t="shared" si="8"/>
        <v>2023-10</v>
      </c>
    </row>
    <row r="541" spans="1:10" x14ac:dyDescent="0.2">
      <c r="A541" s="2" t="s">
        <v>671</v>
      </c>
      <c r="B541" s="2" t="s">
        <v>25</v>
      </c>
      <c r="C541" s="2" t="s">
        <v>16</v>
      </c>
      <c r="D541" s="2" t="s">
        <v>2954</v>
      </c>
      <c r="E541" s="5">
        <v>45205</v>
      </c>
      <c r="F541" s="2">
        <v>86</v>
      </c>
      <c r="G541" s="2" t="s">
        <v>12</v>
      </c>
      <c r="H541" s="2" t="s">
        <v>23</v>
      </c>
      <c r="I541" s="6">
        <v>1</v>
      </c>
      <c r="J541" s="2" t="str">
        <f t="shared" si="8"/>
        <v>2023-10</v>
      </c>
    </row>
    <row r="542" spans="1:10" x14ac:dyDescent="0.2">
      <c r="A542" s="2" t="s">
        <v>672</v>
      </c>
      <c r="B542" s="2" t="s">
        <v>34</v>
      </c>
      <c r="C542" s="2" t="s">
        <v>52</v>
      </c>
      <c r="D542" s="2" t="s">
        <v>2954</v>
      </c>
      <c r="E542" s="5">
        <v>45205</v>
      </c>
      <c r="F542" s="2">
        <v>504</v>
      </c>
      <c r="G542" s="2" t="s">
        <v>17</v>
      </c>
      <c r="H542" s="2" t="s">
        <v>23</v>
      </c>
      <c r="I542" s="6">
        <v>1</v>
      </c>
      <c r="J542" s="2" t="str">
        <f t="shared" si="8"/>
        <v>2023-10</v>
      </c>
    </row>
    <row r="543" spans="1:10" x14ac:dyDescent="0.2">
      <c r="A543" s="2" t="s">
        <v>673</v>
      </c>
      <c r="B543" s="2" t="s">
        <v>194</v>
      </c>
      <c r="C543" s="2" t="s">
        <v>22</v>
      </c>
      <c r="D543" s="2" t="s">
        <v>2954</v>
      </c>
      <c r="E543" s="5">
        <v>45205</v>
      </c>
      <c r="F543" s="2">
        <v>450</v>
      </c>
      <c r="G543" s="2" t="s">
        <v>12</v>
      </c>
      <c r="H543" s="2" t="s">
        <v>23</v>
      </c>
      <c r="I543" s="6" t="s">
        <v>2954</v>
      </c>
      <c r="J543" s="2" t="str">
        <f t="shared" si="8"/>
        <v>2023-10</v>
      </c>
    </row>
    <row r="544" spans="1:10" x14ac:dyDescent="0.2">
      <c r="A544" s="2" t="s">
        <v>108</v>
      </c>
      <c r="B544" s="2" t="s">
        <v>34</v>
      </c>
      <c r="C544" s="2" t="s">
        <v>109</v>
      </c>
      <c r="D544" s="2">
        <v>185</v>
      </c>
      <c r="E544" s="5">
        <v>45204</v>
      </c>
      <c r="F544" s="2">
        <v>516</v>
      </c>
      <c r="G544" s="2" t="s">
        <v>17</v>
      </c>
      <c r="H544" s="2" t="s">
        <v>23</v>
      </c>
      <c r="I544" s="6" t="s">
        <v>2954</v>
      </c>
      <c r="J544" s="2" t="str">
        <f t="shared" si="8"/>
        <v>2023-10</v>
      </c>
    </row>
    <row r="545" spans="1:10" x14ac:dyDescent="0.2">
      <c r="A545" s="2" t="s">
        <v>674</v>
      </c>
      <c r="B545" s="2" t="s">
        <v>538</v>
      </c>
      <c r="C545" s="2" t="s">
        <v>142</v>
      </c>
      <c r="D545" s="2">
        <v>50</v>
      </c>
      <c r="E545" s="5">
        <v>45204</v>
      </c>
      <c r="F545" s="2">
        <v>315</v>
      </c>
      <c r="G545" s="2" t="s">
        <v>128</v>
      </c>
      <c r="H545" s="2" t="s">
        <v>98</v>
      </c>
      <c r="I545" s="6" t="s">
        <v>2954</v>
      </c>
      <c r="J545" s="2" t="str">
        <f t="shared" si="8"/>
        <v>2023-10</v>
      </c>
    </row>
    <row r="546" spans="1:10" x14ac:dyDescent="0.2">
      <c r="A546" s="2" t="s">
        <v>675</v>
      </c>
      <c r="B546" s="2" t="s">
        <v>34</v>
      </c>
      <c r="C546" s="2" t="s">
        <v>61</v>
      </c>
      <c r="D546" s="2">
        <v>29</v>
      </c>
      <c r="E546" s="5">
        <v>45204</v>
      </c>
      <c r="F546" s="2">
        <v>8</v>
      </c>
      <c r="G546" s="2" t="s">
        <v>45</v>
      </c>
      <c r="H546" s="2" t="s">
        <v>23</v>
      </c>
      <c r="I546" s="6">
        <v>0.14000000000000001</v>
      </c>
      <c r="J546" s="2" t="str">
        <f t="shared" si="8"/>
        <v>2023-10</v>
      </c>
    </row>
    <row r="547" spans="1:10" x14ac:dyDescent="0.2">
      <c r="A547" s="2" t="s">
        <v>83</v>
      </c>
      <c r="B547" s="2" t="s">
        <v>28</v>
      </c>
      <c r="C547" s="2" t="s">
        <v>84</v>
      </c>
      <c r="D547" s="2">
        <v>16</v>
      </c>
      <c r="E547" s="5">
        <v>45204</v>
      </c>
      <c r="F547" s="2" t="s">
        <v>2954</v>
      </c>
      <c r="G547" s="2" t="s">
        <v>66</v>
      </c>
      <c r="H547" s="2" t="s">
        <v>23</v>
      </c>
      <c r="I547" s="6">
        <v>7.0000000000000007E-2</v>
      </c>
      <c r="J547" s="2" t="str">
        <f t="shared" si="8"/>
        <v>2023-10</v>
      </c>
    </row>
    <row r="548" spans="1:10" x14ac:dyDescent="0.2">
      <c r="A548" s="2" t="s">
        <v>676</v>
      </c>
      <c r="B548" s="2" t="s">
        <v>54</v>
      </c>
      <c r="C548" s="2" t="s">
        <v>52</v>
      </c>
      <c r="D548" s="2" t="s">
        <v>2954</v>
      </c>
      <c r="E548" s="5">
        <v>45204</v>
      </c>
      <c r="F548" s="2">
        <v>629</v>
      </c>
      <c r="G548" s="2" t="s">
        <v>17</v>
      </c>
      <c r="H548" s="2" t="s">
        <v>55</v>
      </c>
      <c r="I548" s="6">
        <v>0.25</v>
      </c>
      <c r="J548" s="2" t="str">
        <f t="shared" si="8"/>
        <v>2023-10</v>
      </c>
    </row>
    <row r="549" spans="1:10" x14ac:dyDescent="0.2">
      <c r="A549" s="2" t="s">
        <v>677</v>
      </c>
      <c r="B549" s="2" t="s">
        <v>162</v>
      </c>
      <c r="C549" s="2" t="s">
        <v>22</v>
      </c>
      <c r="D549" s="2" t="s">
        <v>2954</v>
      </c>
      <c r="E549" s="5">
        <v>45204</v>
      </c>
      <c r="F549" s="2">
        <v>577</v>
      </c>
      <c r="G549" s="2" t="s">
        <v>66</v>
      </c>
      <c r="H549" s="2" t="s">
        <v>163</v>
      </c>
      <c r="I549" s="6">
        <v>0.12</v>
      </c>
      <c r="J549" s="2" t="str">
        <f t="shared" si="8"/>
        <v>2023-10</v>
      </c>
    </row>
    <row r="550" spans="1:10" x14ac:dyDescent="0.2">
      <c r="A550" s="2" t="s">
        <v>678</v>
      </c>
      <c r="B550" s="2" t="s">
        <v>147</v>
      </c>
      <c r="C550" s="2" t="s">
        <v>29</v>
      </c>
      <c r="D550" s="2">
        <v>780</v>
      </c>
      <c r="E550" s="5">
        <v>45203</v>
      </c>
      <c r="F550" s="2">
        <v>400</v>
      </c>
      <c r="G550" s="2" t="s">
        <v>45</v>
      </c>
      <c r="H550" s="2" t="s">
        <v>23</v>
      </c>
      <c r="I550" s="6">
        <v>0.14000000000000001</v>
      </c>
      <c r="J550" s="2" t="str">
        <f t="shared" si="8"/>
        <v>2023-10</v>
      </c>
    </row>
    <row r="551" spans="1:10" x14ac:dyDescent="0.2">
      <c r="A551" s="2" t="s">
        <v>679</v>
      </c>
      <c r="B551" s="2" t="s">
        <v>188</v>
      </c>
      <c r="C551" s="2" t="s">
        <v>44</v>
      </c>
      <c r="D551" s="2">
        <v>250</v>
      </c>
      <c r="E551" s="5">
        <v>45203</v>
      </c>
      <c r="F551" s="2">
        <v>730</v>
      </c>
      <c r="G551" s="2" t="s">
        <v>12</v>
      </c>
      <c r="H551" s="2" t="s">
        <v>106</v>
      </c>
      <c r="I551" s="6">
        <v>0.3</v>
      </c>
      <c r="J551" s="2" t="str">
        <f t="shared" si="8"/>
        <v>2023-10</v>
      </c>
    </row>
    <row r="552" spans="1:10" x14ac:dyDescent="0.2">
      <c r="A552" s="2" t="s">
        <v>680</v>
      </c>
      <c r="B552" s="2" t="s">
        <v>47</v>
      </c>
      <c r="C552" s="2" t="s">
        <v>52</v>
      </c>
      <c r="D552" s="2" t="s">
        <v>2954</v>
      </c>
      <c r="E552" s="5">
        <v>45203</v>
      </c>
      <c r="F552" s="2">
        <v>916</v>
      </c>
      <c r="G552" s="2" t="s">
        <v>17</v>
      </c>
      <c r="H552" s="2" t="s">
        <v>23</v>
      </c>
      <c r="I552" s="6" t="s">
        <v>2954</v>
      </c>
      <c r="J552" s="2" t="str">
        <f t="shared" si="8"/>
        <v>2023-10</v>
      </c>
    </row>
    <row r="553" spans="1:10" x14ac:dyDescent="0.2">
      <c r="A553" s="2" t="s">
        <v>354</v>
      </c>
      <c r="B553" s="2" t="s">
        <v>34</v>
      </c>
      <c r="C553" s="2" t="s">
        <v>16</v>
      </c>
      <c r="D553" s="2" t="s">
        <v>2954</v>
      </c>
      <c r="E553" s="5">
        <v>45203</v>
      </c>
      <c r="F553" s="2">
        <v>150</v>
      </c>
      <c r="G553" s="2" t="s">
        <v>17</v>
      </c>
      <c r="H553" s="2" t="s">
        <v>23</v>
      </c>
      <c r="I553" s="6" t="s">
        <v>2954</v>
      </c>
      <c r="J553" s="2" t="str">
        <f t="shared" si="8"/>
        <v>2023-10</v>
      </c>
    </row>
    <row r="554" spans="1:10" x14ac:dyDescent="0.2">
      <c r="A554" s="2" t="s">
        <v>241</v>
      </c>
      <c r="B554" s="2" t="s">
        <v>34</v>
      </c>
      <c r="C554" s="2" t="s">
        <v>35</v>
      </c>
      <c r="D554" s="2" t="s">
        <v>2954</v>
      </c>
      <c r="E554" s="5">
        <v>45203</v>
      </c>
      <c r="F554" s="2">
        <v>26000</v>
      </c>
      <c r="G554" s="2" t="s">
        <v>17</v>
      </c>
      <c r="H554" s="2" t="s">
        <v>23</v>
      </c>
      <c r="I554" s="6" t="s">
        <v>2954</v>
      </c>
      <c r="J554" s="2" t="str">
        <f t="shared" si="8"/>
        <v>2023-10</v>
      </c>
    </row>
    <row r="555" spans="1:10" x14ac:dyDescent="0.2">
      <c r="A555" s="2" t="s">
        <v>681</v>
      </c>
      <c r="B555" s="2" t="s">
        <v>54</v>
      </c>
      <c r="C555" s="2" t="s">
        <v>109</v>
      </c>
      <c r="D555" s="2" t="s">
        <v>2954</v>
      </c>
      <c r="E555" s="5">
        <v>45202</v>
      </c>
      <c r="F555" s="2" t="s">
        <v>2954</v>
      </c>
      <c r="G555" s="2" t="s">
        <v>12</v>
      </c>
      <c r="H555" s="2" t="s">
        <v>55</v>
      </c>
      <c r="I555" s="6" t="s">
        <v>2954</v>
      </c>
      <c r="J555" s="2" t="str">
        <f t="shared" si="8"/>
        <v>2023-10</v>
      </c>
    </row>
    <row r="556" spans="1:10" x14ac:dyDescent="0.2">
      <c r="A556" s="2" t="s">
        <v>682</v>
      </c>
      <c r="B556" s="2" t="s">
        <v>34</v>
      </c>
      <c r="C556" s="2" t="s">
        <v>26</v>
      </c>
      <c r="D556" s="2" t="s">
        <v>2954</v>
      </c>
      <c r="E556" s="5">
        <v>45202</v>
      </c>
      <c r="F556" s="2">
        <v>152</v>
      </c>
      <c r="G556" s="2" t="s">
        <v>66</v>
      </c>
      <c r="H556" s="2" t="s">
        <v>23</v>
      </c>
      <c r="I556" s="6" t="s">
        <v>2954</v>
      </c>
      <c r="J556" s="2" t="str">
        <f t="shared" si="8"/>
        <v>2023-10</v>
      </c>
    </row>
    <row r="557" spans="1:10" x14ac:dyDescent="0.2">
      <c r="A557" s="2" t="s">
        <v>445</v>
      </c>
      <c r="B557" s="2" t="s">
        <v>34</v>
      </c>
      <c r="C557" s="2" t="s">
        <v>35</v>
      </c>
      <c r="D557" s="2" t="s">
        <v>2954</v>
      </c>
      <c r="E557" s="5">
        <v>45202</v>
      </c>
      <c r="F557" s="2">
        <v>35</v>
      </c>
      <c r="G557" s="2" t="s">
        <v>45</v>
      </c>
      <c r="H557" s="2" t="s">
        <v>23</v>
      </c>
      <c r="I557" s="6" t="s">
        <v>2954</v>
      </c>
      <c r="J557" s="2" t="str">
        <f t="shared" si="8"/>
        <v>2023-10</v>
      </c>
    </row>
    <row r="558" spans="1:10" x14ac:dyDescent="0.2">
      <c r="A558" s="2" t="s">
        <v>683</v>
      </c>
      <c r="B558" s="2" t="s">
        <v>25</v>
      </c>
      <c r="C558" s="2" t="s">
        <v>22</v>
      </c>
      <c r="D558" s="2">
        <v>150</v>
      </c>
      <c r="E558" s="5">
        <v>45201</v>
      </c>
      <c r="F558" s="2">
        <v>536</v>
      </c>
      <c r="G558" s="2" t="s">
        <v>62</v>
      </c>
      <c r="H558" s="2" t="s">
        <v>23</v>
      </c>
      <c r="I558" s="6">
        <v>0.15</v>
      </c>
      <c r="J558" s="2" t="str">
        <f t="shared" si="8"/>
        <v>2023-10</v>
      </c>
    </row>
    <row r="559" spans="1:10" x14ac:dyDescent="0.2">
      <c r="A559" s="2" t="s">
        <v>684</v>
      </c>
      <c r="B559" s="2" t="s">
        <v>34</v>
      </c>
      <c r="C559" s="2" t="s">
        <v>16</v>
      </c>
      <c r="D559" s="2">
        <v>86</v>
      </c>
      <c r="E559" s="5">
        <v>45201</v>
      </c>
      <c r="F559" s="2">
        <v>50</v>
      </c>
      <c r="G559" s="2" t="s">
        <v>37</v>
      </c>
      <c r="H559" s="2" t="s">
        <v>23</v>
      </c>
      <c r="I559" s="6">
        <v>0.4</v>
      </c>
      <c r="J559" s="2" t="str">
        <f t="shared" si="8"/>
        <v>2023-10</v>
      </c>
    </row>
    <row r="560" spans="1:10" x14ac:dyDescent="0.2">
      <c r="A560" s="2" t="s">
        <v>685</v>
      </c>
      <c r="B560" s="2" t="s">
        <v>34</v>
      </c>
      <c r="C560" s="2" t="s">
        <v>22</v>
      </c>
      <c r="D560" s="2">
        <v>26</v>
      </c>
      <c r="E560" s="5">
        <v>45201</v>
      </c>
      <c r="F560" s="2">
        <v>70</v>
      </c>
      <c r="G560" s="2" t="s">
        <v>75</v>
      </c>
      <c r="H560" s="2" t="s">
        <v>23</v>
      </c>
      <c r="I560" s="6">
        <v>0.37</v>
      </c>
      <c r="J560" s="2" t="str">
        <f t="shared" si="8"/>
        <v>2023-10</v>
      </c>
    </row>
    <row r="561" spans="1:10" x14ac:dyDescent="0.2">
      <c r="A561" s="2" t="s">
        <v>686</v>
      </c>
      <c r="B561" s="2" t="s">
        <v>401</v>
      </c>
      <c r="C561" s="2" t="s">
        <v>195</v>
      </c>
      <c r="D561" s="2" t="s">
        <v>2954</v>
      </c>
      <c r="E561" s="5">
        <v>45201</v>
      </c>
      <c r="F561" s="2">
        <v>428</v>
      </c>
      <c r="G561" s="2" t="s">
        <v>17</v>
      </c>
      <c r="H561" s="2" t="s">
        <v>23</v>
      </c>
      <c r="I561" s="6">
        <v>1</v>
      </c>
      <c r="J561" s="2" t="str">
        <f t="shared" si="8"/>
        <v>2023-10</v>
      </c>
    </row>
    <row r="562" spans="1:10" x14ac:dyDescent="0.2">
      <c r="A562" s="2" t="s">
        <v>687</v>
      </c>
      <c r="B562" s="2" t="s">
        <v>381</v>
      </c>
      <c r="C562" s="2" t="s">
        <v>52</v>
      </c>
      <c r="D562" s="2" t="s">
        <v>2954</v>
      </c>
      <c r="E562" s="5">
        <v>45201</v>
      </c>
      <c r="F562" s="2">
        <v>127</v>
      </c>
      <c r="G562" s="2" t="s">
        <v>17</v>
      </c>
      <c r="H562" s="2" t="s">
        <v>76</v>
      </c>
      <c r="I562" s="6" t="s">
        <v>2954</v>
      </c>
      <c r="J562" s="2" t="str">
        <f t="shared" si="8"/>
        <v>2023-10</v>
      </c>
    </row>
    <row r="563" spans="1:10" x14ac:dyDescent="0.2">
      <c r="A563" s="2" t="s">
        <v>688</v>
      </c>
      <c r="B563" s="2" t="s">
        <v>34</v>
      </c>
      <c r="C563" s="2" t="s">
        <v>16</v>
      </c>
      <c r="D563" s="2">
        <v>28</v>
      </c>
      <c r="E563" s="5">
        <v>45198</v>
      </c>
      <c r="F563" s="2">
        <v>123</v>
      </c>
      <c r="G563" s="2" t="s">
        <v>37</v>
      </c>
      <c r="H563" s="2" t="s">
        <v>23</v>
      </c>
      <c r="I563" s="6">
        <v>0.12</v>
      </c>
      <c r="J563" s="2" t="str">
        <f t="shared" si="8"/>
        <v>2023-09</v>
      </c>
    </row>
    <row r="564" spans="1:10" x14ac:dyDescent="0.2">
      <c r="A564" s="2" t="s">
        <v>689</v>
      </c>
      <c r="B564" s="2" t="s">
        <v>74</v>
      </c>
      <c r="C564" s="2" t="s">
        <v>16</v>
      </c>
      <c r="D564" s="2">
        <v>14</v>
      </c>
      <c r="E564" s="5">
        <v>45198</v>
      </c>
      <c r="F564" s="2">
        <v>1700</v>
      </c>
      <c r="G564" s="2" t="s">
        <v>128</v>
      </c>
      <c r="H564" s="2" t="s">
        <v>76</v>
      </c>
      <c r="I564" s="6" t="s">
        <v>2954</v>
      </c>
      <c r="J564" s="2" t="str">
        <f t="shared" si="8"/>
        <v>2023-09</v>
      </c>
    </row>
    <row r="565" spans="1:10" x14ac:dyDescent="0.2">
      <c r="A565" s="2" t="s">
        <v>690</v>
      </c>
      <c r="B565" s="2" t="s">
        <v>431</v>
      </c>
      <c r="C565" s="2" t="s">
        <v>68</v>
      </c>
      <c r="D565" s="2">
        <v>9</v>
      </c>
      <c r="E565" s="5">
        <v>45198</v>
      </c>
      <c r="F565" s="2">
        <v>5</v>
      </c>
      <c r="G565" s="2" t="s">
        <v>41</v>
      </c>
      <c r="H565" s="2" t="s">
        <v>106</v>
      </c>
      <c r="I565" s="6" t="s">
        <v>2954</v>
      </c>
      <c r="J565" s="2" t="str">
        <f t="shared" si="8"/>
        <v>2023-09</v>
      </c>
    </row>
    <row r="566" spans="1:10" x14ac:dyDescent="0.2">
      <c r="A566" s="2" t="s">
        <v>691</v>
      </c>
      <c r="B566" s="2" t="s">
        <v>431</v>
      </c>
      <c r="C566" s="2" t="s">
        <v>26</v>
      </c>
      <c r="D566" s="2" t="s">
        <v>2954</v>
      </c>
      <c r="E566" s="5">
        <v>45198</v>
      </c>
      <c r="F566" s="2">
        <v>178</v>
      </c>
      <c r="G566" s="2" t="s">
        <v>75</v>
      </c>
      <c r="H566" s="2" t="s">
        <v>106</v>
      </c>
      <c r="I566" s="6" t="s">
        <v>2954</v>
      </c>
      <c r="J566" s="2" t="str">
        <f t="shared" si="8"/>
        <v>2023-09</v>
      </c>
    </row>
    <row r="567" spans="1:10" x14ac:dyDescent="0.2">
      <c r="A567" s="2" t="s">
        <v>692</v>
      </c>
      <c r="B567" s="2" t="s">
        <v>693</v>
      </c>
      <c r="C567" s="2" t="s">
        <v>35</v>
      </c>
      <c r="D567" s="2">
        <v>870</v>
      </c>
      <c r="E567" s="5">
        <v>45197</v>
      </c>
      <c r="F567" s="2">
        <v>6400</v>
      </c>
      <c r="G567" s="2" t="s">
        <v>12</v>
      </c>
      <c r="H567" s="2" t="s">
        <v>23</v>
      </c>
      <c r="I567" s="6">
        <v>0.16</v>
      </c>
      <c r="J567" s="2" t="str">
        <f t="shared" si="8"/>
        <v>2023-09</v>
      </c>
    </row>
    <row r="568" spans="1:10" x14ac:dyDescent="0.2">
      <c r="A568" s="2" t="s">
        <v>694</v>
      </c>
      <c r="B568" s="2" t="s">
        <v>25</v>
      </c>
      <c r="C568" s="2" t="s">
        <v>117</v>
      </c>
      <c r="D568" s="2">
        <v>120</v>
      </c>
      <c r="E568" s="5">
        <v>45197</v>
      </c>
      <c r="F568" s="2">
        <v>75</v>
      </c>
      <c r="G568" s="2" t="s">
        <v>45</v>
      </c>
      <c r="H568" s="2" t="s">
        <v>23</v>
      </c>
      <c r="I568" s="6" t="s">
        <v>2954</v>
      </c>
      <c r="J568" s="2" t="str">
        <f t="shared" si="8"/>
        <v>2023-09</v>
      </c>
    </row>
    <row r="569" spans="1:10" x14ac:dyDescent="0.2">
      <c r="A569" s="2" t="s">
        <v>400</v>
      </c>
      <c r="B569" s="2" t="s">
        <v>401</v>
      </c>
      <c r="C569" s="2" t="s">
        <v>61</v>
      </c>
      <c r="D569" s="2" t="s">
        <v>2954</v>
      </c>
      <c r="E569" s="5">
        <v>45197</v>
      </c>
      <c r="F569" s="2">
        <v>426</v>
      </c>
      <c r="G569" s="2" t="s">
        <v>17</v>
      </c>
      <c r="H569" s="2" t="s">
        <v>23</v>
      </c>
      <c r="I569" s="6" t="s">
        <v>2954</v>
      </c>
      <c r="J569" s="2" t="str">
        <f t="shared" si="8"/>
        <v>2023-09</v>
      </c>
    </row>
    <row r="570" spans="1:10" x14ac:dyDescent="0.2">
      <c r="A570" s="2" t="s">
        <v>695</v>
      </c>
      <c r="B570" s="2" t="s">
        <v>74</v>
      </c>
      <c r="C570" s="2" t="s">
        <v>142</v>
      </c>
      <c r="D570" s="2" t="s">
        <v>2954</v>
      </c>
      <c r="E570" s="5">
        <v>45197</v>
      </c>
      <c r="F570" s="2" t="s">
        <v>2954</v>
      </c>
      <c r="G570" s="2" t="s">
        <v>45</v>
      </c>
      <c r="H570" s="2" t="s">
        <v>23</v>
      </c>
      <c r="I570" s="6">
        <v>1</v>
      </c>
      <c r="J570" s="2" t="str">
        <f t="shared" si="8"/>
        <v>2023-09</v>
      </c>
    </row>
    <row r="571" spans="1:10" x14ac:dyDescent="0.2">
      <c r="A571" s="2" t="s">
        <v>324</v>
      </c>
      <c r="B571" s="2" t="s">
        <v>47</v>
      </c>
      <c r="C571" s="2" t="s">
        <v>35</v>
      </c>
      <c r="D571" s="2">
        <v>170</v>
      </c>
      <c r="E571" s="5">
        <v>45196</v>
      </c>
      <c r="F571" s="2">
        <v>4900</v>
      </c>
      <c r="G571" s="2" t="s">
        <v>17</v>
      </c>
      <c r="H571" s="2" t="s">
        <v>23</v>
      </c>
      <c r="I571" s="6" t="s">
        <v>2954</v>
      </c>
      <c r="J571" s="2" t="str">
        <f t="shared" si="8"/>
        <v>2023-09</v>
      </c>
    </row>
    <row r="572" spans="1:10" x14ac:dyDescent="0.2">
      <c r="A572" s="2" t="s">
        <v>696</v>
      </c>
      <c r="B572" s="2" t="s">
        <v>100</v>
      </c>
      <c r="C572" s="2" t="s">
        <v>16</v>
      </c>
      <c r="D572" s="2">
        <v>30</v>
      </c>
      <c r="E572" s="5">
        <v>45196</v>
      </c>
      <c r="F572" s="2">
        <v>137</v>
      </c>
      <c r="G572" s="2" t="s">
        <v>66</v>
      </c>
      <c r="H572" s="2" t="s">
        <v>98</v>
      </c>
      <c r="I572" s="6">
        <v>0.1</v>
      </c>
      <c r="J572" s="2" t="str">
        <f t="shared" si="8"/>
        <v>2023-09</v>
      </c>
    </row>
    <row r="573" spans="1:10" x14ac:dyDescent="0.2">
      <c r="A573" s="2" t="s">
        <v>697</v>
      </c>
      <c r="B573" s="2" t="s">
        <v>100</v>
      </c>
      <c r="C573" s="2" t="s">
        <v>11</v>
      </c>
      <c r="D573" s="2">
        <v>150</v>
      </c>
      <c r="E573" s="5">
        <v>45195</v>
      </c>
      <c r="F573" s="2">
        <v>458</v>
      </c>
      <c r="G573" s="2" t="s">
        <v>12</v>
      </c>
      <c r="H573" s="2" t="s">
        <v>98</v>
      </c>
      <c r="I573" s="6">
        <v>0.3</v>
      </c>
      <c r="J573" s="2" t="str">
        <f t="shared" si="8"/>
        <v>2023-09</v>
      </c>
    </row>
    <row r="574" spans="1:10" x14ac:dyDescent="0.2">
      <c r="A574" s="2" t="s">
        <v>460</v>
      </c>
      <c r="B574" s="2" t="s">
        <v>28</v>
      </c>
      <c r="C574" s="2" t="s">
        <v>170</v>
      </c>
      <c r="D574" s="2">
        <v>131</v>
      </c>
      <c r="E574" s="5">
        <v>45195</v>
      </c>
      <c r="F574" s="2">
        <v>263</v>
      </c>
      <c r="G574" s="2" t="s">
        <v>75</v>
      </c>
      <c r="H574" s="2" t="s">
        <v>23</v>
      </c>
      <c r="I574" s="6">
        <v>0.33</v>
      </c>
      <c r="J574" s="2" t="str">
        <f t="shared" si="8"/>
        <v>2023-09</v>
      </c>
    </row>
    <row r="575" spans="1:10" x14ac:dyDescent="0.2">
      <c r="A575" s="2" t="s">
        <v>698</v>
      </c>
      <c r="B575" s="2" t="s">
        <v>34</v>
      </c>
      <c r="C575" s="2" t="s">
        <v>113</v>
      </c>
      <c r="D575" s="2" t="s">
        <v>2954</v>
      </c>
      <c r="E575" s="5">
        <v>45195</v>
      </c>
      <c r="F575" s="2">
        <v>497</v>
      </c>
      <c r="G575" s="2" t="s">
        <v>75</v>
      </c>
      <c r="H575" s="2" t="s">
        <v>23</v>
      </c>
      <c r="I575" s="6" t="s">
        <v>2954</v>
      </c>
      <c r="J575" s="2" t="str">
        <f t="shared" si="8"/>
        <v>2023-09</v>
      </c>
    </row>
    <row r="576" spans="1:10" x14ac:dyDescent="0.2">
      <c r="A576" s="2" t="s">
        <v>699</v>
      </c>
      <c r="B576" s="2" t="s">
        <v>147</v>
      </c>
      <c r="C576" s="2" t="s">
        <v>29</v>
      </c>
      <c r="D576" s="2">
        <v>75</v>
      </c>
      <c r="E576" s="5">
        <v>45194</v>
      </c>
      <c r="F576" s="2">
        <v>170</v>
      </c>
      <c r="G576" s="2" t="s">
        <v>128</v>
      </c>
      <c r="H576" s="2" t="s">
        <v>23</v>
      </c>
      <c r="I576" s="6">
        <v>7.0000000000000007E-2</v>
      </c>
      <c r="J576" s="2" t="str">
        <f t="shared" si="8"/>
        <v>2023-09</v>
      </c>
    </row>
    <row r="577" spans="1:10" x14ac:dyDescent="0.2">
      <c r="A577" s="2" t="s">
        <v>700</v>
      </c>
      <c r="B577" s="2" t="s">
        <v>34</v>
      </c>
      <c r="C577" s="2" t="s">
        <v>11</v>
      </c>
      <c r="D577" s="2">
        <v>40</v>
      </c>
      <c r="E577" s="5">
        <v>45191</v>
      </c>
      <c r="F577" s="2">
        <v>465</v>
      </c>
      <c r="G577" s="2" t="s">
        <v>12</v>
      </c>
      <c r="H577" s="2" t="s">
        <v>23</v>
      </c>
      <c r="I577" s="6" t="s">
        <v>2954</v>
      </c>
      <c r="J577" s="2" t="str">
        <f t="shared" si="8"/>
        <v>2023-09</v>
      </c>
    </row>
    <row r="578" spans="1:10" x14ac:dyDescent="0.2">
      <c r="A578" s="2" t="s">
        <v>701</v>
      </c>
      <c r="B578" s="2" t="s">
        <v>34</v>
      </c>
      <c r="C578" s="2" t="s">
        <v>12</v>
      </c>
      <c r="D578" s="2">
        <v>35</v>
      </c>
      <c r="E578" s="5">
        <v>45191</v>
      </c>
      <c r="F578" s="2">
        <v>51</v>
      </c>
      <c r="G578" s="2" t="s">
        <v>37</v>
      </c>
      <c r="H578" s="2" t="s">
        <v>23</v>
      </c>
      <c r="I578" s="6">
        <v>0.25</v>
      </c>
      <c r="J578" s="2" t="str">
        <f t="shared" si="8"/>
        <v>2023-09</v>
      </c>
    </row>
    <row r="579" spans="1:10" x14ac:dyDescent="0.2">
      <c r="A579" s="2" t="s">
        <v>702</v>
      </c>
      <c r="B579" s="2" t="s">
        <v>25</v>
      </c>
      <c r="C579" s="2" t="s">
        <v>35</v>
      </c>
      <c r="D579" s="2">
        <v>30</v>
      </c>
      <c r="E579" s="5">
        <v>45191</v>
      </c>
      <c r="F579" s="2">
        <v>857</v>
      </c>
      <c r="G579" s="2" t="s">
        <v>17</v>
      </c>
      <c r="H579" s="2" t="s">
        <v>23</v>
      </c>
      <c r="I579" s="6" t="s">
        <v>2954</v>
      </c>
      <c r="J579" s="2" t="str">
        <f t="shared" ref="J579:J642" si="9">TEXT(E579,"YYYY-MM")</f>
        <v>2023-09</v>
      </c>
    </row>
    <row r="580" spans="1:10" x14ac:dyDescent="0.2">
      <c r="A580" s="2" t="s">
        <v>703</v>
      </c>
      <c r="B580" s="2" t="s">
        <v>217</v>
      </c>
      <c r="C580" s="2" t="s">
        <v>11</v>
      </c>
      <c r="D580" s="2" t="s">
        <v>2954</v>
      </c>
      <c r="E580" s="5">
        <v>45191</v>
      </c>
      <c r="F580" s="2">
        <v>749</v>
      </c>
      <c r="G580" s="2" t="s">
        <v>45</v>
      </c>
      <c r="H580" s="2" t="s">
        <v>217</v>
      </c>
      <c r="I580" s="6" t="s">
        <v>2954</v>
      </c>
      <c r="J580" s="2" t="str">
        <f t="shared" si="9"/>
        <v>2023-09</v>
      </c>
    </row>
    <row r="581" spans="1:10" x14ac:dyDescent="0.2">
      <c r="A581" s="2" t="s">
        <v>704</v>
      </c>
      <c r="B581" s="2" t="s">
        <v>705</v>
      </c>
      <c r="C581" s="2" t="s">
        <v>235</v>
      </c>
      <c r="D581" s="2" t="s">
        <v>2954</v>
      </c>
      <c r="E581" s="5">
        <v>45191</v>
      </c>
      <c r="F581" s="2">
        <v>14</v>
      </c>
      <c r="G581" s="2" t="s">
        <v>41</v>
      </c>
      <c r="H581" s="2" t="s">
        <v>55</v>
      </c>
      <c r="I581" s="6">
        <v>1</v>
      </c>
      <c r="J581" s="2" t="str">
        <f t="shared" si="9"/>
        <v>2023-09</v>
      </c>
    </row>
    <row r="582" spans="1:10" x14ac:dyDescent="0.2">
      <c r="A582" s="2" t="s">
        <v>706</v>
      </c>
      <c r="B582" s="2" t="s">
        <v>100</v>
      </c>
      <c r="C582" s="2" t="s">
        <v>142</v>
      </c>
      <c r="D582" s="2">
        <v>130</v>
      </c>
      <c r="E582" s="5">
        <v>45190</v>
      </c>
      <c r="F582" s="2">
        <v>390</v>
      </c>
      <c r="G582" s="2" t="s">
        <v>128</v>
      </c>
      <c r="H582" s="2" t="s">
        <v>98</v>
      </c>
      <c r="I582" s="6" t="s">
        <v>2954</v>
      </c>
      <c r="J582" s="2" t="str">
        <f t="shared" si="9"/>
        <v>2023-09</v>
      </c>
    </row>
    <row r="583" spans="1:10" x14ac:dyDescent="0.2">
      <c r="A583" s="2" t="s">
        <v>707</v>
      </c>
      <c r="B583" s="2" t="s">
        <v>167</v>
      </c>
      <c r="C583" s="2" t="s">
        <v>32</v>
      </c>
      <c r="D583" s="2">
        <v>100</v>
      </c>
      <c r="E583" s="5">
        <v>45190</v>
      </c>
      <c r="F583" s="2" t="s">
        <v>2954</v>
      </c>
      <c r="G583" s="2" t="s">
        <v>45</v>
      </c>
      <c r="H583" s="2" t="s">
        <v>23</v>
      </c>
      <c r="I583" s="6" t="s">
        <v>2954</v>
      </c>
      <c r="J583" s="2" t="str">
        <f t="shared" si="9"/>
        <v>2023-09</v>
      </c>
    </row>
    <row r="584" spans="1:10" x14ac:dyDescent="0.2">
      <c r="A584" s="2" t="s">
        <v>708</v>
      </c>
      <c r="B584" s="2" t="s">
        <v>34</v>
      </c>
      <c r="C584" s="2" t="s">
        <v>16</v>
      </c>
      <c r="D584" s="2" t="s">
        <v>2954</v>
      </c>
      <c r="E584" s="5">
        <v>45190</v>
      </c>
      <c r="F584" s="2">
        <v>5600</v>
      </c>
      <c r="G584" s="2" t="s">
        <v>17</v>
      </c>
      <c r="H584" s="2" t="s">
        <v>23</v>
      </c>
      <c r="I584" s="6" t="s">
        <v>2954</v>
      </c>
      <c r="J584" s="2" t="str">
        <f t="shared" si="9"/>
        <v>2023-09</v>
      </c>
    </row>
    <row r="585" spans="1:10" x14ac:dyDescent="0.2">
      <c r="A585" s="2" t="s">
        <v>709</v>
      </c>
      <c r="B585" s="2" t="s">
        <v>100</v>
      </c>
      <c r="C585" s="2" t="s">
        <v>16</v>
      </c>
      <c r="D585" s="2" t="s">
        <v>2954</v>
      </c>
      <c r="E585" s="5">
        <v>45189</v>
      </c>
      <c r="F585" s="2">
        <v>4</v>
      </c>
      <c r="G585" s="2" t="s">
        <v>132</v>
      </c>
      <c r="H585" s="2" t="s">
        <v>98</v>
      </c>
      <c r="I585" s="6">
        <v>1</v>
      </c>
      <c r="J585" s="2" t="str">
        <f t="shared" si="9"/>
        <v>2023-09</v>
      </c>
    </row>
    <row r="586" spans="1:10" x14ac:dyDescent="0.2">
      <c r="A586" s="2" t="s">
        <v>710</v>
      </c>
      <c r="B586" s="2" t="s">
        <v>28</v>
      </c>
      <c r="C586" s="2" t="s">
        <v>50</v>
      </c>
      <c r="D586" s="2" t="s">
        <v>2954</v>
      </c>
      <c r="E586" s="5">
        <v>45189</v>
      </c>
      <c r="F586" s="2">
        <v>489</v>
      </c>
      <c r="G586" s="2" t="s">
        <v>58</v>
      </c>
      <c r="H586" s="2" t="s">
        <v>23</v>
      </c>
      <c r="I586" s="6">
        <v>0.12</v>
      </c>
      <c r="J586" s="2" t="str">
        <f t="shared" si="9"/>
        <v>2023-09</v>
      </c>
    </row>
    <row r="587" spans="1:10" x14ac:dyDescent="0.2">
      <c r="A587" s="2" t="s">
        <v>711</v>
      </c>
      <c r="B587" s="2" t="s">
        <v>34</v>
      </c>
      <c r="C587" s="2" t="s">
        <v>148</v>
      </c>
      <c r="D587" s="2" t="s">
        <v>2954</v>
      </c>
      <c r="E587" s="5">
        <v>45189</v>
      </c>
      <c r="F587" s="2" t="s">
        <v>2954</v>
      </c>
      <c r="G587" s="2" t="s">
        <v>12</v>
      </c>
      <c r="H587" s="2" t="s">
        <v>23</v>
      </c>
      <c r="I587" s="6" t="s">
        <v>2954</v>
      </c>
      <c r="J587" s="2" t="str">
        <f t="shared" si="9"/>
        <v>2023-09</v>
      </c>
    </row>
    <row r="588" spans="1:10" x14ac:dyDescent="0.2">
      <c r="A588" s="2" t="s">
        <v>712</v>
      </c>
      <c r="B588" s="2" t="s">
        <v>34</v>
      </c>
      <c r="C588" s="2" t="s">
        <v>11</v>
      </c>
      <c r="D588" s="2" t="s">
        <v>2954</v>
      </c>
      <c r="E588" s="5">
        <v>45187</v>
      </c>
      <c r="F588" s="2">
        <v>10</v>
      </c>
      <c r="G588" s="2" t="s">
        <v>132</v>
      </c>
      <c r="H588" s="2" t="s">
        <v>23</v>
      </c>
      <c r="I588" s="6">
        <v>1</v>
      </c>
      <c r="J588" s="2" t="str">
        <f t="shared" si="9"/>
        <v>2023-09</v>
      </c>
    </row>
    <row r="589" spans="1:10" x14ac:dyDescent="0.2">
      <c r="A589" s="2" t="s">
        <v>295</v>
      </c>
      <c r="B589" s="2" t="s">
        <v>34</v>
      </c>
      <c r="C589" s="2" t="s">
        <v>48</v>
      </c>
      <c r="D589" s="2">
        <v>350</v>
      </c>
      <c r="E589" s="5">
        <v>45186</v>
      </c>
      <c r="F589" s="2">
        <v>2</v>
      </c>
      <c r="G589" s="2" t="s">
        <v>17</v>
      </c>
      <c r="H589" s="2" t="s">
        <v>23</v>
      </c>
      <c r="I589" s="6" t="s">
        <v>2954</v>
      </c>
      <c r="J589" s="2" t="str">
        <f t="shared" si="9"/>
        <v>2023-09</v>
      </c>
    </row>
    <row r="590" spans="1:10" x14ac:dyDescent="0.2">
      <c r="A590" s="2" t="s">
        <v>713</v>
      </c>
      <c r="B590" s="2" t="s">
        <v>34</v>
      </c>
      <c r="C590" s="2" t="s">
        <v>11</v>
      </c>
      <c r="D590" s="2" t="s">
        <v>2954</v>
      </c>
      <c r="E590" s="5">
        <v>45186</v>
      </c>
      <c r="F590" s="2">
        <v>7</v>
      </c>
      <c r="G590" s="2" t="s">
        <v>132</v>
      </c>
      <c r="H590" s="2" t="s">
        <v>23</v>
      </c>
      <c r="I590" s="6">
        <v>1</v>
      </c>
      <c r="J590" s="2" t="str">
        <f t="shared" si="9"/>
        <v>2023-09</v>
      </c>
    </row>
    <row r="591" spans="1:10" x14ac:dyDescent="0.2">
      <c r="A591" s="2" t="s">
        <v>714</v>
      </c>
      <c r="B591" s="2" t="s">
        <v>89</v>
      </c>
      <c r="C591" s="2" t="s">
        <v>32</v>
      </c>
      <c r="D591" s="2">
        <v>290</v>
      </c>
      <c r="E591" s="5">
        <v>45184</v>
      </c>
      <c r="F591" s="2">
        <v>438</v>
      </c>
      <c r="G591" s="2" t="s">
        <v>17</v>
      </c>
      <c r="H591" s="2" t="s">
        <v>23</v>
      </c>
      <c r="I591" s="6" t="s">
        <v>2954</v>
      </c>
      <c r="J591" s="2" t="str">
        <f t="shared" si="9"/>
        <v>2023-09</v>
      </c>
    </row>
    <row r="592" spans="1:10" x14ac:dyDescent="0.2">
      <c r="A592" s="2" t="s">
        <v>715</v>
      </c>
      <c r="B592" s="2" t="s">
        <v>431</v>
      </c>
      <c r="C592" s="2" t="s">
        <v>11</v>
      </c>
      <c r="D592" s="2">
        <v>30</v>
      </c>
      <c r="E592" s="5">
        <v>45184</v>
      </c>
      <c r="F592" s="2">
        <v>131</v>
      </c>
      <c r="G592" s="2" t="s">
        <v>66</v>
      </c>
      <c r="H592" s="2" t="s">
        <v>106</v>
      </c>
      <c r="I592" s="6">
        <v>7.0000000000000007E-2</v>
      </c>
      <c r="J592" s="2" t="str">
        <f t="shared" si="9"/>
        <v>2023-09</v>
      </c>
    </row>
    <row r="593" spans="1:10" x14ac:dyDescent="0.2">
      <c r="A593" s="2" t="s">
        <v>716</v>
      </c>
      <c r="B593" s="2" t="s">
        <v>100</v>
      </c>
      <c r="C593" s="2" t="s">
        <v>16</v>
      </c>
      <c r="D593" s="2" t="s">
        <v>2954</v>
      </c>
      <c r="E593" s="5">
        <v>45184</v>
      </c>
      <c r="F593" s="2">
        <v>30</v>
      </c>
      <c r="G593" s="2" t="s">
        <v>41</v>
      </c>
      <c r="H593" s="2" t="s">
        <v>98</v>
      </c>
      <c r="I593" s="6">
        <v>0.14000000000000001</v>
      </c>
      <c r="J593" s="2" t="str">
        <f t="shared" si="9"/>
        <v>2023-09</v>
      </c>
    </row>
    <row r="594" spans="1:10" x14ac:dyDescent="0.2">
      <c r="A594" s="2" t="s">
        <v>717</v>
      </c>
      <c r="B594" s="2" t="s">
        <v>34</v>
      </c>
      <c r="C594" s="2" t="s">
        <v>78</v>
      </c>
      <c r="D594" s="2">
        <v>237</v>
      </c>
      <c r="E594" s="5">
        <v>45183</v>
      </c>
      <c r="F594" s="2">
        <v>1400</v>
      </c>
      <c r="G594" s="2" t="s">
        <v>62</v>
      </c>
      <c r="H594" s="2" t="s">
        <v>23</v>
      </c>
      <c r="I594" s="6">
        <v>0.27</v>
      </c>
      <c r="J594" s="2" t="str">
        <f t="shared" si="9"/>
        <v>2023-09</v>
      </c>
    </row>
    <row r="595" spans="1:10" x14ac:dyDescent="0.2">
      <c r="A595" s="2" t="s">
        <v>718</v>
      </c>
      <c r="B595" s="2" t="s">
        <v>314</v>
      </c>
      <c r="C595" s="2" t="s">
        <v>170</v>
      </c>
      <c r="D595" s="2">
        <v>116</v>
      </c>
      <c r="E595" s="5">
        <v>45183</v>
      </c>
      <c r="F595" s="2">
        <v>817</v>
      </c>
      <c r="G595" s="2" t="s">
        <v>12</v>
      </c>
      <c r="H595" s="2" t="s">
        <v>23</v>
      </c>
      <c r="I595" s="6" t="s">
        <v>2954</v>
      </c>
      <c r="J595" s="2" t="str">
        <f t="shared" si="9"/>
        <v>2023-09</v>
      </c>
    </row>
    <row r="596" spans="1:10" x14ac:dyDescent="0.2">
      <c r="A596" s="2" t="s">
        <v>472</v>
      </c>
      <c r="B596" s="2" t="s">
        <v>47</v>
      </c>
      <c r="C596" s="2" t="s">
        <v>26</v>
      </c>
      <c r="D596" s="2">
        <v>40</v>
      </c>
      <c r="E596" s="5">
        <v>45183</v>
      </c>
      <c r="F596" s="2">
        <v>456</v>
      </c>
      <c r="G596" s="2" t="s">
        <v>62</v>
      </c>
      <c r="H596" s="2" t="s">
        <v>23</v>
      </c>
      <c r="I596" s="6">
        <v>0.1</v>
      </c>
      <c r="J596" s="2" t="str">
        <f t="shared" si="9"/>
        <v>2023-09</v>
      </c>
    </row>
    <row r="597" spans="1:10" x14ac:dyDescent="0.2">
      <c r="A597" s="2" t="s">
        <v>719</v>
      </c>
      <c r="B597" s="2" t="s">
        <v>25</v>
      </c>
      <c r="C597" s="2" t="s">
        <v>22</v>
      </c>
      <c r="D597" s="2" t="s">
        <v>2954</v>
      </c>
      <c r="E597" s="5">
        <v>45183</v>
      </c>
      <c r="F597" s="2">
        <v>112</v>
      </c>
      <c r="G597" s="2" t="s">
        <v>41</v>
      </c>
      <c r="H597" s="2" t="s">
        <v>23</v>
      </c>
      <c r="I597" s="6">
        <v>0.2</v>
      </c>
      <c r="J597" s="2" t="str">
        <f t="shared" si="9"/>
        <v>2023-09</v>
      </c>
    </row>
    <row r="598" spans="1:10" x14ac:dyDescent="0.2">
      <c r="A598" s="2" t="s">
        <v>33</v>
      </c>
      <c r="B598" s="2" t="s">
        <v>34</v>
      </c>
      <c r="C598" s="2" t="s">
        <v>35</v>
      </c>
      <c r="D598" s="2">
        <v>75</v>
      </c>
      <c r="E598" s="5">
        <v>45182</v>
      </c>
      <c r="F598" s="2">
        <v>26</v>
      </c>
      <c r="G598" s="2" t="s">
        <v>17</v>
      </c>
      <c r="H598" s="2" t="s">
        <v>23</v>
      </c>
      <c r="I598" s="6" t="s">
        <v>2954</v>
      </c>
      <c r="J598" s="2" t="str">
        <f t="shared" si="9"/>
        <v>2023-09</v>
      </c>
    </row>
    <row r="599" spans="1:10" x14ac:dyDescent="0.2">
      <c r="A599" s="2" t="s">
        <v>720</v>
      </c>
      <c r="B599" s="2" t="s">
        <v>89</v>
      </c>
      <c r="C599" s="2" t="s">
        <v>32</v>
      </c>
      <c r="D599" s="2" t="s">
        <v>2954</v>
      </c>
      <c r="E599" s="5">
        <v>45182</v>
      </c>
      <c r="F599" s="2">
        <v>301</v>
      </c>
      <c r="G599" s="2" t="s">
        <v>17</v>
      </c>
      <c r="H599" s="2" t="s">
        <v>23</v>
      </c>
      <c r="I599" s="6">
        <v>0.4</v>
      </c>
      <c r="J599" s="2" t="str">
        <f t="shared" si="9"/>
        <v>2023-09</v>
      </c>
    </row>
    <row r="600" spans="1:10" x14ac:dyDescent="0.2">
      <c r="A600" s="2" t="s">
        <v>721</v>
      </c>
      <c r="B600" s="2" t="s">
        <v>60</v>
      </c>
      <c r="C600" s="2" t="s">
        <v>44</v>
      </c>
      <c r="D600" s="2">
        <v>175</v>
      </c>
      <c r="E600" s="5">
        <v>45181</v>
      </c>
      <c r="F600" s="2">
        <v>224</v>
      </c>
      <c r="G600" s="2" t="s">
        <v>62</v>
      </c>
      <c r="H600" s="2" t="s">
        <v>23</v>
      </c>
      <c r="I600" s="6">
        <v>0.2</v>
      </c>
      <c r="J600" s="2" t="str">
        <f t="shared" si="9"/>
        <v>2023-09</v>
      </c>
    </row>
    <row r="601" spans="1:10" x14ac:dyDescent="0.2">
      <c r="A601" s="2" t="s">
        <v>722</v>
      </c>
      <c r="B601" s="2" t="s">
        <v>34</v>
      </c>
      <c r="C601" s="2" t="s">
        <v>22</v>
      </c>
      <c r="D601" s="2">
        <v>100</v>
      </c>
      <c r="E601" s="5">
        <v>45181</v>
      </c>
      <c r="F601" s="2" t="s">
        <v>2954</v>
      </c>
      <c r="G601" s="2" t="s">
        <v>214</v>
      </c>
      <c r="H601" s="2" t="s">
        <v>23</v>
      </c>
      <c r="I601" s="6">
        <v>0.33</v>
      </c>
      <c r="J601" s="2" t="str">
        <f t="shared" si="9"/>
        <v>2023-09</v>
      </c>
    </row>
    <row r="602" spans="1:10" x14ac:dyDescent="0.2">
      <c r="A602" s="2" t="s">
        <v>723</v>
      </c>
      <c r="B602" s="2" t="s">
        <v>188</v>
      </c>
      <c r="C602" s="2" t="s">
        <v>61</v>
      </c>
      <c r="D602" s="2">
        <v>87</v>
      </c>
      <c r="E602" s="5">
        <v>45181</v>
      </c>
      <c r="F602" s="2">
        <v>389</v>
      </c>
      <c r="G602" s="2" t="s">
        <v>75</v>
      </c>
      <c r="H602" s="2" t="s">
        <v>106</v>
      </c>
      <c r="I602" s="6">
        <v>0.03</v>
      </c>
      <c r="J602" s="2" t="str">
        <f t="shared" si="9"/>
        <v>2023-09</v>
      </c>
    </row>
    <row r="603" spans="1:10" x14ac:dyDescent="0.2">
      <c r="A603" s="2" t="s">
        <v>724</v>
      </c>
      <c r="B603" s="2" t="s">
        <v>74</v>
      </c>
      <c r="C603" s="2" t="s">
        <v>148</v>
      </c>
      <c r="D603" s="2">
        <v>40</v>
      </c>
      <c r="E603" s="5">
        <v>45181</v>
      </c>
      <c r="F603" s="2">
        <v>71</v>
      </c>
      <c r="G603" s="2" t="s">
        <v>12</v>
      </c>
      <c r="H603" s="2" t="s">
        <v>76</v>
      </c>
      <c r="I603" s="6">
        <v>0.2</v>
      </c>
      <c r="J603" s="2" t="str">
        <f t="shared" si="9"/>
        <v>2023-09</v>
      </c>
    </row>
    <row r="604" spans="1:10" x14ac:dyDescent="0.2">
      <c r="A604" s="2" t="s">
        <v>725</v>
      </c>
      <c r="B604" s="2" t="s">
        <v>34</v>
      </c>
      <c r="C604" s="2" t="s">
        <v>195</v>
      </c>
      <c r="D604" s="2">
        <v>27</v>
      </c>
      <c r="E604" s="5">
        <v>45181</v>
      </c>
      <c r="F604" s="2">
        <v>296</v>
      </c>
      <c r="G604" s="2" t="s">
        <v>12</v>
      </c>
      <c r="H604" s="2" t="s">
        <v>23</v>
      </c>
      <c r="I604" s="6">
        <v>0.09</v>
      </c>
      <c r="J604" s="2" t="str">
        <f t="shared" si="9"/>
        <v>2023-09</v>
      </c>
    </row>
    <row r="605" spans="1:10" x14ac:dyDescent="0.2">
      <c r="A605" s="2" t="s">
        <v>726</v>
      </c>
      <c r="B605" s="2" t="s">
        <v>416</v>
      </c>
      <c r="C605" s="2" t="s">
        <v>29</v>
      </c>
      <c r="D605" s="2">
        <v>111</v>
      </c>
      <c r="E605" s="5">
        <v>45180</v>
      </c>
      <c r="F605" s="2">
        <v>42</v>
      </c>
      <c r="G605" s="2" t="s">
        <v>41</v>
      </c>
      <c r="H605" s="2" t="s">
        <v>417</v>
      </c>
      <c r="I605" s="6" t="s">
        <v>2954</v>
      </c>
      <c r="J605" s="2" t="str">
        <f t="shared" si="9"/>
        <v>2023-09</v>
      </c>
    </row>
    <row r="606" spans="1:10" x14ac:dyDescent="0.2">
      <c r="A606" s="2" t="s">
        <v>727</v>
      </c>
      <c r="B606" s="2" t="s">
        <v>34</v>
      </c>
      <c r="C606" s="2" t="s">
        <v>16</v>
      </c>
      <c r="D606" s="2">
        <v>100</v>
      </c>
      <c r="E606" s="5">
        <v>45180</v>
      </c>
      <c r="F606" s="2">
        <v>468</v>
      </c>
      <c r="G606" s="2" t="s">
        <v>81</v>
      </c>
      <c r="H606" s="2" t="s">
        <v>23</v>
      </c>
      <c r="I606" s="6">
        <v>0.1</v>
      </c>
      <c r="J606" s="2" t="str">
        <f t="shared" si="9"/>
        <v>2023-09</v>
      </c>
    </row>
    <row r="607" spans="1:10" x14ac:dyDescent="0.2">
      <c r="A607" s="2" t="s">
        <v>728</v>
      </c>
      <c r="B607" s="2" t="s">
        <v>34</v>
      </c>
      <c r="C607" s="2" t="s">
        <v>148</v>
      </c>
      <c r="D607" s="2">
        <v>94</v>
      </c>
      <c r="E607" s="5">
        <v>45180</v>
      </c>
      <c r="F607" s="2">
        <v>180</v>
      </c>
      <c r="G607" s="2" t="s">
        <v>37</v>
      </c>
      <c r="H607" s="2" t="s">
        <v>23</v>
      </c>
      <c r="I607" s="6" t="s">
        <v>2954</v>
      </c>
      <c r="J607" s="2" t="str">
        <f t="shared" si="9"/>
        <v>2023-09</v>
      </c>
    </row>
    <row r="608" spans="1:10" x14ac:dyDescent="0.2">
      <c r="A608" s="2" t="s">
        <v>729</v>
      </c>
      <c r="B608" s="2" t="s">
        <v>34</v>
      </c>
      <c r="C608" s="2" t="s">
        <v>11</v>
      </c>
      <c r="D608" s="2">
        <v>34</v>
      </c>
      <c r="E608" s="5">
        <v>45180</v>
      </c>
      <c r="F608" s="2">
        <v>94</v>
      </c>
      <c r="G608" s="2" t="s">
        <v>12</v>
      </c>
      <c r="H608" s="2" t="s">
        <v>23</v>
      </c>
      <c r="I608" s="6">
        <v>0.4</v>
      </c>
      <c r="J608" s="2" t="str">
        <f t="shared" si="9"/>
        <v>2023-09</v>
      </c>
    </row>
    <row r="609" spans="1:10" x14ac:dyDescent="0.2">
      <c r="A609" s="2" t="s">
        <v>730</v>
      </c>
      <c r="B609" s="2" t="s">
        <v>86</v>
      </c>
      <c r="C609" s="2" t="s">
        <v>29</v>
      </c>
      <c r="D609" s="2" t="s">
        <v>2954</v>
      </c>
      <c r="E609" s="5">
        <v>45180</v>
      </c>
      <c r="F609" s="2" t="s">
        <v>2954</v>
      </c>
      <c r="G609" s="2" t="s">
        <v>12</v>
      </c>
      <c r="H609" s="2" t="s">
        <v>23</v>
      </c>
      <c r="I609" s="6" t="s">
        <v>2954</v>
      </c>
      <c r="J609" s="2" t="str">
        <f t="shared" si="9"/>
        <v>2023-09</v>
      </c>
    </row>
    <row r="610" spans="1:10" x14ac:dyDescent="0.2">
      <c r="A610" s="2" t="s">
        <v>731</v>
      </c>
      <c r="B610" s="2" t="s">
        <v>245</v>
      </c>
      <c r="C610" s="2" t="s">
        <v>16</v>
      </c>
      <c r="D610" s="2" t="s">
        <v>2954</v>
      </c>
      <c r="E610" s="5">
        <v>45180</v>
      </c>
      <c r="F610" s="2">
        <v>928</v>
      </c>
      <c r="G610" s="2" t="s">
        <v>66</v>
      </c>
      <c r="H610" s="2" t="s">
        <v>246</v>
      </c>
      <c r="I610" s="6" t="s">
        <v>2954</v>
      </c>
      <c r="J610" s="2" t="str">
        <f t="shared" si="9"/>
        <v>2023-09</v>
      </c>
    </row>
    <row r="611" spans="1:10" x14ac:dyDescent="0.2">
      <c r="A611" s="2" t="s">
        <v>732</v>
      </c>
      <c r="B611" s="2" t="s">
        <v>733</v>
      </c>
      <c r="C611" s="2" t="s">
        <v>68</v>
      </c>
      <c r="D611" s="2" t="s">
        <v>2954</v>
      </c>
      <c r="E611" s="5">
        <v>45180</v>
      </c>
      <c r="F611" s="2">
        <v>224</v>
      </c>
      <c r="G611" s="2" t="s">
        <v>66</v>
      </c>
      <c r="H611" s="2" t="s">
        <v>23</v>
      </c>
      <c r="I611" s="6" t="s">
        <v>2954</v>
      </c>
      <c r="J611" s="2" t="str">
        <f t="shared" si="9"/>
        <v>2023-09</v>
      </c>
    </row>
    <row r="612" spans="1:10" x14ac:dyDescent="0.2">
      <c r="A612" s="2" t="s">
        <v>443</v>
      </c>
      <c r="B612" s="2" t="s">
        <v>34</v>
      </c>
      <c r="C612" s="2" t="s">
        <v>71</v>
      </c>
      <c r="D612" s="2" t="s">
        <v>2954</v>
      </c>
      <c r="E612" s="5">
        <v>45177</v>
      </c>
      <c r="F612" s="2">
        <v>1400</v>
      </c>
      <c r="G612" s="2" t="s">
        <v>12</v>
      </c>
      <c r="H612" s="2" t="s">
        <v>23</v>
      </c>
      <c r="I612" s="6">
        <v>0.1</v>
      </c>
      <c r="J612" s="2" t="str">
        <f t="shared" si="9"/>
        <v>2023-09</v>
      </c>
    </row>
    <row r="613" spans="1:10" x14ac:dyDescent="0.2">
      <c r="A613" s="2" t="s">
        <v>734</v>
      </c>
      <c r="B613" s="2" t="s">
        <v>34</v>
      </c>
      <c r="C613" s="2" t="s">
        <v>26</v>
      </c>
      <c r="D613" s="2" t="s">
        <v>2954</v>
      </c>
      <c r="E613" s="5">
        <v>45177</v>
      </c>
      <c r="F613" s="2">
        <v>46</v>
      </c>
      <c r="G613" s="2" t="s">
        <v>199</v>
      </c>
      <c r="H613" s="2" t="s">
        <v>23</v>
      </c>
      <c r="I613" s="6" t="s">
        <v>2954</v>
      </c>
      <c r="J613" s="2" t="str">
        <f t="shared" si="9"/>
        <v>2023-09</v>
      </c>
    </row>
    <row r="614" spans="1:10" x14ac:dyDescent="0.2">
      <c r="A614" s="2" t="s">
        <v>735</v>
      </c>
      <c r="B614" s="2" t="s">
        <v>89</v>
      </c>
      <c r="C614" s="2" t="s">
        <v>26</v>
      </c>
      <c r="D614" s="2">
        <v>100</v>
      </c>
      <c r="E614" s="5">
        <v>45176</v>
      </c>
      <c r="F614" s="2">
        <v>107</v>
      </c>
      <c r="G614" s="2" t="s">
        <v>45</v>
      </c>
      <c r="H614" s="2" t="s">
        <v>23</v>
      </c>
      <c r="I614" s="6">
        <v>0.25</v>
      </c>
      <c r="J614" s="2" t="str">
        <f t="shared" si="9"/>
        <v>2023-09</v>
      </c>
    </row>
    <row r="615" spans="1:10" x14ac:dyDescent="0.2">
      <c r="A615" s="2" t="s">
        <v>736</v>
      </c>
      <c r="B615" s="2" t="s">
        <v>398</v>
      </c>
      <c r="C615" s="2" t="s">
        <v>16</v>
      </c>
      <c r="D615" s="2" t="s">
        <v>2954</v>
      </c>
      <c r="E615" s="5">
        <v>45176</v>
      </c>
      <c r="F615" s="2">
        <v>67</v>
      </c>
      <c r="G615" s="2" t="s">
        <v>12</v>
      </c>
      <c r="H615" s="2" t="s">
        <v>399</v>
      </c>
      <c r="I615" s="6" t="s">
        <v>2954</v>
      </c>
      <c r="J615" s="2" t="str">
        <f t="shared" si="9"/>
        <v>2023-09</v>
      </c>
    </row>
    <row r="616" spans="1:10" x14ac:dyDescent="0.2">
      <c r="A616" s="2" t="s">
        <v>737</v>
      </c>
      <c r="B616" s="2" t="s">
        <v>34</v>
      </c>
      <c r="C616" s="2" t="s">
        <v>235</v>
      </c>
      <c r="D616" s="2">
        <v>360</v>
      </c>
      <c r="E616" s="5">
        <v>45175</v>
      </c>
      <c r="F616" s="2">
        <v>208</v>
      </c>
      <c r="G616" s="2" t="s">
        <v>17</v>
      </c>
      <c r="H616" s="2" t="s">
        <v>23</v>
      </c>
      <c r="I616" s="6">
        <v>0.1</v>
      </c>
      <c r="J616" s="2" t="str">
        <f t="shared" si="9"/>
        <v>2023-09</v>
      </c>
    </row>
    <row r="617" spans="1:10" x14ac:dyDescent="0.2">
      <c r="A617" s="2" t="s">
        <v>738</v>
      </c>
      <c r="B617" s="2" t="s">
        <v>15</v>
      </c>
      <c r="C617" s="2" t="s">
        <v>195</v>
      </c>
      <c r="D617" s="2">
        <v>40</v>
      </c>
      <c r="E617" s="5">
        <v>45175</v>
      </c>
      <c r="F617" s="2">
        <v>125</v>
      </c>
      <c r="G617" s="2" t="s">
        <v>45</v>
      </c>
      <c r="H617" s="2" t="s">
        <v>23</v>
      </c>
      <c r="I617" s="6" t="s">
        <v>2954</v>
      </c>
      <c r="J617" s="2" t="str">
        <f t="shared" si="9"/>
        <v>2023-09</v>
      </c>
    </row>
    <row r="618" spans="1:10" x14ac:dyDescent="0.2">
      <c r="A618" s="2" t="s">
        <v>739</v>
      </c>
      <c r="B618" s="2" t="s">
        <v>25</v>
      </c>
      <c r="C618" s="2" t="s">
        <v>148</v>
      </c>
      <c r="D618" s="2" t="s">
        <v>2954</v>
      </c>
      <c r="E618" s="5">
        <v>45175</v>
      </c>
      <c r="F618" s="2">
        <v>905</v>
      </c>
      <c r="G618" s="2" t="s">
        <v>12</v>
      </c>
      <c r="H618" s="2" t="s">
        <v>23</v>
      </c>
      <c r="I618" s="6" t="s">
        <v>2954</v>
      </c>
      <c r="J618" s="2" t="str">
        <f t="shared" si="9"/>
        <v>2023-09</v>
      </c>
    </row>
    <row r="619" spans="1:10" x14ac:dyDescent="0.2">
      <c r="A619" s="2" t="s">
        <v>663</v>
      </c>
      <c r="B619" s="2" t="s">
        <v>28</v>
      </c>
      <c r="C619" s="2" t="s">
        <v>135</v>
      </c>
      <c r="D619" s="2" t="s">
        <v>2954</v>
      </c>
      <c r="E619" s="5">
        <v>45175</v>
      </c>
      <c r="F619" s="2">
        <v>167</v>
      </c>
      <c r="G619" s="2" t="s">
        <v>12</v>
      </c>
      <c r="H619" s="2" t="s">
        <v>23</v>
      </c>
      <c r="I619" s="6" t="s">
        <v>2954</v>
      </c>
      <c r="J619" s="2" t="str">
        <f t="shared" si="9"/>
        <v>2023-09</v>
      </c>
    </row>
    <row r="620" spans="1:10" x14ac:dyDescent="0.2">
      <c r="A620" s="2" t="s">
        <v>740</v>
      </c>
      <c r="B620" s="2" t="s">
        <v>89</v>
      </c>
      <c r="C620" s="2" t="s">
        <v>32</v>
      </c>
      <c r="D620" s="2" t="s">
        <v>2954</v>
      </c>
      <c r="E620" s="5">
        <v>45175</v>
      </c>
      <c r="F620" s="2">
        <v>31</v>
      </c>
      <c r="G620" s="2" t="s">
        <v>17</v>
      </c>
      <c r="H620" s="2" t="s">
        <v>23</v>
      </c>
      <c r="I620" s="6">
        <v>0.2</v>
      </c>
      <c r="J620" s="2" t="str">
        <f t="shared" si="9"/>
        <v>2023-09</v>
      </c>
    </row>
    <row r="621" spans="1:10" x14ac:dyDescent="0.2">
      <c r="A621" s="2" t="s">
        <v>741</v>
      </c>
      <c r="B621" s="2" t="s">
        <v>742</v>
      </c>
      <c r="C621" s="2" t="s">
        <v>44</v>
      </c>
      <c r="D621" s="2">
        <v>82</v>
      </c>
      <c r="E621" s="5">
        <v>45174</v>
      </c>
      <c r="F621" s="2" t="s">
        <v>2954</v>
      </c>
      <c r="G621" s="2" t="s">
        <v>12</v>
      </c>
      <c r="H621" s="2" t="s">
        <v>662</v>
      </c>
      <c r="I621" s="6">
        <v>0.18</v>
      </c>
      <c r="J621" s="2" t="str">
        <f t="shared" si="9"/>
        <v>2023-09</v>
      </c>
    </row>
    <row r="622" spans="1:10" x14ac:dyDescent="0.2">
      <c r="A622" s="2" t="s">
        <v>743</v>
      </c>
      <c r="B622" s="2" t="s">
        <v>43</v>
      </c>
      <c r="C622" s="2" t="s">
        <v>32</v>
      </c>
      <c r="D622" s="2">
        <v>30</v>
      </c>
      <c r="E622" s="5">
        <v>45174</v>
      </c>
      <c r="F622" s="2">
        <v>238</v>
      </c>
      <c r="G622" s="2" t="s">
        <v>17</v>
      </c>
      <c r="H622" s="2" t="s">
        <v>23</v>
      </c>
      <c r="I622" s="6">
        <v>0.15</v>
      </c>
      <c r="J622" s="2" t="str">
        <f t="shared" si="9"/>
        <v>2023-09</v>
      </c>
    </row>
    <row r="623" spans="1:10" x14ac:dyDescent="0.2">
      <c r="A623" s="2" t="s">
        <v>744</v>
      </c>
      <c r="B623" s="2" t="s">
        <v>25</v>
      </c>
      <c r="C623" s="2" t="s">
        <v>142</v>
      </c>
      <c r="D623" s="2">
        <v>24</v>
      </c>
      <c r="E623" s="5">
        <v>45174</v>
      </c>
      <c r="F623" s="2">
        <v>40</v>
      </c>
      <c r="G623" s="2" t="s">
        <v>132</v>
      </c>
      <c r="H623" s="2" t="s">
        <v>23</v>
      </c>
      <c r="I623" s="6">
        <v>0.2</v>
      </c>
      <c r="J623" s="2" t="str">
        <f t="shared" si="9"/>
        <v>2023-09</v>
      </c>
    </row>
    <row r="624" spans="1:10" x14ac:dyDescent="0.2">
      <c r="A624" s="2" t="s">
        <v>745</v>
      </c>
      <c r="B624" s="2" t="s">
        <v>188</v>
      </c>
      <c r="C624" s="2" t="s">
        <v>84</v>
      </c>
      <c r="D624" s="2" t="s">
        <v>2954</v>
      </c>
      <c r="E624" s="5">
        <v>45174</v>
      </c>
      <c r="F624" s="2">
        <v>150</v>
      </c>
      <c r="G624" s="2" t="s">
        <v>37</v>
      </c>
      <c r="H624" s="2" t="s">
        <v>106</v>
      </c>
      <c r="I624" s="6" t="s">
        <v>2954</v>
      </c>
      <c r="J624" s="2" t="str">
        <f t="shared" si="9"/>
        <v>2023-09</v>
      </c>
    </row>
    <row r="625" spans="1:10" x14ac:dyDescent="0.2">
      <c r="A625" s="2" t="s">
        <v>746</v>
      </c>
      <c r="B625" s="2" t="s">
        <v>747</v>
      </c>
      <c r="C625" s="2" t="s">
        <v>32</v>
      </c>
      <c r="D625" s="2">
        <v>150</v>
      </c>
      <c r="E625" s="5">
        <v>45173</v>
      </c>
      <c r="F625" s="2">
        <v>90</v>
      </c>
      <c r="G625" s="2" t="s">
        <v>75</v>
      </c>
      <c r="H625" s="2" t="s">
        <v>748</v>
      </c>
      <c r="I625" s="6" t="s">
        <v>2954</v>
      </c>
      <c r="J625" s="2" t="str">
        <f t="shared" si="9"/>
        <v>2023-09</v>
      </c>
    </row>
    <row r="626" spans="1:10" x14ac:dyDescent="0.2">
      <c r="A626" s="2" t="s">
        <v>749</v>
      </c>
      <c r="B626" s="2" t="s">
        <v>416</v>
      </c>
      <c r="C626" s="2" t="s">
        <v>16</v>
      </c>
      <c r="D626" s="2">
        <v>24</v>
      </c>
      <c r="E626" s="5">
        <v>45173</v>
      </c>
      <c r="F626" s="2">
        <v>11</v>
      </c>
      <c r="G626" s="2" t="s">
        <v>41</v>
      </c>
      <c r="H626" s="2" t="s">
        <v>417</v>
      </c>
      <c r="I626" s="6" t="s">
        <v>2954</v>
      </c>
      <c r="J626" s="2" t="str">
        <f t="shared" si="9"/>
        <v>2023-09</v>
      </c>
    </row>
    <row r="627" spans="1:10" x14ac:dyDescent="0.2">
      <c r="A627" s="2" t="s">
        <v>750</v>
      </c>
      <c r="B627" s="2" t="s">
        <v>25</v>
      </c>
      <c r="C627" s="2" t="s">
        <v>52</v>
      </c>
      <c r="D627" s="2">
        <v>17</v>
      </c>
      <c r="E627" s="5">
        <v>45173</v>
      </c>
      <c r="F627" s="2">
        <v>149</v>
      </c>
      <c r="G627" s="2" t="s">
        <v>75</v>
      </c>
      <c r="H627" s="2" t="s">
        <v>23</v>
      </c>
      <c r="I627" s="6">
        <v>0.14000000000000001</v>
      </c>
      <c r="J627" s="2" t="str">
        <f t="shared" si="9"/>
        <v>2023-09</v>
      </c>
    </row>
    <row r="628" spans="1:10" x14ac:dyDescent="0.2">
      <c r="A628" s="2" t="s">
        <v>751</v>
      </c>
      <c r="B628" s="2" t="s">
        <v>100</v>
      </c>
      <c r="C628" s="2" t="s">
        <v>16</v>
      </c>
      <c r="D628" s="2">
        <v>42</v>
      </c>
      <c r="E628" s="5">
        <v>45170</v>
      </c>
      <c r="F628" s="2">
        <v>187</v>
      </c>
      <c r="G628" s="2" t="s">
        <v>66</v>
      </c>
      <c r="H628" s="2" t="s">
        <v>98</v>
      </c>
      <c r="I628" s="6" t="s">
        <v>2954</v>
      </c>
      <c r="J628" s="2" t="str">
        <f t="shared" si="9"/>
        <v>2023-09</v>
      </c>
    </row>
    <row r="629" spans="1:10" x14ac:dyDescent="0.2">
      <c r="A629" s="2" t="s">
        <v>752</v>
      </c>
      <c r="B629" s="2" t="s">
        <v>314</v>
      </c>
      <c r="C629" s="2" t="s">
        <v>16</v>
      </c>
      <c r="D629" s="2" t="s">
        <v>2954</v>
      </c>
      <c r="E629" s="5">
        <v>45170</v>
      </c>
      <c r="F629" s="2">
        <v>304</v>
      </c>
      <c r="G629" s="2" t="s">
        <v>75</v>
      </c>
      <c r="H629" s="2" t="s">
        <v>23</v>
      </c>
      <c r="I629" s="6">
        <v>0.28000000000000003</v>
      </c>
      <c r="J629" s="2" t="str">
        <f t="shared" si="9"/>
        <v>2023-09</v>
      </c>
    </row>
    <row r="630" spans="1:10" x14ac:dyDescent="0.2">
      <c r="A630" s="2" t="s">
        <v>753</v>
      </c>
      <c r="B630" s="2" t="s">
        <v>34</v>
      </c>
      <c r="C630" s="2" t="s">
        <v>29</v>
      </c>
      <c r="D630" s="2" t="s">
        <v>2954</v>
      </c>
      <c r="E630" s="5">
        <v>45170</v>
      </c>
      <c r="F630" s="2">
        <v>3</v>
      </c>
      <c r="G630" s="2" t="s">
        <v>132</v>
      </c>
      <c r="H630" s="2" t="s">
        <v>23</v>
      </c>
      <c r="I630" s="6">
        <v>1</v>
      </c>
      <c r="J630" s="2" t="str">
        <f t="shared" si="9"/>
        <v>2023-09</v>
      </c>
    </row>
    <row r="631" spans="1:10" x14ac:dyDescent="0.2">
      <c r="A631" s="2" t="s">
        <v>754</v>
      </c>
      <c r="B631" s="2" t="s">
        <v>356</v>
      </c>
      <c r="C631" s="2" t="s">
        <v>11</v>
      </c>
      <c r="D631" s="2" t="s">
        <v>2954</v>
      </c>
      <c r="E631" s="5">
        <v>45170</v>
      </c>
      <c r="F631" s="2" t="s">
        <v>2954</v>
      </c>
      <c r="G631" s="2" t="s">
        <v>45</v>
      </c>
      <c r="H631" s="2" t="s">
        <v>143</v>
      </c>
      <c r="I631" s="6">
        <v>1</v>
      </c>
      <c r="J631" s="2" t="str">
        <f t="shared" si="9"/>
        <v>2023-09</v>
      </c>
    </row>
    <row r="632" spans="1:10" x14ac:dyDescent="0.2">
      <c r="A632" s="2" t="s">
        <v>755</v>
      </c>
      <c r="B632" s="2" t="s">
        <v>89</v>
      </c>
      <c r="C632" s="2" t="s">
        <v>68</v>
      </c>
      <c r="D632" s="2">
        <v>240</v>
      </c>
      <c r="E632" s="5">
        <v>45169</v>
      </c>
      <c r="F632" s="2" t="s">
        <v>2954</v>
      </c>
      <c r="G632" s="2" t="s">
        <v>17</v>
      </c>
      <c r="H632" s="2" t="s">
        <v>23</v>
      </c>
      <c r="I632" s="6">
        <v>0.04</v>
      </c>
      <c r="J632" s="2" t="str">
        <f t="shared" si="9"/>
        <v>2023-08</v>
      </c>
    </row>
    <row r="633" spans="1:10" x14ac:dyDescent="0.2">
      <c r="A633" s="2" t="s">
        <v>756</v>
      </c>
      <c r="B633" s="2" t="s">
        <v>89</v>
      </c>
      <c r="C633" s="2" t="s">
        <v>32</v>
      </c>
      <c r="D633" s="2">
        <v>120</v>
      </c>
      <c r="E633" s="5">
        <v>45169</v>
      </c>
      <c r="F633" s="2">
        <v>464</v>
      </c>
      <c r="G633" s="2" t="s">
        <v>75</v>
      </c>
      <c r="H633" s="2" t="s">
        <v>23</v>
      </c>
      <c r="I633" s="6" t="s">
        <v>2954</v>
      </c>
      <c r="J633" s="2" t="str">
        <f t="shared" si="9"/>
        <v>2023-08</v>
      </c>
    </row>
    <row r="634" spans="1:10" x14ac:dyDescent="0.2">
      <c r="A634" s="2" t="s">
        <v>757</v>
      </c>
      <c r="B634" s="2" t="s">
        <v>34</v>
      </c>
      <c r="C634" s="2" t="s">
        <v>195</v>
      </c>
      <c r="D634" s="2">
        <v>100</v>
      </c>
      <c r="E634" s="5">
        <v>45169</v>
      </c>
      <c r="F634" s="2">
        <v>80</v>
      </c>
      <c r="G634" s="2" t="s">
        <v>37</v>
      </c>
      <c r="H634" s="2" t="s">
        <v>23</v>
      </c>
      <c r="I634" s="6" t="s">
        <v>2954</v>
      </c>
      <c r="J634" s="2" t="str">
        <f t="shared" si="9"/>
        <v>2023-08</v>
      </c>
    </row>
    <row r="635" spans="1:10" x14ac:dyDescent="0.2">
      <c r="A635" s="2" t="s">
        <v>138</v>
      </c>
      <c r="B635" s="2" t="s">
        <v>28</v>
      </c>
      <c r="C635" s="2" t="s">
        <v>44</v>
      </c>
      <c r="D635" s="2" t="s">
        <v>2954</v>
      </c>
      <c r="E635" s="5">
        <v>45169</v>
      </c>
      <c r="F635" s="2">
        <v>3300</v>
      </c>
      <c r="G635" s="2" t="s">
        <v>17</v>
      </c>
      <c r="H635" s="2" t="s">
        <v>23</v>
      </c>
      <c r="I635" s="6" t="s">
        <v>2954</v>
      </c>
      <c r="J635" s="2" t="str">
        <f t="shared" si="9"/>
        <v>2023-08</v>
      </c>
    </row>
    <row r="636" spans="1:10" x14ac:dyDescent="0.2">
      <c r="A636" s="2" t="s">
        <v>370</v>
      </c>
      <c r="B636" s="2" t="s">
        <v>34</v>
      </c>
      <c r="C636" s="2" t="s">
        <v>78</v>
      </c>
      <c r="D636" s="2" t="s">
        <v>2954</v>
      </c>
      <c r="E636" s="5">
        <v>45169</v>
      </c>
      <c r="F636" s="2" t="s">
        <v>2954</v>
      </c>
      <c r="G636" s="2" t="s">
        <v>75</v>
      </c>
      <c r="H636" s="2" t="s">
        <v>23</v>
      </c>
      <c r="I636" s="6">
        <v>0.1</v>
      </c>
      <c r="J636" s="2" t="str">
        <f t="shared" si="9"/>
        <v>2023-08</v>
      </c>
    </row>
    <row r="637" spans="1:10" x14ac:dyDescent="0.2">
      <c r="A637" s="2" t="s">
        <v>758</v>
      </c>
      <c r="B637" s="2" t="s">
        <v>28</v>
      </c>
      <c r="C637" s="2" t="s">
        <v>29</v>
      </c>
      <c r="D637" s="2">
        <v>140</v>
      </c>
      <c r="E637" s="5">
        <v>45168</v>
      </c>
      <c r="F637" s="2">
        <v>198</v>
      </c>
      <c r="G637" s="2" t="s">
        <v>12</v>
      </c>
      <c r="H637" s="2" t="s">
        <v>23</v>
      </c>
      <c r="I637" s="6" t="s">
        <v>2954</v>
      </c>
      <c r="J637" s="2" t="str">
        <f t="shared" si="9"/>
        <v>2023-08</v>
      </c>
    </row>
    <row r="638" spans="1:10" x14ac:dyDescent="0.2">
      <c r="A638" s="2" t="s">
        <v>759</v>
      </c>
      <c r="B638" s="2" t="s">
        <v>100</v>
      </c>
      <c r="C638" s="2" t="s">
        <v>142</v>
      </c>
      <c r="D638" s="2">
        <v>60</v>
      </c>
      <c r="E638" s="5">
        <v>45168</v>
      </c>
      <c r="F638" s="2">
        <v>10</v>
      </c>
      <c r="G638" s="2" t="s">
        <v>45</v>
      </c>
      <c r="H638" s="2" t="s">
        <v>98</v>
      </c>
      <c r="I638" s="6">
        <v>0.35</v>
      </c>
      <c r="J638" s="2" t="str">
        <f t="shared" si="9"/>
        <v>2023-08</v>
      </c>
    </row>
    <row r="639" spans="1:10" x14ac:dyDescent="0.2">
      <c r="A639" s="2" t="s">
        <v>760</v>
      </c>
      <c r="B639" s="2" t="s">
        <v>538</v>
      </c>
      <c r="C639" s="2" t="s">
        <v>32</v>
      </c>
      <c r="D639" s="2">
        <v>50</v>
      </c>
      <c r="E639" s="5">
        <v>45168</v>
      </c>
      <c r="F639" s="2">
        <v>14</v>
      </c>
      <c r="G639" s="2" t="s">
        <v>41</v>
      </c>
      <c r="H639" s="2" t="s">
        <v>98</v>
      </c>
      <c r="I639" s="6">
        <v>0.2</v>
      </c>
      <c r="J639" s="2" t="str">
        <f t="shared" si="9"/>
        <v>2023-08</v>
      </c>
    </row>
    <row r="640" spans="1:10" x14ac:dyDescent="0.2">
      <c r="A640" s="2" t="s">
        <v>761</v>
      </c>
      <c r="B640" s="2" t="s">
        <v>54</v>
      </c>
      <c r="C640" s="2" t="s">
        <v>32</v>
      </c>
      <c r="D640" s="2">
        <v>45</v>
      </c>
      <c r="E640" s="5">
        <v>45168</v>
      </c>
      <c r="F640" s="2">
        <v>217</v>
      </c>
      <c r="G640" s="2" t="s">
        <v>12</v>
      </c>
      <c r="H640" s="2" t="s">
        <v>55</v>
      </c>
      <c r="I640" s="6">
        <v>0.1</v>
      </c>
      <c r="J640" s="2" t="str">
        <f t="shared" si="9"/>
        <v>2023-08</v>
      </c>
    </row>
    <row r="641" spans="1:10" x14ac:dyDescent="0.2">
      <c r="A641" s="2" t="s">
        <v>762</v>
      </c>
      <c r="B641" s="2" t="s">
        <v>34</v>
      </c>
      <c r="C641" s="2" t="s">
        <v>78</v>
      </c>
      <c r="D641" s="2">
        <v>37</v>
      </c>
      <c r="E641" s="5">
        <v>45168</v>
      </c>
      <c r="F641" s="2">
        <v>1</v>
      </c>
      <c r="G641" s="2" t="s">
        <v>132</v>
      </c>
      <c r="H641" s="2" t="s">
        <v>23</v>
      </c>
      <c r="I641" s="6">
        <v>0.35</v>
      </c>
      <c r="J641" s="2" t="str">
        <f t="shared" si="9"/>
        <v>2023-08</v>
      </c>
    </row>
    <row r="642" spans="1:10" x14ac:dyDescent="0.2">
      <c r="A642" s="2" t="s">
        <v>760</v>
      </c>
      <c r="B642" s="2" t="s">
        <v>538</v>
      </c>
      <c r="C642" s="2" t="s">
        <v>32</v>
      </c>
      <c r="D642" s="2">
        <v>50</v>
      </c>
      <c r="E642" s="5">
        <v>45167</v>
      </c>
      <c r="F642" s="2">
        <v>14</v>
      </c>
      <c r="G642" s="2" t="s">
        <v>12</v>
      </c>
      <c r="H642" s="2" t="s">
        <v>98</v>
      </c>
      <c r="I642" s="6">
        <v>0.2</v>
      </c>
      <c r="J642" s="2" t="str">
        <f t="shared" si="9"/>
        <v>2023-08</v>
      </c>
    </row>
    <row r="643" spans="1:10" x14ac:dyDescent="0.2">
      <c r="A643" s="2" t="s">
        <v>763</v>
      </c>
      <c r="B643" s="2" t="s">
        <v>742</v>
      </c>
      <c r="C643" s="2" t="s">
        <v>44</v>
      </c>
      <c r="D643" s="2" t="s">
        <v>2954</v>
      </c>
      <c r="E643" s="5">
        <v>45167</v>
      </c>
      <c r="F643" s="2" t="s">
        <v>2954</v>
      </c>
      <c r="G643" s="2" t="s">
        <v>12</v>
      </c>
      <c r="H643" s="2" t="s">
        <v>662</v>
      </c>
      <c r="I643" s="6" t="s">
        <v>2954</v>
      </c>
      <c r="J643" s="2" t="str">
        <f t="shared" ref="J643:J706" si="10">TEXT(E643,"YYYY-MM")</f>
        <v>2023-08</v>
      </c>
    </row>
    <row r="644" spans="1:10" x14ac:dyDescent="0.2">
      <c r="A644" s="2" t="s">
        <v>764</v>
      </c>
      <c r="B644" s="2" t="s">
        <v>314</v>
      </c>
      <c r="C644" s="2" t="s">
        <v>71</v>
      </c>
      <c r="D644" s="2">
        <v>700</v>
      </c>
      <c r="E644" s="5">
        <v>45166</v>
      </c>
      <c r="F644" s="2">
        <v>2000</v>
      </c>
      <c r="G644" s="2" t="s">
        <v>17</v>
      </c>
      <c r="H644" s="2" t="s">
        <v>23</v>
      </c>
      <c r="I644" s="6">
        <v>7.0000000000000007E-2</v>
      </c>
      <c r="J644" s="2" t="str">
        <f t="shared" si="10"/>
        <v>2023-08</v>
      </c>
    </row>
    <row r="645" spans="1:10" x14ac:dyDescent="0.2">
      <c r="A645" s="2" t="s">
        <v>765</v>
      </c>
      <c r="B645" s="2" t="s">
        <v>100</v>
      </c>
      <c r="C645" s="2" t="s">
        <v>22</v>
      </c>
      <c r="D645" s="2">
        <v>44</v>
      </c>
      <c r="E645" s="5">
        <v>45166</v>
      </c>
      <c r="F645" s="2">
        <v>301</v>
      </c>
      <c r="G645" s="2" t="s">
        <v>66</v>
      </c>
      <c r="H645" s="2" t="s">
        <v>98</v>
      </c>
      <c r="I645" s="6" t="s">
        <v>2954</v>
      </c>
      <c r="J645" s="2" t="str">
        <f t="shared" si="10"/>
        <v>2023-08</v>
      </c>
    </row>
    <row r="646" spans="1:10" x14ac:dyDescent="0.2">
      <c r="A646" s="2" t="s">
        <v>766</v>
      </c>
      <c r="B646" s="2" t="s">
        <v>406</v>
      </c>
      <c r="C646" s="2" t="s">
        <v>22</v>
      </c>
      <c r="D646" s="2" t="s">
        <v>2954</v>
      </c>
      <c r="E646" s="5">
        <v>45166</v>
      </c>
      <c r="F646" s="2">
        <v>4</v>
      </c>
      <c r="G646" s="2" t="s">
        <v>132</v>
      </c>
      <c r="H646" s="2" t="s">
        <v>23</v>
      </c>
      <c r="I646" s="6">
        <v>1</v>
      </c>
      <c r="J646" s="2" t="str">
        <f t="shared" si="10"/>
        <v>2023-08</v>
      </c>
    </row>
    <row r="647" spans="1:10" x14ac:dyDescent="0.2">
      <c r="A647" s="2" t="s">
        <v>767</v>
      </c>
      <c r="B647" s="2" t="s">
        <v>768</v>
      </c>
      <c r="C647" s="2" t="s">
        <v>154</v>
      </c>
      <c r="D647" s="2" t="s">
        <v>2954</v>
      </c>
      <c r="E647" s="5">
        <v>45166</v>
      </c>
      <c r="F647" s="2">
        <v>2600</v>
      </c>
      <c r="G647" s="2" t="s">
        <v>17</v>
      </c>
      <c r="H647" s="2" t="s">
        <v>768</v>
      </c>
      <c r="I647" s="6" t="s">
        <v>2954</v>
      </c>
      <c r="J647" s="2" t="str">
        <f t="shared" si="10"/>
        <v>2023-08</v>
      </c>
    </row>
    <row r="648" spans="1:10" x14ac:dyDescent="0.2">
      <c r="A648" s="2" t="s">
        <v>769</v>
      </c>
      <c r="B648" s="2" t="s">
        <v>34</v>
      </c>
      <c r="C648" s="2" t="s">
        <v>84</v>
      </c>
      <c r="D648" s="2">
        <v>53</v>
      </c>
      <c r="E648" s="5">
        <v>45165</v>
      </c>
      <c r="F648" s="2">
        <v>103</v>
      </c>
      <c r="G648" s="2" t="s">
        <v>75</v>
      </c>
      <c r="H648" s="2" t="s">
        <v>23</v>
      </c>
      <c r="I648" s="6" t="s">
        <v>2954</v>
      </c>
      <c r="J648" s="2" t="str">
        <f t="shared" si="10"/>
        <v>2023-08</v>
      </c>
    </row>
    <row r="649" spans="1:10" x14ac:dyDescent="0.2">
      <c r="A649" s="2" t="s">
        <v>770</v>
      </c>
      <c r="B649" s="2" t="s">
        <v>100</v>
      </c>
      <c r="C649" s="2" t="s">
        <v>61</v>
      </c>
      <c r="D649" s="2">
        <v>100</v>
      </c>
      <c r="E649" s="5">
        <v>45164</v>
      </c>
      <c r="F649" s="2">
        <v>121</v>
      </c>
      <c r="G649" s="2" t="s">
        <v>12</v>
      </c>
      <c r="H649" s="2" t="s">
        <v>98</v>
      </c>
      <c r="I649" s="6" t="s">
        <v>2954</v>
      </c>
      <c r="J649" s="2" t="str">
        <f t="shared" si="10"/>
        <v>2023-08</v>
      </c>
    </row>
    <row r="650" spans="1:10" x14ac:dyDescent="0.2">
      <c r="A650" s="2" t="s">
        <v>771</v>
      </c>
      <c r="B650" s="2" t="s">
        <v>34</v>
      </c>
      <c r="C650" s="2" t="s">
        <v>195</v>
      </c>
      <c r="D650" s="2" t="s">
        <v>2954</v>
      </c>
      <c r="E650" s="5">
        <v>45163</v>
      </c>
      <c r="F650" s="2">
        <v>89</v>
      </c>
      <c r="G650" s="2" t="s">
        <v>17</v>
      </c>
      <c r="H650" s="2" t="s">
        <v>23</v>
      </c>
      <c r="I650" s="6" t="s">
        <v>2954</v>
      </c>
      <c r="J650" s="2" t="str">
        <f t="shared" si="10"/>
        <v>2023-08</v>
      </c>
    </row>
    <row r="651" spans="1:10" x14ac:dyDescent="0.2">
      <c r="A651" s="2" t="s">
        <v>772</v>
      </c>
      <c r="B651" s="2" t="s">
        <v>34</v>
      </c>
      <c r="C651" s="2" t="s">
        <v>26</v>
      </c>
      <c r="D651" s="2">
        <v>8</v>
      </c>
      <c r="E651" s="5">
        <v>45162</v>
      </c>
      <c r="F651" s="2">
        <v>4</v>
      </c>
      <c r="G651" s="2" t="s">
        <v>12</v>
      </c>
      <c r="H651" s="2" t="s">
        <v>23</v>
      </c>
      <c r="I651" s="6">
        <v>0.03</v>
      </c>
      <c r="J651" s="2" t="str">
        <f t="shared" si="10"/>
        <v>2023-08</v>
      </c>
    </row>
    <row r="652" spans="1:10" x14ac:dyDescent="0.2">
      <c r="A652" s="2" t="s">
        <v>773</v>
      </c>
      <c r="B652" s="2" t="s">
        <v>100</v>
      </c>
      <c r="C652" s="2" t="s">
        <v>235</v>
      </c>
      <c r="D652" s="2" t="s">
        <v>2954</v>
      </c>
      <c r="E652" s="5">
        <v>45162</v>
      </c>
      <c r="F652" s="2">
        <v>88</v>
      </c>
      <c r="G652" s="2" t="s">
        <v>12</v>
      </c>
      <c r="H652" s="2" t="s">
        <v>98</v>
      </c>
      <c r="I652" s="6">
        <v>0.5</v>
      </c>
      <c r="J652" s="2" t="str">
        <f t="shared" si="10"/>
        <v>2023-08</v>
      </c>
    </row>
    <row r="653" spans="1:10" x14ac:dyDescent="0.2">
      <c r="A653" s="2" t="s">
        <v>774</v>
      </c>
      <c r="B653" s="2" t="s">
        <v>314</v>
      </c>
      <c r="C653" s="2" t="s">
        <v>68</v>
      </c>
      <c r="D653" s="2">
        <v>150</v>
      </c>
      <c r="E653" s="5">
        <v>45161</v>
      </c>
      <c r="F653" s="2">
        <v>220</v>
      </c>
      <c r="G653" s="2" t="s">
        <v>37</v>
      </c>
      <c r="H653" s="2" t="s">
        <v>23</v>
      </c>
      <c r="I653" s="6">
        <v>0.3</v>
      </c>
      <c r="J653" s="2" t="str">
        <f t="shared" si="10"/>
        <v>2023-08</v>
      </c>
    </row>
    <row r="654" spans="1:10" x14ac:dyDescent="0.2">
      <c r="A654" s="2" t="s">
        <v>775</v>
      </c>
      <c r="B654" s="2" t="s">
        <v>416</v>
      </c>
      <c r="C654" s="2" t="s">
        <v>195</v>
      </c>
      <c r="D654" s="2">
        <v>101</v>
      </c>
      <c r="E654" s="5">
        <v>45161</v>
      </c>
      <c r="F654" s="2">
        <v>192</v>
      </c>
      <c r="G654" s="2" t="s">
        <v>66</v>
      </c>
      <c r="H654" s="2" t="s">
        <v>417</v>
      </c>
      <c r="I654" s="6">
        <v>0.21</v>
      </c>
      <c r="J654" s="2" t="str">
        <f t="shared" si="10"/>
        <v>2023-08</v>
      </c>
    </row>
    <row r="655" spans="1:10" x14ac:dyDescent="0.2">
      <c r="A655" s="2" t="s">
        <v>776</v>
      </c>
      <c r="B655" s="2" t="s">
        <v>47</v>
      </c>
      <c r="C655" s="2" t="s">
        <v>16</v>
      </c>
      <c r="D655" s="2">
        <v>95</v>
      </c>
      <c r="E655" s="5">
        <v>45161</v>
      </c>
      <c r="F655" s="2">
        <v>220</v>
      </c>
      <c r="G655" s="2" t="s">
        <v>17</v>
      </c>
      <c r="H655" s="2" t="s">
        <v>23</v>
      </c>
      <c r="I655" s="6">
        <v>0.05</v>
      </c>
      <c r="J655" s="2" t="str">
        <f t="shared" si="10"/>
        <v>2023-08</v>
      </c>
    </row>
    <row r="656" spans="1:10" x14ac:dyDescent="0.2">
      <c r="A656" s="2" t="s">
        <v>777</v>
      </c>
      <c r="B656" s="2" t="s">
        <v>34</v>
      </c>
      <c r="C656" s="2" t="s">
        <v>103</v>
      </c>
      <c r="D656" s="2">
        <v>24</v>
      </c>
      <c r="E656" s="5">
        <v>45161</v>
      </c>
      <c r="F656" s="2" t="s">
        <v>2954</v>
      </c>
      <c r="G656" s="2" t="s">
        <v>12</v>
      </c>
      <c r="H656" s="2" t="s">
        <v>23</v>
      </c>
      <c r="I656" s="6">
        <v>0.06</v>
      </c>
      <c r="J656" s="2" t="str">
        <f t="shared" si="10"/>
        <v>2023-08</v>
      </c>
    </row>
    <row r="657" spans="1:10" x14ac:dyDescent="0.2">
      <c r="A657" s="2" t="s">
        <v>778</v>
      </c>
      <c r="B657" s="2" t="s">
        <v>779</v>
      </c>
      <c r="C657" s="2" t="s">
        <v>16</v>
      </c>
      <c r="D657" s="2" t="s">
        <v>2954</v>
      </c>
      <c r="E657" s="5">
        <v>45161</v>
      </c>
      <c r="F657" s="2">
        <v>54</v>
      </c>
      <c r="G657" s="2" t="s">
        <v>66</v>
      </c>
      <c r="H657" s="2" t="s">
        <v>780</v>
      </c>
      <c r="I657" s="6">
        <v>0.2</v>
      </c>
      <c r="J657" s="2" t="str">
        <f t="shared" si="10"/>
        <v>2023-08</v>
      </c>
    </row>
    <row r="658" spans="1:10" x14ac:dyDescent="0.2">
      <c r="A658" s="2" t="s">
        <v>781</v>
      </c>
      <c r="B658" s="2" t="s">
        <v>74</v>
      </c>
      <c r="C658" s="2" t="s">
        <v>84</v>
      </c>
      <c r="D658" s="2" t="s">
        <v>2954</v>
      </c>
      <c r="E658" s="5">
        <v>45161</v>
      </c>
      <c r="F658" s="2" t="s">
        <v>2954</v>
      </c>
      <c r="G658" s="2" t="s">
        <v>12</v>
      </c>
      <c r="H658" s="2" t="s">
        <v>76</v>
      </c>
      <c r="I658" s="6" t="s">
        <v>2954</v>
      </c>
      <c r="J658" s="2" t="str">
        <f t="shared" si="10"/>
        <v>2023-08</v>
      </c>
    </row>
    <row r="659" spans="1:10" x14ac:dyDescent="0.2">
      <c r="A659" s="2" t="s">
        <v>127</v>
      </c>
      <c r="B659" s="2" t="s">
        <v>54</v>
      </c>
      <c r="C659" s="2" t="s">
        <v>11</v>
      </c>
      <c r="D659" s="2">
        <v>2500</v>
      </c>
      <c r="E659" s="5">
        <v>45160</v>
      </c>
      <c r="F659" s="2">
        <v>1800</v>
      </c>
      <c r="G659" s="2" t="s">
        <v>128</v>
      </c>
      <c r="H659" s="2" t="s">
        <v>55</v>
      </c>
      <c r="I659" s="6">
        <v>0.11</v>
      </c>
      <c r="J659" s="2" t="str">
        <f t="shared" si="10"/>
        <v>2023-08</v>
      </c>
    </row>
    <row r="660" spans="1:10" x14ac:dyDescent="0.2">
      <c r="A660" s="2" t="s">
        <v>782</v>
      </c>
      <c r="B660" s="2" t="s">
        <v>538</v>
      </c>
      <c r="C660" s="2" t="s">
        <v>22</v>
      </c>
      <c r="D660" s="2" t="s">
        <v>2954</v>
      </c>
      <c r="E660" s="5">
        <v>45160</v>
      </c>
      <c r="F660" s="2">
        <v>247</v>
      </c>
      <c r="G660" s="2" t="s">
        <v>75</v>
      </c>
      <c r="H660" s="2" t="s">
        <v>98</v>
      </c>
      <c r="I660" s="6">
        <v>0.12</v>
      </c>
      <c r="J660" s="2" t="str">
        <f t="shared" si="10"/>
        <v>2023-08</v>
      </c>
    </row>
    <row r="661" spans="1:10" x14ac:dyDescent="0.2">
      <c r="A661" s="2" t="s">
        <v>783</v>
      </c>
      <c r="B661" s="2" t="s">
        <v>15</v>
      </c>
      <c r="C661" s="2" t="s">
        <v>154</v>
      </c>
      <c r="D661" s="2" t="s">
        <v>2954</v>
      </c>
      <c r="E661" s="5">
        <v>45160</v>
      </c>
      <c r="F661" s="2">
        <v>72</v>
      </c>
      <c r="G661" s="2" t="s">
        <v>37</v>
      </c>
      <c r="H661" s="2" t="s">
        <v>18</v>
      </c>
      <c r="I661" s="6" t="s">
        <v>2954</v>
      </c>
      <c r="J661" s="2" t="str">
        <f t="shared" si="10"/>
        <v>2023-08</v>
      </c>
    </row>
    <row r="662" spans="1:10" x14ac:dyDescent="0.2">
      <c r="A662" s="2" t="s">
        <v>784</v>
      </c>
      <c r="B662" s="2" t="s">
        <v>398</v>
      </c>
      <c r="C662" s="2" t="s">
        <v>142</v>
      </c>
      <c r="D662" s="2" t="s">
        <v>2954</v>
      </c>
      <c r="E662" s="5">
        <v>45160</v>
      </c>
      <c r="F662" s="2">
        <v>33</v>
      </c>
      <c r="G662" s="2" t="s">
        <v>41</v>
      </c>
      <c r="H662" s="2" t="s">
        <v>399</v>
      </c>
      <c r="I662" s="6">
        <v>0.3</v>
      </c>
      <c r="J662" s="2" t="str">
        <f t="shared" si="10"/>
        <v>2023-08</v>
      </c>
    </row>
    <row r="663" spans="1:10" x14ac:dyDescent="0.2">
      <c r="A663" s="2" t="s">
        <v>785</v>
      </c>
      <c r="B663" s="2" t="s">
        <v>34</v>
      </c>
      <c r="C663" s="2" t="s">
        <v>29</v>
      </c>
      <c r="D663" s="2" t="s">
        <v>2954</v>
      </c>
      <c r="E663" s="5">
        <v>45160</v>
      </c>
      <c r="F663" s="2">
        <v>154</v>
      </c>
      <c r="G663" s="2" t="s">
        <v>17</v>
      </c>
      <c r="H663" s="2" t="s">
        <v>23</v>
      </c>
      <c r="I663" s="6" t="s">
        <v>2954</v>
      </c>
      <c r="J663" s="2" t="str">
        <f t="shared" si="10"/>
        <v>2023-08</v>
      </c>
    </row>
    <row r="664" spans="1:10" x14ac:dyDescent="0.2">
      <c r="A664" s="2" t="s">
        <v>786</v>
      </c>
      <c r="B664" s="2" t="s">
        <v>194</v>
      </c>
      <c r="C664" s="2" t="s">
        <v>22</v>
      </c>
      <c r="D664" s="2" t="s">
        <v>2954</v>
      </c>
      <c r="E664" s="5">
        <v>45159</v>
      </c>
      <c r="F664" s="2">
        <v>55</v>
      </c>
      <c r="G664" s="2" t="s">
        <v>41</v>
      </c>
      <c r="H664" s="2" t="s">
        <v>23</v>
      </c>
      <c r="I664" s="6" t="s">
        <v>2954</v>
      </c>
      <c r="J664" s="2" t="str">
        <f t="shared" si="10"/>
        <v>2023-08</v>
      </c>
    </row>
    <row r="665" spans="1:10" x14ac:dyDescent="0.2">
      <c r="A665" s="2" t="s">
        <v>787</v>
      </c>
      <c r="B665" s="2" t="s">
        <v>25</v>
      </c>
      <c r="C665" s="2" t="s">
        <v>32</v>
      </c>
      <c r="D665" s="2" t="s">
        <v>2954</v>
      </c>
      <c r="E665" s="5">
        <v>45159</v>
      </c>
      <c r="F665" s="2">
        <v>196</v>
      </c>
      <c r="G665" s="2" t="s">
        <v>66</v>
      </c>
      <c r="H665" s="2" t="s">
        <v>23</v>
      </c>
      <c r="I665" s="6" t="s">
        <v>2954</v>
      </c>
      <c r="J665" s="2" t="str">
        <f t="shared" si="10"/>
        <v>2023-08</v>
      </c>
    </row>
    <row r="666" spans="1:10" x14ac:dyDescent="0.2">
      <c r="A666" s="2" t="s">
        <v>788</v>
      </c>
      <c r="B666" s="2" t="s">
        <v>779</v>
      </c>
      <c r="C666" s="2" t="s">
        <v>11</v>
      </c>
      <c r="D666" s="2">
        <v>283</v>
      </c>
      <c r="E666" s="5">
        <v>45158</v>
      </c>
      <c r="F666" s="2">
        <v>157</v>
      </c>
      <c r="G666" s="2" t="s">
        <v>66</v>
      </c>
      <c r="H666" s="2" t="s">
        <v>780</v>
      </c>
      <c r="I666" s="6">
        <v>0.33</v>
      </c>
      <c r="J666" s="2" t="str">
        <f t="shared" si="10"/>
        <v>2023-08</v>
      </c>
    </row>
    <row r="667" spans="1:10" x14ac:dyDescent="0.2">
      <c r="A667" s="2" t="s">
        <v>789</v>
      </c>
      <c r="B667" s="2" t="s">
        <v>790</v>
      </c>
      <c r="C667" s="2" t="s">
        <v>35</v>
      </c>
      <c r="D667" s="2">
        <v>125</v>
      </c>
      <c r="E667" s="5">
        <v>45157</v>
      </c>
      <c r="F667" s="2" t="s">
        <v>2954</v>
      </c>
      <c r="G667" s="2" t="s">
        <v>12</v>
      </c>
      <c r="H667" s="2" t="s">
        <v>98</v>
      </c>
      <c r="I667" s="6">
        <v>0.4</v>
      </c>
      <c r="J667" s="2" t="str">
        <f t="shared" si="10"/>
        <v>2023-08</v>
      </c>
    </row>
    <row r="668" spans="1:10" x14ac:dyDescent="0.2">
      <c r="A668" s="2" t="s">
        <v>791</v>
      </c>
      <c r="B668" s="2" t="s">
        <v>255</v>
      </c>
      <c r="C668" s="2" t="s">
        <v>235</v>
      </c>
      <c r="D668" s="2">
        <v>100</v>
      </c>
      <c r="E668" s="5">
        <v>45156</v>
      </c>
      <c r="F668" s="2" t="s">
        <v>2954</v>
      </c>
      <c r="G668" s="2" t="s">
        <v>214</v>
      </c>
      <c r="H668" s="2" t="s">
        <v>98</v>
      </c>
      <c r="I668" s="6">
        <v>0.05</v>
      </c>
      <c r="J668" s="2" t="str">
        <f t="shared" si="10"/>
        <v>2023-08</v>
      </c>
    </row>
    <row r="669" spans="1:10" x14ac:dyDescent="0.2">
      <c r="A669" s="2" t="s">
        <v>792</v>
      </c>
      <c r="B669" s="2" t="s">
        <v>287</v>
      </c>
      <c r="C669" s="2" t="s">
        <v>195</v>
      </c>
      <c r="D669" s="2">
        <v>30</v>
      </c>
      <c r="E669" s="5">
        <v>45156</v>
      </c>
      <c r="F669" s="2">
        <v>42</v>
      </c>
      <c r="G669" s="2" t="s">
        <v>12</v>
      </c>
      <c r="H669" s="2" t="s">
        <v>291</v>
      </c>
      <c r="I669" s="6" t="s">
        <v>2954</v>
      </c>
      <c r="J669" s="2" t="str">
        <f t="shared" si="10"/>
        <v>2023-08</v>
      </c>
    </row>
    <row r="670" spans="1:10" x14ac:dyDescent="0.2">
      <c r="A670" s="2" t="s">
        <v>793</v>
      </c>
      <c r="B670" s="2" t="s">
        <v>34</v>
      </c>
      <c r="C670" s="2" t="s">
        <v>78</v>
      </c>
      <c r="D670" s="2" t="s">
        <v>2954</v>
      </c>
      <c r="E670" s="5">
        <v>45156</v>
      </c>
      <c r="F670" s="2">
        <v>77</v>
      </c>
      <c r="G670" s="2" t="s">
        <v>12</v>
      </c>
      <c r="H670" s="2" t="s">
        <v>23</v>
      </c>
      <c r="I670" s="6" t="s">
        <v>2954</v>
      </c>
      <c r="J670" s="2" t="str">
        <f t="shared" si="10"/>
        <v>2023-08</v>
      </c>
    </row>
    <row r="671" spans="1:10" x14ac:dyDescent="0.2">
      <c r="A671" s="2" t="s">
        <v>794</v>
      </c>
      <c r="B671" s="2" t="s">
        <v>795</v>
      </c>
      <c r="C671" s="2" t="s">
        <v>29</v>
      </c>
      <c r="D671" s="2" t="s">
        <v>2954</v>
      </c>
      <c r="E671" s="5">
        <v>45156</v>
      </c>
      <c r="F671" s="2">
        <v>72</v>
      </c>
      <c r="G671" s="2" t="s">
        <v>66</v>
      </c>
      <c r="H671" s="2" t="s">
        <v>23</v>
      </c>
      <c r="I671" s="6">
        <v>0.1</v>
      </c>
      <c r="J671" s="2" t="str">
        <f t="shared" si="10"/>
        <v>2023-08</v>
      </c>
    </row>
    <row r="672" spans="1:10" x14ac:dyDescent="0.2">
      <c r="A672" s="2" t="s">
        <v>342</v>
      </c>
      <c r="B672" s="2" t="s">
        <v>64</v>
      </c>
      <c r="C672" s="2" t="s">
        <v>32</v>
      </c>
      <c r="D672" s="2">
        <v>151</v>
      </c>
      <c r="E672" s="5">
        <v>45155</v>
      </c>
      <c r="F672" s="2">
        <v>28</v>
      </c>
      <c r="G672" s="2" t="s">
        <v>17</v>
      </c>
      <c r="H672" s="2" t="s">
        <v>23</v>
      </c>
      <c r="I672" s="6" t="s">
        <v>2954</v>
      </c>
      <c r="J672" s="2" t="str">
        <f t="shared" si="10"/>
        <v>2023-08</v>
      </c>
    </row>
    <row r="673" spans="1:10" x14ac:dyDescent="0.2">
      <c r="A673" s="2" t="s">
        <v>796</v>
      </c>
      <c r="B673" s="2" t="s">
        <v>362</v>
      </c>
      <c r="C673" s="2" t="s">
        <v>148</v>
      </c>
      <c r="D673" s="2">
        <v>149</v>
      </c>
      <c r="E673" s="5">
        <v>45155</v>
      </c>
      <c r="F673" s="2">
        <v>30</v>
      </c>
      <c r="G673" s="2" t="s">
        <v>17</v>
      </c>
      <c r="H673" s="2" t="s">
        <v>23</v>
      </c>
      <c r="I673" s="6">
        <v>0.09</v>
      </c>
      <c r="J673" s="2" t="str">
        <f t="shared" si="10"/>
        <v>2023-08</v>
      </c>
    </row>
    <row r="674" spans="1:10" x14ac:dyDescent="0.2">
      <c r="A674" s="2" t="s">
        <v>178</v>
      </c>
      <c r="B674" s="2" t="s">
        <v>34</v>
      </c>
      <c r="C674" s="2" t="s">
        <v>103</v>
      </c>
      <c r="D674" s="2">
        <v>140</v>
      </c>
      <c r="E674" s="5">
        <v>45155</v>
      </c>
      <c r="F674" s="2">
        <v>12</v>
      </c>
      <c r="G674" s="2" t="s">
        <v>17</v>
      </c>
      <c r="H674" s="2" t="s">
        <v>23</v>
      </c>
      <c r="I674" s="6" t="s">
        <v>2954</v>
      </c>
      <c r="J674" s="2" t="str">
        <f t="shared" si="10"/>
        <v>2023-08</v>
      </c>
    </row>
    <row r="675" spans="1:10" x14ac:dyDescent="0.2">
      <c r="A675" s="2" t="s">
        <v>797</v>
      </c>
      <c r="B675" s="2" t="s">
        <v>15</v>
      </c>
      <c r="C675" s="2" t="s">
        <v>235</v>
      </c>
      <c r="D675" s="2">
        <v>60</v>
      </c>
      <c r="E675" s="5">
        <v>45155</v>
      </c>
      <c r="F675" s="2">
        <v>111</v>
      </c>
      <c r="G675" s="2" t="s">
        <v>37</v>
      </c>
      <c r="H675" s="2" t="s">
        <v>18</v>
      </c>
      <c r="I675" s="6">
        <v>0.35</v>
      </c>
      <c r="J675" s="2" t="str">
        <f t="shared" si="10"/>
        <v>2023-08</v>
      </c>
    </row>
    <row r="676" spans="1:10" x14ac:dyDescent="0.2">
      <c r="A676" s="2" t="s">
        <v>348</v>
      </c>
      <c r="B676" s="2" t="s">
        <v>34</v>
      </c>
      <c r="C676" s="2" t="s">
        <v>78</v>
      </c>
      <c r="D676" s="2" t="s">
        <v>2954</v>
      </c>
      <c r="E676" s="5">
        <v>45155</v>
      </c>
      <c r="F676" s="2">
        <v>315</v>
      </c>
      <c r="G676" s="2" t="s">
        <v>62</v>
      </c>
      <c r="H676" s="2" t="s">
        <v>23</v>
      </c>
      <c r="I676" s="6" t="s">
        <v>2954</v>
      </c>
      <c r="J676" s="2" t="str">
        <f t="shared" si="10"/>
        <v>2023-08</v>
      </c>
    </row>
    <row r="677" spans="1:10" x14ac:dyDescent="0.2">
      <c r="A677" s="2" t="s">
        <v>798</v>
      </c>
      <c r="B677" s="2" t="s">
        <v>89</v>
      </c>
      <c r="C677" s="2" t="s">
        <v>52</v>
      </c>
      <c r="D677" s="2">
        <v>20</v>
      </c>
      <c r="E677" s="5">
        <v>45154</v>
      </c>
      <c r="F677" s="2">
        <v>297</v>
      </c>
      <c r="G677" s="2" t="s">
        <v>12</v>
      </c>
      <c r="H677" s="2" t="s">
        <v>23</v>
      </c>
      <c r="I677" s="6" t="s">
        <v>2954</v>
      </c>
      <c r="J677" s="2" t="str">
        <f t="shared" si="10"/>
        <v>2023-08</v>
      </c>
    </row>
    <row r="678" spans="1:10" x14ac:dyDescent="0.2">
      <c r="A678" s="2" t="s">
        <v>397</v>
      </c>
      <c r="B678" s="2" t="s">
        <v>398</v>
      </c>
      <c r="C678" s="2" t="s">
        <v>16</v>
      </c>
      <c r="D678" s="2" t="s">
        <v>2954</v>
      </c>
      <c r="E678" s="5">
        <v>45154</v>
      </c>
      <c r="F678" s="2">
        <v>534</v>
      </c>
      <c r="G678" s="2" t="s">
        <v>75</v>
      </c>
      <c r="H678" s="2" t="s">
        <v>399</v>
      </c>
      <c r="I678" s="6" t="s">
        <v>2954</v>
      </c>
      <c r="J678" s="2" t="str">
        <f t="shared" si="10"/>
        <v>2023-08</v>
      </c>
    </row>
    <row r="679" spans="1:10" x14ac:dyDescent="0.2">
      <c r="A679" s="2" t="s">
        <v>799</v>
      </c>
      <c r="B679" s="2" t="s">
        <v>619</v>
      </c>
      <c r="C679" s="2" t="s">
        <v>35</v>
      </c>
      <c r="D679" s="2" t="s">
        <v>2954</v>
      </c>
      <c r="E679" s="5">
        <v>45153</v>
      </c>
      <c r="F679" s="2">
        <v>5</v>
      </c>
      <c r="G679" s="2" t="s">
        <v>132</v>
      </c>
      <c r="H679" s="2" t="s">
        <v>321</v>
      </c>
      <c r="I679" s="6" t="s">
        <v>2954</v>
      </c>
      <c r="J679" s="2" t="str">
        <f t="shared" si="10"/>
        <v>2023-08</v>
      </c>
    </row>
    <row r="680" spans="1:10" x14ac:dyDescent="0.2">
      <c r="A680" s="2" t="s">
        <v>800</v>
      </c>
      <c r="B680" s="2" t="s">
        <v>115</v>
      </c>
      <c r="C680" s="2" t="s">
        <v>195</v>
      </c>
      <c r="D680" s="2">
        <v>300</v>
      </c>
      <c r="E680" s="5">
        <v>45152</v>
      </c>
      <c r="F680" s="2">
        <v>83</v>
      </c>
      <c r="G680" s="2" t="s">
        <v>17</v>
      </c>
      <c r="H680" s="2" t="s">
        <v>23</v>
      </c>
      <c r="I680" s="6">
        <v>0.15</v>
      </c>
      <c r="J680" s="2" t="str">
        <f t="shared" si="10"/>
        <v>2023-08</v>
      </c>
    </row>
    <row r="681" spans="1:10" x14ac:dyDescent="0.2">
      <c r="A681" s="2" t="s">
        <v>801</v>
      </c>
      <c r="B681" s="2" t="s">
        <v>802</v>
      </c>
      <c r="C681" s="2" t="s">
        <v>109</v>
      </c>
      <c r="D681" s="2">
        <v>200</v>
      </c>
      <c r="E681" s="5">
        <v>45152</v>
      </c>
      <c r="F681" s="2" t="s">
        <v>2954</v>
      </c>
      <c r="G681" s="2" t="s">
        <v>12</v>
      </c>
      <c r="H681" s="2" t="s">
        <v>13</v>
      </c>
      <c r="I681" s="6">
        <v>0.56999999999999995</v>
      </c>
      <c r="J681" s="2" t="str">
        <f t="shared" si="10"/>
        <v>2023-08</v>
      </c>
    </row>
    <row r="682" spans="1:10" x14ac:dyDescent="0.2">
      <c r="A682" s="2" t="s">
        <v>803</v>
      </c>
      <c r="B682" s="2" t="s">
        <v>25</v>
      </c>
      <c r="C682" s="2" t="s">
        <v>22</v>
      </c>
      <c r="D682" s="2" t="s">
        <v>2954</v>
      </c>
      <c r="E682" s="5">
        <v>45152</v>
      </c>
      <c r="F682" s="2" t="s">
        <v>2954</v>
      </c>
      <c r="G682" s="2" t="s">
        <v>45</v>
      </c>
      <c r="H682" s="2" t="s">
        <v>23</v>
      </c>
      <c r="I682" s="6" t="s">
        <v>2954</v>
      </c>
      <c r="J682" s="2" t="str">
        <f t="shared" si="10"/>
        <v>2023-08</v>
      </c>
    </row>
    <row r="683" spans="1:10" x14ac:dyDescent="0.2">
      <c r="A683" s="2" t="s">
        <v>804</v>
      </c>
      <c r="B683" s="2" t="s">
        <v>595</v>
      </c>
      <c r="C683" s="2" t="s">
        <v>29</v>
      </c>
      <c r="D683" s="2" t="s">
        <v>2954</v>
      </c>
      <c r="E683" s="5">
        <v>45152</v>
      </c>
      <c r="F683" s="2" t="s">
        <v>2954</v>
      </c>
      <c r="G683" s="2" t="s">
        <v>66</v>
      </c>
      <c r="H683" s="2" t="s">
        <v>224</v>
      </c>
      <c r="I683" s="6" t="s">
        <v>2954</v>
      </c>
      <c r="J683" s="2" t="str">
        <f t="shared" si="10"/>
        <v>2023-08</v>
      </c>
    </row>
    <row r="684" spans="1:10" x14ac:dyDescent="0.2">
      <c r="A684" s="2" t="s">
        <v>805</v>
      </c>
      <c r="B684" s="2" t="s">
        <v>217</v>
      </c>
      <c r="C684" s="2" t="s">
        <v>61</v>
      </c>
      <c r="D684" s="2" t="s">
        <v>2954</v>
      </c>
      <c r="E684" s="5">
        <v>45149</v>
      </c>
      <c r="F684" s="2">
        <v>180</v>
      </c>
      <c r="G684" s="2" t="s">
        <v>66</v>
      </c>
      <c r="H684" s="2" t="s">
        <v>217</v>
      </c>
      <c r="I684" s="6" t="s">
        <v>2954</v>
      </c>
      <c r="J684" s="2" t="str">
        <f t="shared" si="10"/>
        <v>2023-08</v>
      </c>
    </row>
    <row r="685" spans="1:10" x14ac:dyDescent="0.2">
      <c r="A685" s="2" t="s">
        <v>806</v>
      </c>
      <c r="B685" s="2" t="s">
        <v>378</v>
      </c>
      <c r="C685" s="2" t="s">
        <v>71</v>
      </c>
      <c r="D685" s="2">
        <v>246</v>
      </c>
      <c r="E685" s="5">
        <v>45148</v>
      </c>
      <c r="F685" s="2">
        <v>50</v>
      </c>
      <c r="G685" s="2" t="s">
        <v>17</v>
      </c>
      <c r="H685" s="2" t="s">
        <v>23</v>
      </c>
      <c r="I685" s="6" t="s">
        <v>2954</v>
      </c>
      <c r="J685" s="2" t="str">
        <f t="shared" si="10"/>
        <v>2023-08</v>
      </c>
    </row>
    <row r="686" spans="1:10" x14ac:dyDescent="0.2">
      <c r="A686" s="2" t="s">
        <v>807</v>
      </c>
      <c r="B686" s="2" t="s">
        <v>478</v>
      </c>
      <c r="C686" s="2" t="s">
        <v>29</v>
      </c>
      <c r="D686" s="2">
        <v>59</v>
      </c>
      <c r="E686" s="5">
        <v>45148</v>
      </c>
      <c r="F686" s="2">
        <v>672</v>
      </c>
      <c r="G686" s="2" t="s">
        <v>66</v>
      </c>
      <c r="H686" s="2" t="s">
        <v>23</v>
      </c>
      <c r="I686" s="6" t="s">
        <v>2954</v>
      </c>
      <c r="J686" s="2" t="str">
        <f t="shared" si="10"/>
        <v>2023-08</v>
      </c>
    </row>
    <row r="687" spans="1:10" x14ac:dyDescent="0.2">
      <c r="A687" s="2" t="s">
        <v>808</v>
      </c>
      <c r="B687" s="2" t="s">
        <v>97</v>
      </c>
      <c r="C687" s="2" t="s">
        <v>35</v>
      </c>
      <c r="D687" s="2">
        <v>55</v>
      </c>
      <c r="E687" s="5">
        <v>45148</v>
      </c>
      <c r="F687" s="2">
        <v>261</v>
      </c>
      <c r="G687" s="2" t="s">
        <v>12</v>
      </c>
      <c r="H687" s="2" t="s">
        <v>98</v>
      </c>
      <c r="I687" s="6" t="s">
        <v>2954</v>
      </c>
      <c r="J687" s="2" t="str">
        <f t="shared" si="10"/>
        <v>2023-08</v>
      </c>
    </row>
    <row r="688" spans="1:10" x14ac:dyDescent="0.2">
      <c r="A688" s="2" t="s">
        <v>809</v>
      </c>
      <c r="B688" s="2" t="s">
        <v>282</v>
      </c>
      <c r="C688" s="2" t="s">
        <v>195</v>
      </c>
      <c r="D688" s="2" t="s">
        <v>2954</v>
      </c>
      <c r="E688" s="5">
        <v>45148</v>
      </c>
      <c r="F688" s="2" t="s">
        <v>2954</v>
      </c>
      <c r="G688" s="2" t="s">
        <v>17</v>
      </c>
      <c r="H688" s="2" t="s">
        <v>55</v>
      </c>
      <c r="I688" s="6" t="s">
        <v>2954</v>
      </c>
      <c r="J688" s="2" t="str">
        <f t="shared" si="10"/>
        <v>2023-08</v>
      </c>
    </row>
    <row r="689" spans="1:10" x14ac:dyDescent="0.2">
      <c r="A689" s="2" t="s">
        <v>810</v>
      </c>
      <c r="B689" s="2" t="s">
        <v>34</v>
      </c>
      <c r="C689" s="2" t="s">
        <v>16</v>
      </c>
      <c r="D689" s="2">
        <v>150</v>
      </c>
      <c r="E689" s="5">
        <v>45147</v>
      </c>
      <c r="F689" s="2">
        <v>665</v>
      </c>
      <c r="G689" s="2" t="s">
        <v>17</v>
      </c>
      <c r="H689" s="2" t="s">
        <v>23</v>
      </c>
      <c r="I689" s="6">
        <v>0.19</v>
      </c>
      <c r="J689" s="2" t="str">
        <f t="shared" si="10"/>
        <v>2023-08</v>
      </c>
    </row>
    <row r="690" spans="1:10" x14ac:dyDescent="0.2">
      <c r="A690" s="2" t="s">
        <v>811</v>
      </c>
      <c r="B690" s="2" t="s">
        <v>47</v>
      </c>
      <c r="C690" s="2" t="s">
        <v>29</v>
      </c>
      <c r="D690" s="2">
        <v>100</v>
      </c>
      <c r="E690" s="5">
        <v>45147</v>
      </c>
      <c r="F690" s="2">
        <v>770</v>
      </c>
      <c r="G690" s="2" t="s">
        <v>75</v>
      </c>
      <c r="H690" s="2" t="s">
        <v>23</v>
      </c>
      <c r="I690" s="6" t="s">
        <v>2954</v>
      </c>
      <c r="J690" s="2" t="str">
        <f t="shared" si="10"/>
        <v>2023-08</v>
      </c>
    </row>
    <row r="691" spans="1:10" x14ac:dyDescent="0.2">
      <c r="A691" s="2" t="s">
        <v>812</v>
      </c>
      <c r="B691" s="2" t="s">
        <v>54</v>
      </c>
      <c r="C691" s="2" t="s">
        <v>32</v>
      </c>
      <c r="D691" s="2">
        <v>94</v>
      </c>
      <c r="E691" s="5">
        <v>45147</v>
      </c>
      <c r="F691" s="2">
        <v>1200</v>
      </c>
      <c r="G691" s="2" t="s">
        <v>17</v>
      </c>
      <c r="H691" s="2" t="s">
        <v>55</v>
      </c>
      <c r="I691" s="6" t="s">
        <v>2954</v>
      </c>
      <c r="J691" s="2" t="str">
        <f t="shared" si="10"/>
        <v>2023-08</v>
      </c>
    </row>
    <row r="692" spans="1:10" x14ac:dyDescent="0.2">
      <c r="A692" s="2" t="s">
        <v>813</v>
      </c>
      <c r="B692" s="2" t="s">
        <v>15</v>
      </c>
      <c r="C692" s="2" t="s">
        <v>50</v>
      </c>
      <c r="D692" s="2">
        <v>70</v>
      </c>
      <c r="E692" s="5">
        <v>45147</v>
      </c>
      <c r="F692" s="2">
        <v>2</v>
      </c>
      <c r="G692" s="2" t="s">
        <v>45</v>
      </c>
      <c r="H692" s="2" t="s">
        <v>23</v>
      </c>
      <c r="I692" s="6">
        <v>1</v>
      </c>
      <c r="J692" s="2" t="str">
        <f t="shared" si="10"/>
        <v>2023-08</v>
      </c>
    </row>
    <row r="693" spans="1:10" x14ac:dyDescent="0.2">
      <c r="A693" s="2" t="s">
        <v>814</v>
      </c>
      <c r="B693" s="2" t="s">
        <v>398</v>
      </c>
      <c r="C693" s="2" t="s">
        <v>142</v>
      </c>
      <c r="D693" s="2" t="s">
        <v>2954</v>
      </c>
      <c r="E693" s="5">
        <v>45147</v>
      </c>
      <c r="F693" s="2">
        <v>925</v>
      </c>
      <c r="G693" s="2" t="s">
        <v>17</v>
      </c>
      <c r="H693" s="2" t="s">
        <v>399</v>
      </c>
      <c r="I693" s="6" t="s">
        <v>2954</v>
      </c>
      <c r="J693" s="2" t="str">
        <f t="shared" si="10"/>
        <v>2023-08</v>
      </c>
    </row>
    <row r="694" spans="1:10" x14ac:dyDescent="0.2">
      <c r="A694" s="2" t="s">
        <v>815</v>
      </c>
      <c r="B694" s="2" t="s">
        <v>229</v>
      </c>
      <c r="C694" s="2" t="s">
        <v>113</v>
      </c>
      <c r="D694" s="2" t="s">
        <v>2954</v>
      </c>
      <c r="E694" s="5">
        <v>45147</v>
      </c>
      <c r="F694" s="2">
        <v>419</v>
      </c>
      <c r="G694" s="2" t="s">
        <v>75</v>
      </c>
      <c r="H694" s="2" t="s">
        <v>23</v>
      </c>
      <c r="I694" s="6" t="s">
        <v>2954</v>
      </c>
      <c r="J694" s="2" t="str">
        <f t="shared" si="10"/>
        <v>2023-08</v>
      </c>
    </row>
    <row r="695" spans="1:10" x14ac:dyDescent="0.2">
      <c r="A695" s="2" t="s">
        <v>816</v>
      </c>
      <c r="B695" s="2" t="s">
        <v>255</v>
      </c>
      <c r="C695" s="2" t="s">
        <v>35</v>
      </c>
      <c r="D695" s="2" t="s">
        <v>2954</v>
      </c>
      <c r="E695" s="5">
        <v>45147</v>
      </c>
      <c r="F695" s="2" t="s">
        <v>2954</v>
      </c>
      <c r="G695" s="2" t="s">
        <v>132</v>
      </c>
      <c r="H695" s="2" t="s">
        <v>98</v>
      </c>
      <c r="I695" s="6">
        <v>1</v>
      </c>
      <c r="J695" s="2" t="str">
        <f t="shared" si="10"/>
        <v>2023-08</v>
      </c>
    </row>
    <row r="696" spans="1:10" x14ac:dyDescent="0.2">
      <c r="A696" s="2" t="s">
        <v>817</v>
      </c>
      <c r="B696" s="2" t="s">
        <v>34</v>
      </c>
      <c r="C696" s="2" t="s">
        <v>35</v>
      </c>
      <c r="D696" s="2" t="s">
        <v>2954</v>
      </c>
      <c r="E696" s="5">
        <v>45147</v>
      </c>
      <c r="F696" s="2">
        <v>40</v>
      </c>
      <c r="G696" s="2" t="s">
        <v>66</v>
      </c>
      <c r="H696" s="2" t="s">
        <v>23</v>
      </c>
      <c r="I696" s="6">
        <v>0.17</v>
      </c>
      <c r="J696" s="2" t="str">
        <f t="shared" si="10"/>
        <v>2023-08</v>
      </c>
    </row>
    <row r="697" spans="1:10" x14ac:dyDescent="0.2">
      <c r="A697" s="2" t="s">
        <v>818</v>
      </c>
      <c r="B697" s="2" t="s">
        <v>314</v>
      </c>
      <c r="C697" s="2" t="s">
        <v>29</v>
      </c>
      <c r="D697" s="2">
        <v>579</v>
      </c>
      <c r="E697" s="5">
        <v>45146</v>
      </c>
      <c r="F697" s="2">
        <v>748</v>
      </c>
      <c r="G697" s="2" t="s">
        <v>17</v>
      </c>
      <c r="H697" s="2" t="s">
        <v>23</v>
      </c>
      <c r="I697" s="6">
        <v>0.05</v>
      </c>
      <c r="J697" s="2" t="str">
        <f t="shared" si="10"/>
        <v>2023-08</v>
      </c>
    </row>
    <row r="698" spans="1:10" x14ac:dyDescent="0.2">
      <c r="A698" s="2" t="s">
        <v>819</v>
      </c>
      <c r="B698" s="2" t="s">
        <v>89</v>
      </c>
      <c r="C698" s="2" t="s">
        <v>195</v>
      </c>
      <c r="D698" s="2">
        <v>470</v>
      </c>
      <c r="E698" s="5">
        <v>45146</v>
      </c>
      <c r="F698" s="2">
        <v>89</v>
      </c>
      <c r="G698" s="2" t="s">
        <v>17</v>
      </c>
      <c r="H698" s="2" t="s">
        <v>23</v>
      </c>
      <c r="I698" s="6">
        <v>0.18</v>
      </c>
      <c r="J698" s="2" t="str">
        <f t="shared" si="10"/>
        <v>2023-08</v>
      </c>
    </row>
    <row r="699" spans="1:10" x14ac:dyDescent="0.2">
      <c r="A699" s="2" t="s">
        <v>820</v>
      </c>
      <c r="B699" s="2" t="s">
        <v>100</v>
      </c>
      <c r="C699" s="2" t="s">
        <v>35</v>
      </c>
      <c r="D699" s="2">
        <v>350</v>
      </c>
      <c r="E699" s="5">
        <v>45146</v>
      </c>
      <c r="F699" s="2">
        <v>375</v>
      </c>
      <c r="G699" s="2" t="s">
        <v>12</v>
      </c>
      <c r="H699" s="2" t="s">
        <v>98</v>
      </c>
      <c r="I699" s="6" t="s">
        <v>2954</v>
      </c>
      <c r="J699" s="2" t="str">
        <f t="shared" si="10"/>
        <v>2023-08</v>
      </c>
    </row>
    <row r="700" spans="1:10" x14ac:dyDescent="0.2">
      <c r="A700" s="2" t="s">
        <v>821</v>
      </c>
      <c r="B700" s="2" t="s">
        <v>34</v>
      </c>
      <c r="C700" s="2" t="s">
        <v>32</v>
      </c>
      <c r="D700" s="2">
        <v>100</v>
      </c>
      <c r="E700" s="5">
        <v>45146</v>
      </c>
      <c r="F700" s="2">
        <v>82</v>
      </c>
      <c r="G700" s="2" t="s">
        <v>17</v>
      </c>
      <c r="H700" s="2" t="s">
        <v>23</v>
      </c>
      <c r="I700" s="6">
        <v>0.1</v>
      </c>
      <c r="J700" s="2" t="str">
        <f t="shared" si="10"/>
        <v>2023-08</v>
      </c>
    </row>
    <row r="701" spans="1:10" x14ac:dyDescent="0.2">
      <c r="A701" s="2" t="s">
        <v>822</v>
      </c>
      <c r="B701" s="2" t="s">
        <v>34</v>
      </c>
      <c r="C701" s="2" t="s">
        <v>32</v>
      </c>
      <c r="D701" s="2">
        <v>71</v>
      </c>
      <c r="E701" s="5">
        <v>45146</v>
      </c>
      <c r="F701" s="2">
        <v>1100</v>
      </c>
      <c r="G701" s="2" t="s">
        <v>17</v>
      </c>
      <c r="H701" s="2" t="s">
        <v>23</v>
      </c>
      <c r="I701" s="6">
        <v>0.11</v>
      </c>
      <c r="J701" s="2" t="str">
        <f t="shared" si="10"/>
        <v>2023-08</v>
      </c>
    </row>
    <row r="702" spans="1:10" x14ac:dyDescent="0.2">
      <c r="A702" s="2" t="s">
        <v>823</v>
      </c>
      <c r="B702" s="2" t="s">
        <v>34</v>
      </c>
      <c r="C702" s="2" t="s">
        <v>142</v>
      </c>
      <c r="D702" s="2">
        <v>54</v>
      </c>
      <c r="E702" s="5">
        <v>45146</v>
      </c>
      <c r="F702" s="2">
        <v>75</v>
      </c>
      <c r="G702" s="2" t="s">
        <v>37</v>
      </c>
      <c r="H702" s="2" t="s">
        <v>23</v>
      </c>
      <c r="I702" s="6" t="s">
        <v>2954</v>
      </c>
      <c r="J702" s="2" t="str">
        <f t="shared" si="10"/>
        <v>2023-08</v>
      </c>
    </row>
    <row r="703" spans="1:10" x14ac:dyDescent="0.2">
      <c r="A703" s="2" t="s">
        <v>824</v>
      </c>
      <c r="B703" s="2" t="s">
        <v>779</v>
      </c>
      <c r="C703" s="2" t="s">
        <v>170</v>
      </c>
      <c r="D703" s="2" t="s">
        <v>2954</v>
      </c>
      <c r="E703" s="5">
        <v>45146</v>
      </c>
      <c r="F703" s="2">
        <v>26</v>
      </c>
      <c r="G703" s="2" t="s">
        <v>37</v>
      </c>
      <c r="H703" s="2" t="s">
        <v>780</v>
      </c>
      <c r="I703" s="6">
        <v>1</v>
      </c>
      <c r="J703" s="2" t="str">
        <f t="shared" si="10"/>
        <v>2023-08</v>
      </c>
    </row>
    <row r="704" spans="1:10" x14ac:dyDescent="0.2">
      <c r="A704" s="2" t="s">
        <v>212</v>
      </c>
      <c r="B704" s="2" t="s">
        <v>86</v>
      </c>
      <c r="C704" s="2" t="s">
        <v>103</v>
      </c>
      <c r="D704" s="2" t="s">
        <v>2954</v>
      </c>
      <c r="E704" s="5">
        <v>45145</v>
      </c>
      <c r="F704" s="2" t="s">
        <v>2954</v>
      </c>
      <c r="G704" s="2" t="s">
        <v>17</v>
      </c>
      <c r="H704" s="2" t="s">
        <v>23</v>
      </c>
      <c r="I704" s="6" t="s">
        <v>2954</v>
      </c>
      <c r="J704" s="2" t="str">
        <f t="shared" si="10"/>
        <v>2023-08</v>
      </c>
    </row>
    <row r="705" spans="1:10" x14ac:dyDescent="0.2">
      <c r="A705" s="2" t="s">
        <v>825</v>
      </c>
      <c r="B705" s="2" t="s">
        <v>165</v>
      </c>
      <c r="C705" s="2" t="s">
        <v>16</v>
      </c>
      <c r="D705" s="2" t="s">
        <v>2954</v>
      </c>
      <c r="E705" s="5">
        <v>45145</v>
      </c>
      <c r="F705" s="2">
        <v>38</v>
      </c>
      <c r="G705" s="2" t="s">
        <v>45</v>
      </c>
      <c r="H705" s="2" t="s">
        <v>120</v>
      </c>
      <c r="I705" s="6">
        <v>1</v>
      </c>
      <c r="J705" s="2" t="str">
        <f t="shared" si="10"/>
        <v>2023-08</v>
      </c>
    </row>
    <row r="706" spans="1:10" x14ac:dyDescent="0.2">
      <c r="A706" s="2" t="s">
        <v>826</v>
      </c>
      <c r="B706" s="2" t="s">
        <v>401</v>
      </c>
      <c r="C706" s="2" t="s">
        <v>154</v>
      </c>
      <c r="D706" s="2">
        <v>60</v>
      </c>
      <c r="E706" s="5">
        <v>45142</v>
      </c>
      <c r="F706" s="2">
        <v>107</v>
      </c>
      <c r="G706" s="2" t="s">
        <v>41</v>
      </c>
      <c r="H706" s="2" t="s">
        <v>23</v>
      </c>
      <c r="I706" s="6" t="s">
        <v>2954</v>
      </c>
      <c r="J706" s="2" t="str">
        <f t="shared" si="10"/>
        <v>2023-08</v>
      </c>
    </row>
    <row r="707" spans="1:10" x14ac:dyDescent="0.2">
      <c r="A707" s="2" t="s">
        <v>827</v>
      </c>
      <c r="B707" s="2" t="s">
        <v>705</v>
      </c>
      <c r="C707" s="2" t="s">
        <v>61</v>
      </c>
      <c r="D707" s="2">
        <v>57</v>
      </c>
      <c r="E707" s="5">
        <v>45142</v>
      </c>
      <c r="F707" s="2" t="s">
        <v>2954</v>
      </c>
      <c r="G707" s="2" t="s">
        <v>132</v>
      </c>
      <c r="H707" s="2" t="s">
        <v>55</v>
      </c>
      <c r="I707" s="6">
        <v>1</v>
      </c>
      <c r="J707" s="2" t="str">
        <f t="shared" ref="J707:J770" si="11">TEXT(E707,"YYYY-MM")</f>
        <v>2023-08</v>
      </c>
    </row>
    <row r="708" spans="1:10" x14ac:dyDescent="0.2">
      <c r="A708" s="2" t="s">
        <v>334</v>
      </c>
      <c r="B708" s="2" t="s">
        <v>335</v>
      </c>
      <c r="C708" s="2" t="s">
        <v>61</v>
      </c>
      <c r="D708" s="2">
        <v>42</v>
      </c>
      <c r="E708" s="5">
        <v>45142</v>
      </c>
      <c r="F708" s="2">
        <v>234</v>
      </c>
      <c r="G708" s="2" t="s">
        <v>128</v>
      </c>
      <c r="H708" s="2" t="s">
        <v>106</v>
      </c>
      <c r="I708" s="6">
        <v>7.0000000000000007E-2</v>
      </c>
      <c r="J708" s="2" t="str">
        <f t="shared" si="11"/>
        <v>2023-08</v>
      </c>
    </row>
    <row r="709" spans="1:10" x14ac:dyDescent="0.2">
      <c r="A709" s="2" t="s">
        <v>828</v>
      </c>
      <c r="B709" s="2" t="s">
        <v>34</v>
      </c>
      <c r="C709" s="2" t="s">
        <v>135</v>
      </c>
      <c r="D709" s="2" t="s">
        <v>2954</v>
      </c>
      <c r="E709" s="5">
        <v>45142</v>
      </c>
      <c r="F709" s="2">
        <v>300</v>
      </c>
      <c r="G709" s="2" t="s">
        <v>17</v>
      </c>
      <c r="H709" s="2" t="s">
        <v>23</v>
      </c>
      <c r="I709" s="6">
        <v>0.25</v>
      </c>
      <c r="J709" s="2" t="str">
        <f t="shared" si="11"/>
        <v>2023-08</v>
      </c>
    </row>
    <row r="710" spans="1:10" x14ac:dyDescent="0.2">
      <c r="A710" s="2" t="s">
        <v>829</v>
      </c>
      <c r="B710" s="2" t="s">
        <v>203</v>
      </c>
      <c r="C710" s="2" t="s">
        <v>235</v>
      </c>
      <c r="D710" s="2" t="s">
        <v>2954</v>
      </c>
      <c r="E710" s="5">
        <v>45142</v>
      </c>
      <c r="F710" s="2">
        <v>3</v>
      </c>
      <c r="G710" s="2" t="s">
        <v>132</v>
      </c>
      <c r="H710" s="2" t="s">
        <v>204</v>
      </c>
      <c r="I710" s="6">
        <v>0.19</v>
      </c>
      <c r="J710" s="2" t="str">
        <f t="shared" si="11"/>
        <v>2023-08</v>
      </c>
    </row>
    <row r="711" spans="1:10" x14ac:dyDescent="0.2">
      <c r="A711" s="2" t="s">
        <v>427</v>
      </c>
      <c r="B711" s="2" t="s">
        <v>34</v>
      </c>
      <c r="C711" s="2" t="s">
        <v>35</v>
      </c>
      <c r="D711" s="2">
        <v>37</v>
      </c>
      <c r="E711" s="5">
        <v>45141</v>
      </c>
      <c r="F711" s="2">
        <v>995</v>
      </c>
      <c r="G711" s="2" t="s">
        <v>81</v>
      </c>
      <c r="H711" s="2" t="s">
        <v>23</v>
      </c>
      <c r="I711" s="6">
        <v>0.04</v>
      </c>
      <c r="J711" s="2" t="str">
        <f t="shared" si="11"/>
        <v>2023-08</v>
      </c>
    </row>
    <row r="712" spans="1:10" x14ac:dyDescent="0.2">
      <c r="A712" s="2" t="s">
        <v>830</v>
      </c>
      <c r="B712" s="2" t="s">
        <v>831</v>
      </c>
      <c r="C712" s="2" t="s">
        <v>11</v>
      </c>
      <c r="D712" s="2">
        <v>30</v>
      </c>
      <c r="E712" s="5">
        <v>45141</v>
      </c>
      <c r="F712" s="2">
        <v>5</v>
      </c>
      <c r="G712" s="2" t="s">
        <v>132</v>
      </c>
      <c r="H712" s="2" t="s">
        <v>274</v>
      </c>
      <c r="I712" s="6" t="s">
        <v>2954</v>
      </c>
      <c r="J712" s="2" t="str">
        <f t="shared" si="11"/>
        <v>2023-08</v>
      </c>
    </row>
    <row r="713" spans="1:10" x14ac:dyDescent="0.2">
      <c r="A713" s="2" t="s">
        <v>832</v>
      </c>
      <c r="B713" s="2" t="s">
        <v>414</v>
      </c>
      <c r="C713" s="2" t="s">
        <v>195</v>
      </c>
      <c r="D713" s="2" t="s">
        <v>2954</v>
      </c>
      <c r="E713" s="5">
        <v>45141</v>
      </c>
      <c r="F713" s="2">
        <v>88</v>
      </c>
      <c r="G713" s="2" t="s">
        <v>66</v>
      </c>
      <c r="H713" s="2" t="s">
        <v>23</v>
      </c>
      <c r="I713" s="6" t="s">
        <v>2954</v>
      </c>
      <c r="J713" s="2" t="str">
        <f t="shared" si="11"/>
        <v>2023-08</v>
      </c>
    </row>
    <row r="714" spans="1:10" x14ac:dyDescent="0.2">
      <c r="A714" s="2" t="s">
        <v>833</v>
      </c>
      <c r="B714" s="2" t="s">
        <v>398</v>
      </c>
      <c r="C714" s="2" t="s">
        <v>16</v>
      </c>
      <c r="D714" s="2" t="s">
        <v>2954</v>
      </c>
      <c r="E714" s="5">
        <v>45141</v>
      </c>
      <c r="F714" s="2">
        <v>43</v>
      </c>
      <c r="G714" s="2" t="s">
        <v>37</v>
      </c>
      <c r="H714" s="2" t="s">
        <v>399</v>
      </c>
      <c r="I714" s="6">
        <v>0.1</v>
      </c>
      <c r="J714" s="2" t="str">
        <f t="shared" si="11"/>
        <v>2023-08</v>
      </c>
    </row>
    <row r="715" spans="1:10" x14ac:dyDescent="0.2">
      <c r="A715" s="2" t="s">
        <v>834</v>
      </c>
      <c r="B715" s="2" t="s">
        <v>15</v>
      </c>
      <c r="C715" s="2" t="s">
        <v>16</v>
      </c>
      <c r="D715" s="2" t="s">
        <v>2954</v>
      </c>
      <c r="E715" s="5">
        <v>45141</v>
      </c>
      <c r="F715" s="2" t="s">
        <v>2954</v>
      </c>
      <c r="G715" s="2" t="s">
        <v>12</v>
      </c>
      <c r="H715" s="2" t="s">
        <v>18</v>
      </c>
      <c r="I715" s="6" t="s">
        <v>2954</v>
      </c>
      <c r="J715" s="2" t="str">
        <f t="shared" si="11"/>
        <v>2023-08</v>
      </c>
    </row>
    <row r="716" spans="1:10" x14ac:dyDescent="0.2">
      <c r="A716" s="2" t="s">
        <v>835</v>
      </c>
      <c r="B716" s="2" t="s">
        <v>255</v>
      </c>
      <c r="C716" s="2" t="s">
        <v>52</v>
      </c>
      <c r="D716" s="2">
        <v>300</v>
      </c>
      <c r="E716" s="5">
        <v>45140</v>
      </c>
      <c r="F716" s="2">
        <v>513</v>
      </c>
      <c r="G716" s="2" t="s">
        <v>128</v>
      </c>
      <c r="H716" s="2" t="s">
        <v>98</v>
      </c>
      <c r="I716" s="6">
        <v>0.05</v>
      </c>
      <c r="J716" s="2" t="str">
        <f t="shared" si="11"/>
        <v>2023-08</v>
      </c>
    </row>
    <row r="717" spans="1:10" x14ac:dyDescent="0.2">
      <c r="A717" s="2" t="s">
        <v>836</v>
      </c>
      <c r="B717" s="2" t="s">
        <v>100</v>
      </c>
      <c r="C717" s="2" t="s">
        <v>29</v>
      </c>
      <c r="D717" s="2">
        <v>300</v>
      </c>
      <c r="E717" s="5">
        <v>45140</v>
      </c>
      <c r="F717" s="2">
        <v>435</v>
      </c>
      <c r="G717" s="2" t="s">
        <v>75</v>
      </c>
      <c r="H717" s="2" t="s">
        <v>98</v>
      </c>
      <c r="I717" s="6">
        <v>0.1</v>
      </c>
      <c r="J717" s="2" t="str">
        <f t="shared" si="11"/>
        <v>2023-08</v>
      </c>
    </row>
    <row r="718" spans="1:10" x14ac:dyDescent="0.2">
      <c r="A718" s="2" t="s">
        <v>837</v>
      </c>
      <c r="B718" s="2" t="s">
        <v>34</v>
      </c>
      <c r="C718" s="2" t="s">
        <v>68</v>
      </c>
      <c r="D718" s="2">
        <v>100</v>
      </c>
      <c r="E718" s="5">
        <v>45140</v>
      </c>
      <c r="F718" s="2">
        <v>567</v>
      </c>
      <c r="G718" s="2" t="s">
        <v>128</v>
      </c>
      <c r="H718" s="2" t="s">
        <v>23</v>
      </c>
      <c r="I718" s="6">
        <v>0.16</v>
      </c>
      <c r="J718" s="2" t="str">
        <f t="shared" si="11"/>
        <v>2023-08</v>
      </c>
    </row>
    <row r="719" spans="1:10" x14ac:dyDescent="0.2">
      <c r="A719" s="2" t="s">
        <v>838</v>
      </c>
      <c r="B719" s="2" t="s">
        <v>25</v>
      </c>
      <c r="C719" s="2" t="s">
        <v>71</v>
      </c>
      <c r="D719" s="2">
        <v>70</v>
      </c>
      <c r="E719" s="5">
        <v>45140</v>
      </c>
      <c r="F719" s="2">
        <v>274</v>
      </c>
      <c r="G719" s="2" t="s">
        <v>128</v>
      </c>
      <c r="H719" s="2" t="s">
        <v>23</v>
      </c>
      <c r="I719" s="6">
        <v>0.18</v>
      </c>
      <c r="J719" s="2" t="str">
        <f t="shared" si="11"/>
        <v>2023-08</v>
      </c>
    </row>
    <row r="720" spans="1:10" x14ac:dyDescent="0.2">
      <c r="A720" s="2" t="s">
        <v>839</v>
      </c>
      <c r="B720" s="2" t="s">
        <v>34</v>
      </c>
      <c r="C720" s="2" t="s">
        <v>84</v>
      </c>
      <c r="D720" s="2">
        <v>70</v>
      </c>
      <c r="E720" s="5">
        <v>45140</v>
      </c>
      <c r="F720" s="2">
        <v>148</v>
      </c>
      <c r="G720" s="2" t="s">
        <v>66</v>
      </c>
      <c r="H720" s="2" t="s">
        <v>23</v>
      </c>
      <c r="I720" s="6" t="s">
        <v>2954</v>
      </c>
      <c r="J720" s="2" t="str">
        <f t="shared" si="11"/>
        <v>2023-08</v>
      </c>
    </row>
    <row r="721" spans="1:10" x14ac:dyDescent="0.2">
      <c r="A721" s="2" t="s">
        <v>840</v>
      </c>
      <c r="B721" s="2" t="s">
        <v>661</v>
      </c>
      <c r="C721" s="2" t="s">
        <v>68</v>
      </c>
      <c r="D721" s="2">
        <v>58</v>
      </c>
      <c r="E721" s="5">
        <v>45140</v>
      </c>
      <c r="F721" s="2">
        <v>105</v>
      </c>
      <c r="G721" s="2" t="s">
        <v>37</v>
      </c>
      <c r="H721" s="2" t="s">
        <v>662</v>
      </c>
      <c r="I721" s="6">
        <v>0.08</v>
      </c>
      <c r="J721" s="2" t="str">
        <f t="shared" si="11"/>
        <v>2023-08</v>
      </c>
    </row>
    <row r="722" spans="1:10" x14ac:dyDescent="0.2">
      <c r="A722" s="2" t="s">
        <v>368</v>
      </c>
      <c r="B722" s="2" t="s">
        <v>167</v>
      </c>
      <c r="C722" s="2" t="s">
        <v>50</v>
      </c>
      <c r="D722" s="2">
        <v>50</v>
      </c>
      <c r="E722" s="5">
        <v>45140</v>
      </c>
      <c r="F722" s="2">
        <v>65</v>
      </c>
      <c r="G722" s="2" t="s">
        <v>17</v>
      </c>
      <c r="H722" s="2" t="s">
        <v>168</v>
      </c>
      <c r="I722" s="6" t="s">
        <v>2954</v>
      </c>
      <c r="J722" s="2" t="str">
        <f t="shared" si="11"/>
        <v>2023-08</v>
      </c>
    </row>
    <row r="723" spans="1:10" x14ac:dyDescent="0.2">
      <c r="A723" s="2" t="s">
        <v>841</v>
      </c>
      <c r="B723" s="2" t="s">
        <v>100</v>
      </c>
      <c r="C723" s="2" t="s">
        <v>16</v>
      </c>
      <c r="D723" s="2">
        <v>18</v>
      </c>
      <c r="E723" s="5">
        <v>45140</v>
      </c>
      <c r="F723" s="2">
        <v>42</v>
      </c>
      <c r="G723" s="2" t="s">
        <v>41</v>
      </c>
      <c r="H723" s="2" t="s">
        <v>98</v>
      </c>
      <c r="I723" s="6" t="s">
        <v>2954</v>
      </c>
      <c r="J723" s="2" t="str">
        <f t="shared" si="11"/>
        <v>2023-08</v>
      </c>
    </row>
    <row r="724" spans="1:10" x14ac:dyDescent="0.2">
      <c r="A724" s="2" t="s">
        <v>842</v>
      </c>
      <c r="B724" s="2" t="s">
        <v>100</v>
      </c>
      <c r="C724" s="2" t="s">
        <v>16</v>
      </c>
      <c r="D724" s="2" t="s">
        <v>2954</v>
      </c>
      <c r="E724" s="5">
        <v>45140</v>
      </c>
      <c r="F724" s="2">
        <v>12</v>
      </c>
      <c r="G724" s="2" t="s">
        <v>132</v>
      </c>
      <c r="H724" s="2" t="s">
        <v>98</v>
      </c>
      <c r="I724" s="6">
        <v>0.6</v>
      </c>
      <c r="J724" s="2" t="str">
        <f t="shared" si="11"/>
        <v>2023-08</v>
      </c>
    </row>
    <row r="725" spans="1:10" x14ac:dyDescent="0.2">
      <c r="A725" s="2" t="s">
        <v>843</v>
      </c>
      <c r="B725" s="2" t="s">
        <v>255</v>
      </c>
      <c r="C725" s="2" t="s">
        <v>32</v>
      </c>
      <c r="D725" s="2" t="s">
        <v>2954</v>
      </c>
      <c r="E725" s="5">
        <v>45140</v>
      </c>
      <c r="F725" s="2">
        <v>2</v>
      </c>
      <c r="G725" s="2" t="s">
        <v>132</v>
      </c>
      <c r="H725" s="2" t="s">
        <v>98</v>
      </c>
      <c r="I725" s="6">
        <v>1</v>
      </c>
      <c r="J725" s="2" t="str">
        <f t="shared" si="11"/>
        <v>2023-08</v>
      </c>
    </row>
    <row r="726" spans="1:10" x14ac:dyDescent="0.2">
      <c r="A726" s="2" t="s">
        <v>844</v>
      </c>
      <c r="B726" s="2" t="s">
        <v>54</v>
      </c>
      <c r="C726" s="2" t="s">
        <v>35</v>
      </c>
      <c r="D726" s="2" t="s">
        <v>2954</v>
      </c>
      <c r="E726" s="5">
        <v>45140</v>
      </c>
      <c r="F726" s="2">
        <v>135</v>
      </c>
      <c r="G726" s="2" t="s">
        <v>66</v>
      </c>
      <c r="H726" s="2" t="s">
        <v>55</v>
      </c>
      <c r="I726" s="6" t="s">
        <v>2954</v>
      </c>
      <c r="J726" s="2" t="str">
        <f t="shared" si="11"/>
        <v>2023-08</v>
      </c>
    </row>
    <row r="727" spans="1:10" x14ac:dyDescent="0.2">
      <c r="A727" s="2" t="s">
        <v>845</v>
      </c>
      <c r="B727" s="2" t="s">
        <v>34</v>
      </c>
      <c r="C727" s="2" t="s">
        <v>195</v>
      </c>
      <c r="D727" s="2" t="s">
        <v>2954</v>
      </c>
      <c r="E727" s="5">
        <v>45140</v>
      </c>
      <c r="F727" s="2">
        <v>159</v>
      </c>
      <c r="G727" s="2" t="s">
        <v>128</v>
      </c>
      <c r="H727" s="2" t="s">
        <v>23</v>
      </c>
      <c r="I727" s="6">
        <v>0.12</v>
      </c>
      <c r="J727" s="2" t="str">
        <f t="shared" si="11"/>
        <v>2023-08</v>
      </c>
    </row>
    <row r="728" spans="1:10" x14ac:dyDescent="0.2">
      <c r="A728" s="2" t="s">
        <v>846</v>
      </c>
      <c r="B728" s="2" t="s">
        <v>188</v>
      </c>
      <c r="C728" s="2" t="s">
        <v>117</v>
      </c>
      <c r="D728" s="2" t="s">
        <v>2954</v>
      </c>
      <c r="E728" s="5">
        <v>45140</v>
      </c>
      <c r="F728" s="2">
        <v>19</v>
      </c>
      <c r="G728" s="2" t="s">
        <v>41</v>
      </c>
      <c r="H728" s="2" t="s">
        <v>106</v>
      </c>
      <c r="I728" s="6">
        <v>1</v>
      </c>
      <c r="J728" s="2" t="str">
        <f t="shared" si="11"/>
        <v>2023-08</v>
      </c>
    </row>
    <row r="729" spans="1:10" x14ac:dyDescent="0.2">
      <c r="A729" s="2" t="s">
        <v>582</v>
      </c>
      <c r="B729" s="2" t="s">
        <v>89</v>
      </c>
      <c r="C729" s="2" t="s">
        <v>44</v>
      </c>
      <c r="D729" s="2" t="s">
        <v>2954</v>
      </c>
      <c r="E729" s="5">
        <v>45140</v>
      </c>
      <c r="F729" s="2">
        <v>3</v>
      </c>
      <c r="G729" s="2" t="s">
        <v>17</v>
      </c>
      <c r="H729" s="2" t="s">
        <v>23</v>
      </c>
      <c r="I729" s="6" t="s">
        <v>2954</v>
      </c>
      <c r="J729" s="2" t="str">
        <f t="shared" si="11"/>
        <v>2023-08</v>
      </c>
    </row>
    <row r="730" spans="1:10" x14ac:dyDescent="0.2">
      <c r="A730" s="2" t="s">
        <v>847</v>
      </c>
      <c r="B730" s="2" t="s">
        <v>15</v>
      </c>
      <c r="C730" s="2" t="s">
        <v>16</v>
      </c>
      <c r="D730" s="2">
        <v>150</v>
      </c>
      <c r="E730" s="5">
        <v>45139</v>
      </c>
      <c r="F730" s="2">
        <v>110</v>
      </c>
      <c r="G730" s="2" t="s">
        <v>66</v>
      </c>
      <c r="H730" s="2" t="s">
        <v>18</v>
      </c>
      <c r="I730" s="6">
        <v>0.75</v>
      </c>
      <c r="J730" s="2" t="str">
        <f t="shared" si="11"/>
        <v>2023-08</v>
      </c>
    </row>
    <row r="731" spans="1:10" x14ac:dyDescent="0.2">
      <c r="A731" s="2" t="s">
        <v>848</v>
      </c>
      <c r="B731" s="2" t="s">
        <v>34</v>
      </c>
      <c r="C731" s="2" t="s">
        <v>135</v>
      </c>
      <c r="D731" s="2">
        <v>117</v>
      </c>
      <c r="E731" s="5">
        <v>45139</v>
      </c>
      <c r="F731" s="2">
        <v>574</v>
      </c>
      <c r="G731" s="2" t="s">
        <v>17</v>
      </c>
      <c r="H731" s="2" t="s">
        <v>23</v>
      </c>
      <c r="I731" s="6">
        <v>0.1</v>
      </c>
      <c r="J731" s="2" t="str">
        <f t="shared" si="11"/>
        <v>2023-08</v>
      </c>
    </row>
    <row r="732" spans="1:10" x14ac:dyDescent="0.2">
      <c r="A732" s="2" t="s">
        <v>723</v>
      </c>
      <c r="B732" s="2" t="s">
        <v>188</v>
      </c>
      <c r="C732" s="2" t="s">
        <v>61</v>
      </c>
      <c r="D732" s="2">
        <v>106</v>
      </c>
      <c r="E732" s="5">
        <v>45139</v>
      </c>
      <c r="F732" s="2">
        <v>389</v>
      </c>
      <c r="G732" s="2" t="s">
        <v>75</v>
      </c>
      <c r="H732" s="2" t="s">
        <v>106</v>
      </c>
      <c r="I732" s="6">
        <v>0.04</v>
      </c>
      <c r="J732" s="2" t="str">
        <f t="shared" si="11"/>
        <v>2023-08</v>
      </c>
    </row>
    <row r="733" spans="1:10" x14ac:dyDescent="0.2">
      <c r="A733" s="2" t="s">
        <v>849</v>
      </c>
      <c r="B733" s="2" t="s">
        <v>34</v>
      </c>
      <c r="C733" s="2" t="s">
        <v>148</v>
      </c>
      <c r="D733" s="2">
        <v>40</v>
      </c>
      <c r="E733" s="5">
        <v>45139</v>
      </c>
      <c r="F733" s="2">
        <v>57</v>
      </c>
      <c r="G733" s="2" t="s">
        <v>37</v>
      </c>
      <c r="H733" s="2" t="s">
        <v>23</v>
      </c>
      <c r="I733" s="6">
        <v>0.3</v>
      </c>
      <c r="J733" s="2" t="str">
        <f t="shared" si="11"/>
        <v>2023-08</v>
      </c>
    </row>
    <row r="734" spans="1:10" x14ac:dyDescent="0.2">
      <c r="A734" s="2" t="s">
        <v>850</v>
      </c>
      <c r="B734" s="2" t="s">
        <v>100</v>
      </c>
      <c r="C734" s="2" t="s">
        <v>142</v>
      </c>
      <c r="D734" s="2" t="s">
        <v>2954</v>
      </c>
      <c r="E734" s="5">
        <v>45139</v>
      </c>
      <c r="F734" s="2">
        <v>17</v>
      </c>
      <c r="G734" s="2" t="s">
        <v>37</v>
      </c>
      <c r="H734" s="2" t="s">
        <v>98</v>
      </c>
      <c r="I734" s="6">
        <v>0.2</v>
      </c>
      <c r="J734" s="2" t="str">
        <f t="shared" si="11"/>
        <v>2023-08</v>
      </c>
    </row>
    <row r="735" spans="1:10" x14ac:dyDescent="0.2">
      <c r="A735" s="2" t="s">
        <v>345</v>
      </c>
      <c r="B735" s="2" t="s">
        <v>89</v>
      </c>
      <c r="C735" s="2" t="s">
        <v>29</v>
      </c>
      <c r="D735" s="2" t="s">
        <v>2954</v>
      </c>
      <c r="E735" s="5">
        <v>45139</v>
      </c>
      <c r="F735" s="2">
        <v>1200</v>
      </c>
      <c r="G735" s="2" t="s">
        <v>62</v>
      </c>
      <c r="H735" s="2" t="s">
        <v>23</v>
      </c>
      <c r="I735" s="6" t="s">
        <v>2954</v>
      </c>
      <c r="J735" s="2" t="str">
        <f t="shared" si="11"/>
        <v>2023-08</v>
      </c>
    </row>
    <row r="736" spans="1:10" x14ac:dyDescent="0.2">
      <c r="A736" s="2" t="s">
        <v>851</v>
      </c>
      <c r="B736" s="2" t="s">
        <v>34</v>
      </c>
      <c r="C736" s="2" t="s">
        <v>52</v>
      </c>
      <c r="D736" s="2" t="s">
        <v>2954</v>
      </c>
      <c r="E736" s="5">
        <v>45139</v>
      </c>
      <c r="F736" s="2">
        <v>387</v>
      </c>
      <c r="G736" s="2" t="s">
        <v>12</v>
      </c>
      <c r="H736" s="2" t="s">
        <v>23</v>
      </c>
      <c r="I736" s="6">
        <v>0.1</v>
      </c>
      <c r="J736" s="2" t="str">
        <f t="shared" si="11"/>
        <v>2023-08</v>
      </c>
    </row>
    <row r="737" spans="1:10" x14ac:dyDescent="0.2">
      <c r="A737" s="2" t="s">
        <v>852</v>
      </c>
      <c r="B737" s="2" t="s">
        <v>28</v>
      </c>
      <c r="C737" s="2" t="s">
        <v>50</v>
      </c>
      <c r="D737" s="2" t="s">
        <v>2954</v>
      </c>
      <c r="E737" s="5">
        <v>45139</v>
      </c>
      <c r="F737" s="2">
        <v>489</v>
      </c>
      <c r="G737" s="2" t="s">
        <v>58</v>
      </c>
      <c r="H737" s="2" t="s">
        <v>23</v>
      </c>
      <c r="I737" s="6">
        <v>0.05</v>
      </c>
      <c r="J737" s="2" t="str">
        <f t="shared" si="11"/>
        <v>2023-08</v>
      </c>
    </row>
    <row r="738" spans="1:10" x14ac:dyDescent="0.2">
      <c r="A738" s="2" t="s">
        <v>853</v>
      </c>
      <c r="B738" s="2" t="s">
        <v>398</v>
      </c>
      <c r="C738" s="2" t="s">
        <v>16</v>
      </c>
      <c r="D738" s="2">
        <v>80</v>
      </c>
      <c r="E738" s="5">
        <v>45138</v>
      </c>
      <c r="F738" s="2">
        <v>89</v>
      </c>
      <c r="G738" s="2" t="s">
        <v>37</v>
      </c>
      <c r="H738" s="2" t="s">
        <v>399</v>
      </c>
      <c r="I738" s="6" t="s">
        <v>2954</v>
      </c>
      <c r="J738" s="2" t="str">
        <f t="shared" si="11"/>
        <v>2023-07</v>
      </c>
    </row>
    <row r="739" spans="1:10" x14ac:dyDescent="0.2">
      <c r="A739" s="2" t="s">
        <v>854</v>
      </c>
      <c r="B739" s="2" t="s">
        <v>335</v>
      </c>
      <c r="C739" s="2" t="s">
        <v>29</v>
      </c>
      <c r="D739" s="2">
        <v>13</v>
      </c>
      <c r="E739" s="5">
        <v>45138</v>
      </c>
      <c r="F739" s="2">
        <v>12</v>
      </c>
      <c r="G739" s="2" t="s">
        <v>41</v>
      </c>
      <c r="H739" s="2" t="s">
        <v>106</v>
      </c>
      <c r="I739" s="6">
        <v>0.09</v>
      </c>
      <c r="J739" s="2" t="str">
        <f t="shared" si="11"/>
        <v>2023-07</v>
      </c>
    </row>
    <row r="740" spans="1:10" x14ac:dyDescent="0.2">
      <c r="A740" s="2" t="s">
        <v>750</v>
      </c>
      <c r="B740" s="2" t="s">
        <v>25</v>
      </c>
      <c r="C740" s="2" t="s">
        <v>52</v>
      </c>
      <c r="D740" s="2">
        <v>12</v>
      </c>
      <c r="E740" s="5">
        <v>45138</v>
      </c>
      <c r="F740" s="2">
        <v>149</v>
      </c>
      <c r="G740" s="2" t="s">
        <v>75</v>
      </c>
      <c r="H740" s="2" t="s">
        <v>23</v>
      </c>
      <c r="I740" s="6" t="s">
        <v>2954</v>
      </c>
      <c r="J740" s="2" t="str">
        <f t="shared" si="11"/>
        <v>2023-07</v>
      </c>
    </row>
    <row r="741" spans="1:10" x14ac:dyDescent="0.2">
      <c r="A741" s="2" t="s">
        <v>855</v>
      </c>
      <c r="B741" s="2" t="s">
        <v>595</v>
      </c>
      <c r="C741" s="2" t="s">
        <v>103</v>
      </c>
      <c r="D741" s="2" t="s">
        <v>2954</v>
      </c>
      <c r="E741" s="5">
        <v>45138</v>
      </c>
      <c r="F741" s="2">
        <v>200</v>
      </c>
      <c r="G741" s="2" t="s">
        <v>37</v>
      </c>
      <c r="H741" s="2" t="s">
        <v>224</v>
      </c>
      <c r="I741" s="6" t="s">
        <v>2954</v>
      </c>
      <c r="J741" s="2" t="str">
        <f t="shared" si="11"/>
        <v>2023-07</v>
      </c>
    </row>
    <row r="742" spans="1:10" x14ac:dyDescent="0.2">
      <c r="A742" s="2" t="s">
        <v>856</v>
      </c>
      <c r="B742" s="2" t="s">
        <v>54</v>
      </c>
      <c r="C742" s="2" t="s">
        <v>195</v>
      </c>
      <c r="D742" s="2">
        <v>200</v>
      </c>
      <c r="E742" s="5">
        <v>45137</v>
      </c>
      <c r="F742" s="2">
        <v>188</v>
      </c>
      <c r="G742" s="2" t="s">
        <v>17</v>
      </c>
      <c r="H742" s="2" t="s">
        <v>55</v>
      </c>
      <c r="I742" s="6">
        <v>0.3</v>
      </c>
      <c r="J742" s="2" t="str">
        <f t="shared" si="11"/>
        <v>2023-07</v>
      </c>
    </row>
    <row r="743" spans="1:10" x14ac:dyDescent="0.2">
      <c r="A743" s="2" t="s">
        <v>857</v>
      </c>
      <c r="B743" s="2" t="s">
        <v>858</v>
      </c>
      <c r="C743" s="2" t="s">
        <v>52</v>
      </c>
      <c r="D743" s="2">
        <v>200</v>
      </c>
      <c r="E743" s="5">
        <v>45135</v>
      </c>
      <c r="F743" s="2">
        <v>46</v>
      </c>
      <c r="G743" s="2" t="s">
        <v>12</v>
      </c>
      <c r="H743" s="2" t="s">
        <v>859</v>
      </c>
      <c r="I743" s="6">
        <v>0.31</v>
      </c>
      <c r="J743" s="2" t="str">
        <f t="shared" si="11"/>
        <v>2023-07</v>
      </c>
    </row>
    <row r="744" spans="1:10" x14ac:dyDescent="0.2">
      <c r="A744" s="2" t="s">
        <v>860</v>
      </c>
      <c r="B744" s="2" t="s">
        <v>54</v>
      </c>
      <c r="C744" s="2" t="s">
        <v>195</v>
      </c>
      <c r="D744" s="2">
        <v>180</v>
      </c>
      <c r="E744" s="5">
        <v>45135</v>
      </c>
      <c r="F744" s="2">
        <v>188</v>
      </c>
      <c r="G744" s="2" t="s">
        <v>17</v>
      </c>
      <c r="H744" s="2" t="s">
        <v>55</v>
      </c>
      <c r="I744" s="6" t="s">
        <v>2954</v>
      </c>
      <c r="J744" s="2" t="str">
        <f t="shared" si="11"/>
        <v>2023-07</v>
      </c>
    </row>
    <row r="745" spans="1:10" x14ac:dyDescent="0.2">
      <c r="A745" s="2" t="s">
        <v>861</v>
      </c>
      <c r="B745" s="2" t="s">
        <v>89</v>
      </c>
      <c r="C745" s="2" t="s">
        <v>32</v>
      </c>
      <c r="D745" s="2" t="s">
        <v>2954</v>
      </c>
      <c r="E745" s="5">
        <v>45135</v>
      </c>
      <c r="F745" s="2">
        <v>187</v>
      </c>
      <c r="G745" s="2" t="s">
        <v>17</v>
      </c>
      <c r="H745" s="2" t="s">
        <v>23</v>
      </c>
      <c r="I745" s="6" t="s">
        <v>2954</v>
      </c>
      <c r="J745" s="2" t="str">
        <f t="shared" si="11"/>
        <v>2023-07</v>
      </c>
    </row>
    <row r="746" spans="1:10" x14ac:dyDescent="0.2">
      <c r="A746" s="2" t="s">
        <v>862</v>
      </c>
      <c r="B746" s="2" t="s">
        <v>255</v>
      </c>
      <c r="C746" s="2" t="s">
        <v>11</v>
      </c>
      <c r="D746" s="2">
        <v>400</v>
      </c>
      <c r="E746" s="5">
        <v>45134</v>
      </c>
      <c r="F746" s="2">
        <v>39</v>
      </c>
      <c r="G746" s="2" t="s">
        <v>45</v>
      </c>
      <c r="H746" s="2" t="s">
        <v>98</v>
      </c>
      <c r="I746" s="6">
        <v>0.67</v>
      </c>
      <c r="J746" s="2" t="str">
        <f t="shared" si="11"/>
        <v>2023-07</v>
      </c>
    </row>
    <row r="747" spans="1:10" x14ac:dyDescent="0.2">
      <c r="A747" s="2" t="s">
        <v>863</v>
      </c>
      <c r="B747" s="2" t="s">
        <v>34</v>
      </c>
      <c r="C747" s="2" t="s">
        <v>142</v>
      </c>
      <c r="D747" s="2">
        <v>255</v>
      </c>
      <c r="E747" s="5">
        <v>45134</v>
      </c>
      <c r="F747" s="2">
        <v>1600</v>
      </c>
      <c r="G747" s="2" t="s">
        <v>17</v>
      </c>
      <c r="H747" s="2" t="s">
        <v>23</v>
      </c>
      <c r="I747" s="6">
        <v>0.34</v>
      </c>
      <c r="J747" s="2" t="str">
        <f t="shared" si="11"/>
        <v>2023-07</v>
      </c>
    </row>
    <row r="748" spans="1:10" x14ac:dyDescent="0.2">
      <c r="A748" s="2" t="s">
        <v>864</v>
      </c>
      <c r="B748" s="2" t="s">
        <v>34</v>
      </c>
      <c r="C748" s="2" t="s">
        <v>148</v>
      </c>
      <c r="D748" s="2">
        <v>61</v>
      </c>
      <c r="E748" s="5">
        <v>45134</v>
      </c>
      <c r="F748" s="2">
        <v>149</v>
      </c>
      <c r="G748" s="2" t="s">
        <v>66</v>
      </c>
      <c r="H748" s="2" t="s">
        <v>23</v>
      </c>
      <c r="I748" s="6">
        <v>0.28000000000000003</v>
      </c>
      <c r="J748" s="2" t="str">
        <f t="shared" si="11"/>
        <v>2023-07</v>
      </c>
    </row>
    <row r="749" spans="1:10" x14ac:dyDescent="0.2">
      <c r="A749" s="2" t="s">
        <v>865</v>
      </c>
      <c r="B749" s="2" t="s">
        <v>398</v>
      </c>
      <c r="C749" s="2" t="s">
        <v>16</v>
      </c>
      <c r="D749" s="2">
        <v>60</v>
      </c>
      <c r="E749" s="5">
        <v>45134</v>
      </c>
      <c r="F749" s="2">
        <v>9</v>
      </c>
      <c r="G749" s="2" t="s">
        <v>41</v>
      </c>
      <c r="H749" s="2" t="s">
        <v>399</v>
      </c>
      <c r="I749" s="6" t="s">
        <v>2954</v>
      </c>
      <c r="J749" s="2" t="str">
        <f t="shared" si="11"/>
        <v>2023-07</v>
      </c>
    </row>
    <row r="750" spans="1:10" x14ac:dyDescent="0.2">
      <c r="A750" s="2" t="s">
        <v>248</v>
      </c>
      <c r="B750" s="2" t="s">
        <v>25</v>
      </c>
      <c r="C750" s="2" t="s">
        <v>243</v>
      </c>
      <c r="D750" s="2">
        <v>60</v>
      </c>
      <c r="E750" s="5">
        <v>45134</v>
      </c>
      <c r="F750" s="2">
        <v>569</v>
      </c>
      <c r="G750" s="2" t="s">
        <v>128</v>
      </c>
      <c r="H750" s="2" t="s">
        <v>23</v>
      </c>
      <c r="I750" s="6">
        <v>0.06</v>
      </c>
      <c r="J750" s="2" t="str">
        <f t="shared" si="11"/>
        <v>2023-07</v>
      </c>
    </row>
    <row r="751" spans="1:10" x14ac:dyDescent="0.2">
      <c r="A751" s="2" t="s">
        <v>866</v>
      </c>
      <c r="B751" s="2" t="s">
        <v>34</v>
      </c>
      <c r="C751" s="2" t="s">
        <v>29</v>
      </c>
      <c r="D751" s="2" t="s">
        <v>2954</v>
      </c>
      <c r="E751" s="5">
        <v>45134</v>
      </c>
      <c r="F751" s="2">
        <v>11</v>
      </c>
      <c r="G751" s="2" t="s">
        <v>132</v>
      </c>
      <c r="H751" s="2" t="s">
        <v>23</v>
      </c>
      <c r="I751" s="6">
        <v>1</v>
      </c>
      <c r="J751" s="2" t="str">
        <f t="shared" si="11"/>
        <v>2023-07</v>
      </c>
    </row>
    <row r="752" spans="1:10" x14ac:dyDescent="0.2">
      <c r="A752" s="2" t="s">
        <v>867</v>
      </c>
      <c r="B752" s="2" t="s">
        <v>34</v>
      </c>
      <c r="C752" s="2" t="s">
        <v>61</v>
      </c>
      <c r="D752" s="2" t="s">
        <v>2954</v>
      </c>
      <c r="E752" s="5">
        <v>45134</v>
      </c>
      <c r="F752" s="2">
        <v>463</v>
      </c>
      <c r="G752" s="2" t="s">
        <v>12</v>
      </c>
      <c r="H752" s="2" t="s">
        <v>23</v>
      </c>
      <c r="I752" s="6" t="s">
        <v>2954</v>
      </c>
      <c r="J752" s="2" t="str">
        <f t="shared" si="11"/>
        <v>2023-07</v>
      </c>
    </row>
    <row r="753" spans="1:10" x14ac:dyDescent="0.2">
      <c r="A753" s="2" t="s">
        <v>868</v>
      </c>
      <c r="B753" s="2" t="s">
        <v>779</v>
      </c>
      <c r="C753" s="2" t="s">
        <v>142</v>
      </c>
      <c r="D753" s="2">
        <v>350</v>
      </c>
      <c r="E753" s="5">
        <v>45133</v>
      </c>
      <c r="F753" s="2">
        <v>103</v>
      </c>
      <c r="G753" s="2" t="s">
        <v>66</v>
      </c>
      <c r="H753" s="2" t="s">
        <v>780</v>
      </c>
      <c r="I753" s="6">
        <v>0.25</v>
      </c>
      <c r="J753" s="2" t="str">
        <f t="shared" si="11"/>
        <v>2023-07</v>
      </c>
    </row>
    <row r="754" spans="1:10" x14ac:dyDescent="0.2">
      <c r="A754" s="2" t="s">
        <v>869</v>
      </c>
      <c r="B754" s="2" t="s">
        <v>34</v>
      </c>
      <c r="C754" s="2" t="s">
        <v>22</v>
      </c>
      <c r="D754" s="2">
        <v>90</v>
      </c>
      <c r="E754" s="5">
        <v>45133</v>
      </c>
      <c r="F754" s="2">
        <v>1500</v>
      </c>
      <c r="G754" s="2" t="s">
        <v>12</v>
      </c>
      <c r="H754" s="2" t="s">
        <v>23</v>
      </c>
      <c r="I754" s="6">
        <v>0.2</v>
      </c>
      <c r="J754" s="2" t="str">
        <f t="shared" si="11"/>
        <v>2023-07</v>
      </c>
    </row>
    <row r="755" spans="1:10" x14ac:dyDescent="0.2">
      <c r="A755" s="2" t="s">
        <v>870</v>
      </c>
      <c r="B755" s="2" t="s">
        <v>115</v>
      </c>
      <c r="C755" s="2" t="s">
        <v>29</v>
      </c>
      <c r="D755" s="2">
        <v>60</v>
      </c>
      <c r="E755" s="5">
        <v>45133</v>
      </c>
      <c r="F755" s="2">
        <v>351</v>
      </c>
      <c r="G755" s="2" t="s">
        <v>37</v>
      </c>
      <c r="H755" s="2" t="s">
        <v>23</v>
      </c>
      <c r="I755" s="6">
        <v>0.1</v>
      </c>
      <c r="J755" s="2" t="str">
        <f t="shared" si="11"/>
        <v>2023-07</v>
      </c>
    </row>
    <row r="756" spans="1:10" x14ac:dyDescent="0.2">
      <c r="A756" s="2" t="s">
        <v>871</v>
      </c>
      <c r="B756" s="2" t="s">
        <v>100</v>
      </c>
      <c r="C756" s="2" t="s">
        <v>142</v>
      </c>
      <c r="D756" s="2">
        <v>50</v>
      </c>
      <c r="E756" s="5">
        <v>45133</v>
      </c>
      <c r="F756" s="2">
        <v>516</v>
      </c>
      <c r="G756" s="2" t="s">
        <v>45</v>
      </c>
      <c r="H756" s="2" t="s">
        <v>98</v>
      </c>
      <c r="I756" s="6" t="s">
        <v>2954</v>
      </c>
      <c r="J756" s="2" t="str">
        <f t="shared" si="11"/>
        <v>2023-07</v>
      </c>
    </row>
    <row r="757" spans="1:10" x14ac:dyDescent="0.2">
      <c r="A757" s="2" t="s">
        <v>872</v>
      </c>
      <c r="B757" s="2" t="s">
        <v>873</v>
      </c>
      <c r="C757" s="2" t="s">
        <v>135</v>
      </c>
      <c r="D757" s="2" t="s">
        <v>2954</v>
      </c>
      <c r="E757" s="5">
        <v>45133</v>
      </c>
      <c r="F757" s="2">
        <v>17</v>
      </c>
      <c r="G757" s="2" t="s">
        <v>17</v>
      </c>
      <c r="H757" s="2" t="s">
        <v>873</v>
      </c>
      <c r="I757" s="6">
        <v>1</v>
      </c>
      <c r="J757" s="2" t="str">
        <f t="shared" si="11"/>
        <v>2023-07</v>
      </c>
    </row>
    <row r="758" spans="1:10" x14ac:dyDescent="0.2">
      <c r="A758" s="2" t="s">
        <v>874</v>
      </c>
      <c r="B758" s="2" t="s">
        <v>28</v>
      </c>
      <c r="C758" s="2" t="s">
        <v>26</v>
      </c>
      <c r="D758" s="2" t="s">
        <v>2954</v>
      </c>
      <c r="E758" s="5">
        <v>45133</v>
      </c>
      <c r="F758" s="2">
        <v>9</v>
      </c>
      <c r="G758" s="2" t="s">
        <v>12</v>
      </c>
      <c r="H758" s="2" t="s">
        <v>23</v>
      </c>
      <c r="I758" s="6" t="s">
        <v>2954</v>
      </c>
      <c r="J758" s="2" t="str">
        <f t="shared" si="11"/>
        <v>2023-07</v>
      </c>
    </row>
    <row r="759" spans="1:10" x14ac:dyDescent="0.2">
      <c r="A759" s="2" t="s">
        <v>875</v>
      </c>
      <c r="B759" s="2" t="s">
        <v>25</v>
      </c>
      <c r="C759" s="2" t="s">
        <v>195</v>
      </c>
      <c r="D759" s="2">
        <v>46</v>
      </c>
      <c r="E759" s="5">
        <v>45132</v>
      </c>
      <c r="F759" s="2">
        <v>322</v>
      </c>
      <c r="G759" s="2" t="s">
        <v>12</v>
      </c>
      <c r="H759" s="2" t="s">
        <v>23</v>
      </c>
      <c r="I759" s="6">
        <v>0.15</v>
      </c>
      <c r="J759" s="2" t="str">
        <f t="shared" si="11"/>
        <v>2023-07</v>
      </c>
    </row>
    <row r="760" spans="1:10" x14ac:dyDescent="0.2">
      <c r="A760" s="2" t="s">
        <v>876</v>
      </c>
      <c r="B760" s="2" t="s">
        <v>147</v>
      </c>
      <c r="C760" s="2" t="s">
        <v>61</v>
      </c>
      <c r="D760" s="2" t="s">
        <v>2954</v>
      </c>
      <c r="E760" s="5">
        <v>45132</v>
      </c>
      <c r="F760" s="2">
        <v>192</v>
      </c>
      <c r="G760" s="2" t="s">
        <v>45</v>
      </c>
      <c r="H760" s="2" t="s">
        <v>23</v>
      </c>
      <c r="I760" s="6" t="s">
        <v>2954</v>
      </c>
      <c r="J760" s="2" t="str">
        <f t="shared" si="11"/>
        <v>2023-07</v>
      </c>
    </row>
    <row r="761" spans="1:10" x14ac:dyDescent="0.2">
      <c r="A761" s="2" t="s">
        <v>877</v>
      </c>
      <c r="B761" s="2" t="s">
        <v>878</v>
      </c>
      <c r="C761" s="2" t="s">
        <v>11</v>
      </c>
      <c r="D761" s="2" t="s">
        <v>2954</v>
      </c>
      <c r="E761" s="5">
        <v>45131</v>
      </c>
      <c r="F761" s="2">
        <v>692</v>
      </c>
      <c r="G761" s="2" t="s">
        <v>17</v>
      </c>
      <c r="H761" s="2" t="s">
        <v>23</v>
      </c>
      <c r="I761" s="6">
        <v>1</v>
      </c>
      <c r="J761" s="2" t="str">
        <f t="shared" si="11"/>
        <v>2023-07</v>
      </c>
    </row>
    <row r="762" spans="1:10" x14ac:dyDescent="0.2">
      <c r="A762" s="2" t="s">
        <v>879</v>
      </c>
      <c r="B762" s="2" t="s">
        <v>381</v>
      </c>
      <c r="C762" s="2" t="s">
        <v>142</v>
      </c>
      <c r="D762" s="2" t="s">
        <v>2954</v>
      </c>
      <c r="E762" s="5">
        <v>45131</v>
      </c>
      <c r="F762" s="2">
        <v>37</v>
      </c>
      <c r="G762" s="2" t="s">
        <v>12</v>
      </c>
      <c r="H762" s="2" t="s">
        <v>76</v>
      </c>
      <c r="I762" s="6" t="s">
        <v>2954</v>
      </c>
      <c r="J762" s="2" t="str">
        <f t="shared" si="11"/>
        <v>2023-07</v>
      </c>
    </row>
    <row r="763" spans="1:10" x14ac:dyDescent="0.2">
      <c r="A763" s="2" t="s">
        <v>880</v>
      </c>
      <c r="B763" s="2" t="s">
        <v>54</v>
      </c>
      <c r="C763" s="2" t="s">
        <v>16</v>
      </c>
      <c r="D763" s="2" t="s">
        <v>2954</v>
      </c>
      <c r="E763" s="5">
        <v>45131</v>
      </c>
      <c r="F763" s="2">
        <v>182</v>
      </c>
      <c r="G763" s="2" t="s">
        <v>75</v>
      </c>
      <c r="H763" s="2" t="s">
        <v>55</v>
      </c>
      <c r="I763" s="6" t="s">
        <v>2954</v>
      </c>
      <c r="J763" s="2" t="str">
        <f t="shared" si="11"/>
        <v>2023-07</v>
      </c>
    </row>
    <row r="764" spans="1:10" x14ac:dyDescent="0.2">
      <c r="A764" s="2" t="s">
        <v>881</v>
      </c>
      <c r="B764" s="2" t="s">
        <v>89</v>
      </c>
      <c r="C764" s="2" t="s">
        <v>32</v>
      </c>
      <c r="D764" s="2">
        <v>87</v>
      </c>
      <c r="E764" s="5">
        <v>45128</v>
      </c>
      <c r="F764" s="2">
        <v>255</v>
      </c>
      <c r="G764" s="2" t="s">
        <v>66</v>
      </c>
      <c r="H764" s="2" t="s">
        <v>23</v>
      </c>
      <c r="I764" s="6" t="s">
        <v>2954</v>
      </c>
      <c r="J764" s="2" t="str">
        <f t="shared" si="11"/>
        <v>2023-07</v>
      </c>
    </row>
    <row r="765" spans="1:10" x14ac:dyDescent="0.2">
      <c r="A765" s="2" t="s">
        <v>882</v>
      </c>
      <c r="B765" s="2" t="s">
        <v>203</v>
      </c>
      <c r="C765" s="2" t="s">
        <v>22</v>
      </c>
      <c r="D765" s="2" t="s">
        <v>2954</v>
      </c>
      <c r="E765" s="5">
        <v>45128</v>
      </c>
      <c r="F765" s="2">
        <v>1</v>
      </c>
      <c r="G765" s="2" t="s">
        <v>132</v>
      </c>
      <c r="H765" s="2" t="s">
        <v>204</v>
      </c>
      <c r="I765" s="6">
        <v>1</v>
      </c>
      <c r="J765" s="2" t="str">
        <f t="shared" si="11"/>
        <v>2023-07</v>
      </c>
    </row>
    <row r="766" spans="1:10" x14ac:dyDescent="0.2">
      <c r="A766" s="2" t="s">
        <v>883</v>
      </c>
      <c r="B766" s="2" t="s">
        <v>287</v>
      </c>
      <c r="C766" s="2" t="s">
        <v>235</v>
      </c>
      <c r="D766" s="2">
        <v>450</v>
      </c>
      <c r="E766" s="5">
        <v>45127</v>
      </c>
      <c r="F766" s="2" t="s">
        <v>2954</v>
      </c>
      <c r="G766" s="2" t="s">
        <v>12</v>
      </c>
      <c r="H766" s="2" t="s">
        <v>291</v>
      </c>
      <c r="I766" s="6">
        <v>0.25</v>
      </c>
      <c r="J766" s="2" t="str">
        <f t="shared" si="11"/>
        <v>2023-07</v>
      </c>
    </row>
    <row r="767" spans="1:10" x14ac:dyDescent="0.2">
      <c r="A767" s="2" t="s">
        <v>884</v>
      </c>
      <c r="B767" s="2" t="s">
        <v>250</v>
      </c>
      <c r="C767" s="2" t="s">
        <v>148</v>
      </c>
      <c r="D767" s="2">
        <v>80</v>
      </c>
      <c r="E767" s="5">
        <v>45127</v>
      </c>
      <c r="F767" s="2" t="s">
        <v>2954</v>
      </c>
      <c r="G767" s="2" t="s">
        <v>12</v>
      </c>
      <c r="H767" s="2" t="s">
        <v>23</v>
      </c>
      <c r="I767" s="6">
        <v>0.8</v>
      </c>
      <c r="J767" s="2" t="str">
        <f t="shared" si="11"/>
        <v>2023-07</v>
      </c>
    </row>
    <row r="768" spans="1:10" x14ac:dyDescent="0.2">
      <c r="A768" s="2" t="s">
        <v>697</v>
      </c>
      <c r="B768" s="2" t="s">
        <v>100</v>
      </c>
      <c r="C768" s="2" t="s">
        <v>11</v>
      </c>
      <c r="D768" s="2" t="s">
        <v>2954</v>
      </c>
      <c r="E768" s="5">
        <v>45127</v>
      </c>
      <c r="F768" s="2">
        <v>382</v>
      </c>
      <c r="G768" s="2" t="s">
        <v>12</v>
      </c>
      <c r="H768" s="2" t="s">
        <v>98</v>
      </c>
      <c r="I768" s="6" t="s">
        <v>2954</v>
      </c>
      <c r="J768" s="2" t="str">
        <f t="shared" si="11"/>
        <v>2023-07</v>
      </c>
    </row>
    <row r="769" spans="1:10" x14ac:dyDescent="0.2">
      <c r="A769" s="2" t="s">
        <v>885</v>
      </c>
      <c r="B769" s="2" t="s">
        <v>54</v>
      </c>
      <c r="C769" s="2" t="s">
        <v>26</v>
      </c>
      <c r="D769" s="2" t="s">
        <v>2954</v>
      </c>
      <c r="E769" s="5">
        <v>45127</v>
      </c>
      <c r="F769" s="2" t="s">
        <v>2954</v>
      </c>
      <c r="G769" s="2" t="s">
        <v>199</v>
      </c>
      <c r="H769" s="2" t="s">
        <v>55</v>
      </c>
      <c r="I769" s="6" t="s">
        <v>2954</v>
      </c>
      <c r="J769" s="2" t="str">
        <f t="shared" si="11"/>
        <v>2023-07</v>
      </c>
    </row>
    <row r="770" spans="1:10" x14ac:dyDescent="0.2">
      <c r="A770" s="2" t="s">
        <v>886</v>
      </c>
      <c r="B770" s="2" t="s">
        <v>86</v>
      </c>
      <c r="C770" s="2" t="s">
        <v>29</v>
      </c>
      <c r="D770" s="2" t="s">
        <v>2954</v>
      </c>
      <c r="E770" s="5">
        <v>45127</v>
      </c>
      <c r="F770" s="2">
        <v>87</v>
      </c>
      <c r="G770" s="2" t="s">
        <v>17</v>
      </c>
      <c r="H770" s="2" t="s">
        <v>23</v>
      </c>
      <c r="I770" s="6" t="s">
        <v>2954</v>
      </c>
      <c r="J770" s="2" t="str">
        <f t="shared" si="11"/>
        <v>2023-07</v>
      </c>
    </row>
    <row r="771" spans="1:10" x14ac:dyDescent="0.2">
      <c r="A771" s="2" t="s">
        <v>887</v>
      </c>
      <c r="B771" s="2" t="s">
        <v>100</v>
      </c>
      <c r="C771" s="2" t="s">
        <v>113</v>
      </c>
      <c r="D771" s="2" t="s">
        <v>2954</v>
      </c>
      <c r="E771" s="5">
        <v>45127</v>
      </c>
      <c r="F771" s="2" t="s">
        <v>2954</v>
      </c>
      <c r="G771" s="2" t="s">
        <v>12</v>
      </c>
      <c r="H771" s="2" t="s">
        <v>98</v>
      </c>
      <c r="I771" s="6" t="s">
        <v>2954</v>
      </c>
      <c r="J771" s="2" t="str">
        <f t="shared" ref="J771:J834" si="12">TEXT(E771,"YYYY-MM")</f>
        <v>2023-07</v>
      </c>
    </row>
    <row r="772" spans="1:10" x14ac:dyDescent="0.2">
      <c r="A772" s="2" t="s">
        <v>888</v>
      </c>
      <c r="B772" s="2" t="s">
        <v>60</v>
      </c>
      <c r="C772" s="2" t="s">
        <v>16</v>
      </c>
      <c r="D772" s="2">
        <v>67</v>
      </c>
      <c r="E772" s="5">
        <v>45126</v>
      </c>
      <c r="F772" s="2">
        <v>111</v>
      </c>
      <c r="G772" s="2" t="s">
        <v>37</v>
      </c>
      <c r="H772" s="2" t="s">
        <v>23</v>
      </c>
      <c r="I772" s="6">
        <v>0.24</v>
      </c>
      <c r="J772" s="2" t="str">
        <f t="shared" si="12"/>
        <v>2023-07</v>
      </c>
    </row>
    <row r="773" spans="1:10" x14ac:dyDescent="0.2">
      <c r="A773" s="2" t="s">
        <v>889</v>
      </c>
      <c r="B773" s="2" t="s">
        <v>60</v>
      </c>
      <c r="C773" s="2" t="s">
        <v>44</v>
      </c>
      <c r="D773" s="2">
        <v>50</v>
      </c>
      <c r="E773" s="5">
        <v>45126</v>
      </c>
      <c r="F773" s="2">
        <v>179</v>
      </c>
      <c r="G773" s="2" t="s">
        <v>17</v>
      </c>
      <c r="H773" s="2" t="s">
        <v>23</v>
      </c>
      <c r="I773" s="6">
        <v>0.06</v>
      </c>
      <c r="J773" s="2" t="str">
        <f t="shared" si="12"/>
        <v>2023-07</v>
      </c>
    </row>
    <row r="774" spans="1:10" x14ac:dyDescent="0.2">
      <c r="A774" s="2" t="s">
        <v>890</v>
      </c>
      <c r="B774" s="2" t="s">
        <v>34</v>
      </c>
      <c r="C774" s="2" t="s">
        <v>16</v>
      </c>
      <c r="D774" s="2">
        <v>28</v>
      </c>
      <c r="E774" s="5">
        <v>45126</v>
      </c>
      <c r="F774" s="2">
        <v>32</v>
      </c>
      <c r="G774" s="2" t="s">
        <v>12</v>
      </c>
      <c r="H774" s="2" t="s">
        <v>23</v>
      </c>
      <c r="I774" s="6">
        <v>0.32</v>
      </c>
      <c r="J774" s="2" t="str">
        <f t="shared" si="12"/>
        <v>2023-07</v>
      </c>
    </row>
    <row r="775" spans="1:10" x14ac:dyDescent="0.2">
      <c r="A775" s="2" t="s">
        <v>891</v>
      </c>
      <c r="B775" s="2" t="s">
        <v>25</v>
      </c>
      <c r="C775" s="2" t="s">
        <v>11</v>
      </c>
      <c r="D775" s="2" t="s">
        <v>2954</v>
      </c>
      <c r="E775" s="5">
        <v>45126</v>
      </c>
      <c r="F775" s="2">
        <v>422</v>
      </c>
      <c r="G775" s="2" t="s">
        <v>17</v>
      </c>
      <c r="H775" s="2" t="s">
        <v>23</v>
      </c>
      <c r="I775" s="6">
        <v>0.2</v>
      </c>
      <c r="J775" s="2" t="str">
        <f t="shared" si="12"/>
        <v>2023-07</v>
      </c>
    </row>
    <row r="776" spans="1:10" x14ac:dyDescent="0.2">
      <c r="A776" s="2" t="s">
        <v>27</v>
      </c>
      <c r="B776" s="2" t="s">
        <v>28</v>
      </c>
      <c r="C776" s="2" t="s">
        <v>29</v>
      </c>
      <c r="D776" s="2">
        <v>1000</v>
      </c>
      <c r="E776" s="5">
        <v>45125</v>
      </c>
      <c r="F776" s="2">
        <v>1</v>
      </c>
      <c r="G776" s="2" t="s">
        <v>17</v>
      </c>
      <c r="H776" s="2" t="s">
        <v>23</v>
      </c>
      <c r="I776" s="6" t="s">
        <v>2954</v>
      </c>
      <c r="J776" s="2" t="str">
        <f t="shared" si="12"/>
        <v>2023-07</v>
      </c>
    </row>
    <row r="777" spans="1:10" x14ac:dyDescent="0.2">
      <c r="A777" s="2" t="s">
        <v>892</v>
      </c>
      <c r="B777" s="2" t="s">
        <v>314</v>
      </c>
      <c r="C777" s="2" t="s">
        <v>35</v>
      </c>
      <c r="D777" s="2">
        <v>80</v>
      </c>
      <c r="E777" s="5">
        <v>45125</v>
      </c>
      <c r="F777" s="2">
        <v>165</v>
      </c>
      <c r="G777" s="2" t="s">
        <v>12</v>
      </c>
      <c r="H777" s="2" t="s">
        <v>23</v>
      </c>
      <c r="I777" s="6" t="s">
        <v>2954</v>
      </c>
      <c r="J777" s="2" t="str">
        <f t="shared" si="12"/>
        <v>2023-07</v>
      </c>
    </row>
    <row r="778" spans="1:10" x14ac:dyDescent="0.2">
      <c r="A778" s="2" t="s">
        <v>893</v>
      </c>
      <c r="B778" s="2" t="s">
        <v>25</v>
      </c>
      <c r="C778" s="2" t="s">
        <v>11</v>
      </c>
      <c r="D778" s="2" t="s">
        <v>2954</v>
      </c>
      <c r="E778" s="5">
        <v>45125</v>
      </c>
      <c r="F778" s="2">
        <v>91</v>
      </c>
      <c r="G778" s="2" t="s">
        <v>12</v>
      </c>
      <c r="H778" s="2" t="s">
        <v>23</v>
      </c>
      <c r="I778" s="6" t="s">
        <v>2954</v>
      </c>
      <c r="J778" s="2" t="str">
        <f t="shared" si="12"/>
        <v>2023-07</v>
      </c>
    </row>
    <row r="779" spans="1:10" x14ac:dyDescent="0.2">
      <c r="A779" s="2" t="s">
        <v>577</v>
      </c>
      <c r="B779" s="2" t="s">
        <v>147</v>
      </c>
      <c r="C779" s="2" t="s">
        <v>135</v>
      </c>
      <c r="D779" s="2">
        <v>75</v>
      </c>
      <c r="E779" s="5">
        <v>45124</v>
      </c>
      <c r="F779" s="2">
        <v>316</v>
      </c>
      <c r="G779" s="2" t="s">
        <v>17</v>
      </c>
      <c r="H779" s="2" t="s">
        <v>23</v>
      </c>
      <c r="I779" s="6">
        <v>0.25</v>
      </c>
      <c r="J779" s="2" t="str">
        <f t="shared" si="12"/>
        <v>2023-07</v>
      </c>
    </row>
    <row r="780" spans="1:10" x14ac:dyDescent="0.2">
      <c r="A780" s="2" t="s">
        <v>894</v>
      </c>
      <c r="B780" s="2" t="s">
        <v>378</v>
      </c>
      <c r="C780" s="2" t="s">
        <v>195</v>
      </c>
      <c r="D780" s="2" t="s">
        <v>2954</v>
      </c>
      <c r="E780" s="5">
        <v>45124</v>
      </c>
      <c r="F780" s="2">
        <v>137</v>
      </c>
      <c r="G780" s="2" t="s">
        <v>12</v>
      </c>
      <c r="H780" s="2" t="s">
        <v>23</v>
      </c>
      <c r="I780" s="6" t="s">
        <v>2954</v>
      </c>
      <c r="J780" s="2" t="str">
        <f t="shared" si="12"/>
        <v>2023-07</v>
      </c>
    </row>
    <row r="781" spans="1:10" x14ac:dyDescent="0.2">
      <c r="A781" s="2" t="s">
        <v>895</v>
      </c>
      <c r="B781" s="2" t="s">
        <v>64</v>
      </c>
      <c r="C781" s="2" t="s">
        <v>48</v>
      </c>
      <c r="D781" s="2" t="s">
        <v>2954</v>
      </c>
      <c r="E781" s="5">
        <v>45124</v>
      </c>
      <c r="F781" s="2">
        <v>39</v>
      </c>
      <c r="G781" s="2" t="s">
        <v>41</v>
      </c>
      <c r="H781" s="2" t="s">
        <v>23</v>
      </c>
      <c r="I781" s="6">
        <v>0.28000000000000003</v>
      </c>
      <c r="J781" s="2" t="str">
        <f t="shared" si="12"/>
        <v>2023-07</v>
      </c>
    </row>
    <row r="782" spans="1:10" x14ac:dyDescent="0.2">
      <c r="A782" s="2" t="s">
        <v>233</v>
      </c>
      <c r="B782" s="2" t="s">
        <v>15</v>
      </c>
      <c r="C782" s="2" t="s">
        <v>103</v>
      </c>
      <c r="D782" s="2" t="s">
        <v>2954</v>
      </c>
      <c r="E782" s="5">
        <v>45124</v>
      </c>
      <c r="F782" s="2" t="s">
        <v>2954</v>
      </c>
      <c r="G782" s="2" t="s">
        <v>17</v>
      </c>
      <c r="H782" s="2" t="s">
        <v>23</v>
      </c>
      <c r="I782" s="6" t="s">
        <v>2954</v>
      </c>
      <c r="J782" s="2" t="str">
        <f t="shared" si="12"/>
        <v>2023-07</v>
      </c>
    </row>
    <row r="783" spans="1:10" x14ac:dyDescent="0.2">
      <c r="A783" s="2" t="s">
        <v>896</v>
      </c>
      <c r="B783" s="2" t="s">
        <v>398</v>
      </c>
      <c r="C783" s="2" t="s">
        <v>148</v>
      </c>
      <c r="D783" s="2" t="s">
        <v>2954</v>
      </c>
      <c r="E783" s="5">
        <v>45124</v>
      </c>
      <c r="F783" s="2">
        <v>56</v>
      </c>
      <c r="G783" s="2" t="s">
        <v>45</v>
      </c>
      <c r="H783" s="2" t="s">
        <v>399</v>
      </c>
      <c r="I783" s="6" t="s">
        <v>2954</v>
      </c>
      <c r="J783" s="2" t="str">
        <f t="shared" si="12"/>
        <v>2023-07</v>
      </c>
    </row>
    <row r="784" spans="1:10" x14ac:dyDescent="0.2">
      <c r="A784" s="2" t="s">
        <v>897</v>
      </c>
      <c r="B784" s="2" t="s">
        <v>344</v>
      </c>
      <c r="C784" s="2" t="s">
        <v>22</v>
      </c>
      <c r="D784" s="2">
        <v>1000</v>
      </c>
      <c r="E784" s="5">
        <v>45121</v>
      </c>
      <c r="F784" s="2" t="s">
        <v>2954</v>
      </c>
      <c r="G784" s="2" t="s">
        <v>12</v>
      </c>
      <c r="H784" s="2" t="s">
        <v>344</v>
      </c>
      <c r="I784" s="6" t="s">
        <v>2954</v>
      </c>
      <c r="J784" s="2" t="str">
        <f t="shared" si="12"/>
        <v>2023-07</v>
      </c>
    </row>
    <row r="785" spans="1:10" x14ac:dyDescent="0.2">
      <c r="A785" s="2" t="s">
        <v>898</v>
      </c>
      <c r="B785" s="2" t="s">
        <v>28</v>
      </c>
      <c r="C785" s="2" t="s">
        <v>68</v>
      </c>
      <c r="D785" s="2">
        <v>14</v>
      </c>
      <c r="E785" s="5">
        <v>45121</v>
      </c>
      <c r="F785" s="2">
        <v>33</v>
      </c>
      <c r="G785" s="2" t="s">
        <v>45</v>
      </c>
      <c r="H785" s="2" t="s">
        <v>23</v>
      </c>
      <c r="I785" s="6">
        <v>0.02</v>
      </c>
      <c r="J785" s="2" t="str">
        <f t="shared" si="12"/>
        <v>2023-07</v>
      </c>
    </row>
    <row r="786" spans="1:10" x14ac:dyDescent="0.2">
      <c r="A786" s="2" t="s">
        <v>899</v>
      </c>
      <c r="B786" s="2" t="s">
        <v>100</v>
      </c>
      <c r="C786" s="2" t="s">
        <v>16</v>
      </c>
      <c r="D786" s="2">
        <v>200</v>
      </c>
      <c r="E786" s="5">
        <v>45120</v>
      </c>
      <c r="F786" s="2">
        <v>659</v>
      </c>
      <c r="G786" s="2" t="s">
        <v>12</v>
      </c>
      <c r="H786" s="2" t="s">
        <v>98</v>
      </c>
      <c r="I786" s="6" t="s">
        <v>2954</v>
      </c>
      <c r="J786" s="2" t="str">
        <f t="shared" si="12"/>
        <v>2023-07</v>
      </c>
    </row>
    <row r="787" spans="1:10" x14ac:dyDescent="0.2">
      <c r="A787" s="2" t="s">
        <v>900</v>
      </c>
      <c r="B787" s="2" t="s">
        <v>266</v>
      </c>
      <c r="C787" s="2" t="s">
        <v>61</v>
      </c>
      <c r="D787" s="2">
        <v>200</v>
      </c>
      <c r="E787" s="5">
        <v>45120</v>
      </c>
      <c r="F787" s="2">
        <v>17</v>
      </c>
      <c r="G787" s="2" t="s">
        <v>41</v>
      </c>
      <c r="H787" s="2" t="s">
        <v>98</v>
      </c>
      <c r="I787" s="6" t="s">
        <v>2954</v>
      </c>
      <c r="J787" s="2" t="str">
        <f t="shared" si="12"/>
        <v>2023-07</v>
      </c>
    </row>
    <row r="788" spans="1:10" x14ac:dyDescent="0.2">
      <c r="A788" s="2" t="s">
        <v>191</v>
      </c>
      <c r="B788" s="2" t="s">
        <v>28</v>
      </c>
      <c r="C788" s="2" t="s">
        <v>142</v>
      </c>
      <c r="D788" s="2">
        <v>80</v>
      </c>
      <c r="E788" s="5">
        <v>45120</v>
      </c>
      <c r="F788" s="2">
        <v>108</v>
      </c>
      <c r="G788" s="2" t="s">
        <v>17</v>
      </c>
      <c r="H788" s="2" t="s">
        <v>23</v>
      </c>
      <c r="I788" s="6" t="s">
        <v>2954</v>
      </c>
      <c r="J788" s="2" t="str">
        <f t="shared" si="12"/>
        <v>2023-07</v>
      </c>
    </row>
    <row r="789" spans="1:10" x14ac:dyDescent="0.2">
      <c r="A789" s="2" t="s">
        <v>901</v>
      </c>
      <c r="B789" s="2" t="s">
        <v>15</v>
      </c>
      <c r="C789" s="2" t="s">
        <v>29</v>
      </c>
      <c r="D789" s="2">
        <v>80</v>
      </c>
      <c r="E789" s="5">
        <v>45120</v>
      </c>
      <c r="F789" s="2">
        <v>91</v>
      </c>
      <c r="G789" s="2" t="s">
        <v>17</v>
      </c>
      <c r="H789" s="2" t="s">
        <v>18</v>
      </c>
      <c r="I789" s="6">
        <v>0.06</v>
      </c>
      <c r="J789" s="2" t="str">
        <f t="shared" si="12"/>
        <v>2023-07</v>
      </c>
    </row>
    <row r="790" spans="1:10" x14ac:dyDescent="0.2">
      <c r="A790" s="2" t="s">
        <v>785</v>
      </c>
      <c r="B790" s="2" t="s">
        <v>34</v>
      </c>
      <c r="C790" s="2" t="s">
        <v>29</v>
      </c>
      <c r="D790" s="2">
        <v>62</v>
      </c>
      <c r="E790" s="5">
        <v>45120</v>
      </c>
      <c r="F790" s="2">
        <v>154</v>
      </c>
      <c r="G790" s="2" t="s">
        <v>17</v>
      </c>
      <c r="H790" s="2" t="s">
        <v>23</v>
      </c>
      <c r="I790" s="6" t="s">
        <v>2954</v>
      </c>
      <c r="J790" s="2" t="str">
        <f t="shared" si="12"/>
        <v>2023-07</v>
      </c>
    </row>
    <row r="791" spans="1:10" x14ac:dyDescent="0.2">
      <c r="A791" s="2" t="s">
        <v>449</v>
      </c>
      <c r="B791" s="2" t="s">
        <v>34</v>
      </c>
      <c r="C791" s="2" t="s">
        <v>170</v>
      </c>
      <c r="D791" s="2">
        <v>40</v>
      </c>
      <c r="E791" s="5">
        <v>45120</v>
      </c>
      <c r="F791" s="2">
        <v>2700</v>
      </c>
      <c r="G791" s="2" t="s">
        <v>214</v>
      </c>
      <c r="H791" s="2" t="s">
        <v>23</v>
      </c>
      <c r="I791" s="6" t="s">
        <v>2954</v>
      </c>
      <c r="J791" s="2" t="str">
        <f t="shared" si="12"/>
        <v>2023-07</v>
      </c>
    </row>
    <row r="792" spans="1:10" x14ac:dyDescent="0.2">
      <c r="A792" s="2" t="s">
        <v>902</v>
      </c>
      <c r="B792" s="2" t="s">
        <v>157</v>
      </c>
      <c r="C792" s="2" t="s">
        <v>195</v>
      </c>
      <c r="D792" s="2">
        <v>30</v>
      </c>
      <c r="E792" s="5">
        <v>45120</v>
      </c>
      <c r="F792" s="2">
        <v>256</v>
      </c>
      <c r="G792" s="2" t="s">
        <v>66</v>
      </c>
      <c r="H792" s="2" t="s">
        <v>23</v>
      </c>
      <c r="I792" s="6">
        <v>7.0000000000000007E-2</v>
      </c>
      <c r="J792" s="2" t="str">
        <f t="shared" si="12"/>
        <v>2023-07</v>
      </c>
    </row>
    <row r="793" spans="1:10" x14ac:dyDescent="0.2">
      <c r="A793" s="2" t="s">
        <v>903</v>
      </c>
      <c r="B793" s="2" t="s">
        <v>273</v>
      </c>
      <c r="C793" s="2" t="s">
        <v>117</v>
      </c>
      <c r="D793" s="2">
        <v>22</v>
      </c>
      <c r="E793" s="5">
        <v>45120</v>
      </c>
      <c r="F793" s="2" t="s">
        <v>2954</v>
      </c>
      <c r="G793" s="2" t="s">
        <v>12</v>
      </c>
      <c r="H793" s="2" t="s">
        <v>274</v>
      </c>
      <c r="I793" s="6" t="s">
        <v>2954</v>
      </c>
      <c r="J793" s="2" t="str">
        <f t="shared" si="12"/>
        <v>2023-07</v>
      </c>
    </row>
    <row r="794" spans="1:10" x14ac:dyDescent="0.2">
      <c r="A794" s="2" t="s">
        <v>904</v>
      </c>
      <c r="B794" s="2" t="s">
        <v>165</v>
      </c>
      <c r="C794" s="2" t="s">
        <v>68</v>
      </c>
      <c r="D794" s="2">
        <v>20</v>
      </c>
      <c r="E794" s="5">
        <v>45120</v>
      </c>
      <c r="F794" s="2">
        <v>220</v>
      </c>
      <c r="G794" s="2" t="s">
        <v>66</v>
      </c>
      <c r="H794" s="2" t="s">
        <v>120</v>
      </c>
      <c r="I794" s="6" t="s">
        <v>2954</v>
      </c>
      <c r="J794" s="2" t="str">
        <f t="shared" si="12"/>
        <v>2023-07</v>
      </c>
    </row>
    <row r="795" spans="1:10" x14ac:dyDescent="0.2">
      <c r="A795" s="2" t="s">
        <v>116</v>
      </c>
      <c r="B795" s="2" t="s">
        <v>25</v>
      </c>
      <c r="C795" s="2" t="s">
        <v>117</v>
      </c>
      <c r="D795" s="2">
        <v>11</v>
      </c>
      <c r="E795" s="5">
        <v>45120</v>
      </c>
      <c r="F795" s="2">
        <v>1900</v>
      </c>
      <c r="G795" s="2" t="s">
        <v>17</v>
      </c>
      <c r="H795" s="2" t="s">
        <v>23</v>
      </c>
      <c r="I795" s="6" t="s">
        <v>2954</v>
      </c>
      <c r="J795" s="2" t="str">
        <f t="shared" si="12"/>
        <v>2023-07</v>
      </c>
    </row>
    <row r="796" spans="1:10" x14ac:dyDescent="0.2">
      <c r="A796" s="2" t="s">
        <v>905</v>
      </c>
      <c r="B796" s="2" t="s">
        <v>25</v>
      </c>
      <c r="C796" s="2" t="s">
        <v>142</v>
      </c>
      <c r="D796" s="2" t="s">
        <v>2954</v>
      </c>
      <c r="E796" s="5">
        <v>45120</v>
      </c>
      <c r="F796" s="2">
        <v>282</v>
      </c>
      <c r="G796" s="2" t="s">
        <v>17</v>
      </c>
      <c r="H796" s="2" t="s">
        <v>23</v>
      </c>
      <c r="I796" s="6">
        <v>0.08</v>
      </c>
      <c r="J796" s="2" t="str">
        <f t="shared" si="12"/>
        <v>2023-07</v>
      </c>
    </row>
    <row r="797" spans="1:10" x14ac:dyDescent="0.2">
      <c r="A797" s="2" t="s">
        <v>906</v>
      </c>
      <c r="B797" s="2" t="s">
        <v>86</v>
      </c>
      <c r="C797" s="2" t="s">
        <v>50</v>
      </c>
      <c r="D797" s="2" t="s">
        <v>2954</v>
      </c>
      <c r="E797" s="5">
        <v>45120</v>
      </c>
      <c r="F797" s="2">
        <v>138</v>
      </c>
      <c r="G797" s="2" t="s">
        <v>199</v>
      </c>
      <c r="H797" s="2" t="s">
        <v>23</v>
      </c>
      <c r="I797" s="6">
        <v>0.05</v>
      </c>
      <c r="J797" s="2" t="str">
        <f t="shared" si="12"/>
        <v>2023-07</v>
      </c>
    </row>
    <row r="798" spans="1:10" x14ac:dyDescent="0.2">
      <c r="A798" s="2" t="s">
        <v>907</v>
      </c>
      <c r="B798" s="2" t="s">
        <v>34</v>
      </c>
      <c r="C798" s="2" t="s">
        <v>29</v>
      </c>
      <c r="D798" s="2" t="s">
        <v>2954</v>
      </c>
      <c r="E798" s="5">
        <v>45120</v>
      </c>
      <c r="F798" s="2">
        <v>212</v>
      </c>
      <c r="G798" s="2" t="s">
        <v>75</v>
      </c>
      <c r="H798" s="2" t="s">
        <v>23</v>
      </c>
      <c r="I798" s="6" t="s">
        <v>2954</v>
      </c>
      <c r="J798" s="2" t="str">
        <f t="shared" si="12"/>
        <v>2023-07</v>
      </c>
    </row>
    <row r="799" spans="1:10" x14ac:dyDescent="0.2">
      <c r="A799" s="2" t="s">
        <v>908</v>
      </c>
      <c r="B799" s="2" t="s">
        <v>693</v>
      </c>
      <c r="C799" s="2" t="s">
        <v>243</v>
      </c>
      <c r="D799" s="2" t="s">
        <v>2954</v>
      </c>
      <c r="E799" s="5">
        <v>45120</v>
      </c>
      <c r="F799" s="2" t="s">
        <v>2954</v>
      </c>
      <c r="G799" s="2" t="s">
        <v>12</v>
      </c>
      <c r="H799" s="2" t="s">
        <v>23</v>
      </c>
      <c r="I799" s="6" t="s">
        <v>2954</v>
      </c>
      <c r="J799" s="2" t="str">
        <f t="shared" si="12"/>
        <v>2023-07</v>
      </c>
    </row>
    <row r="800" spans="1:10" x14ac:dyDescent="0.2">
      <c r="A800" s="2" t="s">
        <v>405</v>
      </c>
      <c r="B800" s="2" t="s">
        <v>80</v>
      </c>
      <c r="C800" s="2" t="s">
        <v>142</v>
      </c>
      <c r="D800" s="2">
        <v>400</v>
      </c>
      <c r="E800" s="5">
        <v>45119</v>
      </c>
      <c r="F800" s="2">
        <v>79</v>
      </c>
      <c r="G800" s="2" t="s">
        <v>17</v>
      </c>
      <c r="H800" s="2" t="s">
        <v>23</v>
      </c>
      <c r="I800" s="6" t="s">
        <v>2954</v>
      </c>
      <c r="J800" s="2" t="str">
        <f t="shared" si="12"/>
        <v>2023-07</v>
      </c>
    </row>
    <row r="801" spans="1:10" x14ac:dyDescent="0.2">
      <c r="A801" s="2" t="s">
        <v>909</v>
      </c>
      <c r="B801" s="2" t="s">
        <v>183</v>
      </c>
      <c r="C801" s="2" t="s">
        <v>22</v>
      </c>
      <c r="D801" s="2">
        <v>51</v>
      </c>
      <c r="E801" s="5">
        <v>45119</v>
      </c>
      <c r="F801" s="2" t="s">
        <v>2954</v>
      </c>
      <c r="G801" s="2" t="s">
        <v>12</v>
      </c>
      <c r="H801" s="2" t="s">
        <v>106</v>
      </c>
      <c r="I801" s="6" t="s">
        <v>2954</v>
      </c>
      <c r="J801" s="2" t="str">
        <f t="shared" si="12"/>
        <v>2023-07</v>
      </c>
    </row>
    <row r="802" spans="1:10" x14ac:dyDescent="0.2">
      <c r="A802" s="2" t="s">
        <v>910</v>
      </c>
      <c r="B802" s="2" t="s">
        <v>167</v>
      </c>
      <c r="C802" s="2" t="s">
        <v>32</v>
      </c>
      <c r="D802" s="2">
        <v>50</v>
      </c>
      <c r="E802" s="5">
        <v>45119</v>
      </c>
      <c r="F802" s="2">
        <v>20</v>
      </c>
      <c r="G802" s="2" t="s">
        <v>17</v>
      </c>
      <c r="H802" s="2" t="s">
        <v>168</v>
      </c>
      <c r="I802" s="6">
        <v>1</v>
      </c>
      <c r="J802" s="2" t="str">
        <f t="shared" si="12"/>
        <v>2023-07</v>
      </c>
    </row>
    <row r="803" spans="1:10" x14ac:dyDescent="0.2">
      <c r="A803" s="2" t="s">
        <v>911</v>
      </c>
      <c r="B803" s="2" t="s">
        <v>194</v>
      </c>
      <c r="C803" s="2" t="s">
        <v>170</v>
      </c>
      <c r="D803" s="2">
        <v>50</v>
      </c>
      <c r="E803" s="5">
        <v>45119</v>
      </c>
      <c r="F803" s="2">
        <v>118</v>
      </c>
      <c r="G803" s="2" t="s">
        <v>17</v>
      </c>
      <c r="H803" s="2" t="s">
        <v>23</v>
      </c>
      <c r="I803" s="6">
        <v>0.13</v>
      </c>
      <c r="J803" s="2" t="str">
        <f t="shared" si="12"/>
        <v>2023-07</v>
      </c>
    </row>
    <row r="804" spans="1:10" x14ac:dyDescent="0.2">
      <c r="A804" s="2" t="s">
        <v>912</v>
      </c>
      <c r="B804" s="2" t="s">
        <v>89</v>
      </c>
      <c r="C804" s="2" t="s">
        <v>22</v>
      </c>
      <c r="D804" s="2" t="s">
        <v>2954</v>
      </c>
      <c r="E804" s="5">
        <v>45119</v>
      </c>
      <c r="F804" s="2">
        <v>1100</v>
      </c>
      <c r="G804" s="2" t="s">
        <v>199</v>
      </c>
      <c r="H804" s="2" t="s">
        <v>23</v>
      </c>
      <c r="I804" s="6" t="s">
        <v>2954</v>
      </c>
      <c r="J804" s="2" t="str">
        <f t="shared" si="12"/>
        <v>2023-07</v>
      </c>
    </row>
    <row r="805" spans="1:10" x14ac:dyDescent="0.2">
      <c r="A805" s="2" t="s">
        <v>913</v>
      </c>
      <c r="B805" s="2" t="s">
        <v>60</v>
      </c>
      <c r="C805" s="2" t="s">
        <v>195</v>
      </c>
      <c r="D805" s="2" t="s">
        <v>2954</v>
      </c>
      <c r="E805" s="5">
        <v>45119</v>
      </c>
      <c r="F805" s="2">
        <v>99</v>
      </c>
      <c r="G805" s="2" t="s">
        <v>45</v>
      </c>
      <c r="H805" s="2" t="s">
        <v>23</v>
      </c>
      <c r="I805" s="6" t="s">
        <v>2954</v>
      </c>
      <c r="J805" s="2" t="str">
        <f t="shared" si="12"/>
        <v>2023-07</v>
      </c>
    </row>
    <row r="806" spans="1:10" x14ac:dyDescent="0.2">
      <c r="A806" s="2" t="s">
        <v>914</v>
      </c>
      <c r="B806" s="2" t="s">
        <v>89</v>
      </c>
      <c r="C806" s="2" t="s">
        <v>16</v>
      </c>
      <c r="D806" s="2" t="s">
        <v>2954</v>
      </c>
      <c r="E806" s="5">
        <v>45119</v>
      </c>
      <c r="F806" s="2">
        <v>357</v>
      </c>
      <c r="G806" s="2" t="s">
        <v>45</v>
      </c>
      <c r="H806" s="2" t="s">
        <v>23</v>
      </c>
      <c r="I806" s="6">
        <v>0.09</v>
      </c>
      <c r="J806" s="2" t="str">
        <f t="shared" si="12"/>
        <v>2023-07</v>
      </c>
    </row>
    <row r="807" spans="1:10" x14ac:dyDescent="0.2">
      <c r="A807" s="2" t="s">
        <v>138</v>
      </c>
      <c r="B807" s="2" t="s">
        <v>28</v>
      </c>
      <c r="C807" s="2" t="s">
        <v>44</v>
      </c>
      <c r="D807" s="2" t="s">
        <v>2954</v>
      </c>
      <c r="E807" s="5">
        <v>45119</v>
      </c>
      <c r="F807" s="2">
        <v>3300</v>
      </c>
      <c r="G807" s="2" t="s">
        <v>17</v>
      </c>
      <c r="H807" s="2" t="s">
        <v>23</v>
      </c>
      <c r="I807" s="6" t="s">
        <v>2954</v>
      </c>
      <c r="J807" s="2" t="str">
        <f t="shared" si="12"/>
        <v>2023-07</v>
      </c>
    </row>
    <row r="808" spans="1:10" x14ac:dyDescent="0.2">
      <c r="A808" s="2" t="s">
        <v>265</v>
      </c>
      <c r="B808" s="2" t="s">
        <v>266</v>
      </c>
      <c r="C808" s="2" t="s">
        <v>11</v>
      </c>
      <c r="D808" s="2">
        <v>300</v>
      </c>
      <c r="E808" s="5">
        <v>45118</v>
      </c>
      <c r="F808" s="2">
        <v>363</v>
      </c>
      <c r="G808" s="2" t="s">
        <v>12</v>
      </c>
      <c r="H808" s="2" t="s">
        <v>98</v>
      </c>
      <c r="I808" s="6">
        <v>0.12</v>
      </c>
      <c r="J808" s="2" t="str">
        <f t="shared" si="12"/>
        <v>2023-07</v>
      </c>
    </row>
    <row r="809" spans="1:10" x14ac:dyDescent="0.2">
      <c r="A809" s="2" t="s">
        <v>915</v>
      </c>
      <c r="B809" s="2" t="s">
        <v>34</v>
      </c>
      <c r="C809" s="2" t="s">
        <v>243</v>
      </c>
      <c r="D809" s="2">
        <v>170</v>
      </c>
      <c r="E809" s="5">
        <v>45118</v>
      </c>
      <c r="F809" s="2">
        <v>409</v>
      </c>
      <c r="G809" s="2" t="s">
        <v>17</v>
      </c>
      <c r="H809" s="2" t="s">
        <v>23</v>
      </c>
      <c r="I809" s="6">
        <v>0.3</v>
      </c>
      <c r="J809" s="2" t="str">
        <f t="shared" si="12"/>
        <v>2023-07</v>
      </c>
    </row>
    <row r="810" spans="1:10" x14ac:dyDescent="0.2">
      <c r="A810" s="2" t="s">
        <v>916</v>
      </c>
      <c r="B810" s="2" t="s">
        <v>917</v>
      </c>
      <c r="C810" s="2" t="s">
        <v>16</v>
      </c>
      <c r="D810" s="2">
        <v>100</v>
      </c>
      <c r="E810" s="5">
        <v>45118</v>
      </c>
      <c r="F810" s="2">
        <v>53</v>
      </c>
      <c r="G810" s="2" t="s">
        <v>17</v>
      </c>
      <c r="H810" s="2" t="s">
        <v>23</v>
      </c>
      <c r="I810" s="6" t="s">
        <v>2954</v>
      </c>
      <c r="J810" s="2" t="str">
        <f t="shared" si="12"/>
        <v>2023-07</v>
      </c>
    </row>
    <row r="811" spans="1:10" x14ac:dyDescent="0.2">
      <c r="A811" s="2" t="s">
        <v>432</v>
      </c>
      <c r="B811" s="2" t="s">
        <v>25</v>
      </c>
      <c r="C811" s="2" t="s">
        <v>243</v>
      </c>
      <c r="D811" s="2">
        <v>100</v>
      </c>
      <c r="E811" s="5">
        <v>45118</v>
      </c>
      <c r="F811" s="2">
        <v>274</v>
      </c>
      <c r="G811" s="2" t="s">
        <v>62</v>
      </c>
      <c r="H811" s="2" t="s">
        <v>23</v>
      </c>
      <c r="I811" s="6">
        <v>0.15</v>
      </c>
      <c r="J811" s="2" t="str">
        <f t="shared" si="12"/>
        <v>2023-07</v>
      </c>
    </row>
    <row r="812" spans="1:10" x14ac:dyDescent="0.2">
      <c r="A812" s="2" t="s">
        <v>918</v>
      </c>
      <c r="B812" s="2" t="s">
        <v>515</v>
      </c>
      <c r="C812" s="2" t="s">
        <v>363</v>
      </c>
      <c r="D812" s="2" t="s">
        <v>2954</v>
      </c>
      <c r="E812" s="5">
        <v>45118</v>
      </c>
      <c r="F812" s="2">
        <v>313</v>
      </c>
      <c r="G812" s="2" t="s">
        <v>12</v>
      </c>
      <c r="H812" s="2" t="s">
        <v>23</v>
      </c>
      <c r="I812" s="6" t="s">
        <v>2954</v>
      </c>
      <c r="J812" s="2" t="str">
        <f t="shared" si="12"/>
        <v>2023-07</v>
      </c>
    </row>
    <row r="813" spans="1:10" x14ac:dyDescent="0.2">
      <c r="A813" s="2" t="s">
        <v>919</v>
      </c>
      <c r="B813" s="2" t="s">
        <v>89</v>
      </c>
      <c r="C813" s="2" t="s">
        <v>32</v>
      </c>
      <c r="D813" s="2" t="s">
        <v>2954</v>
      </c>
      <c r="E813" s="5">
        <v>45118</v>
      </c>
      <c r="F813" s="2">
        <v>530</v>
      </c>
      <c r="G813" s="2" t="s">
        <v>17</v>
      </c>
      <c r="H813" s="2" t="s">
        <v>23</v>
      </c>
      <c r="I813" s="6">
        <v>0.25</v>
      </c>
      <c r="J813" s="2" t="str">
        <f t="shared" si="12"/>
        <v>2023-07</v>
      </c>
    </row>
    <row r="814" spans="1:10" x14ac:dyDescent="0.2">
      <c r="A814" s="2" t="s">
        <v>920</v>
      </c>
      <c r="B814" s="2" t="s">
        <v>100</v>
      </c>
      <c r="C814" s="2" t="s">
        <v>142</v>
      </c>
      <c r="D814" s="2" t="s">
        <v>2954</v>
      </c>
      <c r="E814" s="5">
        <v>45118</v>
      </c>
      <c r="F814" s="2">
        <v>17</v>
      </c>
      <c r="G814" s="2" t="s">
        <v>41</v>
      </c>
      <c r="H814" s="2" t="s">
        <v>98</v>
      </c>
      <c r="I814" s="6" t="s">
        <v>2954</v>
      </c>
      <c r="J814" s="2" t="str">
        <f t="shared" si="12"/>
        <v>2023-07</v>
      </c>
    </row>
    <row r="815" spans="1:10" x14ac:dyDescent="0.2">
      <c r="A815" s="2" t="s">
        <v>921</v>
      </c>
      <c r="B815" s="2" t="s">
        <v>188</v>
      </c>
      <c r="C815" s="2" t="s">
        <v>154</v>
      </c>
      <c r="D815" s="2" t="s">
        <v>2954</v>
      </c>
      <c r="E815" s="5">
        <v>45118</v>
      </c>
      <c r="F815" s="2">
        <v>131</v>
      </c>
      <c r="G815" s="2" t="s">
        <v>41</v>
      </c>
      <c r="H815" s="2" t="s">
        <v>106</v>
      </c>
      <c r="I815" s="6" t="s">
        <v>2954</v>
      </c>
      <c r="J815" s="2" t="str">
        <f t="shared" si="12"/>
        <v>2023-07</v>
      </c>
    </row>
    <row r="816" spans="1:10" x14ac:dyDescent="0.2">
      <c r="A816" s="2" t="s">
        <v>672</v>
      </c>
      <c r="B816" s="2" t="s">
        <v>34</v>
      </c>
      <c r="C816" s="2" t="s">
        <v>52</v>
      </c>
      <c r="D816" s="2" t="s">
        <v>2954</v>
      </c>
      <c r="E816" s="5">
        <v>45118</v>
      </c>
      <c r="F816" s="2">
        <v>504</v>
      </c>
      <c r="G816" s="2" t="s">
        <v>17</v>
      </c>
      <c r="H816" s="2" t="s">
        <v>23</v>
      </c>
      <c r="I816" s="6">
        <v>0.34</v>
      </c>
      <c r="J816" s="2" t="str">
        <f t="shared" si="12"/>
        <v>2023-07</v>
      </c>
    </row>
    <row r="817" spans="1:10" x14ac:dyDescent="0.2">
      <c r="A817" s="2" t="s">
        <v>922</v>
      </c>
      <c r="B817" s="2" t="s">
        <v>100</v>
      </c>
      <c r="C817" s="2" t="s">
        <v>61</v>
      </c>
      <c r="D817" s="2" t="s">
        <v>2954</v>
      </c>
      <c r="E817" s="5">
        <v>45117</v>
      </c>
      <c r="F817" s="2">
        <v>17</v>
      </c>
      <c r="G817" s="2" t="s">
        <v>41</v>
      </c>
      <c r="H817" s="2" t="s">
        <v>98</v>
      </c>
      <c r="I817" s="6">
        <v>1</v>
      </c>
      <c r="J817" s="2" t="str">
        <f t="shared" si="12"/>
        <v>2023-07</v>
      </c>
    </row>
    <row r="818" spans="1:10" x14ac:dyDescent="0.2">
      <c r="A818" s="2" t="s">
        <v>923</v>
      </c>
      <c r="B818" s="2" t="s">
        <v>89</v>
      </c>
      <c r="C818" s="2" t="s">
        <v>32</v>
      </c>
      <c r="D818" s="2" t="s">
        <v>2954</v>
      </c>
      <c r="E818" s="5">
        <v>45117</v>
      </c>
      <c r="F818" s="2">
        <v>171</v>
      </c>
      <c r="G818" s="2" t="s">
        <v>66</v>
      </c>
      <c r="H818" s="2" t="s">
        <v>23</v>
      </c>
      <c r="I818" s="6" t="s">
        <v>2954</v>
      </c>
      <c r="J818" s="2" t="str">
        <f t="shared" si="12"/>
        <v>2023-07</v>
      </c>
    </row>
    <row r="819" spans="1:10" x14ac:dyDescent="0.2">
      <c r="A819" s="2" t="s">
        <v>924</v>
      </c>
      <c r="B819" s="2" t="s">
        <v>25</v>
      </c>
      <c r="C819" s="2" t="s">
        <v>195</v>
      </c>
      <c r="D819" s="2" t="s">
        <v>2954</v>
      </c>
      <c r="E819" s="5">
        <v>45117</v>
      </c>
      <c r="F819" s="2">
        <v>342</v>
      </c>
      <c r="G819" s="2" t="s">
        <v>17</v>
      </c>
      <c r="H819" s="2" t="s">
        <v>23</v>
      </c>
      <c r="I819" s="6">
        <v>0.59</v>
      </c>
      <c r="J819" s="2" t="str">
        <f t="shared" si="12"/>
        <v>2023-07</v>
      </c>
    </row>
    <row r="820" spans="1:10" x14ac:dyDescent="0.2">
      <c r="A820" s="2" t="s">
        <v>925</v>
      </c>
      <c r="B820" s="2" t="s">
        <v>34</v>
      </c>
      <c r="C820" s="2" t="s">
        <v>52</v>
      </c>
      <c r="D820" s="2" t="s">
        <v>2954</v>
      </c>
      <c r="E820" s="5">
        <v>45117</v>
      </c>
      <c r="F820" s="2">
        <v>567</v>
      </c>
      <c r="G820" s="2" t="s">
        <v>62</v>
      </c>
      <c r="H820" s="2" t="s">
        <v>23</v>
      </c>
      <c r="I820" s="6">
        <v>0.05</v>
      </c>
      <c r="J820" s="2" t="str">
        <f t="shared" si="12"/>
        <v>2023-07</v>
      </c>
    </row>
    <row r="821" spans="1:10" x14ac:dyDescent="0.2">
      <c r="A821" s="2" t="s">
        <v>926</v>
      </c>
      <c r="B821" s="2" t="s">
        <v>203</v>
      </c>
      <c r="C821" s="2" t="s">
        <v>32</v>
      </c>
      <c r="D821" s="2">
        <v>30</v>
      </c>
      <c r="E821" s="5">
        <v>45114</v>
      </c>
      <c r="F821" s="2" t="s">
        <v>2954</v>
      </c>
      <c r="G821" s="2" t="s">
        <v>12</v>
      </c>
      <c r="H821" s="2" t="s">
        <v>204</v>
      </c>
      <c r="I821" s="6">
        <v>1</v>
      </c>
      <c r="J821" s="2" t="str">
        <f t="shared" si="12"/>
        <v>2023-07</v>
      </c>
    </row>
    <row r="822" spans="1:10" x14ac:dyDescent="0.2">
      <c r="A822" s="2" t="s">
        <v>927</v>
      </c>
      <c r="B822" s="2" t="s">
        <v>34</v>
      </c>
      <c r="C822" s="2" t="s">
        <v>35</v>
      </c>
      <c r="D822" s="2" t="s">
        <v>2954</v>
      </c>
      <c r="E822" s="5">
        <v>45114</v>
      </c>
      <c r="F822" s="2">
        <v>290</v>
      </c>
      <c r="G822" s="2" t="s">
        <v>45</v>
      </c>
      <c r="H822" s="2" t="s">
        <v>23</v>
      </c>
      <c r="I822" s="6" t="s">
        <v>2954</v>
      </c>
      <c r="J822" s="2" t="str">
        <f t="shared" si="12"/>
        <v>2023-07</v>
      </c>
    </row>
    <row r="823" spans="1:10" x14ac:dyDescent="0.2">
      <c r="A823" s="2" t="s">
        <v>928</v>
      </c>
      <c r="B823" s="2" t="s">
        <v>74</v>
      </c>
      <c r="C823" s="2" t="s">
        <v>44</v>
      </c>
      <c r="D823" s="2" t="s">
        <v>2954</v>
      </c>
      <c r="E823" s="5">
        <v>45114</v>
      </c>
      <c r="F823" s="2">
        <v>12</v>
      </c>
      <c r="G823" s="2" t="s">
        <v>45</v>
      </c>
      <c r="H823" s="2" t="s">
        <v>76</v>
      </c>
      <c r="I823" s="6" t="s">
        <v>2954</v>
      </c>
      <c r="J823" s="2" t="str">
        <f t="shared" si="12"/>
        <v>2023-07</v>
      </c>
    </row>
    <row r="824" spans="1:10" x14ac:dyDescent="0.2">
      <c r="A824" s="2" t="s">
        <v>929</v>
      </c>
      <c r="B824" s="2" t="s">
        <v>34</v>
      </c>
      <c r="C824" s="2" t="s">
        <v>195</v>
      </c>
      <c r="D824" s="2" t="s">
        <v>2954</v>
      </c>
      <c r="E824" s="5">
        <v>45114</v>
      </c>
      <c r="F824" s="2">
        <v>35</v>
      </c>
      <c r="G824" s="2" t="s">
        <v>12</v>
      </c>
      <c r="H824" s="2" t="s">
        <v>23</v>
      </c>
      <c r="I824" s="6" t="s">
        <v>2954</v>
      </c>
      <c r="J824" s="2" t="str">
        <f t="shared" si="12"/>
        <v>2023-07</v>
      </c>
    </row>
    <row r="825" spans="1:10" x14ac:dyDescent="0.2">
      <c r="A825" s="2" t="s">
        <v>930</v>
      </c>
      <c r="B825" s="2" t="s">
        <v>560</v>
      </c>
      <c r="C825" s="2" t="s">
        <v>113</v>
      </c>
      <c r="D825" s="2">
        <v>2000</v>
      </c>
      <c r="E825" s="5">
        <v>45113</v>
      </c>
      <c r="F825" s="2" t="s">
        <v>2954</v>
      </c>
      <c r="G825" s="2" t="s">
        <v>17</v>
      </c>
      <c r="H825" s="2" t="s">
        <v>23</v>
      </c>
      <c r="I825" s="6">
        <v>0.06</v>
      </c>
      <c r="J825" s="2" t="str">
        <f t="shared" si="12"/>
        <v>2023-07</v>
      </c>
    </row>
    <row r="826" spans="1:10" x14ac:dyDescent="0.2">
      <c r="A826" s="2" t="s">
        <v>931</v>
      </c>
      <c r="B826" s="2" t="s">
        <v>54</v>
      </c>
      <c r="C826" s="2" t="s">
        <v>16</v>
      </c>
      <c r="D826" s="2">
        <v>1000</v>
      </c>
      <c r="E826" s="5">
        <v>45113</v>
      </c>
      <c r="F826" s="2">
        <v>1400</v>
      </c>
      <c r="G826" s="2" t="s">
        <v>199</v>
      </c>
      <c r="H826" s="2" t="s">
        <v>55</v>
      </c>
      <c r="I826" s="6">
        <v>0.15</v>
      </c>
      <c r="J826" s="2" t="str">
        <f t="shared" si="12"/>
        <v>2023-07</v>
      </c>
    </row>
    <row r="827" spans="1:10" x14ac:dyDescent="0.2">
      <c r="A827" s="2" t="s">
        <v>932</v>
      </c>
      <c r="B827" s="2" t="s">
        <v>34</v>
      </c>
      <c r="C827" s="2" t="s">
        <v>11</v>
      </c>
      <c r="D827" s="2">
        <v>134</v>
      </c>
      <c r="E827" s="5">
        <v>45113</v>
      </c>
      <c r="F827" s="2">
        <v>711</v>
      </c>
      <c r="G827" s="2" t="s">
        <v>75</v>
      </c>
      <c r="H827" s="2" t="s">
        <v>23</v>
      </c>
      <c r="I827" s="6">
        <v>0.15</v>
      </c>
      <c r="J827" s="2" t="str">
        <f t="shared" si="12"/>
        <v>2023-07</v>
      </c>
    </row>
    <row r="828" spans="1:10" x14ac:dyDescent="0.2">
      <c r="A828" s="2" t="s">
        <v>933</v>
      </c>
      <c r="B828" s="2" t="s">
        <v>137</v>
      </c>
      <c r="C828" s="2" t="s">
        <v>103</v>
      </c>
      <c r="D828" s="2">
        <v>98</v>
      </c>
      <c r="E828" s="5">
        <v>45113</v>
      </c>
      <c r="F828" s="2" t="s">
        <v>2954</v>
      </c>
      <c r="G828" s="2" t="s">
        <v>12</v>
      </c>
      <c r="H828" s="2" t="s">
        <v>23</v>
      </c>
      <c r="I828" s="6" t="s">
        <v>2954</v>
      </c>
      <c r="J828" s="2" t="str">
        <f t="shared" si="12"/>
        <v>2023-07</v>
      </c>
    </row>
    <row r="829" spans="1:10" x14ac:dyDescent="0.2">
      <c r="A829" s="2" t="s">
        <v>934</v>
      </c>
      <c r="B829" s="2" t="s">
        <v>25</v>
      </c>
      <c r="C829" s="2" t="s">
        <v>32</v>
      </c>
      <c r="D829" s="2">
        <v>20</v>
      </c>
      <c r="E829" s="5">
        <v>45113</v>
      </c>
      <c r="F829" s="2">
        <v>156</v>
      </c>
      <c r="G829" s="2" t="s">
        <v>75</v>
      </c>
      <c r="H829" s="2" t="s">
        <v>23</v>
      </c>
      <c r="I829" s="6">
        <v>0.1</v>
      </c>
      <c r="J829" s="2" t="str">
        <f t="shared" si="12"/>
        <v>2023-07</v>
      </c>
    </row>
    <row r="830" spans="1:10" x14ac:dyDescent="0.2">
      <c r="A830" s="2" t="s">
        <v>935</v>
      </c>
      <c r="B830" s="2" t="s">
        <v>217</v>
      </c>
      <c r="C830" s="2" t="s">
        <v>26</v>
      </c>
      <c r="D830" s="2" t="s">
        <v>2954</v>
      </c>
      <c r="E830" s="5">
        <v>45113</v>
      </c>
      <c r="F830" s="2">
        <v>50</v>
      </c>
      <c r="G830" s="2" t="s">
        <v>12</v>
      </c>
      <c r="H830" s="2" t="s">
        <v>217</v>
      </c>
      <c r="I830" s="6" t="s">
        <v>2954</v>
      </c>
      <c r="J830" s="2" t="str">
        <f t="shared" si="12"/>
        <v>2023-07</v>
      </c>
    </row>
    <row r="831" spans="1:10" x14ac:dyDescent="0.2">
      <c r="A831" s="2" t="s">
        <v>936</v>
      </c>
      <c r="B831" s="2" t="s">
        <v>89</v>
      </c>
      <c r="C831" s="2" t="s">
        <v>32</v>
      </c>
      <c r="D831" s="2" t="s">
        <v>2954</v>
      </c>
      <c r="E831" s="5">
        <v>45113</v>
      </c>
      <c r="F831" s="2">
        <v>160</v>
      </c>
      <c r="G831" s="2" t="s">
        <v>12</v>
      </c>
      <c r="H831" s="2" t="s">
        <v>23</v>
      </c>
      <c r="I831" s="6" t="s">
        <v>2954</v>
      </c>
      <c r="J831" s="2" t="str">
        <f t="shared" si="12"/>
        <v>2023-07</v>
      </c>
    </row>
    <row r="832" spans="1:10" x14ac:dyDescent="0.2">
      <c r="A832" s="2" t="s">
        <v>937</v>
      </c>
      <c r="B832" s="2" t="s">
        <v>34</v>
      </c>
      <c r="C832" s="2" t="s">
        <v>50</v>
      </c>
      <c r="D832" s="2" t="s">
        <v>2954</v>
      </c>
      <c r="E832" s="5">
        <v>45113</v>
      </c>
      <c r="F832" s="2">
        <v>106</v>
      </c>
      <c r="G832" s="2" t="s">
        <v>75</v>
      </c>
      <c r="H832" s="2" t="s">
        <v>23</v>
      </c>
      <c r="I832" s="6" t="s">
        <v>2954</v>
      </c>
      <c r="J832" s="2" t="str">
        <f t="shared" si="12"/>
        <v>2023-07</v>
      </c>
    </row>
    <row r="833" spans="1:10" x14ac:dyDescent="0.2">
      <c r="A833" s="2" t="s">
        <v>938</v>
      </c>
      <c r="B833" s="2" t="s">
        <v>34</v>
      </c>
      <c r="C833" s="2" t="s">
        <v>32</v>
      </c>
      <c r="D833" s="2" t="s">
        <v>2954</v>
      </c>
      <c r="E833" s="5">
        <v>45113</v>
      </c>
      <c r="F833" s="2">
        <v>90</v>
      </c>
      <c r="G833" s="2" t="s">
        <v>37</v>
      </c>
      <c r="H833" s="2" t="s">
        <v>23</v>
      </c>
      <c r="I833" s="6" t="s">
        <v>2954</v>
      </c>
      <c r="J833" s="2" t="str">
        <f t="shared" si="12"/>
        <v>2023-07</v>
      </c>
    </row>
    <row r="834" spans="1:10" x14ac:dyDescent="0.2">
      <c r="A834" s="2" t="s">
        <v>939</v>
      </c>
      <c r="B834" s="2" t="s">
        <v>634</v>
      </c>
      <c r="C834" s="2" t="s">
        <v>632</v>
      </c>
      <c r="D834" s="2">
        <v>30</v>
      </c>
      <c r="E834" s="5">
        <v>45112</v>
      </c>
      <c r="F834" s="2">
        <v>47</v>
      </c>
      <c r="G834" s="2" t="s">
        <v>37</v>
      </c>
      <c r="H834" s="2" t="s">
        <v>106</v>
      </c>
      <c r="I834" s="6" t="s">
        <v>2954</v>
      </c>
      <c r="J834" s="2" t="str">
        <f t="shared" si="12"/>
        <v>2023-07</v>
      </c>
    </row>
    <row r="835" spans="1:10" x14ac:dyDescent="0.2">
      <c r="A835" s="2" t="s">
        <v>940</v>
      </c>
      <c r="B835" s="2" t="s">
        <v>858</v>
      </c>
      <c r="C835" s="2" t="s">
        <v>243</v>
      </c>
      <c r="D835" s="2" t="s">
        <v>2954</v>
      </c>
      <c r="E835" s="5">
        <v>45112</v>
      </c>
      <c r="F835" s="2" t="s">
        <v>2954</v>
      </c>
      <c r="G835" s="2" t="s">
        <v>17</v>
      </c>
      <c r="H835" s="2" t="s">
        <v>859</v>
      </c>
      <c r="I835" s="6">
        <v>0.06</v>
      </c>
      <c r="J835" s="2" t="str">
        <f t="shared" ref="J835:J898" si="13">TEXT(E835,"YYYY-MM")</f>
        <v>2023-07</v>
      </c>
    </row>
    <row r="836" spans="1:10" x14ac:dyDescent="0.2">
      <c r="A836" s="2" t="s">
        <v>941</v>
      </c>
      <c r="B836" s="2" t="s">
        <v>74</v>
      </c>
      <c r="C836" s="2" t="s">
        <v>235</v>
      </c>
      <c r="D836" s="2">
        <v>24</v>
      </c>
      <c r="E836" s="5">
        <v>45110</v>
      </c>
      <c r="F836" s="2">
        <v>8</v>
      </c>
      <c r="G836" s="2" t="s">
        <v>45</v>
      </c>
      <c r="H836" s="2" t="s">
        <v>76</v>
      </c>
      <c r="I836" s="6">
        <v>0.1</v>
      </c>
      <c r="J836" s="2" t="str">
        <f t="shared" si="13"/>
        <v>2023-07</v>
      </c>
    </row>
    <row r="837" spans="1:10" x14ac:dyDescent="0.2">
      <c r="A837" s="2" t="s">
        <v>942</v>
      </c>
      <c r="B837" s="2" t="s">
        <v>273</v>
      </c>
      <c r="C837" s="2" t="s">
        <v>16</v>
      </c>
      <c r="D837" s="2">
        <v>300</v>
      </c>
      <c r="E837" s="5">
        <v>45109</v>
      </c>
      <c r="F837" s="2">
        <v>896</v>
      </c>
      <c r="G837" s="2" t="s">
        <v>17</v>
      </c>
      <c r="H837" s="2" t="s">
        <v>274</v>
      </c>
      <c r="I837" s="6">
        <v>0.2</v>
      </c>
      <c r="J837" s="2" t="str">
        <f t="shared" si="13"/>
        <v>2023-07</v>
      </c>
    </row>
    <row r="838" spans="1:10" x14ac:dyDescent="0.2">
      <c r="A838" s="2" t="s">
        <v>943</v>
      </c>
      <c r="B838" s="2" t="s">
        <v>25</v>
      </c>
      <c r="C838" s="2" t="s">
        <v>35</v>
      </c>
      <c r="D838" s="2" t="s">
        <v>2954</v>
      </c>
      <c r="E838" s="5">
        <v>45107</v>
      </c>
      <c r="F838" s="2">
        <v>24</v>
      </c>
      <c r="G838" s="2" t="s">
        <v>41</v>
      </c>
      <c r="H838" s="2" t="s">
        <v>23</v>
      </c>
      <c r="I838" s="6">
        <v>1</v>
      </c>
      <c r="J838" s="2" t="str">
        <f t="shared" si="13"/>
        <v>2023-06</v>
      </c>
    </row>
    <row r="839" spans="1:10" x14ac:dyDescent="0.2">
      <c r="A839" s="2" t="s">
        <v>944</v>
      </c>
      <c r="B839" s="2" t="s">
        <v>47</v>
      </c>
      <c r="C839" s="2" t="s">
        <v>142</v>
      </c>
      <c r="D839" s="2" t="s">
        <v>2954</v>
      </c>
      <c r="E839" s="5">
        <v>45107</v>
      </c>
      <c r="F839" s="2" t="s">
        <v>2954</v>
      </c>
      <c r="G839" s="2" t="s">
        <v>12</v>
      </c>
      <c r="H839" s="2" t="s">
        <v>23</v>
      </c>
      <c r="I839" s="6">
        <v>1</v>
      </c>
      <c r="J839" s="2" t="str">
        <f t="shared" si="13"/>
        <v>2023-06</v>
      </c>
    </row>
    <row r="840" spans="1:10" x14ac:dyDescent="0.2">
      <c r="A840" s="2" t="s">
        <v>945</v>
      </c>
      <c r="B840" s="2" t="s">
        <v>25</v>
      </c>
      <c r="C840" s="2" t="s">
        <v>26</v>
      </c>
      <c r="D840" s="2" t="s">
        <v>2954</v>
      </c>
      <c r="E840" s="5">
        <v>45107</v>
      </c>
      <c r="F840" s="2">
        <v>607</v>
      </c>
      <c r="G840" s="2" t="s">
        <v>199</v>
      </c>
      <c r="H840" s="2" t="s">
        <v>23</v>
      </c>
      <c r="I840" s="6">
        <v>1</v>
      </c>
      <c r="J840" s="2" t="str">
        <f t="shared" si="13"/>
        <v>2023-06</v>
      </c>
    </row>
    <row r="841" spans="1:10" x14ac:dyDescent="0.2">
      <c r="A841" s="2" t="s">
        <v>946</v>
      </c>
      <c r="B841" s="2" t="s">
        <v>25</v>
      </c>
      <c r="C841" s="2" t="s">
        <v>16</v>
      </c>
      <c r="D841" s="2" t="s">
        <v>2954</v>
      </c>
      <c r="E841" s="5">
        <v>45107</v>
      </c>
      <c r="F841" s="2">
        <v>704</v>
      </c>
      <c r="G841" s="2" t="s">
        <v>75</v>
      </c>
      <c r="H841" s="2" t="s">
        <v>23</v>
      </c>
      <c r="I841" s="6">
        <v>0.2</v>
      </c>
      <c r="J841" s="2" t="str">
        <f t="shared" si="13"/>
        <v>2023-06</v>
      </c>
    </row>
    <row r="842" spans="1:10" x14ac:dyDescent="0.2">
      <c r="A842" s="2" t="s">
        <v>811</v>
      </c>
      <c r="B842" s="2" t="s">
        <v>34</v>
      </c>
      <c r="C842" s="2" t="s">
        <v>29</v>
      </c>
      <c r="D842" s="2">
        <v>230</v>
      </c>
      <c r="E842" s="5">
        <v>45106</v>
      </c>
      <c r="F842" s="2">
        <v>770</v>
      </c>
      <c r="G842" s="2" t="s">
        <v>75</v>
      </c>
      <c r="H842" s="2" t="s">
        <v>23</v>
      </c>
      <c r="I842" s="6" t="s">
        <v>2954</v>
      </c>
      <c r="J842" s="2" t="str">
        <f t="shared" si="13"/>
        <v>2023-06</v>
      </c>
    </row>
    <row r="843" spans="1:10" x14ac:dyDescent="0.2">
      <c r="A843" s="2" t="s">
        <v>947</v>
      </c>
      <c r="B843" s="2" t="s">
        <v>47</v>
      </c>
      <c r="C843" s="2" t="s">
        <v>32</v>
      </c>
      <c r="D843" s="2">
        <v>181</v>
      </c>
      <c r="E843" s="5">
        <v>45106</v>
      </c>
      <c r="F843" s="2">
        <v>216</v>
      </c>
      <c r="G843" s="2" t="s">
        <v>12</v>
      </c>
      <c r="H843" s="2" t="s">
        <v>23</v>
      </c>
      <c r="I843" s="6">
        <v>0.15</v>
      </c>
      <c r="J843" s="2" t="str">
        <f t="shared" si="13"/>
        <v>2023-06</v>
      </c>
    </row>
    <row r="844" spans="1:10" x14ac:dyDescent="0.2">
      <c r="A844" s="2" t="s">
        <v>948</v>
      </c>
      <c r="B844" s="2" t="s">
        <v>25</v>
      </c>
      <c r="C844" s="2" t="s">
        <v>142</v>
      </c>
      <c r="D844" s="2">
        <v>35</v>
      </c>
      <c r="E844" s="5">
        <v>45106</v>
      </c>
      <c r="F844" s="2">
        <v>100</v>
      </c>
      <c r="G844" s="2" t="s">
        <v>75</v>
      </c>
      <c r="H844" s="2" t="s">
        <v>23</v>
      </c>
      <c r="I844" s="6">
        <v>0.15</v>
      </c>
      <c r="J844" s="2" t="str">
        <f t="shared" si="13"/>
        <v>2023-06</v>
      </c>
    </row>
    <row r="845" spans="1:10" x14ac:dyDescent="0.2">
      <c r="A845" s="2" t="s">
        <v>949</v>
      </c>
      <c r="B845" s="2" t="s">
        <v>25</v>
      </c>
      <c r="C845" s="2" t="s">
        <v>22</v>
      </c>
      <c r="D845" s="2">
        <v>30</v>
      </c>
      <c r="E845" s="5">
        <v>45106</v>
      </c>
      <c r="F845" s="2">
        <v>138</v>
      </c>
      <c r="G845" s="2" t="s">
        <v>41</v>
      </c>
      <c r="H845" s="2" t="s">
        <v>23</v>
      </c>
      <c r="I845" s="6" t="s">
        <v>2954</v>
      </c>
      <c r="J845" s="2" t="str">
        <f t="shared" si="13"/>
        <v>2023-06</v>
      </c>
    </row>
    <row r="846" spans="1:10" x14ac:dyDescent="0.2">
      <c r="A846" s="2" t="s">
        <v>950</v>
      </c>
      <c r="B846" s="2" t="s">
        <v>100</v>
      </c>
      <c r="C846" s="2" t="s">
        <v>29</v>
      </c>
      <c r="D846" s="2">
        <v>30</v>
      </c>
      <c r="E846" s="5">
        <v>45106</v>
      </c>
      <c r="F846" s="2" t="s">
        <v>2954</v>
      </c>
      <c r="G846" s="2" t="s">
        <v>214</v>
      </c>
      <c r="H846" s="2" t="s">
        <v>98</v>
      </c>
      <c r="I846" s="6" t="s">
        <v>2954</v>
      </c>
      <c r="J846" s="2" t="str">
        <f t="shared" si="13"/>
        <v>2023-06</v>
      </c>
    </row>
    <row r="847" spans="1:10" x14ac:dyDescent="0.2">
      <c r="A847" s="2" t="s">
        <v>951</v>
      </c>
      <c r="B847" s="2" t="s">
        <v>952</v>
      </c>
      <c r="C847" s="2" t="s">
        <v>29</v>
      </c>
      <c r="D847" s="2">
        <v>28</v>
      </c>
      <c r="E847" s="5">
        <v>45106</v>
      </c>
      <c r="F847" s="2">
        <v>65</v>
      </c>
      <c r="G847" s="2" t="s">
        <v>37</v>
      </c>
      <c r="H847" s="2" t="s">
        <v>18</v>
      </c>
      <c r="I847" s="6">
        <v>0.3</v>
      </c>
      <c r="J847" s="2" t="str">
        <f t="shared" si="13"/>
        <v>2023-06</v>
      </c>
    </row>
    <row r="848" spans="1:10" x14ac:dyDescent="0.2">
      <c r="A848" s="2" t="s">
        <v>953</v>
      </c>
      <c r="B848" s="2" t="s">
        <v>25</v>
      </c>
      <c r="C848" s="2" t="s">
        <v>235</v>
      </c>
      <c r="D848" s="2">
        <v>20</v>
      </c>
      <c r="E848" s="5">
        <v>45106</v>
      </c>
      <c r="F848" s="2" t="s">
        <v>2954</v>
      </c>
      <c r="G848" s="2" t="s">
        <v>214</v>
      </c>
      <c r="H848" s="2" t="s">
        <v>23</v>
      </c>
      <c r="I848" s="6" t="s">
        <v>2954</v>
      </c>
      <c r="J848" s="2" t="str">
        <f t="shared" si="13"/>
        <v>2023-06</v>
      </c>
    </row>
    <row r="849" spans="1:10" x14ac:dyDescent="0.2">
      <c r="A849" s="2" t="s">
        <v>954</v>
      </c>
      <c r="B849" s="2" t="s">
        <v>955</v>
      </c>
      <c r="C849" s="2" t="s">
        <v>142</v>
      </c>
      <c r="D849" s="2" t="s">
        <v>2954</v>
      </c>
      <c r="E849" s="5">
        <v>45106</v>
      </c>
      <c r="F849" s="2">
        <v>445</v>
      </c>
      <c r="G849" s="2" t="s">
        <v>37</v>
      </c>
      <c r="H849" s="2" t="s">
        <v>956</v>
      </c>
      <c r="I849" s="6">
        <v>0.1</v>
      </c>
      <c r="J849" s="2" t="str">
        <f t="shared" si="13"/>
        <v>2023-06</v>
      </c>
    </row>
    <row r="850" spans="1:10" x14ac:dyDescent="0.2">
      <c r="A850" s="2" t="s">
        <v>957</v>
      </c>
      <c r="B850" s="2" t="s">
        <v>100</v>
      </c>
      <c r="C850" s="2" t="s">
        <v>29</v>
      </c>
      <c r="D850" s="2" t="s">
        <v>2954</v>
      </c>
      <c r="E850" s="5">
        <v>45106</v>
      </c>
      <c r="F850" s="2">
        <v>19</v>
      </c>
      <c r="G850" s="2" t="s">
        <v>132</v>
      </c>
      <c r="H850" s="2" t="s">
        <v>98</v>
      </c>
      <c r="I850" s="6">
        <v>0.3</v>
      </c>
      <c r="J850" s="2" t="str">
        <f t="shared" si="13"/>
        <v>2023-06</v>
      </c>
    </row>
    <row r="851" spans="1:10" x14ac:dyDescent="0.2">
      <c r="A851" s="2" t="s">
        <v>958</v>
      </c>
      <c r="B851" s="2" t="s">
        <v>34</v>
      </c>
      <c r="C851" s="2" t="s">
        <v>16</v>
      </c>
      <c r="D851" s="2" t="s">
        <v>2954</v>
      </c>
      <c r="E851" s="5">
        <v>45106</v>
      </c>
      <c r="F851" s="2">
        <v>8700</v>
      </c>
      <c r="G851" s="2" t="s">
        <v>959</v>
      </c>
      <c r="H851" s="2" t="s">
        <v>23</v>
      </c>
      <c r="I851" s="6" t="s">
        <v>2954</v>
      </c>
      <c r="J851" s="2" t="str">
        <f t="shared" si="13"/>
        <v>2023-06</v>
      </c>
    </row>
    <row r="852" spans="1:10" x14ac:dyDescent="0.2">
      <c r="A852" s="2" t="s">
        <v>960</v>
      </c>
      <c r="B852" s="2" t="s">
        <v>25</v>
      </c>
      <c r="C852" s="2" t="s">
        <v>29</v>
      </c>
      <c r="D852" s="2" t="s">
        <v>2954</v>
      </c>
      <c r="E852" s="5">
        <v>45106</v>
      </c>
      <c r="F852" s="2">
        <v>18</v>
      </c>
      <c r="G852" s="2" t="s">
        <v>41</v>
      </c>
      <c r="H852" s="2" t="s">
        <v>23</v>
      </c>
      <c r="I852" s="6">
        <v>1</v>
      </c>
      <c r="J852" s="2" t="str">
        <f t="shared" si="13"/>
        <v>2023-06</v>
      </c>
    </row>
    <row r="853" spans="1:10" x14ac:dyDescent="0.2">
      <c r="A853" s="2" t="s">
        <v>961</v>
      </c>
      <c r="B853" s="2" t="s">
        <v>64</v>
      </c>
      <c r="C853" s="2" t="s">
        <v>29</v>
      </c>
      <c r="D853" s="2">
        <v>90</v>
      </c>
      <c r="E853" s="5">
        <v>45105</v>
      </c>
      <c r="F853" s="2">
        <v>537</v>
      </c>
      <c r="G853" s="2" t="s">
        <v>66</v>
      </c>
      <c r="H853" s="2" t="s">
        <v>23</v>
      </c>
      <c r="I853" s="6">
        <v>0.1</v>
      </c>
      <c r="J853" s="2" t="str">
        <f t="shared" si="13"/>
        <v>2023-06</v>
      </c>
    </row>
    <row r="854" spans="1:10" x14ac:dyDescent="0.2">
      <c r="A854" s="2" t="s">
        <v>962</v>
      </c>
      <c r="B854" s="2" t="s">
        <v>188</v>
      </c>
      <c r="C854" s="2" t="s">
        <v>35</v>
      </c>
      <c r="D854" s="2">
        <v>55</v>
      </c>
      <c r="E854" s="5">
        <v>45105</v>
      </c>
      <c r="F854" s="2">
        <v>1</v>
      </c>
      <c r="G854" s="2" t="s">
        <v>45</v>
      </c>
      <c r="H854" s="2" t="s">
        <v>23</v>
      </c>
      <c r="I854" s="6" t="s">
        <v>2954</v>
      </c>
      <c r="J854" s="2" t="str">
        <f t="shared" si="13"/>
        <v>2023-06</v>
      </c>
    </row>
    <row r="855" spans="1:10" x14ac:dyDescent="0.2">
      <c r="A855" s="2" t="s">
        <v>963</v>
      </c>
      <c r="B855" s="2" t="s">
        <v>28</v>
      </c>
      <c r="C855" s="2" t="s">
        <v>68</v>
      </c>
      <c r="D855" s="2">
        <v>47</v>
      </c>
      <c r="E855" s="5">
        <v>45105</v>
      </c>
      <c r="F855" s="2">
        <v>169</v>
      </c>
      <c r="G855" s="2" t="s">
        <v>12</v>
      </c>
      <c r="H855" s="2" t="s">
        <v>23</v>
      </c>
      <c r="I855" s="6" t="s">
        <v>2954</v>
      </c>
      <c r="J855" s="2" t="str">
        <f t="shared" si="13"/>
        <v>2023-06</v>
      </c>
    </row>
    <row r="856" spans="1:10" x14ac:dyDescent="0.2">
      <c r="A856" s="2" t="s">
        <v>964</v>
      </c>
      <c r="B856" s="2" t="s">
        <v>34</v>
      </c>
      <c r="C856" s="2" t="s">
        <v>235</v>
      </c>
      <c r="D856" s="2">
        <v>37</v>
      </c>
      <c r="E856" s="5">
        <v>45105</v>
      </c>
      <c r="F856" s="2">
        <v>81</v>
      </c>
      <c r="G856" s="2" t="s">
        <v>12</v>
      </c>
      <c r="H856" s="2" t="s">
        <v>23</v>
      </c>
      <c r="I856" s="6">
        <v>0.2</v>
      </c>
      <c r="J856" s="2" t="str">
        <f t="shared" si="13"/>
        <v>2023-06</v>
      </c>
    </row>
    <row r="857" spans="1:10" x14ac:dyDescent="0.2">
      <c r="A857" s="2" t="s">
        <v>965</v>
      </c>
      <c r="B857" s="2" t="s">
        <v>89</v>
      </c>
      <c r="C857" s="2" t="s">
        <v>243</v>
      </c>
      <c r="D857" s="2" t="s">
        <v>2954</v>
      </c>
      <c r="E857" s="5">
        <v>45105</v>
      </c>
      <c r="F857" s="2">
        <v>414</v>
      </c>
      <c r="G857" s="2" t="s">
        <v>75</v>
      </c>
      <c r="H857" s="2" t="s">
        <v>23</v>
      </c>
      <c r="I857" s="6">
        <v>0.15</v>
      </c>
      <c r="J857" s="2" t="str">
        <f t="shared" si="13"/>
        <v>2023-06</v>
      </c>
    </row>
    <row r="858" spans="1:10" x14ac:dyDescent="0.2">
      <c r="A858" s="2" t="s">
        <v>966</v>
      </c>
      <c r="B858" s="2" t="s">
        <v>34</v>
      </c>
      <c r="C858" s="2" t="s">
        <v>29</v>
      </c>
      <c r="D858" s="2" t="s">
        <v>2954</v>
      </c>
      <c r="E858" s="5">
        <v>45105</v>
      </c>
      <c r="F858" s="2">
        <v>1</v>
      </c>
      <c r="G858" s="2" t="s">
        <v>132</v>
      </c>
      <c r="H858" s="2" t="s">
        <v>23</v>
      </c>
      <c r="I858" s="6">
        <v>0.1</v>
      </c>
      <c r="J858" s="2" t="str">
        <f t="shared" si="13"/>
        <v>2023-06</v>
      </c>
    </row>
    <row r="859" spans="1:10" x14ac:dyDescent="0.2">
      <c r="A859" s="2" t="s">
        <v>967</v>
      </c>
      <c r="B859" s="2" t="s">
        <v>54</v>
      </c>
      <c r="C859" s="2" t="s">
        <v>44</v>
      </c>
      <c r="D859" s="2">
        <v>350</v>
      </c>
      <c r="E859" s="5">
        <v>45104</v>
      </c>
      <c r="F859" s="2">
        <v>612</v>
      </c>
      <c r="G859" s="2" t="s">
        <v>17</v>
      </c>
      <c r="H859" s="2" t="s">
        <v>55</v>
      </c>
      <c r="I859" s="6" t="s">
        <v>2954</v>
      </c>
      <c r="J859" s="2" t="str">
        <f t="shared" si="13"/>
        <v>2023-06</v>
      </c>
    </row>
    <row r="860" spans="1:10" x14ac:dyDescent="0.2">
      <c r="A860" s="2" t="s">
        <v>196</v>
      </c>
      <c r="B860" s="2" t="s">
        <v>34</v>
      </c>
      <c r="C860" s="2" t="s">
        <v>48</v>
      </c>
      <c r="D860" s="2">
        <v>255</v>
      </c>
      <c r="E860" s="5">
        <v>45104</v>
      </c>
      <c r="F860" s="2">
        <v>214</v>
      </c>
      <c r="G860" s="2" t="s">
        <v>17</v>
      </c>
      <c r="H860" s="2" t="s">
        <v>23</v>
      </c>
      <c r="I860" s="6">
        <v>0.1</v>
      </c>
      <c r="J860" s="2" t="str">
        <f t="shared" si="13"/>
        <v>2023-06</v>
      </c>
    </row>
    <row r="861" spans="1:10" x14ac:dyDescent="0.2">
      <c r="A861" s="2" t="s">
        <v>968</v>
      </c>
      <c r="B861" s="2" t="s">
        <v>969</v>
      </c>
      <c r="C861" s="2" t="s">
        <v>109</v>
      </c>
      <c r="D861" s="2">
        <v>50</v>
      </c>
      <c r="E861" s="5">
        <v>45104</v>
      </c>
      <c r="F861" s="2">
        <v>181</v>
      </c>
      <c r="G861" s="2" t="s">
        <v>66</v>
      </c>
      <c r="H861" s="2" t="s">
        <v>13</v>
      </c>
      <c r="I861" s="6" t="s">
        <v>2954</v>
      </c>
      <c r="J861" s="2" t="str">
        <f t="shared" si="13"/>
        <v>2023-06</v>
      </c>
    </row>
    <row r="862" spans="1:10" x14ac:dyDescent="0.2">
      <c r="A862" s="2" t="s">
        <v>970</v>
      </c>
      <c r="B862" s="2" t="s">
        <v>282</v>
      </c>
      <c r="C862" s="2" t="s">
        <v>16</v>
      </c>
      <c r="D862" s="2" t="s">
        <v>2954</v>
      </c>
      <c r="E862" s="5">
        <v>45104</v>
      </c>
      <c r="F862" s="2">
        <v>85</v>
      </c>
      <c r="G862" s="2" t="s">
        <v>45</v>
      </c>
      <c r="H862" s="2" t="s">
        <v>55</v>
      </c>
      <c r="I862" s="6" t="s">
        <v>2954</v>
      </c>
      <c r="J862" s="2" t="str">
        <f t="shared" si="13"/>
        <v>2023-06</v>
      </c>
    </row>
    <row r="863" spans="1:10" x14ac:dyDescent="0.2">
      <c r="A863" s="2" t="s">
        <v>971</v>
      </c>
      <c r="B863" s="2" t="s">
        <v>203</v>
      </c>
      <c r="C863" s="2" t="s">
        <v>16</v>
      </c>
      <c r="D863" s="2" t="s">
        <v>2954</v>
      </c>
      <c r="E863" s="5">
        <v>45104</v>
      </c>
      <c r="F863" s="2" t="s">
        <v>2954</v>
      </c>
      <c r="G863" s="2" t="s">
        <v>12</v>
      </c>
      <c r="H863" s="2" t="s">
        <v>204</v>
      </c>
      <c r="I863" s="6">
        <v>1</v>
      </c>
      <c r="J863" s="2" t="str">
        <f t="shared" si="13"/>
        <v>2023-06</v>
      </c>
    </row>
    <row r="864" spans="1:10" x14ac:dyDescent="0.2">
      <c r="A864" s="2" t="s">
        <v>972</v>
      </c>
      <c r="B864" s="2" t="s">
        <v>34</v>
      </c>
      <c r="C864" s="2" t="s">
        <v>32</v>
      </c>
      <c r="D864" s="2" t="s">
        <v>2954</v>
      </c>
      <c r="E864" s="5">
        <v>45104</v>
      </c>
      <c r="F864" s="2">
        <v>625</v>
      </c>
      <c r="G864" s="2" t="s">
        <v>12</v>
      </c>
      <c r="H864" s="2" t="s">
        <v>23</v>
      </c>
      <c r="I864" s="6">
        <v>0.15</v>
      </c>
      <c r="J864" s="2" t="str">
        <f t="shared" si="13"/>
        <v>2023-06</v>
      </c>
    </row>
    <row r="865" spans="1:10" x14ac:dyDescent="0.2">
      <c r="A865" s="2" t="s">
        <v>367</v>
      </c>
      <c r="B865" s="2" t="s">
        <v>335</v>
      </c>
      <c r="C865" s="2" t="s">
        <v>50</v>
      </c>
      <c r="D865" s="2" t="s">
        <v>2954</v>
      </c>
      <c r="E865" s="5">
        <v>45104</v>
      </c>
      <c r="F865" s="2">
        <v>263</v>
      </c>
      <c r="G865" s="2" t="s">
        <v>199</v>
      </c>
      <c r="H865" s="2" t="s">
        <v>106</v>
      </c>
      <c r="I865" s="6">
        <v>0.09</v>
      </c>
      <c r="J865" s="2" t="str">
        <f t="shared" si="13"/>
        <v>2023-06</v>
      </c>
    </row>
    <row r="866" spans="1:10" x14ac:dyDescent="0.2">
      <c r="A866" s="2" t="s">
        <v>973</v>
      </c>
      <c r="B866" s="2" t="s">
        <v>158</v>
      </c>
      <c r="C866" s="2" t="s">
        <v>52</v>
      </c>
      <c r="D866" s="2" t="s">
        <v>2954</v>
      </c>
      <c r="E866" s="5">
        <v>45104</v>
      </c>
      <c r="F866" s="2">
        <v>1100</v>
      </c>
      <c r="G866" s="2" t="s">
        <v>17</v>
      </c>
      <c r="H866" s="2" t="s">
        <v>23</v>
      </c>
      <c r="I866" s="6">
        <v>1</v>
      </c>
      <c r="J866" s="2" t="str">
        <f t="shared" si="13"/>
        <v>2023-06</v>
      </c>
    </row>
    <row r="867" spans="1:10" x14ac:dyDescent="0.2">
      <c r="A867" s="2" t="s">
        <v>974</v>
      </c>
      <c r="B867" s="2" t="s">
        <v>34</v>
      </c>
      <c r="C867" s="2" t="s">
        <v>52</v>
      </c>
      <c r="D867" s="2" t="s">
        <v>2954</v>
      </c>
      <c r="E867" s="5">
        <v>45104</v>
      </c>
      <c r="F867" s="2">
        <v>67</v>
      </c>
      <c r="G867" s="2" t="s">
        <v>45</v>
      </c>
      <c r="H867" s="2" t="s">
        <v>23</v>
      </c>
      <c r="I867" s="6" t="s">
        <v>2954</v>
      </c>
      <c r="J867" s="2" t="str">
        <f t="shared" si="13"/>
        <v>2023-06</v>
      </c>
    </row>
    <row r="868" spans="1:10" x14ac:dyDescent="0.2">
      <c r="A868" s="2" t="s">
        <v>975</v>
      </c>
      <c r="B868" s="2" t="s">
        <v>25</v>
      </c>
      <c r="C868" s="2" t="s">
        <v>16</v>
      </c>
      <c r="D868" s="2">
        <v>200</v>
      </c>
      <c r="E868" s="5">
        <v>45103</v>
      </c>
      <c r="F868" s="2" t="s">
        <v>2954</v>
      </c>
      <c r="G868" s="2" t="s">
        <v>17</v>
      </c>
      <c r="H868" s="2" t="s">
        <v>23</v>
      </c>
      <c r="I868" s="6">
        <v>0.1</v>
      </c>
      <c r="J868" s="2" t="str">
        <f t="shared" si="13"/>
        <v>2023-06</v>
      </c>
    </row>
    <row r="869" spans="1:10" x14ac:dyDescent="0.2">
      <c r="A869" s="2" t="s">
        <v>708</v>
      </c>
      <c r="B869" s="2" t="s">
        <v>34</v>
      </c>
      <c r="C869" s="2" t="s">
        <v>16</v>
      </c>
      <c r="D869" s="2">
        <v>150</v>
      </c>
      <c r="E869" s="5">
        <v>45103</v>
      </c>
      <c r="F869" s="2">
        <v>5600</v>
      </c>
      <c r="G869" s="2" t="s">
        <v>17</v>
      </c>
      <c r="H869" s="2" t="s">
        <v>23</v>
      </c>
      <c r="I869" s="6">
        <v>7.0000000000000007E-2</v>
      </c>
      <c r="J869" s="2" t="str">
        <f t="shared" si="13"/>
        <v>2023-06</v>
      </c>
    </row>
    <row r="870" spans="1:10" x14ac:dyDescent="0.2">
      <c r="A870" s="2" t="s">
        <v>629</v>
      </c>
      <c r="B870" s="2" t="s">
        <v>28</v>
      </c>
      <c r="C870" s="2" t="s">
        <v>170</v>
      </c>
      <c r="D870" s="2">
        <v>30</v>
      </c>
      <c r="E870" s="5">
        <v>45103</v>
      </c>
      <c r="F870" s="2">
        <v>1100</v>
      </c>
      <c r="G870" s="2" t="s">
        <v>128</v>
      </c>
      <c r="H870" s="2" t="s">
        <v>23</v>
      </c>
      <c r="I870" s="6">
        <v>0.05</v>
      </c>
      <c r="J870" s="2" t="str">
        <f t="shared" si="13"/>
        <v>2023-06</v>
      </c>
    </row>
    <row r="871" spans="1:10" x14ac:dyDescent="0.2">
      <c r="A871" s="2" t="s">
        <v>67</v>
      </c>
      <c r="B871" s="2" t="s">
        <v>25</v>
      </c>
      <c r="C871" s="2" t="s">
        <v>84</v>
      </c>
      <c r="D871" s="2" t="s">
        <v>2954</v>
      </c>
      <c r="E871" s="5">
        <v>45102</v>
      </c>
      <c r="F871" s="2">
        <v>38</v>
      </c>
      <c r="G871" s="2" t="s">
        <v>37</v>
      </c>
      <c r="H871" s="2" t="s">
        <v>23</v>
      </c>
      <c r="I871" s="6">
        <v>1</v>
      </c>
      <c r="J871" s="2" t="str">
        <f t="shared" si="13"/>
        <v>2023-06</v>
      </c>
    </row>
    <row r="872" spans="1:10" x14ac:dyDescent="0.2">
      <c r="A872" s="2" t="s">
        <v>976</v>
      </c>
      <c r="B872" s="2" t="s">
        <v>34</v>
      </c>
      <c r="C872" s="2" t="s">
        <v>35</v>
      </c>
      <c r="D872" s="2" t="s">
        <v>2954</v>
      </c>
      <c r="E872" s="5">
        <v>45100</v>
      </c>
      <c r="F872" s="2">
        <v>197</v>
      </c>
      <c r="G872" s="2" t="s">
        <v>66</v>
      </c>
      <c r="H872" s="2" t="s">
        <v>23</v>
      </c>
      <c r="I872" s="6">
        <v>1</v>
      </c>
      <c r="J872" s="2" t="str">
        <f t="shared" si="13"/>
        <v>2023-06</v>
      </c>
    </row>
    <row r="873" spans="1:10" x14ac:dyDescent="0.2">
      <c r="A873" s="2" t="s">
        <v>977</v>
      </c>
      <c r="B873" s="2" t="s">
        <v>34</v>
      </c>
      <c r="C873" s="2" t="s">
        <v>29</v>
      </c>
      <c r="D873" s="2" t="s">
        <v>2954</v>
      </c>
      <c r="E873" s="5">
        <v>45099</v>
      </c>
      <c r="F873" s="2">
        <v>141</v>
      </c>
      <c r="G873" s="2" t="s">
        <v>66</v>
      </c>
      <c r="H873" s="2" t="s">
        <v>23</v>
      </c>
      <c r="I873" s="6">
        <v>0.09</v>
      </c>
      <c r="J873" s="2" t="str">
        <f t="shared" si="13"/>
        <v>2023-06</v>
      </c>
    </row>
    <row r="874" spans="1:10" x14ac:dyDescent="0.2">
      <c r="A874" s="2" t="s">
        <v>978</v>
      </c>
      <c r="B874" s="2" t="s">
        <v>34</v>
      </c>
      <c r="C874" s="2" t="s">
        <v>29</v>
      </c>
      <c r="D874" s="2">
        <v>300</v>
      </c>
      <c r="E874" s="5">
        <v>45098</v>
      </c>
      <c r="F874" s="2">
        <v>300</v>
      </c>
      <c r="G874" s="2" t="s">
        <v>45</v>
      </c>
      <c r="H874" s="2" t="s">
        <v>23</v>
      </c>
      <c r="I874" s="6" t="s">
        <v>2954</v>
      </c>
      <c r="J874" s="2" t="str">
        <f t="shared" si="13"/>
        <v>2023-06</v>
      </c>
    </row>
    <row r="875" spans="1:10" x14ac:dyDescent="0.2">
      <c r="A875" s="2" t="s">
        <v>979</v>
      </c>
      <c r="B875" s="2" t="s">
        <v>34</v>
      </c>
      <c r="C875" s="2" t="s">
        <v>52</v>
      </c>
      <c r="D875" s="2">
        <v>200</v>
      </c>
      <c r="E875" s="5">
        <v>45098</v>
      </c>
      <c r="F875" s="2">
        <v>25200</v>
      </c>
      <c r="G875" s="2" t="s">
        <v>17</v>
      </c>
      <c r="H875" s="2" t="s">
        <v>23</v>
      </c>
      <c r="I875" s="6" t="s">
        <v>2954</v>
      </c>
      <c r="J875" s="2" t="str">
        <f t="shared" si="13"/>
        <v>2023-06</v>
      </c>
    </row>
    <row r="876" spans="1:10" x14ac:dyDescent="0.2">
      <c r="A876" s="2" t="s">
        <v>980</v>
      </c>
      <c r="B876" s="2" t="s">
        <v>40</v>
      </c>
      <c r="C876" s="2" t="s">
        <v>48</v>
      </c>
      <c r="D876" s="2">
        <v>75</v>
      </c>
      <c r="E876" s="5">
        <v>45098</v>
      </c>
      <c r="F876" s="2">
        <v>148</v>
      </c>
      <c r="G876" s="2" t="s">
        <v>66</v>
      </c>
      <c r="H876" s="2" t="s">
        <v>23</v>
      </c>
      <c r="I876" s="6" t="s">
        <v>2954</v>
      </c>
      <c r="J876" s="2" t="str">
        <f t="shared" si="13"/>
        <v>2023-06</v>
      </c>
    </row>
    <row r="877" spans="1:10" x14ac:dyDescent="0.2">
      <c r="A877" s="2" t="s">
        <v>981</v>
      </c>
      <c r="B877" s="2" t="s">
        <v>335</v>
      </c>
      <c r="C877" s="2" t="s">
        <v>11</v>
      </c>
      <c r="D877" s="2">
        <v>38</v>
      </c>
      <c r="E877" s="5">
        <v>45098</v>
      </c>
      <c r="F877" s="2">
        <v>134</v>
      </c>
      <c r="G877" s="2" t="s">
        <v>66</v>
      </c>
      <c r="H877" s="2" t="s">
        <v>106</v>
      </c>
      <c r="I877" s="6">
        <v>0.4</v>
      </c>
      <c r="J877" s="2" t="str">
        <f t="shared" si="13"/>
        <v>2023-06</v>
      </c>
    </row>
    <row r="878" spans="1:10" x14ac:dyDescent="0.2">
      <c r="A878" s="2" t="s">
        <v>982</v>
      </c>
      <c r="B878" s="2" t="s">
        <v>983</v>
      </c>
      <c r="C878" s="2" t="s">
        <v>32</v>
      </c>
      <c r="D878" s="2" t="s">
        <v>2954</v>
      </c>
      <c r="E878" s="5">
        <v>45098</v>
      </c>
      <c r="F878" s="2">
        <v>306</v>
      </c>
      <c r="G878" s="2" t="s">
        <v>199</v>
      </c>
      <c r="H878" s="2" t="s">
        <v>23</v>
      </c>
      <c r="I878" s="6" t="s">
        <v>2954</v>
      </c>
      <c r="J878" s="2" t="str">
        <f t="shared" si="13"/>
        <v>2023-06</v>
      </c>
    </row>
    <row r="879" spans="1:10" x14ac:dyDescent="0.2">
      <c r="A879" s="2" t="s">
        <v>342</v>
      </c>
      <c r="B879" s="2" t="s">
        <v>64</v>
      </c>
      <c r="C879" s="2" t="s">
        <v>32</v>
      </c>
      <c r="D879" s="2" t="s">
        <v>2954</v>
      </c>
      <c r="E879" s="5">
        <v>45098</v>
      </c>
      <c r="F879" s="2">
        <v>28</v>
      </c>
      <c r="G879" s="2" t="s">
        <v>17</v>
      </c>
      <c r="H879" s="2" t="s">
        <v>23</v>
      </c>
      <c r="I879" s="6" t="s">
        <v>2954</v>
      </c>
      <c r="J879" s="2" t="str">
        <f t="shared" si="13"/>
        <v>2023-06</v>
      </c>
    </row>
    <row r="880" spans="1:10" x14ac:dyDescent="0.2">
      <c r="A880" s="2" t="s">
        <v>984</v>
      </c>
      <c r="B880" s="2" t="s">
        <v>34</v>
      </c>
      <c r="C880" s="2" t="s">
        <v>26</v>
      </c>
      <c r="D880" s="2" t="s">
        <v>2954</v>
      </c>
      <c r="E880" s="5">
        <v>45098</v>
      </c>
      <c r="F880" s="2">
        <v>69</v>
      </c>
      <c r="G880" s="2" t="s">
        <v>37</v>
      </c>
      <c r="H880" s="2" t="s">
        <v>23</v>
      </c>
      <c r="I880" s="6">
        <v>0.3</v>
      </c>
      <c r="J880" s="2" t="str">
        <f t="shared" si="13"/>
        <v>2023-06</v>
      </c>
    </row>
    <row r="881" spans="1:10" x14ac:dyDescent="0.2">
      <c r="A881" s="2" t="s">
        <v>985</v>
      </c>
      <c r="B881" s="2" t="s">
        <v>217</v>
      </c>
      <c r="C881" s="2" t="s">
        <v>52</v>
      </c>
      <c r="D881" s="2">
        <v>1000</v>
      </c>
      <c r="E881" s="5">
        <v>45097</v>
      </c>
      <c r="F881" s="2">
        <v>16500</v>
      </c>
      <c r="G881" s="2" t="s">
        <v>17</v>
      </c>
      <c r="H881" s="2" t="s">
        <v>217</v>
      </c>
      <c r="I881" s="6">
        <v>0.11</v>
      </c>
      <c r="J881" s="2" t="str">
        <f t="shared" si="13"/>
        <v>2023-06</v>
      </c>
    </row>
    <row r="882" spans="1:10" x14ac:dyDescent="0.2">
      <c r="A882" s="2" t="s">
        <v>986</v>
      </c>
      <c r="B882" s="2" t="s">
        <v>245</v>
      </c>
      <c r="C882" s="2" t="s">
        <v>26</v>
      </c>
      <c r="D882" s="2">
        <v>800</v>
      </c>
      <c r="E882" s="5">
        <v>45097</v>
      </c>
      <c r="F882" s="2" t="s">
        <v>2954</v>
      </c>
      <c r="G882" s="2" t="s">
        <v>45</v>
      </c>
      <c r="H882" s="2" t="s">
        <v>246</v>
      </c>
      <c r="I882" s="6" t="s">
        <v>2954</v>
      </c>
      <c r="J882" s="2" t="str">
        <f t="shared" si="13"/>
        <v>2023-06</v>
      </c>
    </row>
    <row r="883" spans="1:10" x14ac:dyDescent="0.2">
      <c r="A883" s="2" t="s">
        <v>987</v>
      </c>
      <c r="B883" s="2" t="s">
        <v>47</v>
      </c>
      <c r="C883" s="2" t="s">
        <v>44</v>
      </c>
      <c r="D883" s="2">
        <v>37</v>
      </c>
      <c r="E883" s="5">
        <v>45097</v>
      </c>
      <c r="F883" s="2">
        <v>686</v>
      </c>
      <c r="G883" s="2" t="s">
        <v>199</v>
      </c>
      <c r="H883" s="2" t="s">
        <v>23</v>
      </c>
      <c r="I883" s="6" t="s">
        <v>2954</v>
      </c>
      <c r="J883" s="2" t="str">
        <f t="shared" si="13"/>
        <v>2023-06</v>
      </c>
    </row>
    <row r="884" spans="1:10" x14ac:dyDescent="0.2">
      <c r="A884" s="2" t="s">
        <v>988</v>
      </c>
      <c r="B884" s="2" t="s">
        <v>54</v>
      </c>
      <c r="C884" s="2" t="s">
        <v>11</v>
      </c>
      <c r="D884" s="2" t="s">
        <v>2954</v>
      </c>
      <c r="E884" s="5">
        <v>45097</v>
      </c>
      <c r="F884" s="2">
        <v>13</v>
      </c>
      <c r="G884" s="2" t="s">
        <v>12</v>
      </c>
      <c r="H884" s="2" t="s">
        <v>55</v>
      </c>
      <c r="I884" s="6">
        <v>1</v>
      </c>
      <c r="J884" s="2" t="str">
        <f t="shared" si="13"/>
        <v>2023-06</v>
      </c>
    </row>
    <row r="885" spans="1:10" x14ac:dyDescent="0.2">
      <c r="A885" s="2" t="s">
        <v>773</v>
      </c>
      <c r="B885" s="2" t="s">
        <v>100</v>
      </c>
      <c r="C885" s="2" t="s">
        <v>235</v>
      </c>
      <c r="D885" s="2">
        <v>48</v>
      </c>
      <c r="E885" s="5">
        <v>45096</v>
      </c>
      <c r="F885" s="2">
        <v>88</v>
      </c>
      <c r="G885" s="2" t="s">
        <v>12</v>
      </c>
      <c r="H885" s="2" t="s">
        <v>98</v>
      </c>
      <c r="I885" s="6">
        <v>0.2</v>
      </c>
      <c r="J885" s="2" t="str">
        <f t="shared" si="13"/>
        <v>2023-06</v>
      </c>
    </row>
    <row r="886" spans="1:10" x14ac:dyDescent="0.2">
      <c r="A886" s="2" t="s">
        <v>989</v>
      </c>
      <c r="B886" s="2" t="s">
        <v>157</v>
      </c>
      <c r="C886" s="2" t="s">
        <v>68</v>
      </c>
      <c r="D886" s="2" t="s">
        <v>2954</v>
      </c>
      <c r="E886" s="5">
        <v>45096</v>
      </c>
      <c r="F886" s="2">
        <v>2</v>
      </c>
      <c r="G886" s="2" t="s">
        <v>132</v>
      </c>
      <c r="H886" s="2" t="s">
        <v>23</v>
      </c>
      <c r="I886" s="6">
        <v>1</v>
      </c>
      <c r="J886" s="2" t="str">
        <f t="shared" si="13"/>
        <v>2023-06</v>
      </c>
    </row>
    <row r="887" spans="1:10" x14ac:dyDescent="0.2">
      <c r="A887" s="2" t="s">
        <v>990</v>
      </c>
      <c r="B887" s="2" t="s">
        <v>34</v>
      </c>
      <c r="C887" s="2" t="s">
        <v>32</v>
      </c>
      <c r="D887" s="2" t="s">
        <v>2954</v>
      </c>
      <c r="E887" s="5">
        <v>45095</v>
      </c>
      <c r="F887" s="2">
        <v>80</v>
      </c>
      <c r="G887" s="2" t="s">
        <v>66</v>
      </c>
      <c r="H887" s="2" t="s">
        <v>23</v>
      </c>
      <c r="I887" s="6">
        <v>1</v>
      </c>
      <c r="J887" s="2" t="str">
        <f t="shared" si="13"/>
        <v>2023-06</v>
      </c>
    </row>
    <row r="888" spans="1:10" x14ac:dyDescent="0.2">
      <c r="A888" s="2" t="s">
        <v>991</v>
      </c>
      <c r="B888" s="2" t="s">
        <v>100</v>
      </c>
      <c r="C888" s="2" t="s">
        <v>32</v>
      </c>
      <c r="D888" s="2">
        <v>170</v>
      </c>
      <c r="E888" s="5">
        <v>45094</v>
      </c>
      <c r="F888" s="2">
        <v>24</v>
      </c>
      <c r="G888" s="2" t="s">
        <v>41</v>
      </c>
      <c r="H888" s="2" t="s">
        <v>98</v>
      </c>
      <c r="I888" s="6">
        <v>0.8</v>
      </c>
      <c r="J888" s="2" t="str">
        <f t="shared" si="13"/>
        <v>2023-06</v>
      </c>
    </row>
    <row r="889" spans="1:10" x14ac:dyDescent="0.2">
      <c r="A889" s="2" t="s">
        <v>992</v>
      </c>
      <c r="B889" s="2" t="s">
        <v>250</v>
      </c>
      <c r="C889" s="2" t="s">
        <v>52</v>
      </c>
      <c r="D889" s="2">
        <v>270</v>
      </c>
      <c r="E889" s="5">
        <v>45093</v>
      </c>
      <c r="F889" s="2">
        <v>3300</v>
      </c>
      <c r="G889" s="2" t="s">
        <v>17</v>
      </c>
      <c r="H889" s="2" t="s">
        <v>23</v>
      </c>
      <c r="I889" s="6" t="s">
        <v>2954</v>
      </c>
      <c r="J889" s="2" t="str">
        <f t="shared" si="13"/>
        <v>2023-06</v>
      </c>
    </row>
    <row r="890" spans="1:10" x14ac:dyDescent="0.2">
      <c r="A890" s="2" t="s">
        <v>654</v>
      </c>
      <c r="B890" s="2" t="s">
        <v>34</v>
      </c>
      <c r="C890" s="2" t="s">
        <v>103</v>
      </c>
      <c r="D890" s="2">
        <v>84</v>
      </c>
      <c r="E890" s="5">
        <v>45093</v>
      </c>
      <c r="F890" s="2" t="s">
        <v>2954</v>
      </c>
      <c r="G890" s="2" t="s">
        <v>17</v>
      </c>
      <c r="H890" s="2" t="s">
        <v>23</v>
      </c>
      <c r="I890" s="6" t="s">
        <v>2954</v>
      </c>
      <c r="J890" s="2" t="str">
        <f t="shared" si="13"/>
        <v>2023-06</v>
      </c>
    </row>
    <row r="891" spans="1:10" x14ac:dyDescent="0.2">
      <c r="A891" s="2" t="s">
        <v>993</v>
      </c>
      <c r="B891" s="2" t="s">
        <v>34</v>
      </c>
      <c r="C891" s="2" t="s">
        <v>16</v>
      </c>
      <c r="D891" s="2">
        <v>45</v>
      </c>
      <c r="E891" s="5">
        <v>45093</v>
      </c>
      <c r="F891" s="2">
        <v>116</v>
      </c>
      <c r="G891" s="2" t="s">
        <v>12</v>
      </c>
      <c r="H891" s="2" t="s">
        <v>23</v>
      </c>
      <c r="I891" s="6">
        <v>0.13</v>
      </c>
      <c r="J891" s="2" t="str">
        <f t="shared" si="13"/>
        <v>2023-06</v>
      </c>
    </row>
    <row r="892" spans="1:10" x14ac:dyDescent="0.2">
      <c r="A892" s="2" t="s">
        <v>994</v>
      </c>
      <c r="B892" s="2" t="s">
        <v>54</v>
      </c>
      <c r="C892" s="2" t="s">
        <v>52</v>
      </c>
      <c r="D892" s="2" t="s">
        <v>2954</v>
      </c>
      <c r="E892" s="5">
        <v>45093</v>
      </c>
      <c r="F892" s="2">
        <v>4</v>
      </c>
      <c r="G892" s="2" t="s">
        <v>132</v>
      </c>
      <c r="H892" s="2" t="s">
        <v>55</v>
      </c>
      <c r="I892" s="6">
        <v>1</v>
      </c>
      <c r="J892" s="2" t="str">
        <f t="shared" si="13"/>
        <v>2023-06</v>
      </c>
    </row>
    <row r="893" spans="1:10" x14ac:dyDescent="0.2">
      <c r="A893" s="2" t="s">
        <v>517</v>
      </c>
      <c r="B893" s="2" t="s">
        <v>28</v>
      </c>
      <c r="C893" s="2" t="s">
        <v>142</v>
      </c>
      <c r="D893" s="2" t="s">
        <v>2954</v>
      </c>
      <c r="E893" s="5">
        <v>45093</v>
      </c>
      <c r="F893" s="2">
        <v>194</v>
      </c>
      <c r="G893" s="2" t="s">
        <v>45</v>
      </c>
      <c r="H893" s="2" t="s">
        <v>23</v>
      </c>
      <c r="I893" s="6" t="s">
        <v>2954</v>
      </c>
      <c r="J893" s="2" t="str">
        <f t="shared" si="13"/>
        <v>2023-06</v>
      </c>
    </row>
    <row r="894" spans="1:10" x14ac:dyDescent="0.2">
      <c r="A894" s="2" t="s">
        <v>995</v>
      </c>
      <c r="B894" s="2" t="s">
        <v>47</v>
      </c>
      <c r="C894" s="2" t="s">
        <v>32</v>
      </c>
      <c r="D894" s="2">
        <v>100</v>
      </c>
      <c r="E894" s="5">
        <v>45092</v>
      </c>
      <c r="F894" s="2">
        <v>51</v>
      </c>
      <c r="G894" s="2" t="s">
        <v>41</v>
      </c>
      <c r="H894" s="2" t="s">
        <v>23</v>
      </c>
      <c r="I894" s="6">
        <v>0.33</v>
      </c>
      <c r="J894" s="2" t="str">
        <f t="shared" si="13"/>
        <v>2023-06</v>
      </c>
    </row>
    <row r="895" spans="1:10" x14ac:dyDescent="0.2">
      <c r="A895" s="2" t="s">
        <v>996</v>
      </c>
      <c r="B895" s="2" t="s">
        <v>997</v>
      </c>
      <c r="C895" s="2" t="s">
        <v>52</v>
      </c>
      <c r="D895" s="2">
        <v>45</v>
      </c>
      <c r="E895" s="5">
        <v>45092</v>
      </c>
      <c r="F895" s="2" t="s">
        <v>2954</v>
      </c>
      <c r="G895" s="2" t="s">
        <v>214</v>
      </c>
      <c r="H895" s="2" t="s">
        <v>998</v>
      </c>
      <c r="I895" s="6">
        <v>0.6</v>
      </c>
      <c r="J895" s="2" t="str">
        <f t="shared" si="13"/>
        <v>2023-06</v>
      </c>
    </row>
    <row r="896" spans="1:10" x14ac:dyDescent="0.2">
      <c r="A896" s="2" t="s">
        <v>722</v>
      </c>
      <c r="B896" s="2" t="s">
        <v>34</v>
      </c>
      <c r="C896" s="2" t="s">
        <v>22</v>
      </c>
      <c r="D896" s="2" t="s">
        <v>2954</v>
      </c>
      <c r="E896" s="5">
        <v>45092</v>
      </c>
      <c r="F896" s="2" t="s">
        <v>2954</v>
      </c>
      <c r="G896" s="2" t="s">
        <v>214</v>
      </c>
      <c r="H896" s="2" t="s">
        <v>23</v>
      </c>
      <c r="I896" s="6" t="s">
        <v>2954</v>
      </c>
      <c r="J896" s="2" t="str">
        <f t="shared" si="13"/>
        <v>2023-06</v>
      </c>
    </row>
    <row r="897" spans="1:10" x14ac:dyDescent="0.2">
      <c r="A897" s="2" t="s">
        <v>999</v>
      </c>
      <c r="B897" s="2" t="s">
        <v>645</v>
      </c>
      <c r="C897" s="2" t="s">
        <v>32</v>
      </c>
      <c r="D897" s="2" t="s">
        <v>2954</v>
      </c>
      <c r="E897" s="5">
        <v>45092</v>
      </c>
      <c r="F897" s="2" t="s">
        <v>2954</v>
      </c>
      <c r="G897" s="2" t="s">
        <v>45</v>
      </c>
      <c r="H897" s="2" t="s">
        <v>23</v>
      </c>
      <c r="I897" s="6" t="s">
        <v>2954</v>
      </c>
      <c r="J897" s="2" t="str">
        <f t="shared" si="13"/>
        <v>2023-06</v>
      </c>
    </row>
    <row r="898" spans="1:10" x14ac:dyDescent="0.2">
      <c r="A898" s="2" t="s">
        <v>922</v>
      </c>
      <c r="B898" s="2" t="s">
        <v>100</v>
      </c>
      <c r="C898" s="2" t="s">
        <v>61</v>
      </c>
      <c r="D898" s="2" t="s">
        <v>2954</v>
      </c>
      <c r="E898" s="5">
        <v>45092</v>
      </c>
      <c r="F898" s="2">
        <v>17</v>
      </c>
      <c r="G898" s="2" t="s">
        <v>41</v>
      </c>
      <c r="H898" s="2" t="s">
        <v>98</v>
      </c>
      <c r="I898" s="6">
        <v>0.9</v>
      </c>
      <c r="J898" s="2" t="str">
        <f t="shared" si="13"/>
        <v>2023-06</v>
      </c>
    </row>
    <row r="899" spans="1:10" x14ac:dyDescent="0.2">
      <c r="A899" s="2" t="s">
        <v>1000</v>
      </c>
      <c r="B899" s="2" t="s">
        <v>34</v>
      </c>
      <c r="C899" s="2" t="s">
        <v>22</v>
      </c>
      <c r="D899" s="2">
        <v>900</v>
      </c>
      <c r="E899" s="5">
        <v>45091</v>
      </c>
      <c r="F899" s="2">
        <v>84</v>
      </c>
      <c r="G899" s="2" t="s">
        <v>37</v>
      </c>
      <c r="H899" s="2" t="s">
        <v>23</v>
      </c>
      <c r="I899" s="6">
        <v>1</v>
      </c>
      <c r="J899" s="2" t="str">
        <f t="shared" ref="J899:J962" si="14">TEXT(E899,"YYYY-MM")</f>
        <v>2023-06</v>
      </c>
    </row>
    <row r="900" spans="1:10" x14ac:dyDescent="0.2">
      <c r="A900" s="2" t="s">
        <v>568</v>
      </c>
      <c r="B900" s="2" t="s">
        <v>25</v>
      </c>
      <c r="C900" s="2" t="s">
        <v>35</v>
      </c>
      <c r="D900" s="2">
        <v>130</v>
      </c>
      <c r="E900" s="5">
        <v>45091</v>
      </c>
      <c r="F900" s="2">
        <v>455.2</v>
      </c>
      <c r="G900" s="2" t="s">
        <v>17</v>
      </c>
      <c r="H900" s="2" t="s">
        <v>23</v>
      </c>
      <c r="I900" s="6">
        <v>7.0000000000000007E-2</v>
      </c>
      <c r="J900" s="2" t="str">
        <f t="shared" si="14"/>
        <v>2023-06</v>
      </c>
    </row>
    <row r="901" spans="1:10" x14ac:dyDescent="0.2">
      <c r="A901" s="2" t="s">
        <v>1001</v>
      </c>
      <c r="B901" s="2" t="s">
        <v>47</v>
      </c>
      <c r="C901" s="2" t="s">
        <v>52</v>
      </c>
      <c r="D901" s="2">
        <v>102</v>
      </c>
      <c r="E901" s="5">
        <v>45091</v>
      </c>
      <c r="F901" s="2">
        <v>340</v>
      </c>
      <c r="G901" s="2" t="s">
        <v>17</v>
      </c>
      <c r="H901" s="2" t="s">
        <v>23</v>
      </c>
      <c r="I901" s="6">
        <v>0.24</v>
      </c>
      <c r="J901" s="2" t="str">
        <f t="shared" si="14"/>
        <v>2023-06</v>
      </c>
    </row>
    <row r="902" spans="1:10" x14ac:dyDescent="0.2">
      <c r="A902" s="2" t="s">
        <v>1002</v>
      </c>
      <c r="B902" s="2" t="s">
        <v>25</v>
      </c>
      <c r="C902" s="2" t="s">
        <v>11</v>
      </c>
      <c r="D902" s="2">
        <v>81</v>
      </c>
      <c r="E902" s="5">
        <v>45091</v>
      </c>
      <c r="F902" s="2">
        <v>184</v>
      </c>
      <c r="G902" s="2" t="s">
        <v>17</v>
      </c>
      <c r="H902" s="2" t="s">
        <v>23</v>
      </c>
      <c r="I902" s="6">
        <v>0.11</v>
      </c>
      <c r="J902" s="2" t="str">
        <f t="shared" si="14"/>
        <v>2023-06</v>
      </c>
    </row>
    <row r="903" spans="1:10" x14ac:dyDescent="0.2">
      <c r="A903" s="2" t="s">
        <v>1003</v>
      </c>
      <c r="B903" s="2" t="s">
        <v>255</v>
      </c>
      <c r="C903" s="2" t="s">
        <v>142</v>
      </c>
      <c r="D903" s="2">
        <v>80</v>
      </c>
      <c r="E903" s="5">
        <v>45091</v>
      </c>
      <c r="F903" s="2">
        <v>111</v>
      </c>
      <c r="G903" s="2" t="s">
        <v>12</v>
      </c>
      <c r="H903" s="2" t="s">
        <v>98</v>
      </c>
      <c r="I903" s="6" t="s">
        <v>2954</v>
      </c>
      <c r="J903" s="2" t="str">
        <f t="shared" si="14"/>
        <v>2023-06</v>
      </c>
    </row>
    <row r="904" spans="1:10" x14ac:dyDescent="0.2">
      <c r="A904" s="2" t="s">
        <v>684</v>
      </c>
      <c r="B904" s="2" t="s">
        <v>34</v>
      </c>
      <c r="C904" s="2" t="s">
        <v>16</v>
      </c>
      <c r="D904" s="2" t="s">
        <v>2954</v>
      </c>
      <c r="E904" s="5">
        <v>45091</v>
      </c>
      <c r="F904" s="2">
        <v>50</v>
      </c>
      <c r="G904" s="2" t="s">
        <v>37</v>
      </c>
      <c r="H904" s="2" t="s">
        <v>23</v>
      </c>
      <c r="I904" s="6">
        <v>0.18</v>
      </c>
      <c r="J904" s="2" t="str">
        <f t="shared" si="14"/>
        <v>2023-06</v>
      </c>
    </row>
    <row r="905" spans="1:10" x14ac:dyDescent="0.2">
      <c r="A905" s="2" t="s">
        <v>1004</v>
      </c>
      <c r="B905" s="2" t="s">
        <v>34</v>
      </c>
      <c r="C905" s="2" t="s">
        <v>103</v>
      </c>
      <c r="D905" s="2">
        <v>211</v>
      </c>
      <c r="E905" s="5">
        <v>45090</v>
      </c>
      <c r="F905" s="2">
        <v>900</v>
      </c>
      <c r="G905" s="2" t="s">
        <v>17</v>
      </c>
      <c r="H905" s="2" t="s">
        <v>23</v>
      </c>
      <c r="I905" s="6" t="s">
        <v>2954</v>
      </c>
      <c r="J905" s="2" t="str">
        <f t="shared" si="14"/>
        <v>2023-06</v>
      </c>
    </row>
    <row r="906" spans="1:10" x14ac:dyDescent="0.2">
      <c r="A906" s="2" t="s">
        <v>1005</v>
      </c>
      <c r="B906" s="2" t="s">
        <v>693</v>
      </c>
      <c r="C906" s="2" t="s">
        <v>195</v>
      </c>
      <c r="D906" s="2">
        <v>8</v>
      </c>
      <c r="E906" s="5">
        <v>45090</v>
      </c>
      <c r="F906" s="2">
        <v>119</v>
      </c>
      <c r="G906" s="2" t="s">
        <v>66</v>
      </c>
      <c r="H906" s="2" t="s">
        <v>23</v>
      </c>
      <c r="I906" s="6" t="s">
        <v>2954</v>
      </c>
      <c r="J906" s="2" t="str">
        <f t="shared" si="14"/>
        <v>2023-06</v>
      </c>
    </row>
    <row r="907" spans="1:10" x14ac:dyDescent="0.2">
      <c r="A907" s="2" t="s">
        <v>1006</v>
      </c>
      <c r="B907" s="2" t="s">
        <v>74</v>
      </c>
      <c r="C907" s="2" t="s">
        <v>142</v>
      </c>
      <c r="D907" s="2" t="s">
        <v>2954</v>
      </c>
      <c r="E907" s="5">
        <v>45090</v>
      </c>
      <c r="F907" s="2">
        <v>468</v>
      </c>
      <c r="G907" s="2" t="s">
        <v>17</v>
      </c>
      <c r="H907" s="2" t="s">
        <v>76</v>
      </c>
      <c r="I907" s="6" t="s">
        <v>2954</v>
      </c>
      <c r="J907" s="2" t="str">
        <f t="shared" si="14"/>
        <v>2023-06</v>
      </c>
    </row>
    <row r="908" spans="1:10" x14ac:dyDescent="0.2">
      <c r="A908" s="2" t="s">
        <v>1007</v>
      </c>
      <c r="B908" s="2" t="s">
        <v>34</v>
      </c>
      <c r="C908" s="2" t="s">
        <v>11</v>
      </c>
      <c r="D908" s="2">
        <v>400</v>
      </c>
      <c r="E908" s="5">
        <v>45089</v>
      </c>
      <c r="F908" s="2">
        <v>284</v>
      </c>
      <c r="G908" s="2" t="s">
        <v>45</v>
      </c>
      <c r="H908" s="2" t="s">
        <v>23</v>
      </c>
      <c r="I908" s="6">
        <v>0.15</v>
      </c>
      <c r="J908" s="2" t="str">
        <f t="shared" si="14"/>
        <v>2023-06</v>
      </c>
    </row>
    <row r="909" spans="1:10" x14ac:dyDescent="0.2">
      <c r="A909" s="2" t="s">
        <v>1008</v>
      </c>
      <c r="B909" s="2" t="s">
        <v>54</v>
      </c>
      <c r="C909" s="2" t="s">
        <v>16</v>
      </c>
      <c r="D909" s="2">
        <v>150</v>
      </c>
      <c r="E909" s="5">
        <v>45089</v>
      </c>
      <c r="F909" s="2">
        <v>529</v>
      </c>
      <c r="G909" s="2" t="s">
        <v>58</v>
      </c>
      <c r="H909" s="2" t="s">
        <v>55</v>
      </c>
      <c r="I909" s="6">
        <v>0.17</v>
      </c>
      <c r="J909" s="2" t="str">
        <f t="shared" si="14"/>
        <v>2023-06</v>
      </c>
    </row>
    <row r="910" spans="1:10" x14ac:dyDescent="0.2">
      <c r="A910" s="2" t="s">
        <v>1009</v>
      </c>
      <c r="B910" s="2" t="s">
        <v>693</v>
      </c>
      <c r="C910" s="2" t="s">
        <v>78</v>
      </c>
      <c r="D910" s="2">
        <v>100</v>
      </c>
      <c r="E910" s="5">
        <v>45089</v>
      </c>
      <c r="F910" s="2">
        <v>469</v>
      </c>
      <c r="G910" s="2" t="s">
        <v>62</v>
      </c>
      <c r="H910" s="2" t="s">
        <v>23</v>
      </c>
      <c r="I910" s="6">
        <v>0.12</v>
      </c>
      <c r="J910" s="2" t="str">
        <f t="shared" si="14"/>
        <v>2023-06</v>
      </c>
    </row>
    <row r="911" spans="1:10" x14ac:dyDescent="0.2">
      <c r="A911" s="2" t="s">
        <v>1010</v>
      </c>
      <c r="B911" s="2" t="s">
        <v>34</v>
      </c>
      <c r="C911" s="2" t="s">
        <v>61</v>
      </c>
      <c r="D911" s="2">
        <v>80</v>
      </c>
      <c r="E911" s="5">
        <v>45089</v>
      </c>
      <c r="F911" s="2">
        <v>227</v>
      </c>
      <c r="G911" s="2" t="s">
        <v>17</v>
      </c>
      <c r="H911" s="2" t="s">
        <v>23</v>
      </c>
      <c r="I911" s="6">
        <v>0.04</v>
      </c>
      <c r="J911" s="2" t="str">
        <f t="shared" si="14"/>
        <v>2023-06</v>
      </c>
    </row>
    <row r="912" spans="1:10" x14ac:dyDescent="0.2">
      <c r="A912" s="2" t="s">
        <v>1011</v>
      </c>
      <c r="B912" s="2" t="s">
        <v>47</v>
      </c>
      <c r="C912" s="2" t="s">
        <v>235</v>
      </c>
      <c r="D912" s="2" t="s">
        <v>2954</v>
      </c>
      <c r="E912" s="5">
        <v>45089</v>
      </c>
      <c r="F912" s="2">
        <v>4</v>
      </c>
      <c r="G912" s="2" t="s">
        <v>132</v>
      </c>
      <c r="H912" s="2" t="s">
        <v>23</v>
      </c>
      <c r="I912" s="6">
        <v>1</v>
      </c>
      <c r="J912" s="2" t="str">
        <f t="shared" si="14"/>
        <v>2023-06</v>
      </c>
    </row>
    <row r="913" spans="1:10" x14ac:dyDescent="0.2">
      <c r="A913" s="2" t="s">
        <v>1012</v>
      </c>
      <c r="B913" s="2" t="s">
        <v>34</v>
      </c>
      <c r="C913" s="2" t="s">
        <v>22</v>
      </c>
      <c r="D913" s="2">
        <v>80</v>
      </c>
      <c r="E913" s="5">
        <v>45088</v>
      </c>
      <c r="F913" s="2">
        <v>253</v>
      </c>
      <c r="G913" s="2" t="s">
        <v>12</v>
      </c>
      <c r="H913" s="2" t="s">
        <v>23</v>
      </c>
      <c r="I913" s="6">
        <v>0.4</v>
      </c>
      <c r="J913" s="2" t="str">
        <f t="shared" si="14"/>
        <v>2023-06</v>
      </c>
    </row>
    <row r="914" spans="1:10" x14ac:dyDescent="0.2">
      <c r="A914" s="2" t="s">
        <v>1013</v>
      </c>
      <c r="B914" s="2" t="s">
        <v>217</v>
      </c>
      <c r="C914" s="2" t="s">
        <v>35</v>
      </c>
      <c r="D914" s="2" t="s">
        <v>2954</v>
      </c>
      <c r="E914" s="5">
        <v>45088</v>
      </c>
      <c r="F914" s="2" t="s">
        <v>2954</v>
      </c>
      <c r="G914" s="2" t="s">
        <v>12</v>
      </c>
      <c r="H914" s="2" t="s">
        <v>217</v>
      </c>
      <c r="I914" s="6">
        <v>1</v>
      </c>
      <c r="J914" s="2" t="str">
        <f t="shared" si="14"/>
        <v>2023-06</v>
      </c>
    </row>
    <row r="915" spans="1:10" x14ac:dyDescent="0.2">
      <c r="A915" s="2" t="s">
        <v>1014</v>
      </c>
      <c r="B915" s="2" t="s">
        <v>661</v>
      </c>
      <c r="C915" s="2" t="s">
        <v>61</v>
      </c>
      <c r="D915" s="2">
        <v>128</v>
      </c>
      <c r="E915" s="5">
        <v>45086</v>
      </c>
      <c r="F915" s="2">
        <v>40</v>
      </c>
      <c r="G915" s="2" t="s">
        <v>37</v>
      </c>
      <c r="H915" s="2" t="s">
        <v>662</v>
      </c>
      <c r="I915" s="6">
        <v>0.35</v>
      </c>
      <c r="J915" s="2" t="str">
        <f t="shared" si="14"/>
        <v>2023-06</v>
      </c>
    </row>
    <row r="916" spans="1:10" x14ac:dyDescent="0.2">
      <c r="A916" s="2" t="s">
        <v>822</v>
      </c>
      <c r="B916" s="2" t="s">
        <v>34</v>
      </c>
      <c r="C916" s="2" t="s">
        <v>32</v>
      </c>
      <c r="D916" s="2">
        <v>75</v>
      </c>
      <c r="E916" s="5">
        <v>45086</v>
      </c>
      <c r="F916" s="2">
        <v>1100</v>
      </c>
      <c r="G916" s="2" t="s">
        <v>17</v>
      </c>
      <c r="H916" s="2" t="s">
        <v>23</v>
      </c>
      <c r="I916" s="6">
        <v>0.09</v>
      </c>
      <c r="J916" s="2" t="str">
        <f t="shared" si="14"/>
        <v>2023-06</v>
      </c>
    </row>
    <row r="917" spans="1:10" x14ac:dyDescent="0.2">
      <c r="A917" s="2" t="s">
        <v>1015</v>
      </c>
      <c r="B917" s="2" t="s">
        <v>401</v>
      </c>
      <c r="C917" s="2" t="s">
        <v>195</v>
      </c>
      <c r="D917" s="2">
        <v>60</v>
      </c>
      <c r="E917" s="5">
        <v>45086</v>
      </c>
      <c r="F917" s="2">
        <v>288</v>
      </c>
      <c r="G917" s="2" t="s">
        <v>128</v>
      </c>
      <c r="H917" s="2" t="s">
        <v>23</v>
      </c>
      <c r="I917" s="6">
        <v>0.1</v>
      </c>
      <c r="J917" s="2" t="str">
        <f t="shared" si="14"/>
        <v>2023-06</v>
      </c>
    </row>
    <row r="918" spans="1:10" x14ac:dyDescent="0.2">
      <c r="A918" s="2" t="s">
        <v>446</v>
      </c>
      <c r="B918" s="2" t="s">
        <v>414</v>
      </c>
      <c r="C918" s="2" t="s">
        <v>16</v>
      </c>
      <c r="D918" s="2">
        <v>186</v>
      </c>
      <c r="E918" s="5">
        <v>45085</v>
      </c>
      <c r="F918" s="2">
        <v>229</v>
      </c>
      <c r="G918" s="2" t="s">
        <v>66</v>
      </c>
      <c r="H918" s="2" t="s">
        <v>23</v>
      </c>
      <c r="I918" s="6" t="s">
        <v>2954</v>
      </c>
      <c r="J918" s="2" t="str">
        <f t="shared" si="14"/>
        <v>2023-06</v>
      </c>
    </row>
    <row r="919" spans="1:10" x14ac:dyDescent="0.2">
      <c r="A919" s="2" t="s">
        <v>1016</v>
      </c>
      <c r="B919" s="2" t="s">
        <v>25</v>
      </c>
      <c r="C919" s="2" t="s">
        <v>32</v>
      </c>
      <c r="D919" s="2">
        <v>155</v>
      </c>
      <c r="E919" s="5">
        <v>45085</v>
      </c>
      <c r="F919" s="2">
        <v>891</v>
      </c>
      <c r="G919" s="2" t="s">
        <v>75</v>
      </c>
      <c r="H919" s="2" t="s">
        <v>23</v>
      </c>
      <c r="I919" s="6">
        <v>0.12</v>
      </c>
      <c r="J919" s="2" t="str">
        <f t="shared" si="14"/>
        <v>2023-06</v>
      </c>
    </row>
    <row r="920" spans="1:10" x14ac:dyDescent="0.2">
      <c r="A920" s="2" t="s">
        <v>1017</v>
      </c>
      <c r="B920" s="2" t="s">
        <v>28</v>
      </c>
      <c r="C920" s="2" t="s">
        <v>50</v>
      </c>
      <c r="D920" s="2">
        <v>140</v>
      </c>
      <c r="E920" s="5">
        <v>45085</v>
      </c>
      <c r="F920" s="2">
        <v>644</v>
      </c>
      <c r="G920" s="2" t="s">
        <v>62</v>
      </c>
      <c r="H920" s="2" t="s">
        <v>23</v>
      </c>
      <c r="I920" s="6">
        <v>0.15</v>
      </c>
      <c r="J920" s="2" t="str">
        <f t="shared" si="14"/>
        <v>2023-06</v>
      </c>
    </row>
    <row r="921" spans="1:10" x14ac:dyDescent="0.2">
      <c r="A921" s="2" t="s">
        <v>1018</v>
      </c>
      <c r="B921" s="2" t="s">
        <v>34</v>
      </c>
      <c r="C921" s="2" t="s">
        <v>243</v>
      </c>
      <c r="D921" s="2" t="s">
        <v>2954</v>
      </c>
      <c r="E921" s="5">
        <v>45085</v>
      </c>
      <c r="F921" s="2">
        <v>805</v>
      </c>
      <c r="G921" s="2" t="s">
        <v>128</v>
      </c>
      <c r="H921" s="2" t="s">
        <v>23</v>
      </c>
      <c r="I921" s="6" t="s">
        <v>2954</v>
      </c>
      <c r="J921" s="2" t="str">
        <f t="shared" si="14"/>
        <v>2023-06</v>
      </c>
    </row>
    <row r="922" spans="1:10" x14ac:dyDescent="0.2">
      <c r="A922" s="2" t="s">
        <v>1019</v>
      </c>
      <c r="B922" s="2" t="s">
        <v>34</v>
      </c>
      <c r="C922" s="2" t="s">
        <v>113</v>
      </c>
      <c r="D922" s="2" t="s">
        <v>2954</v>
      </c>
      <c r="E922" s="5">
        <v>45085</v>
      </c>
      <c r="F922" s="2">
        <v>484</v>
      </c>
      <c r="G922" s="2" t="s">
        <v>17</v>
      </c>
      <c r="H922" s="2" t="s">
        <v>23</v>
      </c>
      <c r="I922" s="6" t="s">
        <v>2954</v>
      </c>
      <c r="J922" s="2" t="str">
        <f t="shared" si="14"/>
        <v>2023-06</v>
      </c>
    </row>
    <row r="923" spans="1:10" x14ac:dyDescent="0.2">
      <c r="A923" s="2" t="s">
        <v>1020</v>
      </c>
      <c r="B923" s="2" t="s">
        <v>34</v>
      </c>
      <c r="C923" s="2" t="s">
        <v>195</v>
      </c>
      <c r="D923" s="2" t="s">
        <v>2954</v>
      </c>
      <c r="E923" s="5">
        <v>45085</v>
      </c>
      <c r="F923" s="2">
        <v>7</v>
      </c>
      <c r="G923" s="2" t="s">
        <v>132</v>
      </c>
      <c r="H923" s="2" t="s">
        <v>23</v>
      </c>
      <c r="I923" s="6">
        <v>1</v>
      </c>
      <c r="J923" s="2" t="str">
        <f t="shared" si="14"/>
        <v>2023-06</v>
      </c>
    </row>
    <row r="924" spans="1:10" x14ac:dyDescent="0.2">
      <c r="A924" s="2" t="s">
        <v>198</v>
      </c>
      <c r="B924" s="2" t="s">
        <v>100</v>
      </c>
      <c r="C924" s="2" t="s">
        <v>61</v>
      </c>
      <c r="D924" s="2">
        <v>1000</v>
      </c>
      <c r="E924" s="5">
        <v>45084</v>
      </c>
      <c r="F924" s="2">
        <v>5500</v>
      </c>
      <c r="G924" s="2" t="s">
        <v>199</v>
      </c>
      <c r="H924" s="2" t="s">
        <v>98</v>
      </c>
      <c r="I924" s="6" t="s">
        <v>2954</v>
      </c>
      <c r="J924" s="2" t="str">
        <f t="shared" si="14"/>
        <v>2023-06</v>
      </c>
    </row>
    <row r="925" spans="1:10" x14ac:dyDescent="0.2">
      <c r="A925" s="2" t="s">
        <v>1021</v>
      </c>
      <c r="B925" s="2" t="s">
        <v>661</v>
      </c>
      <c r="C925" s="2" t="s">
        <v>16</v>
      </c>
      <c r="D925" s="2">
        <v>296</v>
      </c>
      <c r="E925" s="5">
        <v>45084</v>
      </c>
      <c r="F925" s="2">
        <v>4100</v>
      </c>
      <c r="G925" s="2" t="s">
        <v>17</v>
      </c>
      <c r="H925" s="2" t="s">
        <v>662</v>
      </c>
      <c r="I925" s="6" t="s">
        <v>2954</v>
      </c>
      <c r="J925" s="2" t="str">
        <f t="shared" si="14"/>
        <v>2023-06</v>
      </c>
    </row>
    <row r="926" spans="1:10" x14ac:dyDescent="0.2">
      <c r="A926" s="2" t="s">
        <v>1022</v>
      </c>
      <c r="B926" s="2" t="s">
        <v>34</v>
      </c>
      <c r="C926" s="2" t="s">
        <v>243</v>
      </c>
      <c r="D926" s="2">
        <v>79</v>
      </c>
      <c r="E926" s="5">
        <v>45084</v>
      </c>
      <c r="F926" s="2">
        <v>340</v>
      </c>
      <c r="G926" s="2" t="s">
        <v>45</v>
      </c>
      <c r="H926" s="2" t="s">
        <v>23</v>
      </c>
      <c r="I926" s="6" t="s">
        <v>2954</v>
      </c>
      <c r="J926" s="2" t="str">
        <f t="shared" si="14"/>
        <v>2023-06</v>
      </c>
    </row>
    <row r="927" spans="1:10" x14ac:dyDescent="0.2">
      <c r="A927" s="2" t="s">
        <v>1023</v>
      </c>
      <c r="B927" s="2" t="s">
        <v>25</v>
      </c>
      <c r="C927" s="2" t="s">
        <v>32</v>
      </c>
      <c r="D927" s="2">
        <v>39</v>
      </c>
      <c r="E927" s="5">
        <v>45084</v>
      </c>
      <c r="F927" s="2">
        <v>324</v>
      </c>
      <c r="G927" s="2" t="s">
        <v>45</v>
      </c>
      <c r="H927" s="2" t="s">
        <v>23</v>
      </c>
      <c r="I927" s="6" t="s">
        <v>2954</v>
      </c>
      <c r="J927" s="2" t="str">
        <f t="shared" si="14"/>
        <v>2023-06</v>
      </c>
    </row>
    <row r="928" spans="1:10" x14ac:dyDescent="0.2">
      <c r="A928" s="2" t="s">
        <v>739</v>
      </c>
      <c r="B928" s="2" t="s">
        <v>25</v>
      </c>
      <c r="C928" s="2" t="s">
        <v>148</v>
      </c>
      <c r="D928" s="2" t="s">
        <v>2954</v>
      </c>
      <c r="E928" s="5">
        <v>45084</v>
      </c>
      <c r="F928" s="2">
        <v>905</v>
      </c>
      <c r="G928" s="2" t="s">
        <v>12</v>
      </c>
      <c r="H928" s="2" t="s">
        <v>23</v>
      </c>
      <c r="I928" s="6" t="s">
        <v>2954</v>
      </c>
      <c r="J928" s="2" t="str">
        <f t="shared" si="14"/>
        <v>2023-06</v>
      </c>
    </row>
    <row r="929" spans="1:10" x14ac:dyDescent="0.2">
      <c r="A929" s="2" t="s">
        <v>1024</v>
      </c>
      <c r="B929" s="2" t="s">
        <v>34</v>
      </c>
      <c r="C929" s="2" t="s">
        <v>48</v>
      </c>
      <c r="D929" s="2" t="s">
        <v>2954</v>
      </c>
      <c r="E929" s="5">
        <v>45084</v>
      </c>
      <c r="F929" s="2">
        <v>349</v>
      </c>
      <c r="G929" s="2" t="s">
        <v>17</v>
      </c>
      <c r="H929" s="2" t="s">
        <v>23</v>
      </c>
      <c r="I929" s="6">
        <v>0.08</v>
      </c>
      <c r="J929" s="2" t="str">
        <f t="shared" si="14"/>
        <v>2023-06</v>
      </c>
    </row>
    <row r="930" spans="1:10" x14ac:dyDescent="0.2">
      <c r="A930" s="2" t="s">
        <v>1025</v>
      </c>
      <c r="B930" s="2" t="s">
        <v>60</v>
      </c>
      <c r="C930" s="2" t="s">
        <v>135</v>
      </c>
      <c r="D930" s="2" t="s">
        <v>2954</v>
      </c>
      <c r="E930" s="5">
        <v>45084</v>
      </c>
      <c r="F930" s="2">
        <v>233</v>
      </c>
      <c r="G930" s="2" t="s">
        <v>75</v>
      </c>
      <c r="H930" s="2" t="s">
        <v>23</v>
      </c>
      <c r="I930" s="6" t="s">
        <v>2954</v>
      </c>
      <c r="J930" s="2" t="str">
        <f t="shared" si="14"/>
        <v>2023-06</v>
      </c>
    </row>
    <row r="931" spans="1:10" x14ac:dyDescent="0.2">
      <c r="A931" s="2" t="s">
        <v>1026</v>
      </c>
      <c r="B931" s="2" t="s">
        <v>34</v>
      </c>
      <c r="C931" s="2" t="s">
        <v>71</v>
      </c>
      <c r="D931" s="2">
        <v>196</v>
      </c>
      <c r="E931" s="5">
        <v>45083</v>
      </c>
      <c r="F931" s="2" t="s">
        <v>2954</v>
      </c>
      <c r="G931" s="2" t="s">
        <v>17</v>
      </c>
      <c r="H931" s="2" t="s">
        <v>23</v>
      </c>
      <c r="I931" s="6" t="s">
        <v>2954</v>
      </c>
      <c r="J931" s="2" t="str">
        <f t="shared" si="14"/>
        <v>2023-06</v>
      </c>
    </row>
    <row r="932" spans="1:10" x14ac:dyDescent="0.2">
      <c r="A932" s="2" t="s">
        <v>249</v>
      </c>
      <c r="B932" s="2" t="s">
        <v>250</v>
      </c>
      <c r="C932" s="2" t="s">
        <v>48</v>
      </c>
      <c r="D932" s="2">
        <v>134</v>
      </c>
      <c r="E932" s="5">
        <v>45083</v>
      </c>
      <c r="F932" s="2">
        <v>462</v>
      </c>
      <c r="G932" s="2" t="s">
        <v>17</v>
      </c>
      <c r="H932" s="2" t="s">
        <v>23</v>
      </c>
      <c r="I932" s="6">
        <v>0.12</v>
      </c>
      <c r="J932" s="2" t="str">
        <f t="shared" si="14"/>
        <v>2023-06</v>
      </c>
    </row>
    <row r="933" spans="1:10" x14ac:dyDescent="0.2">
      <c r="A933" s="2" t="s">
        <v>1027</v>
      </c>
      <c r="B933" s="2" t="s">
        <v>34</v>
      </c>
      <c r="C933" s="2" t="s">
        <v>35</v>
      </c>
      <c r="D933" s="2">
        <v>90</v>
      </c>
      <c r="E933" s="5">
        <v>45083</v>
      </c>
      <c r="F933" s="2">
        <v>1300</v>
      </c>
      <c r="G933" s="2" t="s">
        <v>62</v>
      </c>
      <c r="H933" s="2" t="s">
        <v>23</v>
      </c>
      <c r="I933" s="6">
        <v>0.05</v>
      </c>
      <c r="J933" s="2" t="str">
        <f t="shared" si="14"/>
        <v>2023-06</v>
      </c>
    </row>
    <row r="934" spans="1:10" x14ac:dyDescent="0.2">
      <c r="A934" s="2" t="s">
        <v>1028</v>
      </c>
      <c r="B934" s="2" t="s">
        <v>831</v>
      </c>
      <c r="C934" s="2" t="s">
        <v>35</v>
      </c>
      <c r="D934" s="2">
        <v>60</v>
      </c>
      <c r="E934" s="5">
        <v>45083</v>
      </c>
      <c r="F934" s="2">
        <v>165</v>
      </c>
      <c r="G934" s="2" t="s">
        <v>12</v>
      </c>
      <c r="H934" s="2" t="s">
        <v>274</v>
      </c>
      <c r="I934" s="6">
        <v>0.27</v>
      </c>
      <c r="J934" s="2" t="str">
        <f t="shared" si="14"/>
        <v>2023-06</v>
      </c>
    </row>
    <row r="935" spans="1:10" x14ac:dyDescent="0.2">
      <c r="A935" s="2" t="s">
        <v>1029</v>
      </c>
      <c r="B935" s="2" t="s">
        <v>318</v>
      </c>
      <c r="C935" s="2" t="s">
        <v>195</v>
      </c>
      <c r="D935" s="2">
        <v>50</v>
      </c>
      <c r="E935" s="5">
        <v>45083</v>
      </c>
      <c r="F935" s="2">
        <v>364</v>
      </c>
      <c r="G935" s="2" t="s">
        <v>75</v>
      </c>
      <c r="H935" s="2" t="s">
        <v>23</v>
      </c>
      <c r="I935" s="6">
        <v>0.09</v>
      </c>
      <c r="J935" s="2" t="str">
        <f t="shared" si="14"/>
        <v>2023-06</v>
      </c>
    </row>
    <row r="936" spans="1:10" x14ac:dyDescent="0.2">
      <c r="A936" s="2" t="s">
        <v>456</v>
      </c>
      <c r="B936" s="2" t="s">
        <v>34</v>
      </c>
      <c r="C936" s="2" t="s">
        <v>29</v>
      </c>
      <c r="D936" s="2">
        <v>50</v>
      </c>
      <c r="E936" s="5">
        <v>45083</v>
      </c>
      <c r="F936" s="2">
        <v>1300</v>
      </c>
      <c r="G936" s="2" t="s">
        <v>17</v>
      </c>
      <c r="H936" s="2" t="s">
        <v>23</v>
      </c>
      <c r="I936" s="6" t="s">
        <v>2954</v>
      </c>
      <c r="J936" s="2" t="str">
        <f t="shared" si="14"/>
        <v>2023-06</v>
      </c>
    </row>
    <row r="937" spans="1:10" x14ac:dyDescent="0.2">
      <c r="A937" s="2" t="s">
        <v>1030</v>
      </c>
      <c r="B937" s="2" t="s">
        <v>779</v>
      </c>
      <c r="C937" s="2" t="s">
        <v>22</v>
      </c>
      <c r="D937" s="2">
        <v>6</v>
      </c>
      <c r="E937" s="5">
        <v>45083</v>
      </c>
      <c r="F937" s="2">
        <v>23</v>
      </c>
      <c r="G937" s="2" t="s">
        <v>132</v>
      </c>
      <c r="H937" s="2" t="s">
        <v>780</v>
      </c>
      <c r="I937" s="6" t="s">
        <v>2954</v>
      </c>
      <c r="J937" s="2" t="str">
        <f t="shared" si="14"/>
        <v>2023-06</v>
      </c>
    </row>
    <row r="938" spans="1:10" x14ac:dyDescent="0.2">
      <c r="A938" s="2" t="s">
        <v>1031</v>
      </c>
      <c r="B938" s="2" t="s">
        <v>25</v>
      </c>
      <c r="C938" s="2" t="s">
        <v>32</v>
      </c>
      <c r="D938" s="2" t="s">
        <v>2954</v>
      </c>
      <c r="E938" s="5">
        <v>45083</v>
      </c>
      <c r="F938" s="2" t="s">
        <v>2954</v>
      </c>
      <c r="G938" s="2" t="s">
        <v>12</v>
      </c>
      <c r="H938" s="2" t="s">
        <v>23</v>
      </c>
      <c r="I938" s="6">
        <v>1</v>
      </c>
      <c r="J938" s="2" t="str">
        <f t="shared" si="14"/>
        <v>2023-06</v>
      </c>
    </row>
    <row r="939" spans="1:10" x14ac:dyDescent="0.2">
      <c r="A939" s="2" t="s">
        <v>530</v>
      </c>
      <c r="B939" s="2" t="s">
        <v>287</v>
      </c>
      <c r="C939" s="2" t="s">
        <v>235</v>
      </c>
      <c r="D939" s="2">
        <v>200</v>
      </c>
      <c r="E939" s="5">
        <v>45082</v>
      </c>
      <c r="F939" s="2">
        <v>2100</v>
      </c>
      <c r="G939" s="2" t="s">
        <v>17</v>
      </c>
      <c r="H939" s="2" t="s">
        <v>291</v>
      </c>
      <c r="I939" s="6">
        <v>0.02</v>
      </c>
      <c r="J939" s="2" t="str">
        <f t="shared" si="14"/>
        <v>2023-06</v>
      </c>
    </row>
    <row r="940" spans="1:10" x14ac:dyDescent="0.2">
      <c r="A940" s="2" t="s">
        <v>1032</v>
      </c>
      <c r="B940" s="2" t="s">
        <v>1033</v>
      </c>
      <c r="C940" s="2" t="s">
        <v>16</v>
      </c>
      <c r="D940" s="2" t="s">
        <v>2954</v>
      </c>
      <c r="E940" s="5">
        <v>45082</v>
      </c>
      <c r="F940" s="2">
        <v>19</v>
      </c>
      <c r="G940" s="2" t="s">
        <v>41</v>
      </c>
      <c r="H940" s="2" t="s">
        <v>23</v>
      </c>
      <c r="I940" s="6" t="s">
        <v>2954</v>
      </c>
      <c r="J940" s="2" t="str">
        <f t="shared" si="14"/>
        <v>2023-06</v>
      </c>
    </row>
    <row r="941" spans="1:10" x14ac:dyDescent="0.2">
      <c r="A941" s="2" t="s">
        <v>502</v>
      </c>
      <c r="B941" s="2" t="s">
        <v>28</v>
      </c>
      <c r="C941" s="2" t="s">
        <v>148</v>
      </c>
      <c r="D941" s="2" t="s">
        <v>2954</v>
      </c>
      <c r="E941" s="5">
        <v>45082</v>
      </c>
      <c r="F941" s="2">
        <v>310</v>
      </c>
      <c r="G941" s="2" t="s">
        <v>66</v>
      </c>
      <c r="H941" s="2" t="s">
        <v>23</v>
      </c>
      <c r="I941" s="6" t="s">
        <v>2954</v>
      </c>
      <c r="J941" s="2" t="str">
        <f t="shared" si="14"/>
        <v>2023-06</v>
      </c>
    </row>
    <row r="942" spans="1:10" x14ac:dyDescent="0.2">
      <c r="A942" s="2" t="s">
        <v>1034</v>
      </c>
      <c r="B942" s="2" t="s">
        <v>60</v>
      </c>
      <c r="C942" s="2" t="s">
        <v>11</v>
      </c>
      <c r="D942" s="2" t="s">
        <v>2954</v>
      </c>
      <c r="E942" s="5">
        <v>45080</v>
      </c>
      <c r="F942" s="2">
        <v>274</v>
      </c>
      <c r="G942" s="2" t="s">
        <v>66</v>
      </c>
      <c r="H942" s="2" t="s">
        <v>23</v>
      </c>
      <c r="I942" s="6">
        <v>0.05</v>
      </c>
      <c r="J942" s="2" t="str">
        <f t="shared" si="14"/>
        <v>2023-06</v>
      </c>
    </row>
    <row r="943" spans="1:10" x14ac:dyDescent="0.2">
      <c r="A943" s="2" t="s">
        <v>1035</v>
      </c>
      <c r="B943" s="2" t="s">
        <v>183</v>
      </c>
      <c r="C943" s="2" t="s">
        <v>50</v>
      </c>
      <c r="D943" s="2">
        <v>120</v>
      </c>
      <c r="E943" s="5">
        <v>45079</v>
      </c>
      <c r="F943" s="2">
        <v>7</v>
      </c>
      <c r="G943" s="2" t="s">
        <v>17</v>
      </c>
      <c r="H943" s="2" t="s">
        <v>23</v>
      </c>
      <c r="I943" s="6">
        <v>0.03</v>
      </c>
      <c r="J943" s="2" t="str">
        <f t="shared" si="14"/>
        <v>2023-06</v>
      </c>
    </row>
    <row r="944" spans="1:10" x14ac:dyDescent="0.2">
      <c r="A944" s="2" t="s">
        <v>1036</v>
      </c>
      <c r="B944" s="2" t="s">
        <v>1037</v>
      </c>
      <c r="C944" s="2" t="s">
        <v>29</v>
      </c>
      <c r="D944" s="2">
        <v>90</v>
      </c>
      <c r="E944" s="5">
        <v>45079</v>
      </c>
      <c r="F944" s="2">
        <v>307</v>
      </c>
      <c r="G944" s="2" t="s">
        <v>128</v>
      </c>
      <c r="H944" s="2" t="s">
        <v>76</v>
      </c>
      <c r="I944" s="6" t="s">
        <v>2954</v>
      </c>
      <c r="J944" s="2" t="str">
        <f t="shared" si="14"/>
        <v>2023-06</v>
      </c>
    </row>
    <row r="945" spans="1:10" x14ac:dyDescent="0.2">
      <c r="A945" s="2" t="s">
        <v>1038</v>
      </c>
      <c r="B945" s="2" t="s">
        <v>34</v>
      </c>
      <c r="C945" s="2" t="s">
        <v>11</v>
      </c>
      <c r="D945" s="2" t="s">
        <v>2954</v>
      </c>
      <c r="E945" s="5">
        <v>45079</v>
      </c>
      <c r="F945" s="2">
        <v>423</v>
      </c>
      <c r="G945" s="2" t="s">
        <v>12</v>
      </c>
      <c r="H945" s="2" t="s">
        <v>23</v>
      </c>
      <c r="I945" s="6">
        <v>1</v>
      </c>
      <c r="J945" s="2" t="str">
        <f t="shared" si="14"/>
        <v>2023-06</v>
      </c>
    </row>
    <row r="946" spans="1:10" x14ac:dyDescent="0.2">
      <c r="A946" s="2" t="s">
        <v>1039</v>
      </c>
      <c r="B946" s="2" t="s">
        <v>25</v>
      </c>
      <c r="C946" s="2" t="s">
        <v>16</v>
      </c>
      <c r="D946" s="2">
        <v>280</v>
      </c>
      <c r="E946" s="5">
        <v>45078</v>
      </c>
      <c r="F946" s="2" t="s">
        <v>2954</v>
      </c>
      <c r="G946" s="2" t="s">
        <v>214</v>
      </c>
      <c r="H946" s="2" t="s">
        <v>23</v>
      </c>
      <c r="I946" s="6">
        <v>0.7</v>
      </c>
      <c r="J946" s="2" t="str">
        <f t="shared" si="14"/>
        <v>2023-06</v>
      </c>
    </row>
    <row r="947" spans="1:10" x14ac:dyDescent="0.2">
      <c r="A947" s="2" t="s">
        <v>1040</v>
      </c>
      <c r="B947" s="2" t="s">
        <v>34</v>
      </c>
      <c r="C947" s="2" t="s">
        <v>78</v>
      </c>
      <c r="D947" s="2">
        <v>170</v>
      </c>
      <c r="E947" s="5">
        <v>45078</v>
      </c>
      <c r="F947" s="2">
        <v>192</v>
      </c>
      <c r="G947" s="2" t="s">
        <v>66</v>
      </c>
      <c r="H947" s="2" t="s">
        <v>23</v>
      </c>
      <c r="I947" s="6" t="s">
        <v>2954</v>
      </c>
      <c r="J947" s="2" t="str">
        <f t="shared" si="14"/>
        <v>2023-06</v>
      </c>
    </row>
    <row r="948" spans="1:10" x14ac:dyDescent="0.2">
      <c r="A948" s="2" t="s">
        <v>1041</v>
      </c>
      <c r="B948" s="2" t="s">
        <v>97</v>
      </c>
      <c r="C948" s="2" t="s">
        <v>32</v>
      </c>
      <c r="D948" s="2">
        <v>160</v>
      </c>
      <c r="E948" s="5">
        <v>45078</v>
      </c>
      <c r="F948" s="2">
        <v>9</v>
      </c>
      <c r="G948" s="2" t="s">
        <v>37</v>
      </c>
      <c r="H948" s="2" t="s">
        <v>98</v>
      </c>
      <c r="I948" s="6" t="s">
        <v>2954</v>
      </c>
      <c r="J948" s="2" t="str">
        <f t="shared" si="14"/>
        <v>2023-06</v>
      </c>
    </row>
    <row r="949" spans="1:10" x14ac:dyDescent="0.2">
      <c r="A949" s="2" t="s">
        <v>1042</v>
      </c>
      <c r="B949" s="2" t="s">
        <v>25</v>
      </c>
      <c r="C949" s="2" t="s">
        <v>26</v>
      </c>
      <c r="D949" s="2">
        <v>90</v>
      </c>
      <c r="E949" s="5">
        <v>45078</v>
      </c>
      <c r="F949" s="2">
        <v>394</v>
      </c>
      <c r="G949" s="2" t="s">
        <v>17</v>
      </c>
      <c r="H949" s="2" t="s">
        <v>23</v>
      </c>
      <c r="I949" s="6">
        <v>0.1</v>
      </c>
      <c r="J949" s="2" t="str">
        <f t="shared" si="14"/>
        <v>2023-06</v>
      </c>
    </row>
    <row r="950" spans="1:10" x14ac:dyDescent="0.2">
      <c r="A950" s="2" t="s">
        <v>1043</v>
      </c>
      <c r="B950" s="2" t="s">
        <v>34</v>
      </c>
      <c r="C950" s="2" t="s">
        <v>170</v>
      </c>
      <c r="D950" s="2" t="s">
        <v>2954</v>
      </c>
      <c r="E950" s="5">
        <v>45078</v>
      </c>
      <c r="F950" s="2">
        <v>141</v>
      </c>
      <c r="G950" s="2" t="s">
        <v>37</v>
      </c>
      <c r="H950" s="2" t="s">
        <v>23</v>
      </c>
      <c r="I950" s="6" t="s">
        <v>2954</v>
      </c>
      <c r="J950" s="2" t="str">
        <f t="shared" si="14"/>
        <v>2023-06</v>
      </c>
    </row>
    <row r="951" spans="1:10" x14ac:dyDescent="0.2">
      <c r="A951" s="2" t="s">
        <v>1044</v>
      </c>
      <c r="B951" s="2" t="s">
        <v>74</v>
      </c>
      <c r="C951" s="2" t="s">
        <v>68</v>
      </c>
      <c r="D951" s="2" t="s">
        <v>2954</v>
      </c>
      <c r="E951" s="5">
        <v>45078</v>
      </c>
      <c r="F951" s="2">
        <v>332</v>
      </c>
      <c r="G951" s="2" t="s">
        <v>66</v>
      </c>
      <c r="H951" s="2" t="s">
        <v>76</v>
      </c>
      <c r="I951" s="6">
        <v>0.1</v>
      </c>
      <c r="J951" s="2" t="str">
        <f t="shared" si="14"/>
        <v>2023-06</v>
      </c>
    </row>
    <row r="952" spans="1:10" x14ac:dyDescent="0.2">
      <c r="A952" s="2" t="s">
        <v>1045</v>
      </c>
      <c r="B952" s="2" t="s">
        <v>25</v>
      </c>
      <c r="C952" s="2" t="s">
        <v>29</v>
      </c>
      <c r="D952" s="2" t="s">
        <v>2954</v>
      </c>
      <c r="E952" s="5">
        <v>45078</v>
      </c>
      <c r="F952" s="2" t="s">
        <v>2954</v>
      </c>
      <c r="G952" s="2" t="s">
        <v>12</v>
      </c>
      <c r="H952" s="2" t="s">
        <v>23</v>
      </c>
      <c r="I952" s="6" t="s">
        <v>2954</v>
      </c>
      <c r="J952" s="2" t="str">
        <f t="shared" si="14"/>
        <v>2023-06</v>
      </c>
    </row>
    <row r="953" spans="1:10" x14ac:dyDescent="0.2">
      <c r="A953" s="2" t="s">
        <v>1046</v>
      </c>
      <c r="B953" s="2" t="s">
        <v>34</v>
      </c>
      <c r="C953" s="2" t="s">
        <v>195</v>
      </c>
      <c r="D953" s="2" t="s">
        <v>2954</v>
      </c>
      <c r="E953" s="5">
        <v>45078</v>
      </c>
      <c r="F953" s="2">
        <v>696</v>
      </c>
      <c r="G953" s="2" t="s">
        <v>17</v>
      </c>
      <c r="H953" s="2" t="s">
        <v>23</v>
      </c>
      <c r="I953" s="6">
        <v>0.05</v>
      </c>
      <c r="J953" s="2" t="str">
        <f t="shared" si="14"/>
        <v>2023-06</v>
      </c>
    </row>
    <row r="954" spans="1:10" x14ac:dyDescent="0.2">
      <c r="A954" s="2" t="s">
        <v>1047</v>
      </c>
      <c r="B954" s="2" t="s">
        <v>25</v>
      </c>
      <c r="C954" s="2" t="s">
        <v>16</v>
      </c>
      <c r="D954" s="2" t="s">
        <v>2954</v>
      </c>
      <c r="E954" s="5">
        <v>45078</v>
      </c>
      <c r="F954" s="2">
        <v>161</v>
      </c>
      <c r="G954" s="2" t="s">
        <v>75</v>
      </c>
      <c r="H954" s="2" t="s">
        <v>23</v>
      </c>
      <c r="I954" s="6">
        <v>0.19</v>
      </c>
      <c r="J954" s="2" t="str">
        <f t="shared" si="14"/>
        <v>2023-06</v>
      </c>
    </row>
    <row r="955" spans="1:10" x14ac:dyDescent="0.2">
      <c r="A955" s="2" t="s">
        <v>1048</v>
      </c>
      <c r="B955" s="2" t="s">
        <v>34</v>
      </c>
      <c r="C955" s="2" t="s">
        <v>113</v>
      </c>
      <c r="D955" s="2">
        <v>320</v>
      </c>
      <c r="E955" s="5">
        <v>45077</v>
      </c>
      <c r="F955" s="2">
        <v>85</v>
      </c>
      <c r="G955" s="2" t="s">
        <v>45</v>
      </c>
      <c r="H955" s="2" t="s">
        <v>23</v>
      </c>
      <c r="I955" s="6">
        <v>0.08</v>
      </c>
      <c r="J955" s="2" t="str">
        <f t="shared" si="14"/>
        <v>2023-05</v>
      </c>
    </row>
    <row r="956" spans="1:10" x14ac:dyDescent="0.2">
      <c r="A956" s="2" t="s">
        <v>1049</v>
      </c>
      <c r="B956" s="2" t="s">
        <v>47</v>
      </c>
      <c r="C956" s="2" t="s">
        <v>84</v>
      </c>
      <c r="D956" s="2">
        <v>270</v>
      </c>
      <c r="E956" s="5">
        <v>45077</v>
      </c>
      <c r="F956" s="2">
        <v>769</v>
      </c>
      <c r="G956" s="2" t="s">
        <v>17</v>
      </c>
      <c r="H956" s="2" t="s">
        <v>23</v>
      </c>
      <c r="I956" s="6">
        <v>0.2</v>
      </c>
      <c r="J956" s="2" t="str">
        <f t="shared" si="14"/>
        <v>2023-05</v>
      </c>
    </row>
    <row r="957" spans="1:10" x14ac:dyDescent="0.2">
      <c r="A957" s="2" t="s">
        <v>423</v>
      </c>
      <c r="B957" s="2" t="s">
        <v>89</v>
      </c>
      <c r="C957" s="2" t="s">
        <v>29</v>
      </c>
      <c r="D957" s="2">
        <v>100</v>
      </c>
      <c r="E957" s="5">
        <v>45077</v>
      </c>
      <c r="F957" s="2">
        <v>216</v>
      </c>
      <c r="G957" s="2" t="s">
        <v>37</v>
      </c>
      <c r="H957" s="2" t="s">
        <v>23</v>
      </c>
      <c r="I957" s="6">
        <v>0.25</v>
      </c>
      <c r="J957" s="2" t="str">
        <f t="shared" si="14"/>
        <v>2023-05</v>
      </c>
    </row>
    <row r="958" spans="1:10" x14ac:dyDescent="0.2">
      <c r="A958" s="2" t="s">
        <v>553</v>
      </c>
      <c r="B958" s="2" t="s">
        <v>74</v>
      </c>
      <c r="C958" s="2" t="s">
        <v>148</v>
      </c>
      <c r="D958" s="2">
        <v>60</v>
      </c>
      <c r="E958" s="5">
        <v>45077</v>
      </c>
      <c r="F958" s="2">
        <v>214</v>
      </c>
      <c r="G958" s="2" t="s">
        <v>12</v>
      </c>
      <c r="H958" s="2" t="s">
        <v>76</v>
      </c>
      <c r="I958" s="6" t="s">
        <v>2954</v>
      </c>
      <c r="J958" s="2" t="str">
        <f t="shared" si="14"/>
        <v>2023-05</v>
      </c>
    </row>
    <row r="959" spans="1:10" x14ac:dyDescent="0.2">
      <c r="A959" s="2" t="s">
        <v>1050</v>
      </c>
      <c r="B959" s="2" t="s">
        <v>34</v>
      </c>
      <c r="C959" s="2" t="s">
        <v>48</v>
      </c>
      <c r="D959" s="2">
        <v>40</v>
      </c>
      <c r="E959" s="5">
        <v>45077</v>
      </c>
      <c r="F959" s="2">
        <v>173</v>
      </c>
      <c r="G959" s="2" t="s">
        <v>75</v>
      </c>
      <c r="H959" s="2" t="s">
        <v>23</v>
      </c>
      <c r="I959" s="6">
        <v>0.3</v>
      </c>
      <c r="J959" s="2" t="str">
        <f t="shared" si="14"/>
        <v>2023-05</v>
      </c>
    </row>
    <row r="960" spans="1:10" x14ac:dyDescent="0.2">
      <c r="A960" s="2" t="s">
        <v>298</v>
      </c>
      <c r="B960" s="2" t="s">
        <v>25</v>
      </c>
      <c r="C960" s="2" t="s">
        <v>142</v>
      </c>
      <c r="D960" s="2">
        <v>22</v>
      </c>
      <c r="E960" s="5">
        <v>45077</v>
      </c>
      <c r="F960" s="2">
        <v>181</v>
      </c>
      <c r="G960" s="2" t="s">
        <v>75</v>
      </c>
      <c r="H960" s="2" t="s">
        <v>23</v>
      </c>
      <c r="I960" s="6">
        <v>0.08</v>
      </c>
      <c r="J960" s="2" t="str">
        <f t="shared" si="14"/>
        <v>2023-05</v>
      </c>
    </row>
    <row r="961" spans="1:10" x14ac:dyDescent="0.2">
      <c r="A961" s="2" t="s">
        <v>1051</v>
      </c>
      <c r="B961" s="2" t="s">
        <v>74</v>
      </c>
      <c r="C961" s="2" t="s">
        <v>16</v>
      </c>
      <c r="D961" s="2">
        <v>120</v>
      </c>
      <c r="E961" s="5">
        <v>45076</v>
      </c>
      <c r="F961" s="2">
        <v>330</v>
      </c>
      <c r="G961" s="2" t="s">
        <v>75</v>
      </c>
      <c r="H961" s="2" t="s">
        <v>76</v>
      </c>
      <c r="I961" s="6">
        <v>0.2</v>
      </c>
      <c r="J961" s="2" t="str">
        <f t="shared" si="14"/>
        <v>2023-05</v>
      </c>
    </row>
    <row r="962" spans="1:10" x14ac:dyDescent="0.2">
      <c r="A962" s="2" t="s">
        <v>1052</v>
      </c>
      <c r="B962" s="2" t="s">
        <v>100</v>
      </c>
      <c r="C962" s="2" t="s">
        <v>142</v>
      </c>
      <c r="D962" s="2">
        <v>30</v>
      </c>
      <c r="E962" s="5">
        <v>45076</v>
      </c>
      <c r="F962" s="2">
        <v>254</v>
      </c>
      <c r="G962" s="2" t="s">
        <v>12</v>
      </c>
      <c r="H962" s="2" t="s">
        <v>98</v>
      </c>
      <c r="I962" s="6" t="s">
        <v>2954</v>
      </c>
      <c r="J962" s="2" t="str">
        <f t="shared" si="14"/>
        <v>2023-05</v>
      </c>
    </row>
    <row r="963" spans="1:10" x14ac:dyDescent="0.2">
      <c r="A963" s="2" t="s">
        <v>1053</v>
      </c>
      <c r="B963" s="2" t="s">
        <v>34</v>
      </c>
      <c r="C963" s="2" t="s">
        <v>16</v>
      </c>
      <c r="D963" s="2" t="s">
        <v>2954</v>
      </c>
      <c r="E963" s="5">
        <v>45076</v>
      </c>
      <c r="F963" s="2">
        <v>219</v>
      </c>
      <c r="G963" s="2" t="s">
        <v>45</v>
      </c>
      <c r="H963" s="2" t="s">
        <v>23</v>
      </c>
      <c r="I963" s="6" t="s">
        <v>2954</v>
      </c>
      <c r="J963" s="2" t="str">
        <f t="shared" ref="J963:J1026" si="15">TEXT(E963,"YYYY-MM")</f>
        <v>2023-05</v>
      </c>
    </row>
    <row r="964" spans="1:10" x14ac:dyDescent="0.2">
      <c r="A964" s="2" t="s">
        <v>1054</v>
      </c>
      <c r="B964" s="2" t="s">
        <v>217</v>
      </c>
      <c r="C964" s="2" t="s">
        <v>22</v>
      </c>
      <c r="D964" s="2" t="s">
        <v>2954</v>
      </c>
      <c r="E964" s="5">
        <v>45076</v>
      </c>
      <c r="F964" s="2">
        <v>88</v>
      </c>
      <c r="G964" s="2" t="s">
        <v>37</v>
      </c>
      <c r="H964" s="2" t="s">
        <v>217</v>
      </c>
      <c r="I964" s="6" t="s">
        <v>2954</v>
      </c>
      <c r="J964" s="2" t="str">
        <f t="shared" si="15"/>
        <v>2023-05</v>
      </c>
    </row>
    <row r="965" spans="1:10" x14ac:dyDescent="0.2">
      <c r="A965" s="2" t="s">
        <v>1055</v>
      </c>
      <c r="B965" s="2" t="s">
        <v>47</v>
      </c>
      <c r="C965" s="2" t="s">
        <v>48</v>
      </c>
      <c r="D965" s="2" t="s">
        <v>2954</v>
      </c>
      <c r="E965" s="5">
        <v>45076</v>
      </c>
      <c r="F965" s="2">
        <v>109</v>
      </c>
      <c r="G965" s="2" t="s">
        <v>12</v>
      </c>
      <c r="H965" s="2" t="s">
        <v>23</v>
      </c>
      <c r="I965" s="6" t="s">
        <v>2954</v>
      </c>
      <c r="J965" s="2" t="str">
        <f t="shared" si="15"/>
        <v>2023-05</v>
      </c>
    </row>
    <row r="966" spans="1:10" x14ac:dyDescent="0.2">
      <c r="A966" s="2" t="s">
        <v>721</v>
      </c>
      <c r="B966" s="2" t="s">
        <v>60</v>
      </c>
      <c r="C966" s="2" t="s">
        <v>44</v>
      </c>
      <c r="D966" s="2">
        <v>164</v>
      </c>
      <c r="E966" s="5">
        <v>45075</v>
      </c>
      <c r="F966" s="2">
        <v>224</v>
      </c>
      <c r="G966" s="2" t="s">
        <v>62</v>
      </c>
      <c r="H966" s="2" t="s">
        <v>23</v>
      </c>
      <c r="I966" s="6">
        <v>0.14000000000000001</v>
      </c>
      <c r="J966" s="2" t="str">
        <f t="shared" si="15"/>
        <v>2023-05</v>
      </c>
    </row>
    <row r="967" spans="1:10" x14ac:dyDescent="0.2">
      <c r="A967" s="2" t="s">
        <v>718</v>
      </c>
      <c r="B967" s="2" t="s">
        <v>314</v>
      </c>
      <c r="C967" s="2" t="s">
        <v>170</v>
      </c>
      <c r="D967" s="2">
        <v>130</v>
      </c>
      <c r="E967" s="5">
        <v>45072</v>
      </c>
      <c r="F967" s="2">
        <v>817</v>
      </c>
      <c r="G967" s="2" t="s">
        <v>12</v>
      </c>
      <c r="H967" s="2" t="s">
        <v>23</v>
      </c>
      <c r="I967" s="6">
        <v>0.1</v>
      </c>
      <c r="J967" s="2" t="str">
        <f t="shared" si="15"/>
        <v>2023-05</v>
      </c>
    </row>
    <row r="968" spans="1:10" x14ac:dyDescent="0.2">
      <c r="A968" s="2" t="s">
        <v>1056</v>
      </c>
      <c r="B968" s="2" t="s">
        <v>25</v>
      </c>
      <c r="C968" s="2" t="s">
        <v>84</v>
      </c>
      <c r="D968" s="2">
        <v>53</v>
      </c>
      <c r="E968" s="5">
        <v>45072</v>
      </c>
      <c r="F968" s="2" t="s">
        <v>2954</v>
      </c>
      <c r="G968" s="2" t="s">
        <v>17</v>
      </c>
      <c r="H968" s="2" t="s">
        <v>23</v>
      </c>
      <c r="I968" s="6">
        <v>0.1</v>
      </c>
      <c r="J968" s="2" t="str">
        <f t="shared" si="15"/>
        <v>2023-05</v>
      </c>
    </row>
    <row r="969" spans="1:10" x14ac:dyDescent="0.2">
      <c r="A969" s="2" t="s">
        <v>1057</v>
      </c>
      <c r="B969" s="2" t="s">
        <v>54</v>
      </c>
      <c r="C969" s="2" t="s">
        <v>32</v>
      </c>
      <c r="D969" s="2">
        <v>180</v>
      </c>
      <c r="E969" s="5">
        <v>45071</v>
      </c>
      <c r="F969" s="2">
        <v>292</v>
      </c>
      <c r="G969" s="2" t="s">
        <v>199</v>
      </c>
      <c r="H969" s="2" t="s">
        <v>55</v>
      </c>
      <c r="I969" s="6" t="s">
        <v>2954</v>
      </c>
      <c r="J969" s="2" t="str">
        <f t="shared" si="15"/>
        <v>2023-05</v>
      </c>
    </row>
    <row r="970" spans="1:10" x14ac:dyDescent="0.2">
      <c r="A970" s="2" t="s">
        <v>220</v>
      </c>
      <c r="B970" s="2" t="s">
        <v>100</v>
      </c>
      <c r="C970" s="2" t="s">
        <v>26</v>
      </c>
      <c r="D970" s="2">
        <v>75</v>
      </c>
      <c r="E970" s="5">
        <v>45071</v>
      </c>
      <c r="F970" s="2">
        <v>50</v>
      </c>
      <c r="G970" s="2" t="s">
        <v>37</v>
      </c>
      <c r="H970" s="2" t="s">
        <v>98</v>
      </c>
      <c r="I970" s="6">
        <v>0.3</v>
      </c>
      <c r="J970" s="2" t="str">
        <f t="shared" si="15"/>
        <v>2023-05</v>
      </c>
    </row>
    <row r="971" spans="1:10" x14ac:dyDescent="0.2">
      <c r="A971" s="2" t="s">
        <v>1058</v>
      </c>
      <c r="B971" s="2" t="s">
        <v>425</v>
      </c>
      <c r="C971" s="2" t="s">
        <v>11</v>
      </c>
      <c r="D971" s="2">
        <v>35</v>
      </c>
      <c r="E971" s="5">
        <v>45071</v>
      </c>
      <c r="F971" s="2">
        <v>12</v>
      </c>
      <c r="G971" s="2" t="s">
        <v>132</v>
      </c>
      <c r="H971" s="2" t="s">
        <v>76</v>
      </c>
      <c r="I971" s="6" t="s">
        <v>2954</v>
      </c>
      <c r="J971" s="2" t="str">
        <f t="shared" si="15"/>
        <v>2023-05</v>
      </c>
    </row>
    <row r="972" spans="1:10" x14ac:dyDescent="0.2">
      <c r="A972" s="2" t="s">
        <v>495</v>
      </c>
      <c r="B972" s="2" t="s">
        <v>162</v>
      </c>
      <c r="C972" s="2" t="s">
        <v>235</v>
      </c>
      <c r="D972" s="2">
        <v>13</v>
      </c>
      <c r="E972" s="5">
        <v>45071</v>
      </c>
      <c r="F972" s="2">
        <v>22</v>
      </c>
      <c r="G972" s="2" t="s">
        <v>66</v>
      </c>
      <c r="H972" s="2" t="s">
        <v>163</v>
      </c>
      <c r="I972" s="6" t="s">
        <v>2954</v>
      </c>
      <c r="J972" s="2" t="str">
        <f t="shared" si="15"/>
        <v>2023-05</v>
      </c>
    </row>
    <row r="973" spans="1:10" x14ac:dyDescent="0.2">
      <c r="A973" s="2" t="s">
        <v>1059</v>
      </c>
      <c r="B973" s="2" t="s">
        <v>34</v>
      </c>
      <c r="C973" s="2" t="s">
        <v>35</v>
      </c>
      <c r="D973" s="2" t="s">
        <v>2954</v>
      </c>
      <c r="E973" s="5">
        <v>45071</v>
      </c>
      <c r="F973" s="2">
        <v>244</v>
      </c>
      <c r="G973" s="2" t="s">
        <v>45</v>
      </c>
      <c r="H973" s="2" t="s">
        <v>23</v>
      </c>
      <c r="I973" s="6">
        <v>0.12</v>
      </c>
      <c r="J973" s="2" t="str">
        <f t="shared" si="15"/>
        <v>2023-05</v>
      </c>
    </row>
    <row r="974" spans="1:10" x14ac:dyDescent="0.2">
      <c r="A974" s="2" t="s">
        <v>59</v>
      </c>
      <c r="B974" s="2" t="s">
        <v>60</v>
      </c>
      <c r="C974" s="2" t="s">
        <v>61</v>
      </c>
      <c r="D974" s="2">
        <v>172</v>
      </c>
      <c r="E974" s="5">
        <v>45070</v>
      </c>
      <c r="F974" s="2">
        <v>643</v>
      </c>
      <c r="G974" s="2" t="s">
        <v>62</v>
      </c>
      <c r="H974" s="2" t="s">
        <v>23</v>
      </c>
      <c r="I974" s="6">
        <v>0.12</v>
      </c>
      <c r="J974" s="2" t="str">
        <f t="shared" si="15"/>
        <v>2023-05</v>
      </c>
    </row>
    <row r="975" spans="1:10" x14ac:dyDescent="0.2">
      <c r="A975" s="2" t="s">
        <v>1060</v>
      </c>
      <c r="B975" s="2" t="s">
        <v>1061</v>
      </c>
      <c r="C975" s="2" t="s">
        <v>26</v>
      </c>
      <c r="D975" s="2">
        <v>120</v>
      </c>
      <c r="E975" s="5">
        <v>45070</v>
      </c>
      <c r="F975" s="2" t="s">
        <v>2954</v>
      </c>
      <c r="G975" s="2" t="s">
        <v>45</v>
      </c>
      <c r="H975" s="2" t="s">
        <v>23</v>
      </c>
      <c r="I975" s="6">
        <v>0.11</v>
      </c>
      <c r="J975" s="2" t="str">
        <f t="shared" si="15"/>
        <v>2023-05</v>
      </c>
    </row>
    <row r="976" spans="1:10" x14ac:dyDescent="0.2">
      <c r="A976" s="2" t="s">
        <v>1062</v>
      </c>
      <c r="B976" s="2" t="s">
        <v>74</v>
      </c>
      <c r="C976" s="2" t="s">
        <v>11</v>
      </c>
      <c r="D976" s="2">
        <v>100</v>
      </c>
      <c r="E976" s="5">
        <v>45070</v>
      </c>
      <c r="F976" s="2">
        <v>1000</v>
      </c>
      <c r="G976" s="2" t="s">
        <v>37</v>
      </c>
      <c r="H976" s="2" t="s">
        <v>76</v>
      </c>
      <c r="I976" s="6">
        <v>0.16</v>
      </c>
      <c r="J976" s="2" t="str">
        <f t="shared" si="15"/>
        <v>2023-05</v>
      </c>
    </row>
    <row r="977" spans="1:10" x14ac:dyDescent="0.2">
      <c r="A977" s="2" t="s">
        <v>1004</v>
      </c>
      <c r="B977" s="2" t="s">
        <v>1063</v>
      </c>
      <c r="C977" s="2" t="s">
        <v>103</v>
      </c>
      <c r="D977" s="2">
        <v>60</v>
      </c>
      <c r="E977" s="5">
        <v>45070</v>
      </c>
      <c r="F977" s="2">
        <v>900</v>
      </c>
      <c r="G977" s="2" t="s">
        <v>17</v>
      </c>
      <c r="H977" s="2" t="s">
        <v>18</v>
      </c>
      <c r="I977" s="6">
        <v>7.0000000000000007E-2</v>
      </c>
      <c r="J977" s="2" t="str">
        <f t="shared" si="15"/>
        <v>2023-05</v>
      </c>
    </row>
    <row r="978" spans="1:10" x14ac:dyDescent="0.2">
      <c r="A978" s="2" t="s">
        <v>1064</v>
      </c>
      <c r="B978" s="2" t="s">
        <v>1065</v>
      </c>
      <c r="C978" s="2" t="s">
        <v>243</v>
      </c>
      <c r="D978" s="2" t="s">
        <v>2954</v>
      </c>
      <c r="E978" s="5">
        <v>45070</v>
      </c>
      <c r="F978" s="2" t="s">
        <v>2954</v>
      </c>
      <c r="G978" s="2" t="s">
        <v>214</v>
      </c>
      <c r="H978" s="2" t="s">
        <v>224</v>
      </c>
      <c r="I978" s="6">
        <v>7.0000000000000007E-2</v>
      </c>
      <c r="J978" s="2" t="str">
        <f t="shared" si="15"/>
        <v>2023-05</v>
      </c>
    </row>
    <row r="979" spans="1:10" x14ac:dyDescent="0.2">
      <c r="A979" s="2" t="s">
        <v>1066</v>
      </c>
      <c r="B979" s="2" t="s">
        <v>277</v>
      </c>
      <c r="C979" s="2" t="s">
        <v>61</v>
      </c>
      <c r="D979" s="2" t="s">
        <v>2954</v>
      </c>
      <c r="E979" s="5">
        <v>45070</v>
      </c>
      <c r="F979" s="2">
        <v>148</v>
      </c>
      <c r="G979" s="2" t="s">
        <v>75</v>
      </c>
      <c r="H979" s="2" t="s">
        <v>278</v>
      </c>
      <c r="I979" s="6">
        <v>0.3</v>
      </c>
      <c r="J979" s="2" t="str">
        <f t="shared" si="15"/>
        <v>2023-05</v>
      </c>
    </row>
    <row r="980" spans="1:10" x14ac:dyDescent="0.2">
      <c r="A980" s="2" t="s">
        <v>1067</v>
      </c>
      <c r="B980" s="2" t="s">
        <v>538</v>
      </c>
      <c r="C980" s="2" t="s">
        <v>11</v>
      </c>
      <c r="D980" s="2">
        <v>1000</v>
      </c>
      <c r="E980" s="5">
        <v>45069</v>
      </c>
      <c r="F980" s="2" t="s">
        <v>2954</v>
      </c>
      <c r="G980" s="2" t="s">
        <v>214</v>
      </c>
      <c r="H980" s="2" t="s">
        <v>98</v>
      </c>
      <c r="I980" s="6" t="s">
        <v>2954</v>
      </c>
      <c r="J980" s="2" t="str">
        <f t="shared" si="15"/>
        <v>2023-05</v>
      </c>
    </row>
    <row r="981" spans="1:10" x14ac:dyDescent="0.2">
      <c r="A981" s="2" t="s">
        <v>654</v>
      </c>
      <c r="B981" s="2" t="s">
        <v>487</v>
      </c>
      <c r="C981" s="2" t="s">
        <v>103</v>
      </c>
      <c r="D981" s="2">
        <v>30</v>
      </c>
      <c r="E981" s="5">
        <v>45069</v>
      </c>
      <c r="F981" s="2" t="s">
        <v>2954</v>
      </c>
      <c r="G981" s="2" t="s">
        <v>17</v>
      </c>
      <c r="H981" s="2" t="s">
        <v>18</v>
      </c>
      <c r="I981" s="6" t="s">
        <v>2954</v>
      </c>
      <c r="J981" s="2" t="str">
        <f t="shared" si="15"/>
        <v>2023-05</v>
      </c>
    </row>
    <row r="982" spans="1:10" x14ac:dyDescent="0.2">
      <c r="A982" s="2" t="s">
        <v>1068</v>
      </c>
      <c r="B982" s="2" t="s">
        <v>74</v>
      </c>
      <c r="C982" s="2" t="s">
        <v>35</v>
      </c>
      <c r="D982" s="2" t="s">
        <v>2954</v>
      </c>
      <c r="E982" s="5">
        <v>45069</v>
      </c>
      <c r="F982" s="2">
        <v>542</v>
      </c>
      <c r="G982" s="2" t="s">
        <v>12</v>
      </c>
      <c r="H982" s="2" t="s">
        <v>76</v>
      </c>
      <c r="I982" s="6">
        <v>0.08</v>
      </c>
      <c r="J982" s="2" t="str">
        <f t="shared" si="15"/>
        <v>2023-05</v>
      </c>
    </row>
    <row r="983" spans="1:10" x14ac:dyDescent="0.2">
      <c r="A983" s="2" t="s">
        <v>1069</v>
      </c>
      <c r="B983" s="2" t="s">
        <v>54</v>
      </c>
      <c r="C983" s="2" t="s">
        <v>16</v>
      </c>
      <c r="D983" s="2" t="s">
        <v>2954</v>
      </c>
      <c r="E983" s="5">
        <v>45069</v>
      </c>
      <c r="F983" s="2">
        <v>119</v>
      </c>
      <c r="G983" s="2" t="s">
        <v>75</v>
      </c>
      <c r="H983" s="2" t="s">
        <v>23</v>
      </c>
      <c r="I983" s="6" t="s">
        <v>2954</v>
      </c>
      <c r="J983" s="2" t="str">
        <f t="shared" si="15"/>
        <v>2023-05</v>
      </c>
    </row>
    <row r="984" spans="1:10" x14ac:dyDescent="0.2">
      <c r="A984" s="2" t="s">
        <v>796</v>
      </c>
      <c r="B984" s="2" t="s">
        <v>362</v>
      </c>
      <c r="C984" s="2" t="s">
        <v>148</v>
      </c>
      <c r="D984" s="2">
        <v>62</v>
      </c>
      <c r="E984" s="5">
        <v>45068</v>
      </c>
      <c r="F984" s="2">
        <v>30</v>
      </c>
      <c r="G984" s="2" t="s">
        <v>17</v>
      </c>
      <c r="H984" s="2" t="s">
        <v>23</v>
      </c>
      <c r="I984" s="6" t="s">
        <v>2954</v>
      </c>
      <c r="J984" s="2" t="str">
        <f t="shared" si="15"/>
        <v>2023-05</v>
      </c>
    </row>
    <row r="985" spans="1:10" x14ac:dyDescent="0.2">
      <c r="A985" s="2" t="s">
        <v>1070</v>
      </c>
      <c r="B985" s="2" t="s">
        <v>47</v>
      </c>
      <c r="C985" s="2" t="s">
        <v>16</v>
      </c>
      <c r="D985" s="2" t="s">
        <v>2954</v>
      </c>
      <c r="E985" s="5">
        <v>45068</v>
      </c>
      <c r="F985" s="2">
        <v>20</v>
      </c>
      <c r="G985" s="2" t="s">
        <v>41</v>
      </c>
      <c r="H985" s="2" t="s">
        <v>23</v>
      </c>
      <c r="I985" s="6">
        <v>1</v>
      </c>
      <c r="J985" s="2" t="str">
        <f t="shared" si="15"/>
        <v>2023-05</v>
      </c>
    </row>
    <row r="986" spans="1:10" x14ac:dyDescent="0.2">
      <c r="A986" s="2" t="s">
        <v>1071</v>
      </c>
      <c r="B986" s="2" t="s">
        <v>1072</v>
      </c>
      <c r="C986" s="2" t="s">
        <v>32</v>
      </c>
      <c r="D986" s="2" t="s">
        <v>2954</v>
      </c>
      <c r="E986" s="5">
        <v>45068</v>
      </c>
      <c r="F986" s="2" t="s">
        <v>2954</v>
      </c>
      <c r="G986" s="2" t="s">
        <v>12</v>
      </c>
      <c r="H986" s="2" t="s">
        <v>23</v>
      </c>
      <c r="I986" s="6">
        <v>1</v>
      </c>
      <c r="J986" s="2" t="str">
        <f t="shared" si="15"/>
        <v>2023-05</v>
      </c>
    </row>
    <row r="987" spans="1:10" x14ac:dyDescent="0.2">
      <c r="A987" s="2" t="s">
        <v>1073</v>
      </c>
      <c r="B987" s="2" t="s">
        <v>89</v>
      </c>
      <c r="C987" s="2" t="s">
        <v>71</v>
      </c>
      <c r="D987" s="2" t="s">
        <v>2954</v>
      </c>
      <c r="E987" s="5">
        <v>45068</v>
      </c>
      <c r="F987" s="2">
        <v>30</v>
      </c>
      <c r="G987" s="2" t="s">
        <v>37</v>
      </c>
      <c r="H987" s="2" t="s">
        <v>23</v>
      </c>
      <c r="I987" s="6" t="s">
        <v>2954</v>
      </c>
      <c r="J987" s="2" t="str">
        <f t="shared" si="15"/>
        <v>2023-05</v>
      </c>
    </row>
    <row r="988" spans="1:10" x14ac:dyDescent="0.2">
      <c r="A988" s="2" t="s">
        <v>1074</v>
      </c>
      <c r="B988" s="2" t="s">
        <v>89</v>
      </c>
      <c r="C988" s="2" t="s">
        <v>32</v>
      </c>
      <c r="D988" s="2" t="s">
        <v>2954</v>
      </c>
      <c r="E988" s="5">
        <v>45066</v>
      </c>
      <c r="F988" s="2" t="s">
        <v>2954</v>
      </c>
      <c r="G988" s="2" t="s">
        <v>45</v>
      </c>
      <c r="H988" s="2" t="s">
        <v>23</v>
      </c>
      <c r="I988" s="6" t="s">
        <v>2954</v>
      </c>
      <c r="J988" s="2" t="str">
        <f t="shared" si="15"/>
        <v>2023-05</v>
      </c>
    </row>
    <row r="989" spans="1:10" x14ac:dyDescent="0.2">
      <c r="A989" s="2" t="s">
        <v>1075</v>
      </c>
      <c r="B989" s="2" t="s">
        <v>74</v>
      </c>
      <c r="C989" s="2" t="s">
        <v>16</v>
      </c>
      <c r="D989" s="2">
        <v>30</v>
      </c>
      <c r="E989" s="5">
        <v>45065</v>
      </c>
      <c r="F989" s="2">
        <v>150</v>
      </c>
      <c r="G989" s="2" t="s">
        <v>37</v>
      </c>
      <c r="H989" s="2" t="s">
        <v>76</v>
      </c>
      <c r="I989" s="6" t="s">
        <v>2954</v>
      </c>
      <c r="J989" s="2" t="str">
        <f t="shared" si="15"/>
        <v>2023-05</v>
      </c>
    </row>
    <row r="990" spans="1:10" x14ac:dyDescent="0.2">
      <c r="A990" s="2" t="s">
        <v>1076</v>
      </c>
      <c r="B990" s="2" t="s">
        <v>401</v>
      </c>
      <c r="C990" s="2" t="s">
        <v>16</v>
      </c>
      <c r="D990" s="2">
        <v>63</v>
      </c>
      <c r="E990" s="5">
        <v>45064</v>
      </c>
      <c r="F990" s="2">
        <v>621</v>
      </c>
      <c r="G990" s="2" t="s">
        <v>75</v>
      </c>
      <c r="H990" s="2" t="s">
        <v>23</v>
      </c>
      <c r="I990" s="6">
        <v>0.14000000000000001</v>
      </c>
      <c r="J990" s="2" t="str">
        <f t="shared" si="15"/>
        <v>2023-05</v>
      </c>
    </row>
    <row r="991" spans="1:10" x14ac:dyDescent="0.2">
      <c r="A991" s="2" t="s">
        <v>1077</v>
      </c>
      <c r="B991" s="2" t="s">
        <v>34</v>
      </c>
      <c r="C991" s="2" t="s">
        <v>50</v>
      </c>
      <c r="D991" s="2" t="s">
        <v>2954</v>
      </c>
      <c r="E991" s="5">
        <v>45064</v>
      </c>
      <c r="F991" s="2">
        <v>17</v>
      </c>
      <c r="G991" s="2" t="s">
        <v>41</v>
      </c>
      <c r="H991" s="2" t="s">
        <v>23</v>
      </c>
      <c r="I991" s="6" t="s">
        <v>2954</v>
      </c>
      <c r="J991" s="2" t="str">
        <f t="shared" si="15"/>
        <v>2023-05</v>
      </c>
    </row>
    <row r="992" spans="1:10" x14ac:dyDescent="0.2">
      <c r="A992" s="2" t="s">
        <v>1078</v>
      </c>
      <c r="B992" s="2" t="s">
        <v>80</v>
      </c>
      <c r="C992" s="2" t="s">
        <v>243</v>
      </c>
      <c r="D992" s="2" t="s">
        <v>2954</v>
      </c>
      <c r="E992" s="5">
        <v>45064</v>
      </c>
      <c r="F992" s="2">
        <v>414</v>
      </c>
      <c r="G992" s="2" t="s">
        <v>75</v>
      </c>
      <c r="H992" s="2" t="s">
        <v>23</v>
      </c>
      <c r="I992" s="6">
        <v>0.15</v>
      </c>
      <c r="J992" s="2" t="str">
        <f t="shared" si="15"/>
        <v>2023-05</v>
      </c>
    </row>
    <row r="993" spans="1:10" x14ac:dyDescent="0.2">
      <c r="A993" s="2" t="s">
        <v>1079</v>
      </c>
      <c r="B993" s="2" t="s">
        <v>15</v>
      </c>
      <c r="C993" s="2" t="s">
        <v>29</v>
      </c>
      <c r="D993" s="2" t="s">
        <v>2954</v>
      </c>
      <c r="E993" s="5">
        <v>45064</v>
      </c>
      <c r="F993" s="2">
        <v>15</v>
      </c>
      <c r="G993" s="2" t="s">
        <v>132</v>
      </c>
      <c r="H993" s="2" t="s">
        <v>18</v>
      </c>
      <c r="I993" s="6">
        <v>1</v>
      </c>
      <c r="J993" s="2" t="str">
        <f t="shared" si="15"/>
        <v>2023-05</v>
      </c>
    </row>
    <row r="994" spans="1:10" x14ac:dyDescent="0.2">
      <c r="A994" s="2" t="s">
        <v>1080</v>
      </c>
      <c r="B994" s="2" t="s">
        <v>60</v>
      </c>
      <c r="C994" s="2" t="s">
        <v>11</v>
      </c>
      <c r="D994" s="2" t="s">
        <v>2954</v>
      </c>
      <c r="E994" s="5">
        <v>45064</v>
      </c>
      <c r="F994" s="2">
        <v>150</v>
      </c>
      <c r="G994" s="2" t="s">
        <v>66</v>
      </c>
      <c r="H994" s="2" t="s">
        <v>23</v>
      </c>
      <c r="I994" s="6" t="s">
        <v>2954</v>
      </c>
      <c r="J994" s="2" t="str">
        <f t="shared" si="15"/>
        <v>2023-05</v>
      </c>
    </row>
    <row r="995" spans="1:10" x14ac:dyDescent="0.2">
      <c r="A995" s="2" t="s">
        <v>531</v>
      </c>
      <c r="B995" s="2" t="s">
        <v>64</v>
      </c>
      <c r="C995" s="2" t="s">
        <v>52</v>
      </c>
      <c r="D995" s="2" t="s">
        <v>2954</v>
      </c>
      <c r="E995" s="5">
        <v>45064</v>
      </c>
      <c r="F995" s="2">
        <v>648</v>
      </c>
      <c r="G995" s="2" t="s">
        <v>17</v>
      </c>
      <c r="H995" s="2" t="s">
        <v>23</v>
      </c>
      <c r="I995" s="6">
        <v>0.3</v>
      </c>
      <c r="J995" s="2" t="str">
        <f t="shared" si="15"/>
        <v>2023-05</v>
      </c>
    </row>
    <row r="996" spans="1:10" x14ac:dyDescent="0.2">
      <c r="A996" s="2" t="s">
        <v>231</v>
      </c>
      <c r="B996" s="2" t="s">
        <v>25</v>
      </c>
      <c r="C996" s="2" t="s">
        <v>16</v>
      </c>
      <c r="D996" s="2">
        <v>40</v>
      </c>
      <c r="E996" s="5">
        <v>45063</v>
      </c>
      <c r="F996" s="2">
        <v>480</v>
      </c>
      <c r="G996" s="2" t="s">
        <v>12</v>
      </c>
      <c r="H996" s="2" t="s">
        <v>23</v>
      </c>
      <c r="I996" s="6">
        <v>0.1</v>
      </c>
      <c r="J996" s="2" t="str">
        <f t="shared" si="15"/>
        <v>2023-05</v>
      </c>
    </row>
    <row r="997" spans="1:10" x14ac:dyDescent="0.2">
      <c r="A997" s="2" t="s">
        <v>1081</v>
      </c>
      <c r="B997" s="2" t="s">
        <v>795</v>
      </c>
      <c r="C997" s="2" t="s">
        <v>29</v>
      </c>
      <c r="D997" s="2" t="s">
        <v>2954</v>
      </c>
      <c r="E997" s="5">
        <v>45063</v>
      </c>
      <c r="F997" s="2">
        <v>425</v>
      </c>
      <c r="G997" s="2" t="s">
        <v>199</v>
      </c>
      <c r="H997" s="2" t="s">
        <v>23</v>
      </c>
      <c r="I997" s="6">
        <v>0.4</v>
      </c>
      <c r="J997" s="2" t="str">
        <f t="shared" si="15"/>
        <v>2023-05</v>
      </c>
    </row>
    <row r="998" spans="1:10" x14ac:dyDescent="0.2">
      <c r="A998" s="2" t="s">
        <v>999</v>
      </c>
      <c r="B998" s="2" t="s">
        <v>645</v>
      </c>
      <c r="C998" s="2" t="s">
        <v>32</v>
      </c>
      <c r="D998" s="2">
        <v>3000</v>
      </c>
      <c r="E998" s="5">
        <v>45062</v>
      </c>
      <c r="F998" s="2" t="s">
        <v>2954</v>
      </c>
      <c r="G998" s="2" t="s">
        <v>45</v>
      </c>
      <c r="H998" s="2" t="s">
        <v>23</v>
      </c>
      <c r="I998" s="6">
        <v>0.11</v>
      </c>
      <c r="J998" s="2" t="str">
        <f t="shared" si="15"/>
        <v>2023-05</v>
      </c>
    </row>
    <row r="999" spans="1:10" x14ac:dyDescent="0.2">
      <c r="A999" s="2" t="s">
        <v>539</v>
      </c>
      <c r="B999" s="2" t="s">
        <v>54</v>
      </c>
      <c r="C999" s="2" t="s">
        <v>16</v>
      </c>
      <c r="D999" s="2">
        <v>420</v>
      </c>
      <c r="E999" s="5">
        <v>45062</v>
      </c>
      <c r="F999" s="2">
        <v>700</v>
      </c>
      <c r="G999" s="2" t="s">
        <v>128</v>
      </c>
      <c r="H999" s="2" t="s">
        <v>55</v>
      </c>
      <c r="I999" s="6">
        <v>0.26</v>
      </c>
      <c r="J999" s="2" t="str">
        <f t="shared" si="15"/>
        <v>2023-05</v>
      </c>
    </row>
    <row r="1000" spans="1:10" x14ac:dyDescent="0.2">
      <c r="A1000" s="2" t="s">
        <v>1082</v>
      </c>
      <c r="B1000" s="2" t="s">
        <v>25</v>
      </c>
      <c r="C1000" s="2" t="s">
        <v>16</v>
      </c>
      <c r="D1000" s="2">
        <v>45</v>
      </c>
      <c r="E1000" s="5">
        <v>45062</v>
      </c>
      <c r="F1000" s="2">
        <v>481</v>
      </c>
      <c r="G1000" s="2" t="s">
        <v>17</v>
      </c>
      <c r="H1000" s="2" t="s">
        <v>23</v>
      </c>
      <c r="I1000" s="6">
        <v>0.03</v>
      </c>
      <c r="J1000" s="2" t="str">
        <f t="shared" si="15"/>
        <v>2023-05</v>
      </c>
    </row>
    <row r="1001" spans="1:10" x14ac:dyDescent="0.2">
      <c r="A1001" s="2" t="s">
        <v>1083</v>
      </c>
      <c r="B1001" s="2" t="s">
        <v>1084</v>
      </c>
      <c r="C1001" s="2" t="s">
        <v>170</v>
      </c>
      <c r="D1001" s="2" t="s">
        <v>2954</v>
      </c>
      <c r="E1001" s="5">
        <v>45062</v>
      </c>
      <c r="F1001" s="2">
        <v>7</v>
      </c>
      <c r="G1001" s="2" t="s">
        <v>12</v>
      </c>
      <c r="H1001" s="2" t="s">
        <v>23</v>
      </c>
      <c r="I1001" s="6" t="s">
        <v>2954</v>
      </c>
      <c r="J1001" s="2" t="str">
        <f t="shared" si="15"/>
        <v>2023-05</v>
      </c>
    </row>
    <row r="1002" spans="1:10" x14ac:dyDescent="0.2">
      <c r="A1002" s="2" t="s">
        <v>1085</v>
      </c>
      <c r="B1002" s="2" t="s">
        <v>661</v>
      </c>
      <c r="C1002" s="2" t="s">
        <v>16</v>
      </c>
      <c r="D1002" s="2" t="s">
        <v>2954</v>
      </c>
      <c r="E1002" s="5">
        <v>45062</v>
      </c>
      <c r="F1002" s="2">
        <v>20</v>
      </c>
      <c r="G1002" s="2" t="s">
        <v>41</v>
      </c>
      <c r="H1002" s="2" t="s">
        <v>662</v>
      </c>
      <c r="I1002" s="6">
        <v>0.85</v>
      </c>
      <c r="J1002" s="2" t="str">
        <f t="shared" si="15"/>
        <v>2023-05</v>
      </c>
    </row>
    <row r="1003" spans="1:10" x14ac:dyDescent="0.2">
      <c r="A1003" s="2" t="s">
        <v>1086</v>
      </c>
      <c r="B1003" s="2" t="s">
        <v>34</v>
      </c>
      <c r="C1003" s="2" t="s">
        <v>11</v>
      </c>
      <c r="D1003" s="2" t="s">
        <v>2954</v>
      </c>
      <c r="E1003" s="5">
        <v>45059</v>
      </c>
      <c r="F1003" s="2">
        <v>30</v>
      </c>
      <c r="G1003" s="2" t="s">
        <v>12</v>
      </c>
      <c r="H1003" s="2" t="s">
        <v>23</v>
      </c>
      <c r="I1003" s="6">
        <v>1</v>
      </c>
      <c r="J1003" s="2" t="str">
        <f t="shared" si="15"/>
        <v>2023-05</v>
      </c>
    </row>
    <row r="1004" spans="1:10" x14ac:dyDescent="0.2">
      <c r="A1004" s="2" t="s">
        <v>1087</v>
      </c>
      <c r="B1004" s="2" t="s">
        <v>34</v>
      </c>
      <c r="C1004" s="2" t="s">
        <v>52</v>
      </c>
      <c r="D1004" s="2">
        <v>340</v>
      </c>
      <c r="E1004" s="5">
        <v>45058</v>
      </c>
      <c r="F1004" s="2">
        <v>2100</v>
      </c>
      <c r="G1004" s="2" t="s">
        <v>75</v>
      </c>
      <c r="H1004" s="2" t="s">
        <v>23</v>
      </c>
      <c r="I1004" s="6">
        <v>0.3</v>
      </c>
      <c r="J1004" s="2" t="str">
        <f t="shared" si="15"/>
        <v>2023-05</v>
      </c>
    </row>
    <row r="1005" spans="1:10" x14ac:dyDescent="0.2">
      <c r="A1005" s="2" t="s">
        <v>1088</v>
      </c>
      <c r="B1005" s="2" t="s">
        <v>1089</v>
      </c>
      <c r="C1005" s="2" t="s">
        <v>52</v>
      </c>
      <c r="D1005" s="2">
        <v>172</v>
      </c>
      <c r="E1005" s="5">
        <v>45058</v>
      </c>
      <c r="F1005" s="2">
        <v>30</v>
      </c>
      <c r="G1005" s="2" t="s">
        <v>17</v>
      </c>
      <c r="H1005" s="2" t="s">
        <v>571</v>
      </c>
      <c r="I1005" s="6" t="s">
        <v>2954</v>
      </c>
      <c r="J1005" s="2" t="str">
        <f t="shared" si="15"/>
        <v>2023-05</v>
      </c>
    </row>
    <row r="1006" spans="1:10" x14ac:dyDescent="0.2">
      <c r="A1006" s="2" t="s">
        <v>1090</v>
      </c>
      <c r="B1006" s="2" t="s">
        <v>100</v>
      </c>
      <c r="C1006" s="2" t="s">
        <v>16</v>
      </c>
      <c r="D1006" s="2">
        <v>160</v>
      </c>
      <c r="E1006" s="5">
        <v>45058</v>
      </c>
      <c r="F1006" s="2">
        <v>21</v>
      </c>
      <c r="G1006" s="2" t="s">
        <v>45</v>
      </c>
      <c r="H1006" s="2" t="s">
        <v>98</v>
      </c>
      <c r="I1006" s="6">
        <v>0.35</v>
      </c>
      <c r="J1006" s="2" t="str">
        <f t="shared" si="15"/>
        <v>2023-05</v>
      </c>
    </row>
    <row r="1007" spans="1:10" x14ac:dyDescent="0.2">
      <c r="A1007" s="2" t="s">
        <v>1091</v>
      </c>
      <c r="B1007" s="2" t="s">
        <v>1092</v>
      </c>
      <c r="C1007" s="2" t="s">
        <v>142</v>
      </c>
      <c r="D1007" s="2">
        <v>79</v>
      </c>
      <c r="E1007" s="5">
        <v>45058</v>
      </c>
      <c r="F1007" s="2" t="s">
        <v>2954</v>
      </c>
      <c r="G1007" s="2" t="s">
        <v>12</v>
      </c>
      <c r="H1007" s="2" t="s">
        <v>23</v>
      </c>
      <c r="I1007" s="6">
        <v>0.33</v>
      </c>
      <c r="J1007" s="2" t="str">
        <f t="shared" si="15"/>
        <v>2023-05</v>
      </c>
    </row>
    <row r="1008" spans="1:10" x14ac:dyDescent="0.2">
      <c r="A1008" s="2" t="s">
        <v>1093</v>
      </c>
      <c r="B1008" s="2" t="s">
        <v>538</v>
      </c>
      <c r="C1008" s="2" t="s">
        <v>32</v>
      </c>
      <c r="D1008" s="2">
        <v>20</v>
      </c>
      <c r="E1008" s="5">
        <v>45058</v>
      </c>
      <c r="F1008" s="2">
        <v>87</v>
      </c>
      <c r="G1008" s="2" t="s">
        <v>66</v>
      </c>
      <c r="H1008" s="2" t="s">
        <v>98</v>
      </c>
      <c r="I1008" s="6" t="s">
        <v>2954</v>
      </c>
      <c r="J1008" s="2" t="str">
        <f t="shared" si="15"/>
        <v>2023-05</v>
      </c>
    </row>
    <row r="1009" spans="1:10" x14ac:dyDescent="0.2">
      <c r="A1009" s="2" t="s">
        <v>1094</v>
      </c>
      <c r="B1009" s="2" t="s">
        <v>34</v>
      </c>
      <c r="C1009" s="2" t="s">
        <v>632</v>
      </c>
      <c r="D1009" s="2" t="s">
        <v>2954</v>
      </c>
      <c r="E1009" s="5">
        <v>45058</v>
      </c>
      <c r="F1009" s="2">
        <v>298</v>
      </c>
      <c r="G1009" s="2" t="s">
        <v>75</v>
      </c>
      <c r="H1009" s="2" t="s">
        <v>23</v>
      </c>
      <c r="I1009" s="6">
        <v>0.1</v>
      </c>
      <c r="J1009" s="2" t="str">
        <f t="shared" si="15"/>
        <v>2023-05</v>
      </c>
    </row>
    <row r="1010" spans="1:10" x14ac:dyDescent="0.2">
      <c r="A1010" s="2" t="s">
        <v>1095</v>
      </c>
      <c r="B1010" s="2" t="s">
        <v>25</v>
      </c>
      <c r="C1010" s="2" t="s">
        <v>22</v>
      </c>
      <c r="D1010" s="2" t="s">
        <v>2954</v>
      </c>
      <c r="E1010" s="5">
        <v>45058</v>
      </c>
      <c r="F1010" s="2">
        <v>43</v>
      </c>
      <c r="G1010" s="2" t="s">
        <v>41</v>
      </c>
      <c r="H1010" s="2" t="s">
        <v>23</v>
      </c>
      <c r="I1010" s="6">
        <v>1</v>
      </c>
      <c r="J1010" s="2" t="str">
        <f t="shared" si="15"/>
        <v>2023-05</v>
      </c>
    </row>
    <row r="1011" spans="1:10" x14ac:dyDescent="0.2">
      <c r="A1011" s="2" t="s">
        <v>173</v>
      </c>
      <c r="B1011" s="2" t="s">
        <v>174</v>
      </c>
      <c r="C1011" s="2" t="s">
        <v>11</v>
      </c>
      <c r="D1011" s="2">
        <v>250</v>
      </c>
      <c r="E1011" s="5">
        <v>45057</v>
      </c>
      <c r="F1011" s="2">
        <v>31</v>
      </c>
      <c r="G1011" s="2" t="s">
        <v>45</v>
      </c>
      <c r="H1011" s="2" t="s">
        <v>175</v>
      </c>
      <c r="I1011" s="6">
        <v>0.11</v>
      </c>
      <c r="J1011" s="2" t="str">
        <f t="shared" si="15"/>
        <v>2023-05</v>
      </c>
    </row>
    <row r="1012" spans="1:10" x14ac:dyDescent="0.2">
      <c r="A1012" s="2" t="s">
        <v>1096</v>
      </c>
      <c r="B1012" s="2" t="s">
        <v>34</v>
      </c>
      <c r="C1012" s="2" t="s">
        <v>16</v>
      </c>
      <c r="D1012" s="2">
        <v>97</v>
      </c>
      <c r="E1012" s="5">
        <v>45057</v>
      </c>
      <c r="F1012" s="2">
        <v>992</v>
      </c>
      <c r="G1012" s="2" t="s">
        <v>128</v>
      </c>
      <c r="H1012" s="2" t="s">
        <v>23</v>
      </c>
      <c r="I1012" s="6" t="s">
        <v>2954</v>
      </c>
      <c r="J1012" s="2" t="str">
        <f t="shared" si="15"/>
        <v>2023-05</v>
      </c>
    </row>
    <row r="1013" spans="1:10" x14ac:dyDescent="0.2">
      <c r="A1013" s="2" t="s">
        <v>1097</v>
      </c>
      <c r="B1013" s="2" t="s">
        <v>86</v>
      </c>
      <c r="C1013" s="2" t="s">
        <v>632</v>
      </c>
      <c r="D1013" s="2" t="s">
        <v>2954</v>
      </c>
      <c r="E1013" s="5">
        <v>45057</v>
      </c>
      <c r="F1013" s="2">
        <v>233</v>
      </c>
      <c r="G1013" s="2" t="s">
        <v>17</v>
      </c>
      <c r="H1013" s="2" t="s">
        <v>23</v>
      </c>
      <c r="I1013" s="6">
        <v>0.08</v>
      </c>
      <c r="J1013" s="2" t="str">
        <f t="shared" si="15"/>
        <v>2023-05</v>
      </c>
    </row>
    <row r="1014" spans="1:10" x14ac:dyDescent="0.2">
      <c r="A1014" s="2" t="s">
        <v>27</v>
      </c>
      <c r="B1014" s="2" t="s">
        <v>28</v>
      </c>
      <c r="C1014" s="2" t="s">
        <v>29</v>
      </c>
      <c r="D1014" s="2">
        <v>158</v>
      </c>
      <c r="E1014" s="5">
        <v>45056</v>
      </c>
      <c r="F1014" s="2">
        <v>1</v>
      </c>
      <c r="G1014" s="2" t="s">
        <v>17</v>
      </c>
      <c r="H1014" s="2" t="s">
        <v>23</v>
      </c>
      <c r="I1014" s="6" t="s">
        <v>2954</v>
      </c>
      <c r="J1014" s="2" t="str">
        <f t="shared" si="15"/>
        <v>2023-05</v>
      </c>
    </row>
    <row r="1015" spans="1:10" x14ac:dyDescent="0.2">
      <c r="A1015" s="2" t="s">
        <v>1098</v>
      </c>
      <c r="B1015" s="2" t="s">
        <v>831</v>
      </c>
      <c r="C1015" s="2" t="s">
        <v>142</v>
      </c>
      <c r="D1015" s="2">
        <v>70</v>
      </c>
      <c r="E1015" s="5">
        <v>45056</v>
      </c>
      <c r="F1015" s="2">
        <v>55</v>
      </c>
      <c r="G1015" s="2" t="s">
        <v>17</v>
      </c>
      <c r="H1015" s="2" t="s">
        <v>274</v>
      </c>
      <c r="I1015" s="6">
        <v>0.23</v>
      </c>
      <c r="J1015" s="2" t="str">
        <f t="shared" si="15"/>
        <v>2023-05</v>
      </c>
    </row>
    <row r="1016" spans="1:10" x14ac:dyDescent="0.2">
      <c r="A1016" s="2" t="s">
        <v>1099</v>
      </c>
      <c r="B1016" s="2" t="s">
        <v>25</v>
      </c>
      <c r="C1016" s="2" t="s">
        <v>29</v>
      </c>
      <c r="D1016" s="2">
        <v>60</v>
      </c>
      <c r="E1016" s="5">
        <v>45056</v>
      </c>
      <c r="F1016" s="2">
        <v>235</v>
      </c>
      <c r="G1016" s="2" t="s">
        <v>17</v>
      </c>
      <c r="H1016" s="2" t="s">
        <v>23</v>
      </c>
      <c r="I1016" s="6">
        <v>0.06</v>
      </c>
      <c r="J1016" s="2" t="str">
        <f t="shared" si="15"/>
        <v>2023-05</v>
      </c>
    </row>
    <row r="1017" spans="1:10" x14ac:dyDescent="0.2">
      <c r="A1017" s="2" t="s">
        <v>649</v>
      </c>
      <c r="B1017" s="2" t="s">
        <v>25</v>
      </c>
      <c r="C1017" s="2" t="s">
        <v>84</v>
      </c>
      <c r="D1017" s="2">
        <v>58</v>
      </c>
      <c r="E1017" s="5">
        <v>45056</v>
      </c>
      <c r="F1017" s="2">
        <v>153</v>
      </c>
      <c r="G1017" s="2" t="s">
        <v>45</v>
      </c>
      <c r="H1017" s="2" t="s">
        <v>23</v>
      </c>
      <c r="I1017" s="6">
        <v>0.1</v>
      </c>
      <c r="J1017" s="2" t="str">
        <f t="shared" si="15"/>
        <v>2023-05</v>
      </c>
    </row>
    <row r="1018" spans="1:10" x14ac:dyDescent="0.2">
      <c r="A1018" s="2" t="s">
        <v>1100</v>
      </c>
      <c r="B1018" s="2" t="s">
        <v>89</v>
      </c>
      <c r="C1018" s="2" t="s">
        <v>195</v>
      </c>
      <c r="D1018" s="2">
        <v>290</v>
      </c>
      <c r="E1018" s="5">
        <v>45055</v>
      </c>
      <c r="F1018" s="2">
        <v>35</v>
      </c>
      <c r="G1018" s="2" t="s">
        <v>17</v>
      </c>
      <c r="H1018" s="2" t="s">
        <v>23</v>
      </c>
      <c r="I1018" s="6">
        <v>0.03</v>
      </c>
      <c r="J1018" s="2" t="str">
        <f t="shared" si="15"/>
        <v>2023-05</v>
      </c>
    </row>
    <row r="1019" spans="1:10" x14ac:dyDescent="0.2">
      <c r="A1019" s="2" t="s">
        <v>1101</v>
      </c>
      <c r="B1019" s="2" t="s">
        <v>318</v>
      </c>
      <c r="C1019" s="2" t="s">
        <v>195</v>
      </c>
      <c r="D1019" s="2">
        <v>100</v>
      </c>
      <c r="E1019" s="5">
        <v>45055</v>
      </c>
      <c r="F1019" s="2">
        <v>154</v>
      </c>
      <c r="G1019" s="2" t="s">
        <v>45</v>
      </c>
      <c r="H1019" s="2" t="s">
        <v>23</v>
      </c>
      <c r="I1019" s="6">
        <v>0.14000000000000001</v>
      </c>
      <c r="J1019" s="2" t="str">
        <f t="shared" si="15"/>
        <v>2023-05</v>
      </c>
    </row>
    <row r="1020" spans="1:10" x14ac:dyDescent="0.2">
      <c r="A1020" s="2" t="s">
        <v>901</v>
      </c>
      <c r="B1020" s="2" t="s">
        <v>15</v>
      </c>
      <c r="C1020" s="2" t="s">
        <v>29</v>
      </c>
      <c r="D1020" s="2">
        <v>80</v>
      </c>
      <c r="E1020" s="5">
        <v>45055</v>
      </c>
      <c r="F1020" s="2">
        <v>91</v>
      </c>
      <c r="G1020" s="2" t="s">
        <v>17</v>
      </c>
      <c r="H1020" s="2" t="s">
        <v>18</v>
      </c>
      <c r="I1020" s="6">
        <v>0.06</v>
      </c>
      <c r="J1020" s="2" t="str">
        <f t="shared" si="15"/>
        <v>2023-05</v>
      </c>
    </row>
    <row r="1021" spans="1:10" x14ac:dyDescent="0.2">
      <c r="A1021" s="2" t="s">
        <v>943</v>
      </c>
      <c r="B1021" s="2" t="s">
        <v>25</v>
      </c>
      <c r="C1021" s="2" t="s">
        <v>235</v>
      </c>
      <c r="D1021" s="2" t="s">
        <v>2954</v>
      </c>
      <c r="E1021" s="5">
        <v>45055</v>
      </c>
      <c r="F1021" s="2">
        <v>32</v>
      </c>
      <c r="G1021" s="2" t="s">
        <v>12</v>
      </c>
      <c r="H1021" s="2" t="s">
        <v>23</v>
      </c>
      <c r="I1021" s="6" t="s">
        <v>2954</v>
      </c>
      <c r="J1021" s="2" t="str">
        <f t="shared" si="15"/>
        <v>2023-05</v>
      </c>
    </row>
    <row r="1022" spans="1:10" x14ac:dyDescent="0.2">
      <c r="A1022" s="2" t="s">
        <v>1102</v>
      </c>
      <c r="B1022" s="2" t="s">
        <v>34</v>
      </c>
      <c r="C1022" s="2" t="s">
        <v>16</v>
      </c>
      <c r="D1022" s="2" t="s">
        <v>2954</v>
      </c>
      <c r="E1022" s="5">
        <v>45055</v>
      </c>
      <c r="F1022" s="2">
        <v>530</v>
      </c>
      <c r="G1022" s="2" t="s">
        <v>17</v>
      </c>
      <c r="H1022" s="2" t="s">
        <v>23</v>
      </c>
      <c r="I1022" s="6">
        <v>0.15</v>
      </c>
      <c r="J1022" s="2" t="str">
        <f t="shared" si="15"/>
        <v>2023-05</v>
      </c>
    </row>
    <row r="1023" spans="1:10" x14ac:dyDescent="0.2">
      <c r="A1023" s="2" t="s">
        <v>642</v>
      </c>
      <c r="B1023" s="2" t="s">
        <v>34</v>
      </c>
      <c r="C1023" s="2" t="s">
        <v>84</v>
      </c>
      <c r="D1023" s="2">
        <v>716</v>
      </c>
      <c r="E1023" s="5">
        <v>45054</v>
      </c>
      <c r="F1023" s="2">
        <v>154</v>
      </c>
      <c r="G1023" s="2" t="s">
        <v>45</v>
      </c>
      <c r="H1023" s="2" t="s">
        <v>23</v>
      </c>
      <c r="I1023" s="6">
        <v>0.04</v>
      </c>
      <c r="J1023" s="2" t="str">
        <f t="shared" si="15"/>
        <v>2023-05</v>
      </c>
    </row>
    <row r="1024" spans="1:10" x14ac:dyDescent="0.2">
      <c r="A1024" s="2" t="s">
        <v>770</v>
      </c>
      <c r="B1024" s="2" t="s">
        <v>100</v>
      </c>
      <c r="C1024" s="2" t="s">
        <v>61</v>
      </c>
      <c r="D1024" s="2">
        <v>100</v>
      </c>
      <c r="E1024" s="5">
        <v>45054</v>
      </c>
      <c r="F1024" s="2">
        <v>121</v>
      </c>
      <c r="G1024" s="2" t="s">
        <v>12</v>
      </c>
      <c r="H1024" s="2" t="s">
        <v>98</v>
      </c>
      <c r="I1024" s="6" t="s">
        <v>2954</v>
      </c>
      <c r="J1024" s="2" t="str">
        <f t="shared" si="15"/>
        <v>2023-05</v>
      </c>
    </row>
    <row r="1025" spans="1:10" x14ac:dyDescent="0.2">
      <c r="A1025" s="2" t="s">
        <v>1103</v>
      </c>
      <c r="B1025" s="2" t="s">
        <v>15</v>
      </c>
      <c r="C1025" s="2" t="s">
        <v>32</v>
      </c>
      <c r="D1025" s="2">
        <v>70</v>
      </c>
      <c r="E1025" s="5">
        <v>45054</v>
      </c>
      <c r="F1025" s="2" t="s">
        <v>2954</v>
      </c>
      <c r="G1025" s="2" t="s">
        <v>75</v>
      </c>
      <c r="H1025" s="2" t="s">
        <v>18</v>
      </c>
      <c r="I1025" s="6">
        <v>0.6</v>
      </c>
      <c r="J1025" s="2" t="str">
        <f t="shared" si="15"/>
        <v>2023-05</v>
      </c>
    </row>
    <row r="1026" spans="1:10" x14ac:dyDescent="0.2">
      <c r="A1026" s="2" t="s">
        <v>1104</v>
      </c>
      <c r="B1026" s="2" t="s">
        <v>25</v>
      </c>
      <c r="C1026" s="2" t="s">
        <v>16</v>
      </c>
      <c r="D1026" s="2">
        <v>5</v>
      </c>
      <c r="E1026" s="5">
        <v>45054</v>
      </c>
      <c r="F1026" s="2">
        <v>11</v>
      </c>
      <c r="G1026" s="2" t="s">
        <v>132</v>
      </c>
      <c r="H1026" s="2" t="s">
        <v>23</v>
      </c>
      <c r="I1026" s="6" t="s">
        <v>2954</v>
      </c>
      <c r="J1026" s="2" t="str">
        <f t="shared" si="15"/>
        <v>2023-05</v>
      </c>
    </row>
    <row r="1027" spans="1:10" x14ac:dyDescent="0.2">
      <c r="A1027" s="2" t="s">
        <v>1105</v>
      </c>
      <c r="B1027" s="2" t="s">
        <v>1106</v>
      </c>
      <c r="C1027" s="2" t="s">
        <v>22</v>
      </c>
      <c r="D1027" s="2" t="s">
        <v>2954</v>
      </c>
      <c r="E1027" s="5">
        <v>45054</v>
      </c>
      <c r="F1027" s="2">
        <v>27</v>
      </c>
      <c r="G1027" s="2" t="s">
        <v>12</v>
      </c>
      <c r="H1027" s="2" t="s">
        <v>274</v>
      </c>
      <c r="I1027" s="6">
        <v>1</v>
      </c>
      <c r="J1027" s="2" t="str">
        <f t="shared" ref="J1027:J1090" si="16">TEXT(E1027,"YYYY-MM")</f>
        <v>2023-05</v>
      </c>
    </row>
    <row r="1028" spans="1:10" x14ac:dyDescent="0.2">
      <c r="A1028" s="2" t="s">
        <v>1107</v>
      </c>
      <c r="B1028" s="2" t="s">
        <v>34</v>
      </c>
      <c r="C1028" s="2" t="s">
        <v>32</v>
      </c>
      <c r="D1028" s="2">
        <v>270</v>
      </c>
      <c r="E1028" s="5">
        <v>45051</v>
      </c>
      <c r="F1028" s="2">
        <v>503</v>
      </c>
      <c r="G1028" s="2" t="s">
        <v>17</v>
      </c>
      <c r="H1028" s="2" t="s">
        <v>23</v>
      </c>
      <c r="I1028" s="6">
        <v>0.25</v>
      </c>
      <c r="J1028" s="2" t="str">
        <f t="shared" si="16"/>
        <v>2023-05</v>
      </c>
    </row>
    <row r="1029" spans="1:10" x14ac:dyDescent="0.2">
      <c r="A1029" s="2" t="s">
        <v>1108</v>
      </c>
      <c r="B1029" s="2" t="s">
        <v>100</v>
      </c>
      <c r="C1029" s="2" t="s">
        <v>142</v>
      </c>
      <c r="D1029" s="2">
        <v>251</v>
      </c>
      <c r="E1029" s="5">
        <v>45051</v>
      </c>
      <c r="F1029" s="2">
        <v>1100</v>
      </c>
      <c r="G1029" s="2" t="s">
        <v>62</v>
      </c>
      <c r="H1029" s="2" t="s">
        <v>98</v>
      </c>
      <c r="I1029" s="6">
        <v>0.15</v>
      </c>
      <c r="J1029" s="2" t="str">
        <f t="shared" si="16"/>
        <v>2023-05</v>
      </c>
    </row>
    <row r="1030" spans="1:10" x14ac:dyDescent="0.2">
      <c r="A1030" s="2" t="s">
        <v>1109</v>
      </c>
      <c r="B1030" s="2" t="s">
        <v>100</v>
      </c>
      <c r="C1030" s="2" t="s">
        <v>61</v>
      </c>
      <c r="D1030" s="2">
        <v>70</v>
      </c>
      <c r="E1030" s="5">
        <v>45051</v>
      </c>
      <c r="F1030" s="2">
        <v>118</v>
      </c>
      <c r="G1030" s="2" t="s">
        <v>37</v>
      </c>
      <c r="H1030" s="2" t="s">
        <v>98</v>
      </c>
      <c r="I1030" s="6" t="s">
        <v>2954</v>
      </c>
      <c r="J1030" s="2" t="str">
        <f t="shared" si="16"/>
        <v>2023-05</v>
      </c>
    </row>
    <row r="1031" spans="1:10" x14ac:dyDescent="0.2">
      <c r="A1031" s="2" t="s">
        <v>1110</v>
      </c>
      <c r="B1031" s="2" t="s">
        <v>86</v>
      </c>
      <c r="C1031" s="2" t="s">
        <v>16</v>
      </c>
      <c r="D1031" s="2" t="s">
        <v>2954</v>
      </c>
      <c r="E1031" s="5">
        <v>45051</v>
      </c>
      <c r="F1031" s="2">
        <v>45</v>
      </c>
      <c r="G1031" s="2" t="s">
        <v>37</v>
      </c>
      <c r="H1031" s="2" t="s">
        <v>23</v>
      </c>
      <c r="I1031" s="6">
        <v>0.33</v>
      </c>
      <c r="J1031" s="2" t="str">
        <f t="shared" si="16"/>
        <v>2023-05</v>
      </c>
    </row>
    <row r="1032" spans="1:10" x14ac:dyDescent="0.2">
      <c r="A1032" s="2" t="s">
        <v>1111</v>
      </c>
      <c r="B1032" s="2" t="s">
        <v>105</v>
      </c>
      <c r="C1032" s="2" t="s">
        <v>142</v>
      </c>
      <c r="D1032" s="2">
        <v>2300</v>
      </c>
      <c r="E1032" s="5">
        <v>45050</v>
      </c>
      <c r="F1032" s="2">
        <v>122</v>
      </c>
      <c r="G1032" s="2" t="s">
        <v>17</v>
      </c>
      <c r="H1032" s="2" t="s">
        <v>106</v>
      </c>
      <c r="I1032" s="6">
        <v>0.2</v>
      </c>
      <c r="J1032" s="2" t="str">
        <f t="shared" si="16"/>
        <v>2023-05</v>
      </c>
    </row>
    <row r="1033" spans="1:10" x14ac:dyDescent="0.2">
      <c r="A1033" s="2" t="s">
        <v>1112</v>
      </c>
      <c r="B1033" s="2" t="s">
        <v>406</v>
      </c>
      <c r="C1033" s="2" t="s">
        <v>44</v>
      </c>
      <c r="D1033" s="2">
        <v>1100</v>
      </c>
      <c r="E1033" s="5">
        <v>45050</v>
      </c>
      <c r="F1033" s="2">
        <v>1700</v>
      </c>
      <c r="G1033" s="2" t="s">
        <v>17</v>
      </c>
      <c r="H1033" s="2" t="s">
        <v>23</v>
      </c>
      <c r="I1033" s="6">
        <v>0.15</v>
      </c>
      <c r="J1033" s="2" t="str">
        <f t="shared" si="16"/>
        <v>2023-05</v>
      </c>
    </row>
    <row r="1034" spans="1:10" x14ac:dyDescent="0.2">
      <c r="A1034" s="2" t="s">
        <v>1113</v>
      </c>
      <c r="B1034" s="2" t="s">
        <v>86</v>
      </c>
      <c r="C1034" s="2" t="s">
        <v>26</v>
      </c>
      <c r="D1034" s="2">
        <v>90</v>
      </c>
      <c r="E1034" s="5">
        <v>45050</v>
      </c>
      <c r="F1034" s="2" t="s">
        <v>2954</v>
      </c>
      <c r="G1034" s="2" t="s">
        <v>12</v>
      </c>
      <c r="H1034" s="2" t="s">
        <v>23</v>
      </c>
      <c r="I1034" s="6">
        <v>1</v>
      </c>
      <c r="J1034" s="2" t="str">
        <f t="shared" si="16"/>
        <v>2023-05</v>
      </c>
    </row>
    <row r="1035" spans="1:10" x14ac:dyDescent="0.2">
      <c r="A1035" s="2" t="s">
        <v>1114</v>
      </c>
      <c r="B1035" s="2" t="s">
        <v>47</v>
      </c>
      <c r="C1035" s="2" t="s">
        <v>22</v>
      </c>
      <c r="D1035" s="2">
        <v>30</v>
      </c>
      <c r="E1035" s="5">
        <v>45050</v>
      </c>
      <c r="F1035" s="2">
        <v>205</v>
      </c>
      <c r="G1035" s="2" t="s">
        <v>37</v>
      </c>
      <c r="H1035" s="2" t="s">
        <v>23</v>
      </c>
      <c r="I1035" s="6">
        <v>0.33</v>
      </c>
      <c r="J1035" s="2" t="str">
        <f t="shared" si="16"/>
        <v>2023-05</v>
      </c>
    </row>
    <row r="1036" spans="1:10" x14ac:dyDescent="0.2">
      <c r="A1036" s="2" t="s">
        <v>1115</v>
      </c>
      <c r="B1036" s="2" t="s">
        <v>15</v>
      </c>
      <c r="C1036" s="2" t="s">
        <v>16</v>
      </c>
      <c r="D1036" s="2">
        <v>30</v>
      </c>
      <c r="E1036" s="5">
        <v>45050</v>
      </c>
      <c r="F1036" s="2">
        <v>100</v>
      </c>
      <c r="G1036" s="2" t="s">
        <v>12</v>
      </c>
      <c r="H1036" s="2" t="s">
        <v>18</v>
      </c>
      <c r="I1036" s="6">
        <v>0.1</v>
      </c>
      <c r="J1036" s="2" t="str">
        <f t="shared" si="16"/>
        <v>2023-05</v>
      </c>
    </row>
    <row r="1037" spans="1:10" x14ac:dyDescent="0.2">
      <c r="A1037" s="2" t="s">
        <v>1116</v>
      </c>
      <c r="B1037" s="2" t="s">
        <v>15</v>
      </c>
      <c r="C1037" s="2" t="s">
        <v>142</v>
      </c>
      <c r="D1037" s="2">
        <v>20</v>
      </c>
      <c r="E1037" s="5">
        <v>45050</v>
      </c>
      <c r="F1037" s="2">
        <v>34</v>
      </c>
      <c r="G1037" s="2" t="s">
        <v>41</v>
      </c>
      <c r="H1037" s="2" t="s">
        <v>18</v>
      </c>
      <c r="I1037" s="6">
        <v>0.28000000000000003</v>
      </c>
      <c r="J1037" s="2" t="str">
        <f t="shared" si="16"/>
        <v>2023-05</v>
      </c>
    </row>
    <row r="1038" spans="1:10" x14ac:dyDescent="0.2">
      <c r="A1038" s="2" t="s">
        <v>1117</v>
      </c>
      <c r="B1038" s="2" t="s">
        <v>54</v>
      </c>
      <c r="C1038" s="2" t="s">
        <v>243</v>
      </c>
      <c r="D1038" s="2" t="s">
        <v>2954</v>
      </c>
      <c r="E1038" s="5">
        <v>45050</v>
      </c>
      <c r="F1038" s="2">
        <v>70</v>
      </c>
      <c r="G1038" s="2" t="s">
        <v>66</v>
      </c>
      <c r="H1038" s="2" t="s">
        <v>55</v>
      </c>
      <c r="I1038" s="6">
        <v>0.14000000000000001</v>
      </c>
      <c r="J1038" s="2" t="str">
        <f t="shared" si="16"/>
        <v>2023-05</v>
      </c>
    </row>
    <row r="1039" spans="1:10" x14ac:dyDescent="0.2">
      <c r="A1039" s="2" t="s">
        <v>456</v>
      </c>
      <c r="B1039" s="2" t="s">
        <v>34</v>
      </c>
      <c r="C1039" s="2" t="s">
        <v>29</v>
      </c>
      <c r="D1039" s="2">
        <v>600</v>
      </c>
      <c r="E1039" s="5">
        <v>45049</v>
      </c>
      <c r="F1039" s="2">
        <v>1300</v>
      </c>
      <c r="G1039" s="2" t="s">
        <v>17</v>
      </c>
      <c r="H1039" s="2" t="s">
        <v>23</v>
      </c>
      <c r="I1039" s="6">
        <v>0.08</v>
      </c>
      <c r="J1039" s="2" t="str">
        <f t="shared" si="16"/>
        <v>2023-05</v>
      </c>
    </row>
    <row r="1040" spans="1:10" x14ac:dyDescent="0.2">
      <c r="A1040" s="2" t="s">
        <v>1118</v>
      </c>
      <c r="B1040" s="2" t="s">
        <v>34</v>
      </c>
      <c r="C1040" s="2" t="s">
        <v>29</v>
      </c>
      <c r="D1040" s="2">
        <v>137</v>
      </c>
      <c r="E1040" s="5">
        <v>45049</v>
      </c>
      <c r="F1040" s="2">
        <v>168</v>
      </c>
      <c r="G1040" s="2" t="s">
        <v>17</v>
      </c>
      <c r="H1040" s="2" t="s">
        <v>23</v>
      </c>
      <c r="I1040" s="6">
        <v>0.15</v>
      </c>
      <c r="J1040" s="2" t="str">
        <f t="shared" si="16"/>
        <v>2023-05</v>
      </c>
    </row>
    <row r="1041" spans="1:10" x14ac:dyDescent="0.2">
      <c r="A1041" s="2" t="s">
        <v>1119</v>
      </c>
      <c r="B1041" s="2" t="s">
        <v>398</v>
      </c>
      <c r="C1041" s="2" t="s">
        <v>52</v>
      </c>
      <c r="D1041" s="2">
        <v>100</v>
      </c>
      <c r="E1041" s="5">
        <v>45049</v>
      </c>
      <c r="F1041" s="2">
        <v>1300</v>
      </c>
      <c r="G1041" s="2" t="s">
        <v>58</v>
      </c>
      <c r="H1041" s="2" t="s">
        <v>399</v>
      </c>
      <c r="I1041" s="6" t="s">
        <v>2954</v>
      </c>
      <c r="J1041" s="2" t="str">
        <f t="shared" si="16"/>
        <v>2023-05</v>
      </c>
    </row>
    <row r="1042" spans="1:10" x14ac:dyDescent="0.2">
      <c r="A1042" s="2" t="s">
        <v>1120</v>
      </c>
      <c r="B1042" s="2" t="s">
        <v>89</v>
      </c>
      <c r="C1042" s="2" t="s">
        <v>26</v>
      </c>
      <c r="D1042" s="2">
        <v>70</v>
      </c>
      <c r="E1042" s="5">
        <v>45049</v>
      </c>
      <c r="F1042" s="2">
        <v>145</v>
      </c>
      <c r="G1042" s="2" t="s">
        <v>17</v>
      </c>
      <c r="H1042" s="2" t="s">
        <v>23</v>
      </c>
      <c r="I1042" s="6">
        <v>0.1</v>
      </c>
      <c r="J1042" s="2" t="str">
        <f t="shared" si="16"/>
        <v>2023-05</v>
      </c>
    </row>
    <row r="1043" spans="1:10" x14ac:dyDescent="0.2">
      <c r="A1043" s="2" t="s">
        <v>1121</v>
      </c>
      <c r="B1043" s="2" t="s">
        <v>15</v>
      </c>
      <c r="C1043" s="2" t="s">
        <v>32</v>
      </c>
      <c r="D1043" s="2">
        <v>70</v>
      </c>
      <c r="E1043" s="5">
        <v>45049</v>
      </c>
      <c r="F1043" s="2">
        <v>185</v>
      </c>
      <c r="G1043" s="2" t="s">
        <v>75</v>
      </c>
      <c r="H1043" s="2" t="s">
        <v>23</v>
      </c>
      <c r="I1043" s="6">
        <v>0.33</v>
      </c>
      <c r="J1043" s="2" t="str">
        <f t="shared" si="16"/>
        <v>2023-05</v>
      </c>
    </row>
    <row r="1044" spans="1:10" x14ac:dyDescent="0.2">
      <c r="A1044" s="2" t="s">
        <v>1122</v>
      </c>
      <c r="B1044" s="2" t="s">
        <v>34</v>
      </c>
      <c r="C1044" s="2" t="s">
        <v>29</v>
      </c>
      <c r="D1044" s="2">
        <v>27</v>
      </c>
      <c r="E1044" s="5">
        <v>45049</v>
      </c>
      <c r="F1044" s="2">
        <v>974</v>
      </c>
      <c r="G1044" s="2" t="s">
        <v>45</v>
      </c>
      <c r="H1044" s="2" t="s">
        <v>23</v>
      </c>
      <c r="I1044" s="6" t="s">
        <v>2954</v>
      </c>
      <c r="J1044" s="2" t="str">
        <f t="shared" si="16"/>
        <v>2023-05</v>
      </c>
    </row>
    <row r="1045" spans="1:10" x14ac:dyDescent="0.2">
      <c r="A1045" s="2" t="s">
        <v>1123</v>
      </c>
      <c r="B1045" s="2" t="s">
        <v>25</v>
      </c>
      <c r="C1045" s="2" t="s">
        <v>235</v>
      </c>
      <c r="D1045" s="2">
        <v>22</v>
      </c>
      <c r="E1045" s="5">
        <v>45049</v>
      </c>
      <c r="F1045" s="2">
        <v>28</v>
      </c>
      <c r="G1045" s="2" t="s">
        <v>66</v>
      </c>
      <c r="H1045" s="2" t="s">
        <v>23</v>
      </c>
      <c r="I1045" s="6">
        <v>0.13</v>
      </c>
      <c r="J1045" s="2" t="str">
        <f t="shared" si="16"/>
        <v>2023-05</v>
      </c>
    </row>
    <row r="1046" spans="1:10" x14ac:dyDescent="0.2">
      <c r="A1046" s="2" t="s">
        <v>1124</v>
      </c>
      <c r="B1046" s="2" t="s">
        <v>34</v>
      </c>
      <c r="C1046" s="2" t="s">
        <v>32</v>
      </c>
      <c r="D1046" s="2" t="s">
        <v>2954</v>
      </c>
      <c r="E1046" s="5">
        <v>45049</v>
      </c>
      <c r="F1046" s="2">
        <v>212</v>
      </c>
      <c r="G1046" s="2" t="s">
        <v>66</v>
      </c>
      <c r="H1046" s="2" t="s">
        <v>23</v>
      </c>
      <c r="I1046" s="6">
        <v>0.2</v>
      </c>
      <c r="J1046" s="2" t="str">
        <f t="shared" si="16"/>
        <v>2023-05</v>
      </c>
    </row>
    <row r="1047" spans="1:10" x14ac:dyDescent="0.2">
      <c r="A1047" s="2" t="s">
        <v>1125</v>
      </c>
      <c r="B1047" s="2" t="s">
        <v>250</v>
      </c>
      <c r="C1047" s="2" t="s">
        <v>195</v>
      </c>
      <c r="D1047" s="2">
        <v>50</v>
      </c>
      <c r="E1047" s="5">
        <v>45048</v>
      </c>
      <c r="F1047" s="2">
        <v>146</v>
      </c>
      <c r="G1047" s="2" t="s">
        <v>37</v>
      </c>
      <c r="H1047" s="2" t="s">
        <v>23</v>
      </c>
      <c r="I1047" s="6">
        <v>0.13</v>
      </c>
      <c r="J1047" s="2" t="str">
        <f t="shared" si="16"/>
        <v>2023-05</v>
      </c>
    </row>
    <row r="1048" spans="1:10" x14ac:dyDescent="0.2">
      <c r="A1048" s="2" t="s">
        <v>1126</v>
      </c>
      <c r="B1048" s="2" t="s">
        <v>273</v>
      </c>
      <c r="C1048" s="2" t="s">
        <v>52</v>
      </c>
      <c r="D1048" s="2">
        <v>27</v>
      </c>
      <c r="E1048" s="5">
        <v>45048</v>
      </c>
      <c r="F1048" s="2">
        <v>105</v>
      </c>
      <c r="G1048" s="2" t="s">
        <v>37</v>
      </c>
      <c r="H1048" s="2" t="s">
        <v>274</v>
      </c>
      <c r="I1048" s="6">
        <v>0.08</v>
      </c>
      <c r="J1048" s="2" t="str">
        <f t="shared" si="16"/>
        <v>2023-05</v>
      </c>
    </row>
    <row r="1049" spans="1:10" x14ac:dyDescent="0.2">
      <c r="A1049" s="2" t="s">
        <v>1127</v>
      </c>
      <c r="B1049" s="2" t="s">
        <v>162</v>
      </c>
      <c r="C1049" s="2" t="s">
        <v>243</v>
      </c>
      <c r="D1049" s="2" t="s">
        <v>2954</v>
      </c>
      <c r="E1049" s="5">
        <v>45048</v>
      </c>
      <c r="F1049" s="2" t="s">
        <v>2954</v>
      </c>
      <c r="G1049" s="2" t="s">
        <v>132</v>
      </c>
      <c r="H1049" s="2" t="s">
        <v>163</v>
      </c>
      <c r="I1049" s="6">
        <v>1</v>
      </c>
      <c r="J1049" s="2" t="str">
        <f t="shared" si="16"/>
        <v>2023-05</v>
      </c>
    </row>
    <row r="1050" spans="1:10" x14ac:dyDescent="0.2">
      <c r="A1050" s="2" t="s">
        <v>908</v>
      </c>
      <c r="B1050" s="2" t="s">
        <v>693</v>
      </c>
      <c r="C1050" s="2" t="s">
        <v>243</v>
      </c>
      <c r="D1050" s="2">
        <v>250</v>
      </c>
      <c r="E1050" s="5">
        <v>45047</v>
      </c>
      <c r="F1050" s="2" t="s">
        <v>2954</v>
      </c>
      <c r="G1050" s="2" t="s">
        <v>12</v>
      </c>
      <c r="H1050" s="2" t="s">
        <v>23</v>
      </c>
      <c r="I1050" s="6" t="s">
        <v>2954</v>
      </c>
      <c r="J1050" s="2" t="str">
        <f t="shared" si="16"/>
        <v>2023-05</v>
      </c>
    </row>
    <row r="1051" spans="1:10" x14ac:dyDescent="0.2">
      <c r="A1051" s="2" t="s">
        <v>1128</v>
      </c>
      <c r="B1051" s="2" t="s">
        <v>25</v>
      </c>
      <c r="C1051" s="2" t="s">
        <v>148</v>
      </c>
      <c r="D1051" s="2">
        <v>34</v>
      </c>
      <c r="E1051" s="5">
        <v>45047</v>
      </c>
      <c r="F1051" s="2">
        <v>114</v>
      </c>
      <c r="G1051" s="2" t="s">
        <v>37</v>
      </c>
      <c r="H1051" s="2" t="s">
        <v>23</v>
      </c>
      <c r="I1051" s="6" t="s">
        <v>2954</v>
      </c>
      <c r="J1051" s="2" t="str">
        <f t="shared" si="16"/>
        <v>2023-05</v>
      </c>
    </row>
    <row r="1052" spans="1:10" x14ac:dyDescent="0.2">
      <c r="A1052" s="2" t="s">
        <v>1129</v>
      </c>
      <c r="B1052" s="2" t="s">
        <v>538</v>
      </c>
      <c r="C1052" s="2" t="s">
        <v>32</v>
      </c>
      <c r="D1052" s="2" t="s">
        <v>2954</v>
      </c>
      <c r="E1052" s="5">
        <v>45047</v>
      </c>
      <c r="F1052" s="2">
        <v>1600</v>
      </c>
      <c r="G1052" s="2" t="s">
        <v>12</v>
      </c>
      <c r="H1052" s="2" t="s">
        <v>98</v>
      </c>
      <c r="I1052" s="6" t="s">
        <v>2954</v>
      </c>
      <c r="J1052" s="2" t="str">
        <f t="shared" si="16"/>
        <v>2023-05</v>
      </c>
    </row>
    <row r="1053" spans="1:10" x14ac:dyDescent="0.2">
      <c r="A1053" s="2" t="s">
        <v>1130</v>
      </c>
      <c r="B1053" s="2" t="s">
        <v>100</v>
      </c>
      <c r="C1053" s="2" t="s">
        <v>61</v>
      </c>
      <c r="D1053" s="2">
        <v>150</v>
      </c>
      <c r="E1053" s="5">
        <v>45046</v>
      </c>
      <c r="F1053" s="2">
        <v>2</v>
      </c>
      <c r="G1053" s="2" t="s">
        <v>132</v>
      </c>
      <c r="H1053" s="2" t="s">
        <v>98</v>
      </c>
      <c r="I1053" s="6" t="s">
        <v>2954</v>
      </c>
      <c r="J1053" s="2" t="str">
        <f t="shared" si="16"/>
        <v>2023-04</v>
      </c>
    </row>
    <row r="1054" spans="1:10" x14ac:dyDescent="0.2">
      <c r="A1054" s="2" t="s">
        <v>1131</v>
      </c>
      <c r="B1054" s="2" t="s">
        <v>97</v>
      </c>
      <c r="C1054" s="2" t="s">
        <v>243</v>
      </c>
      <c r="D1054" s="2">
        <v>177</v>
      </c>
      <c r="E1054" s="5">
        <v>45045</v>
      </c>
      <c r="F1054" s="2" t="s">
        <v>2954</v>
      </c>
      <c r="G1054" s="2" t="s">
        <v>12</v>
      </c>
      <c r="H1054" s="2" t="s">
        <v>98</v>
      </c>
      <c r="I1054" s="6" t="s">
        <v>2954</v>
      </c>
      <c r="J1054" s="2" t="str">
        <f t="shared" si="16"/>
        <v>2023-04</v>
      </c>
    </row>
    <row r="1055" spans="1:10" x14ac:dyDescent="0.2">
      <c r="A1055" s="2" t="s">
        <v>63</v>
      </c>
      <c r="B1055" s="2" t="s">
        <v>64</v>
      </c>
      <c r="C1055" s="2" t="s">
        <v>32</v>
      </c>
      <c r="D1055" s="2">
        <v>326</v>
      </c>
      <c r="E1055" s="5">
        <v>45044</v>
      </c>
      <c r="F1055" s="2">
        <v>899</v>
      </c>
      <c r="G1055" s="2" t="s">
        <v>17</v>
      </c>
      <c r="H1055" s="2" t="s">
        <v>23</v>
      </c>
      <c r="I1055" s="6">
        <v>0.3</v>
      </c>
      <c r="J1055" s="2" t="str">
        <f t="shared" si="16"/>
        <v>2023-04</v>
      </c>
    </row>
    <row r="1056" spans="1:10" x14ac:dyDescent="0.2">
      <c r="A1056" s="2" t="s">
        <v>689</v>
      </c>
      <c r="B1056" s="2" t="s">
        <v>74</v>
      </c>
      <c r="C1056" s="2" t="s">
        <v>16</v>
      </c>
      <c r="D1056" s="2">
        <v>71</v>
      </c>
      <c r="E1056" s="5">
        <v>45044</v>
      </c>
      <c r="F1056" s="2">
        <v>1700</v>
      </c>
      <c r="G1056" s="2" t="s">
        <v>128</v>
      </c>
      <c r="H1056" s="2" t="s">
        <v>23</v>
      </c>
      <c r="I1056" s="6">
        <v>0.04</v>
      </c>
      <c r="J1056" s="2" t="str">
        <f t="shared" si="16"/>
        <v>2023-04</v>
      </c>
    </row>
    <row r="1057" spans="1:10" x14ac:dyDescent="0.2">
      <c r="A1057" s="2" t="s">
        <v>1132</v>
      </c>
      <c r="B1057" s="2" t="s">
        <v>89</v>
      </c>
      <c r="C1057" s="2" t="s">
        <v>32</v>
      </c>
      <c r="D1057" s="2">
        <v>28</v>
      </c>
      <c r="E1057" s="5">
        <v>45044</v>
      </c>
      <c r="F1057" s="2">
        <v>94</v>
      </c>
      <c r="G1057" s="2" t="s">
        <v>37</v>
      </c>
      <c r="H1057" s="2" t="s">
        <v>23</v>
      </c>
      <c r="I1057" s="6" t="s">
        <v>2954</v>
      </c>
      <c r="J1057" s="2" t="str">
        <f t="shared" si="16"/>
        <v>2023-04</v>
      </c>
    </row>
    <row r="1058" spans="1:10" x14ac:dyDescent="0.2">
      <c r="A1058" s="2" t="s">
        <v>1133</v>
      </c>
      <c r="B1058" s="2" t="s">
        <v>47</v>
      </c>
      <c r="C1058" s="2" t="s">
        <v>35</v>
      </c>
      <c r="D1058" s="2" t="s">
        <v>2954</v>
      </c>
      <c r="E1058" s="5">
        <v>45044</v>
      </c>
      <c r="F1058" s="2">
        <v>15</v>
      </c>
      <c r="G1058" s="2" t="s">
        <v>41</v>
      </c>
      <c r="H1058" s="2" t="s">
        <v>23</v>
      </c>
      <c r="I1058" s="6">
        <v>1</v>
      </c>
      <c r="J1058" s="2" t="str">
        <f t="shared" si="16"/>
        <v>2023-04</v>
      </c>
    </row>
    <row r="1059" spans="1:10" x14ac:dyDescent="0.2">
      <c r="A1059" s="2" t="s">
        <v>1134</v>
      </c>
      <c r="B1059" s="2" t="s">
        <v>831</v>
      </c>
      <c r="C1059" s="2" t="s">
        <v>11</v>
      </c>
      <c r="D1059" s="2" t="s">
        <v>2954</v>
      </c>
      <c r="E1059" s="5">
        <v>45044</v>
      </c>
      <c r="F1059" s="2" t="s">
        <v>2954</v>
      </c>
      <c r="G1059" s="2" t="s">
        <v>12</v>
      </c>
      <c r="H1059" s="2" t="s">
        <v>274</v>
      </c>
      <c r="I1059" s="6">
        <v>1</v>
      </c>
      <c r="J1059" s="2" t="str">
        <f t="shared" si="16"/>
        <v>2023-04</v>
      </c>
    </row>
    <row r="1060" spans="1:10" x14ac:dyDescent="0.2">
      <c r="A1060" s="2" t="s">
        <v>1135</v>
      </c>
      <c r="B1060" s="2" t="s">
        <v>34</v>
      </c>
      <c r="C1060" s="2" t="s">
        <v>29</v>
      </c>
      <c r="D1060" s="2">
        <v>500</v>
      </c>
      <c r="E1060" s="5">
        <v>45043</v>
      </c>
      <c r="F1060" s="2">
        <v>1700</v>
      </c>
      <c r="G1060" s="2" t="s">
        <v>17</v>
      </c>
      <c r="H1060" s="2" t="s">
        <v>23</v>
      </c>
      <c r="I1060" s="6">
        <v>0.16</v>
      </c>
      <c r="J1060" s="2" t="str">
        <f t="shared" si="16"/>
        <v>2023-04</v>
      </c>
    </row>
    <row r="1061" spans="1:10" x14ac:dyDescent="0.2">
      <c r="A1061" s="2" t="s">
        <v>1136</v>
      </c>
      <c r="B1061" s="2" t="s">
        <v>47</v>
      </c>
      <c r="C1061" s="2" t="s">
        <v>243</v>
      </c>
      <c r="D1061" s="2">
        <v>320</v>
      </c>
      <c r="E1061" s="5">
        <v>45043</v>
      </c>
      <c r="F1061" s="2">
        <v>613</v>
      </c>
      <c r="G1061" s="2" t="s">
        <v>17</v>
      </c>
      <c r="H1061" s="2" t="s">
        <v>23</v>
      </c>
      <c r="I1061" s="6">
        <v>0.11</v>
      </c>
      <c r="J1061" s="2" t="str">
        <f t="shared" si="16"/>
        <v>2023-04</v>
      </c>
    </row>
    <row r="1062" spans="1:10" x14ac:dyDescent="0.2">
      <c r="A1062" s="2" t="s">
        <v>388</v>
      </c>
      <c r="B1062" s="2" t="s">
        <v>25</v>
      </c>
      <c r="C1062" s="2" t="s">
        <v>52</v>
      </c>
      <c r="D1062" s="2">
        <v>120</v>
      </c>
      <c r="E1062" s="5">
        <v>45043</v>
      </c>
      <c r="F1062" s="2">
        <v>1300</v>
      </c>
      <c r="G1062" s="2" t="s">
        <v>17</v>
      </c>
      <c r="H1062" s="2" t="s">
        <v>23</v>
      </c>
      <c r="I1062" s="6">
        <v>0.11</v>
      </c>
      <c r="J1062" s="2" t="str">
        <f t="shared" si="16"/>
        <v>2023-04</v>
      </c>
    </row>
    <row r="1063" spans="1:10" x14ac:dyDescent="0.2">
      <c r="A1063" s="2" t="s">
        <v>1137</v>
      </c>
      <c r="B1063" s="2" t="s">
        <v>25</v>
      </c>
      <c r="C1063" s="2" t="s">
        <v>84</v>
      </c>
      <c r="D1063" s="2">
        <v>100</v>
      </c>
      <c r="E1063" s="5">
        <v>45043</v>
      </c>
      <c r="F1063" s="2">
        <v>110</v>
      </c>
      <c r="G1063" s="2" t="s">
        <v>199</v>
      </c>
      <c r="H1063" s="2" t="s">
        <v>23</v>
      </c>
      <c r="I1063" s="6">
        <v>0.12</v>
      </c>
      <c r="J1063" s="2" t="str">
        <f t="shared" si="16"/>
        <v>2023-04</v>
      </c>
    </row>
    <row r="1064" spans="1:10" x14ac:dyDescent="0.2">
      <c r="A1064" s="2" t="s">
        <v>1138</v>
      </c>
      <c r="B1064" s="2" t="s">
        <v>401</v>
      </c>
      <c r="C1064" s="2" t="s">
        <v>243</v>
      </c>
      <c r="D1064" s="2">
        <v>90</v>
      </c>
      <c r="E1064" s="5">
        <v>45043</v>
      </c>
      <c r="F1064" s="2">
        <v>150</v>
      </c>
      <c r="G1064" s="2" t="s">
        <v>37</v>
      </c>
      <c r="H1064" s="2" t="s">
        <v>23</v>
      </c>
      <c r="I1064" s="6" t="s">
        <v>2954</v>
      </c>
      <c r="J1064" s="2" t="str">
        <f t="shared" si="16"/>
        <v>2023-04</v>
      </c>
    </row>
    <row r="1065" spans="1:10" x14ac:dyDescent="0.2">
      <c r="A1065" s="2" t="s">
        <v>1139</v>
      </c>
      <c r="B1065" s="2" t="s">
        <v>60</v>
      </c>
      <c r="C1065" s="2" t="s">
        <v>68</v>
      </c>
      <c r="D1065" s="2">
        <v>85</v>
      </c>
      <c r="E1065" s="5">
        <v>45043</v>
      </c>
      <c r="F1065" s="2">
        <v>30</v>
      </c>
      <c r="G1065" s="2" t="s">
        <v>45</v>
      </c>
      <c r="H1065" s="2" t="s">
        <v>23</v>
      </c>
      <c r="I1065" s="6" t="s">
        <v>2954</v>
      </c>
      <c r="J1065" s="2" t="str">
        <f t="shared" si="16"/>
        <v>2023-04</v>
      </c>
    </row>
    <row r="1066" spans="1:10" x14ac:dyDescent="0.2">
      <c r="A1066" s="2" t="s">
        <v>1140</v>
      </c>
      <c r="B1066" s="2" t="s">
        <v>1106</v>
      </c>
      <c r="C1066" s="2" t="s">
        <v>48</v>
      </c>
      <c r="D1066" s="2">
        <v>50</v>
      </c>
      <c r="E1066" s="5">
        <v>45043</v>
      </c>
      <c r="F1066" s="2">
        <v>98</v>
      </c>
      <c r="G1066" s="2" t="s">
        <v>17</v>
      </c>
      <c r="H1066" s="2" t="s">
        <v>274</v>
      </c>
      <c r="I1066" s="6">
        <v>0.16</v>
      </c>
      <c r="J1066" s="2" t="str">
        <f t="shared" si="16"/>
        <v>2023-04</v>
      </c>
    </row>
    <row r="1067" spans="1:10" x14ac:dyDescent="0.2">
      <c r="A1067" s="2" t="s">
        <v>1141</v>
      </c>
      <c r="B1067" s="2" t="s">
        <v>273</v>
      </c>
      <c r="C1067" s="2" t="s">
        <v>142</v>
      </c>
      <c r="D1067" s="2">
        <v>45</v>
      </c>
      <c r="E1067" s="5">
        <v>45043</v>
      </c>
      <c r="F1067" s="2">
        <v>26</v>
      </c>
      <c r="G1067" s="2" t="s">
        <v>66</v>
      </c>
      <c r="H1067" s="2" t="s">
        <v>274</v>
      </c>
      <c r="I1067" s="6">
        <v>0.2</v>
      </c>
      <c r="J1067" s="2" t="str">
        <f t="shared" si="16"/>
        <v>2023-04</v>
      </c>
    </row>
    <row r="1068" spans="1:10" x14ac:dyDescent="0.2">
      <c r="A1068" s="2" t="s">
        <v>435</v>
      </c>
      <c r="B1068" s="2" t="s">
        <v>25</v>
      </c>
      <c r="C1068" s="2" t="s">
        <v>29</v>
      </c>
      <c r="D1068" s="2">
        <v>43</v>
      </c>
      <c r="E1068" s="5">
        <v>45043</v>
      </c>
      <c r="F1068" s="2">
        <v>140</v>
      </c>
      <c r="G1068" s="2" t="s">
        <v>37</v>
      </c>
      <c r="H1068" s="2" t="s">
        <v>23</v>
      </c>
      <c r="I1068" s="6">
        <v>0.14000000000000001</v>
      </c>
      <c r="J1068" s="2" t="str">
        <f t="shared" si="16"/>
        <v>2023-04</v>
      </c>
    </row>
    <row r="1069" spans="1:10" x14ac:dyDescent="0.2">
      <c r="A1069" s="2" t="s">
        <v>1142</v>
      </c>
      <c r="B1069" s="2" t="s">
        <v>100</v>
      </c>
      <c r="C1069" s="2" t="s">
        <v>16</v>
      </c>
      <c r="D1069" s="2">
        <v>29</v>
      </c>
      <c r="E1069" s="5">
        <v>45043</v>
      </c>
      <c r="F1069" s="2">
        <v>5</v>
      </c>
      <c r="G1069" s="2" t="s">
        <v>132</v>
      </c>
      <c r="H1069" s="2" t="s">
        <v>98</v>
      </c>
      <c r="I1069" s="6">
        <v>0.28999999999999998</v>
      </c>
      <c r="J1069" s="2" t="str">
        <f t="shared" si="16"/>
        <v>2023-04</v>
      </c>
    </row>
    <row r="1070" spans="1:10" x14ac:dyDescent="0.2">
      <c r="A1070" s="2" t="s">
        <v>1143</v>
      </c>
      <c r="B1070" s="2" t="s">
        <v>34</v>
      </c>
      <c r="C1070" s="2" t="s">
        <v>35</v>
      </c>
      <c r="D1070" s="2" t="s">
        <v>2954</v>
      </c>
      <c r="E1070" s="5">
        <v>45043</v>
      </c>
      <c r="F1070" s="2">
        <v>110</v>
      </c>
      <c r="G1070" s="2" t="s">
        <v>66</v>
      </c>
      <c r="H1070" s="2" t="s">
        <v>23</v>
      </c>
      <c r="I1070" s="6">
        <v>0.5</v>
      </c>
      <c r="J1070" s="2" t="str">
        <f t="shared" si="16"/>
        <v>2023-04</v>
      </c>
    </row>
    <row r="1071" spans="1:10" x14ac:dyDescent="0.2">
      <c r="A1071" s="2" t="s">
        <v>1144</v>
      </c>
      <c r="B1071" s="2" t="s">
        <v>217</v>
      </c>
      <c r="C1071" s="2" t="s">
        <v>11</v>
      </c>
      <c r="D1071" s="2" t="s">
        <v>2954</v>
      </c>
      <c r="E1071" s="5">
        <v>45043</v>
      </c>
      <c r="F1071" s="2">
        <v>9</v>
      </c>
      <c r="G1071" s="2" t="s">
        <v>37</v>
      </c>
      <c r="H1071" s="2" t="s">
        <v>217</v>
      </c>
      <c r="I1071" s="6">
        <v>0.25</v>
      </c>
      <c r="J1071" s="2" t="str">
        <f t="shared" si="16"/>
        <v>2023-04</v>
      </c>
    </row>
    <row r="1072" spans="1:10" x14ac:dyDescent="0.2">
      <c r="A1072" s="2" t="s">
        <v>1145</v>
      </c>
      <c r="B1072" s="2" t="s">
        <v>481</v>
      </c>
      <c r="C1072" s="2" t="s">
        <v>61</v>
      </c>
      <c r="D1072" s="2">
        <v>300</v>
      </c>
      <c r="E1072" s="5">
        <v>45042</v>
      </c>
      <c r="F1072" s="2" t="s">
        <v>2954</v>
      </c>
      <c r="G1072" s="2" t="s">
        <v>12</v>
      </c>
      <c r="H1072" s="2" t="s">
        <v>98</v>
      </c>
      <c r="I1072" s="6" t="s">
        <v>2954</v>
      </c>
      <c r="J1072" s="2" t="str">
        <f t="shared" si="16"/>
        <v>2023-04</v>
      </c>
    </row>
    <row r="1073" spans="1:10" x14ac:dyDescent="0.2">
      <c r="A1073" s="2" t="s">
        <v>1146</v>
      </c>
      <c r="B1073" s="2" t="s">
        <v>25</v>
      </c>
      <c r="C1073" s="2" t="s">
        <v>16</v>
      </c>
      <c r="D1073" s="2">
        <v>30</v>
      </c>
      <c r="E1073" s="5">
        <v>45042</v>
      </c>
      <c r="F1073" s="2">
        <v>79</v>
      </c>
      <c r="G1073" s="2" t="s">
        <v>37</v>
      </c>
      <c r="H1073" s="2" t="s">
        <v>23</v>
      </c>
      <c r="I1073" s="6">
        <v>0.33</v>
      </c>
      <c r="J1073" s="2" t="str">
        <f t="shared" si="16"/>
        <v>2023-04</v>
      </c>
    </row>
    <row r="1074" spans="1:10" x14ac:dyDescent="0.2">
      <c r="A1074" s="2" t="s">
        <v>1147</v>
      </c>
      <c r="B1074" s="2" t="s">
        <v>188</v>
      </c>
      <c r="C1074" s="2" t="s">
        <v>363</v>
      </c>
      <c r="D1074" s="2" t="s">
        <v>2954</v>
      </c>
      <c r="E1074" s="5">
        <v>45042</v>
      </c>
      <c r="F1074" s="2">
        <v>163</v>
      </c>
      <c r="G1074" s="2" t="s">
        <v>37</v>
      </c>
      <c r="H1074" s="2" t="s">
        <v>106</v>
      </c>
      <c r="I1074" s="6">
        <v>1</v>
      </c>
      <c r="J1074" s="2" t="str">
        <f t="shared" si="16"/>
        <v>2023-04</v>
      </c>
    </row>
    <row r="1075" spans="1:10" x14ac:dyDescent="0.2">
      <c r="A1075" s="2" t="s">
        <v>900</v>
      </c>
      <c r="B1075" s="2" t="s">
        <v>266</v>
      </c>
      <c r="C1075" s="2" t="s">
        <v>61</v>
      </c>
      <c r="D1075" s="2">
        <v>400</v>
      </c>
      <c r="E1075" s="5">
        <v>45041</v>
      </c>
      <c r="F1075" s="2">
        <v>17</v>
      </c>
      <c r="G1075" s="2" t="s">
        <v>41</v>
      </c>
      <c r="H1075" s="2" t="s">
        <v>98</v>
      </c>
      <c r="I1075" s="6" t="s">
        <v>2954</v>
      </c>
      <c r="J1075" s="2" t="str">
        <f t="shared" si="16"/>
        <v>2023-04</v>
      </c>
    </row>
    <row r="1076" spans="1:10" x14ac:dyDescent="0.2">
      <c r="A1076" s="2" t="s">
        <v>1148</v>
      </c>
      <c r="B1076" s="2" t="s">
        <v>34</v>
      </c>
      <c r="C1076" s="2" t="s">
        <v>16</v>
      </c>
      <c r="D1076" s="2">
        <v>115</v>
      </c>
      <c r="E1076" s="5">
        <v>45041</v>
      </c>
      <c r="F1076" s="2">
        <v>272</v>
      </c>
      <c r="G1076" s="2" t="s">
        <v>75</v>
      </c>
      <c r="H1076" s="2" t="s">
        <v>23</v>
      </c>
      <c r="I1076" s="6">
        <v>0.5</v>
      </c>
      <c r="J1076" s="2" t="str">
        <f t="shared" si="16"/>
        <v>2023-04</v>
      </c>
    </row>
    <row r="1077" spans="1:10" x14ac:dyDescent="0.2">
      <c r="A1077" s="2" t="s">
        <v>1148</v>
      </c>
      <c r="B1077" s="2" t="s">
        <v>34</v>
      </c>
      <c r="C1077" s="2" t="s">
        <v>16</v>
      </c>
      <c r="D1077" s="2">
        <v>70</v>
      </c>
      <c r="E1077" s="5">
        <v>45041</v>
      </c>
      <c r="F1077" s="2">
        <v>272</v>
      </c>
      <c r="G1077" s="2" t="s">
        <v>75</v>
      </c>
      <c r="H1077" s="2" t="s">
        <v>23</v>
      </c>
      <c r="I1077" s="6">
        <v>0.3</v>
      </c>
      <c r="J1077" s="2" t="str">
        <f t="shared" si="16"/>
        <v>2023-04</v>
      </c>
    </row>
    <row r="1078" spans="1:10" x14ac:dyDescent="0.2">
      <c r="A1078" s="2" t="s">
        <v>1062</v>
      </c>
      <c r="B1078" s="2" t="s">
        <v>74</v>
      </c>
      <c r="C1078" s="2" t="s">
        <v>11</v>
      </c>
      <c r="D1078" s="2">
        <v>8000</v>
      </c>
      <c r="E1078" s="5">
        <v>45040</v>
      </c>
      <c r="F1078" s="2">
        <v>1000</v>
      </c>
      <c r="G1078" s="2" t="s">
        <v>37</v>
      </c>
      <c r="H1078" s="2" t="s">
        <v>76</v>
      </c>
      <c r="I1078" s="6">
        <v>0.4</v>
      </c>
      <c r="J1078" s="2" t="str">
        <f t="shared" si="16"/>
        <v>2023-04</v>
      </c>
    </row>
    <row r="1079" spans="1:10" x14ac:dyDescent="0.2">
      <c r="A1079" s="2" t="s">
        <v>1149</v>
      </c>
      <c r="B1079" s="2" t="s">
        <v>693</v>
      </c>
      <c r="C1079" s="2" t="s">
        <v>29</v>
      </c>
      <c r="D1079" s="2">
        <v>760</v>
      </c>
      <c r="E1079" s="5">
        <v>45040</v>
      </c>
      <c r="F1079" s="2" t="s">
        <v>2954</v>
      </c>
      <c r="G1079" s="2" t="s">
        <v>45</v>
      </c>
      <c r="H1079" s="2" t="s">
        <v>23</v>
      </c>
      <c r="I1079" s="6">
        <v>0.04</v>
      </c>
      <c r="J1079" s="2" t="str">
        <f t="shared" si="16"/>
        <v>2023-04</v>
      </c>
    </row>
    <row r="1080" spans="1:10" x14ac:dyDescent="0.2">
      <c r="A1080" s="2" t="s">
        <v>1150</v>
      </c>
      <c r="B1080" s="2" t="s">
        <v>34</v>
      </c>
      <c r="C1080" s="2" t="s">
        <v>48</v>
      </c>
      <c r="D1080" s="2">
        <v>40</v>
      </c>
      <c r="E1080" s="5">
        <v>45040</v>
      </c>
      <c r="F1080" s="2">
        <v>337</v>
      </c>
      <c r="G1080" s="2" t="s">
        <v>128</v>
      </c>
      <c r="H1080" s="2" t="s">
        <v>23</v>
      </c>
      <c r="I1080" s="6">
        <v>0.13</v>
      </c>
      <c r="J1080" s="2" t="str">
        <f t="shared" si="16"/>
        <v>2023-04</v>
      </c>
    </row>
    <row r="1081" spans="1:10" x14ac:dyDescent="0.2">
      <c r="A1081" s="2" t="s">
        <v>1151</v>
      </c>
      <c r="B1081" s="2" t="s">
        <v>34</v>
      </c>
      <c r="C1081" s="2" t="s">
        <v>52</v>
      </c>
      <c r="D1081" s="2">
        <v>1072</v>
      </c>
      <c r="E1081" s="5">
        <v>45037</v>
      </c>
      <c r="F1081" s="2">
        <v>4900</v>
      </c>
      <c r="G1081" s="2" t="s">
        <v>17</v>
      </c>
      <c r="H1081" s="2" t="s">
        <v>23</v>
      </c>
      <c r="I1081" s="6">
        <v>0.26</v>
      </c>
      <c r="J1081" s="2" t="str">
        <f t="shared" si="16"/>
        <v>2023-04</v>
      </c>
    </row>
    <row r="1082" spans="1:10" x14ac:dyDescent="0.2">
      <c r="A1082" s="2" t="s">
        <v>1152</v>
      </c>
      <c r="B1082" s="2" t="s">
        <v>34</v>
      </c>
      <c r="C1082" s="2" t="s">
        <v>29</v>
      </c>
      <c r="D1082" s="2">
        <v>74</v>
      </c>
      <c r="E1082" s="5">
        <v>45037</v>
      </c>
      <c r="F1082" s="2">
        <v>411</v>
      </c>
      <c r="G1082" s="2" t="s">
        <v>62</v>
      </c>
      <c r="H1082" s="2" t="s">
        <v>23</v>
      </c>
      <c r="I1082" s="6">
        <v>0.09</v>
      </c>
      <c r="J1082" s="2" t="str">
        <f t="shared" si="16"/>
        <v>2023-04</v>
      </c>
    </row>
    <row r="1083" spans="1:10" x14ac:dyDescent="0.2">
      <c r="A1083" s="2" t="s">
        <v>876</v>
      </c>
      <c r="B1083" s="2" t="s">
        <v>147</v>
      </c>
      <c r="C1083" s="2" t="s">
        <v>61</v>
      </c>
      <c r="D1083" s="2" t="s">
        <v>2954</v>
      </c>
      <c r="E1083" s="5">
        <v>45037</v>
      </c>
      <c r="F1083" s="2">
        <v>192</v>
      </c>
      <c r="G1083" s="2" t="s">
        <v>45</v>
      </c>
      <c r="H1083" s="2" t="s">
        <v>23</v>
      </c>
      <c r="I1083" s="6" t="s">
        <v>2954</v>
      </c>
      <c r="J1083" s="2" t="str">
        <f t="shared" si="16"/>
        <v>2023-04</v>
      </c>
    </row>
    <row r="1084" spans="1:10" x14ac:dyDescent="0.2">
      <c r="A1084" s="2" t="s">
        <v>275</v>
      </c>
      <c r="B1084" s="2" t="s">
        <v>25</v>
      </c>
      <c r="C1084" s="2" t="s">
        <v>235</v>
      </c>
      <c r="D1084" s="2">
        <v>180</v>
      </c>
      <c r="E1084" s="5">
        <v>45036</v>
      </c>
      <c r="F1084" s="2">
        <v>696</v>
      </c>
      <c r="G1084" s="2" t="s">
        <v>17</v>
      </c>
      <c r="H1084" s="2" t="s">
        <v>23</v>
      </c>
      <c r="I1084" s="6">
        <v>0.15</v>
      </c>
      <c r="J1084" s="2" t="str">
        <f t="shared" si="16"/>
        <v>2023-04</v>
      </c>
    </row>
    <row r="1085" spans="1:10" x14ac:dyDescent="0.2">
      <c r="A1085" s="2" t="s">
        <v>1153</v>
      </c>
      <c r="B1085" s="2" t="s">
        <v>100</v>
      </c>
      <c r="C1085" s="2" t="s">
        <v>35</v>
      </c>
      <c r="D1085" s="2">
        <v>78</v>
      </c>
      <c r="E1085" s="5">
        <v>45036</v>
      </c>
      <c r="F1085" s="2">
        <v>50</v>
      </c>
      <c r="G1085" s="2" t="s">
        <v>37</v>
      </c>
      <c r="H1085" s="2" t="s">
        <v>98</v>
      </c>
      <c r="I1085" s="6">
        <v>0.3</v>
      </c>
      <c r="J1085" s="2" t="str">
        <f t="shared" si="16"/>
        <v>2023-04</v>
      </c>
    </row>
    <row r="1086" spans="1:10" x14ac:dyDescent="0.2">
      <c r="A1086" s="2" t="s">
        <v>1154</v>
      </c>
      <c r="B1086" s="2" t="s">
        <v>100</v>
      </c>
      <c r="C1086" s="2" t="s">
        <v>16</v>
      </c>
      <c r="D1086" s="2">
        <v>47</v>
      </c>
      <c r="E1086" s="5">
        <v>45036</v>
      </c>
      <c r="F1086" s="2">
        <v>190</v>
      </c>
      <c r="G1086" s="2" t="s">
        <v>75</v>
      </c>
      <c r="H1086" s="2" t="s">
        <v>98</v>
      </c>
      <c r="I1086" s="6" t="s">
        <v>2954</v>
      </c>
      <c r="J1086" s="2" t="str">
        <f t="shared" si="16"/>
        <v>2023-04</v>
      </c>
    </row>
    <row r="1087" spans="1:10" x14ac:dyDescent="0.2">
      <c r="A1087" s="2" t="s">
        <v>1155</v>
      </c>
      <c r="B1087" s="2" t="s">
        <v>25</v>
      </c>
      <c r="C1087" s="2" t="s">
        <v>68</v>
      </c>
      <c r="D1087" s="2">
        <v>35</v>
      </c>
      <c r="E1087" s="5">
        <v>45036</v>
      </c>
      <c r="F1087" s="2">
        <v>192</v>
      </c>
      <c r="G1087" s="2" t="s">
        <v>75</v>
      </c>
      <c r="H1087" s="2" t="s">
        <v>23</v>
      </c>
      <c r="I1087" s="6">
        <v>0.12</v>
      </c>
      <c r="J1087" s="2" t="str">
        <f t="shared" si="16"/>
        <v>2023-04</v>
      </c>
    </row>
    <row r="1088" spans="1:10" x14ac:dyDescent="0.2">
      <c r="A1088" s="2" t="s">
        <v>1156</v>
      </c>
      <c r="B1088" s="2" t="s">
        <v>25</v>
      </c>
      <c r="C1088" s="2" t="s">
        <v>235</v>
      </c>
      <c r="D1088" s="2" t="s">
        <v>2954</v>
      </c>
      <c r="E1088" s="5">
        <v>45036</v>
      </c>
      <c r="F1088" s="2" t="s">
        <v>2954</v>
      </c>
      <c r="G1088" s="2" t="s">
        <v>12</v>
      </c>
      <c r="H1088" s="2" t="s">
        <v>23</v>
      </c>
      <c r="I1088" s="6">
        <v>0.1</v>
      </c>
      <c r="J1088" s="2" t="str">
        <f t="shared" si="16"/>
        <v>2023-04</v>
      </c>
    </row>
    <row r="1089" spans="1:10" x14ac:dyDescent="0.2">
      <c r="A1089" s="2" t="s">
        <v>1157</v>
      </c>
      <c r="B1089" s="2" t="s">
        <v>831</v>
      </c>
      <c r="C1089" s="2" t="s">
        <v>16</v>
      </c>
      <c r="D1089" s="2" t="s">
        <v>2954</v>
      </c>
      <c r="E1089" s="5">
        <v>45036</v>
      </c>
      <c r="F1089" s="2" t="s">
        <v>2954</v>
      </c>
      <c r="G1089" s="2" t="s">
        <v>12</v>
      </c>
      <c r="H1089" s="2" t="s">
        <v>274</v>
      </c>
      <c r="I1089" s="6">
        <v>0.1</v>
      </c>
      <c r="J1089" s="2" t="str">
        <f t="shared" si="16"/>
        <v>2023-04</v>
      </c>
    </row>
    <row r="1090" spans="1:10" x14ac:dyDescent="0.2">
      <c r="A1090" s="2" t="s">
        <v>1158</v>
      </c>
      <c r="B1090" s="2" t="s">
        <v>693</v>
      </c>
      <c r="C1090" s="2" t="s">
        <v>103</v>
      </c>
      <c r="D1090" s="2" t="s">
        <v>2954</v>
      </c>
      <c r="E1090" s="5">
        <v>45036</v>
      </c>
      <c r="F1090" s="2">
        <v>850</v>
      </c>
      <c r="G1090" s="2" t="s">
        <v>17</v>
      </c>
      <c r="H1090" s="2" t="s">
        <v>23</v>
      </c>
      <c r="I1090" s="6" t="s">
        <v>2954</v>
      </c>
      <c r="J1090" s="2" t="str">
        <f t="shared" si="16"/>
        <v>2023-04</v>
      </c>
    </row>
    <row r="1091" spans="1:10" x14ac:dyDescent="0.2">
      <c r="A1091" s="2" t="s">
        <v>597</v>
      </c>
      <c r="B1091" s="2" t="s">
        <v>28</v>
      </c>
      <c r="C1091" s="2" t="s">
        <v>195</v>
      </c>
      <c r="D1091" s="2">
        <v>623</v>
      </c>
      <c r="E1091" s="5">
        <v>45035</v>
      </c>
      <c r="F1091" s="2" t="s">
        <v>2954</v>
      </c>
      <c r="G1091" s="2" t="s">
        <v>17</v>
      </c>
      <c r="H1091" s="2" t="s">
        <v>23</v>
      </c>
      <c r="I1091" s="6">
        <v>0.09</v>
      </c>
      <c r="J1091" s="2" t="str">
        <f t="shared" ref="J1091:J1154" si="17">TEXT(E1091,"YYYY-MM")</f>
        <v>2023-04</v>
      </c>
    </row>
    <row r="1092" spans="1:10" x14ac:dyDescent="0.2">
      <c r="A1092" s="2" t="s">
        <v>1159</v>
      </c>
      <c r="B1092" s="2" t="s">
        <v>34</v>
      </c>
      <c r="C1092" s="2" t="s">
        <v>29</v>
      </c>
      <c r="D1092" s="2">
        <v>112</v>
      </c>
      <c r="E1092" s="5">
        <v>45035</v>
      </c>
      <c r="F1092" s="2">
        <v>307</v>
      </c>
      <c r="G1092" s="2" t="s">
        <v>17</v>
      </c>
      <c r="H1092" s="2" t="s">
        <v>23</v>
      </c>
      <c r="I1092" s="6">
        <v>0.1</v>
      </c>
      <c r="J1092" s="2" t="str">
        <f t="shared" si="17"/>
        <v>2023-04</v>
      </c>
    </row>
    <row r="1093" spans="1:10" x14ac:dyDescent="0.2">
      <c r="A1093" s="2" t="s">
        <v>1160</v>
      </c>
      <c r="B1093" s="2" t="s">
        <v>34</v>
      </c>
      <c r="C1093" s="2" t="s">
        <v>148</v>
      </c>
      <c r="D1093" s="2">
        <v>560</v>
      </c>
      <c r="E1093" s="5">
        <v>45034</v>
      </c>
      <c r="F1093" s="2">
        <v>1900</v>
      </c>
      <c r="G1093" s="2" t="s">
        <v>17</v>
      </c>
      <c r="H1093" s="2" t="s">
        <v>23</v>
      </c>
      <c r="I1093" s="6">
        <v>0.22</v>
      </c>
      <c r="J1093" s="2" t="str">
        <f t="shared" si="17"/>
        <v>2023-04</v>
      </c>
    </row>
    <row r="1094" spans="1:10" x14ac:dyDescent="0.2">
      <c r="A1094" s="2" t="s">
        <v>1161</v>
      </c>
      <c r="B1094" s="2" t="s">
        <v>1162</v>
      </c>
      <c r="C1094" s="2" t="s">
        <v>142</v>
      </c>
      <c r="D1094" s="2">
        <v>340</v>
      </c>
      <c r="E1094" s="5">
        <v>45034</v>
      </c>
      <c r="F1094" s="2" t="s">
        <v>2954</v>
      </c>
      <c r="G1094" s="2" t="s">
        <v>12</v>
      </c>
      <c r="H1094" s="2" t="s">
        <v>1163</v>
      </c>
      <c r="I1094" s="6">
        <v>0.1</v>
      </c>
      <c r="J1094" s="2" t="str">
        <f t="shared" si="17"/>
        <v>2023-04</v>
      </c>
    </row>
    <row r="1095" spans="1:10" x14ac:dyDescent="0.2">
      <c r="A1095" s="2" t="s">
        <v>1164</v>
      </c>
      <c r="B1095" s="2" t="s">
        <v>831</v>
      </c>
      <c r="C1095" s="2" t="s">
        <v>68</v>
      </c>
      <c r="D1095" s="2">
        <v>90</v>
      </c>
      <c r="E1095" s="5">
        <v>45034</v>
      </c>
      <c r="F1095" s="2">
        <v>257</v>
      </c>
      <c r="G1095" s="2" t="s">
        <v>62</v>
      </c>
      <c r="H1095" s="2" t="s">
        <v>274</v>
      </c>
      <c r="I1095" s="6">
        <v>0.09</v>
      </c>
      <c r="J1095" s="2" t="str">
        <f t="shared" si="17"/>
        <v>2023-04</v>
      </c>
    </row>
    <row r="1096" spans="1:10" x14ac:dyDescent="0.2">
      <c r="A1096" s="2" t="s">
        <v>1165</v>
      </c>
      <c r="B1096" s="2" t="s">
        <v>34</v>
      </c>
      <c r="C1096" s="2" t="s">
        <v>22</v>
      </c>
      <c r="D1096" s="2">
        <v>16</v>
      </c>
      <c r="E1096" s="5">
        <v>45034</v>
      </c>
      <c r="F1096" s="2">
        <v>149</v>
      </c>
      <c r="G1096" s="2" t="s">
        <v>37</v>
      </c>
      <c r="H1096" s="2" t="s">
        <v>23</v>
      </c>
      <c r="I1096" s="6">
        <v>0.09</v>
      </c>
      <c r="J1096" s="2" t="str">
        <f t="shared" si="17"/>
        <v>2023-04</v>
      </c>
    </row>
    <row r="1097" spans="1:10" x14ac:dyDescent="0.2">
      <c r="A1097" s="2" t="s">
        <v>1166</v>
      </c>
      <c r="B1097" s="2" t="s">
        <v>273</v>
      </c>
      <c r="C1097" s="2" t="s">
        <v>11</v>
      </c>
      <c r="D1097" s="2" t="s">
        <v>2954</v>
      </c>
      <c r="E1097" s="5">
        <v>45034</v>
      </c>
      <c r="F1097" s="2">
        <v>3</v>
      </c>
      <c r="G1097" s="2" t="s">
        <v>132</v>
      </c>
      <c r="H1097" s="2" t="s">
        <v>274</v>
      </c>
      <c r="I1097" s="6">
        <v>1</v>
      </c>
      <c r="J1097" s="2" t="str">
        <f t="shared" si="17"/>
        <v>2023-04</v>
      </c>
    </row>
    <row r="1098" spans="1:10" x14ac:dyDescent="0.2">
      <c r="A1098" s="2" t="s">
        <v>1167</v>
      </c>
      <c r="B1098" s="2" t="s">
        <v>1168</v>
      </c>
      <c r="C1098" s="2" t="s">
        <v>35</v>
      </c>
      <c r="D1098" s="2">
        <v>120</v>
      </c>
      <c r="E1098" s="5">
        <v>45033</v>
      </c>
      <c r="F1098" s="2" t="s">
        <v>2954</v>
      </c>
      <c r="G1098" s="2" t="s">
        <v>132</v>
      </c>
      <c r="H1098" s="2" t="s">
        <v>278</v>
      </c>
      <c r="I1098" s="6">
        <v>0.25</v>
      </c>
      <c r="J1098" s="2" t="str">
        <f t="shared" si="17"/>
        <v>2023-04</v>
      </c>
    </row>
    <row r="1099" spans="1:10" x14ac:dyDescent="0.2">
      <c r="A1099" s="2" t="s">
        <v>752</v>
      </c>
      <c r="B1099" s="2" t="s">
        <v>314</v>
      </c>
      <c r="C1099" s="2" t="s">
        <v>16</v>
      </c>
      <c r="D1099" s="2">
        <v>81</v>
      </c>
      <c r="E1099" s="5">
        <v>45033</v>
      </c>
      <c r="F1099" s="2">
        <v>304</v>
      </c>
      <c r="G1099" s="2" t="s">
        <v>75</v>
      </c>
      <c r="H1099" s="2" t="s">
        <v>23</v>
      </c>
      <c r="I1099" s="6">
        <v>0.15</v>
      </c>
      <c r="J1099" s="2" t="str">
        <f t="shared" si="17"/>
        <v>2023-04</v>
      </c>
    </row>
    <row r="1100" spans="1:10" x14ac:dyDescent="0.2">
      <c r="A1100" s="2" t="s">
        <v>723</v>
      </c>
      <c r="B1100" s="2" t="s">
        <v>188</v>
      </c>
      <c r="C1100" s="2" t="s">
        <v>61</v>
      </c>
      <c r="D1100" s="2">
        <v>81</v>
      </c>
      <c r="E1100" s="5">
        <v>45033</v>
      </c>
      <c r="F1100" s="2">
        <v>389</v>
      </c>
      <c r="G1100" s="2" t="s">
        <v>75</v>
      </c>
      <c r="H1100" s="2" t="s">
        <v>106</v>
      </c>
      <c r="I1100" s="6">
        <v>0.03</v>
      </c>
      <c r="J1100" s="2" t="str">
        <f t="shared" si="17"/>
        <v>2023-04</v>
      </c>
    </row>
    <row r="1101" spans="1:10" x14ac:dyDescent="0.2">
      <c r="A1101" s="2" t="s">
        <v>1169</v>
      </c>
      <c r="B1101" s="2" t="s">
        <v>162</v>
      </c>
      <c r="C1101" s="2" t="s">
        <v>11</v>
      </c>
      <c r="D1101" s="2">
        <v>17</v>
      </c>
      <c r="E1101" s="5">
        <v>45033</v>
      </c>
      <c r="F1101" s="2">
        <v>579</v>
      </c>
      <c r="G1101" s="2" t="s">
        <v>75</v>
      </c>
      <c r="H1101" s="2" t="s">
        <v>163</v>
      </c>
      <c r="I1101" s="6">
        <v>0.25</v>
      </c>
      <c r="J1101" s="2" t="str">
        <f t="shared" si="17"/>
        <v>2023-04</v>
      </c>
    </row>
    <row r="1102" spans="1:10" x14ac:dyDescent="0.2">
      <c r="A1102" s="2" t="s">
        <v>841</v>
      </c>
      <c r="B1102" s="2" t="s">
        <v>100</v>
      </c>
      <c r="C1102" s="2" t="s">
        <v>16</v>
      </c>
      <c r="D1102" s="2" t="s">
        <v>2954</v>
      </c>
      <c r="E1102" s="5">
        <v>45033</v>
      </c>
      <c r="F1102" s="2">
        <v>42</v>
      </c>
      <c r="G1102" s="2" t="s">
        <v>41</v>
      </c>
      <c r="H1102" s="2" t="s">
        <v>98</v>
      </c>
      <c r="I1102" s="6" t="s">
        <v>2954</v>
      </c>
      <c r="J1102" s="2" t="str">
        <f t="shared" si="17"/>
        <v>2023-04</v>
      </c>
    </row>
    <row r="1103" spans="1:10" x14ac:dyDescent="0.2">
      <c r="A1103" s="2" t="s">
        <v>1170</v>
      </c>
      <c r="B1103" s="2" t="s">
        <v>1171</v>
      </c>
      <c r="C1103" s="2" t="s">
        <v>235</v>
      </c>
      <c r="D1103" s="2" t="s">
        <v>2954</v>
      </c>
      <c r="E1103" s="5">
        <v>45033</v>
      </c>
      <c r="F1103" s="2">
        <v>94</v>
      </c>
      <c r="G1103" s="2" t="s">
        <v>66</v>
      </c>
      <c r="H1103" s="2" t="s">
        <v>1172</v>
      </c>
      <c r="I1103" s="6" t="s">
        <v>2954</v>
      </c>
      <c r="J1103" s="2" t="str">
        <f t="shared" si="17"/>
        <v>2023-04</v>
      </c>
    </row>
    <row r="1104" spans="1:10" x14ac:dyDescent="0.2">
      <c r="A1104" s="2" t="s">
        <v>1173</v>
      </c>
      <c r="B1104" s="2" t="s">
        <v>1174</v>
      </c>
      <c r="C1104" s="2" t="s">
        <v>29</v>
      </c>
      <c r="D1104" s="2" t="s">
        <v>2954</v>
      </c>
      <c r="E1104" s="5">
        <v>45033</v>
      </c>
      <c r="F1104" s="2" t="s">
        <v>2954</v>
      </c>
      <c r="G1104" s="2" t="s">
        <v>37</v>
      </c>
      <c r="H1104" s="2" t="s">
        <v>606</v>
      </c>
      <c r="I1104" s="6">
        <v>0.15</v>
      </c>
      <c r="J1104" s="2" t="str">
        <f t="shared" si="17"/>
        <v>2023-04</v>
      </c>
    </row>
    <row r="1105" spans="1:10" x14ac:dyDescent="0.2">
      <c r="A1105" s="2" t="s">
        <v>1175</v>
      </c>
      <c r="B1105" s="2" t="s">
        <v>15</v>
      </c>
      <c r="C1105" s="2" t="s">
        <v>195</v>
      </c>
      <c r="D1105" s="2" t="s">
        <v>2954</v>
      </c>
      <c r="E1105" s="5">
        <v>45032</v>
      </c>
      <c r="F1105" s="2" t="s">
        <v>2954</v>
      </c>
      <c r="G1105" s="2" t="s">
        <v>12</v>
      </c>
      <c r="H1105" s="2" t="s">
        <v>18</v>
      </c>
      <c r="I1105" s="6">
        <v>1</v>
      </c>
      <c r="J1105" s="2" t="str">
        <f t="shared" si="17"/>
        <v>2023-04</v>
      </c>
    </row>
    <row r="1106" spans="1:10" x14ac:dyDescent="0.2">
      <c r="A1106" s="2" t="s">
        <v>1176</v>
      </c>
      <c r="B1106" s="2" t="s">
        <v>34</v>
      </c>
      <c r="C1106" s="2" t="s">
        <v>16</v>
      </c>
      <c r="D1106" s="2">
        <v>75</v>
      </c>
      <c r="E1106" s="5">
        <v>45030</v>
      </c>
      <c r="F1106" s="2">
        <v>85</v>
      </c>
      <c r="G1106" s="2" t="s">
        <v>66</v>
      </c>
      <c r="H1106" s="2" t="s">
        <v>23</v>
      </c>
      <c r="I1106" s="6">
        <v>0.2</v>
      </c>
      <c r="J1106" s="2" t="str">
        <f t="shared" si="17"/>
        <v>2023-04</v>
      </c>
    </row>
    <row r="1107" spans="1:10" x14ac:dyDescent="0.2">
      <c r="A1107" s="2" t="s">
        <v>1177</v>
      </c>
      <c r="B1107" s="2" t="s">
        <v>25</v>
      </c>
      <c r="C1107" s="2" t="s">
        <v>22</v>
      </c>
      <c r="D1107" s="2">
        <v>17</v>
      </c>
      <c r="E1107" s="5">
        <v>45030</v>
      </c>
      <c r="F1107" s="2">
        <v>18</v>
      </c>
      <c r="G1107" s="2" t="s">
        <v>41</v>
      </c>
      <c r="H1107" s="2" t="s">
        <v>23</v>
      </c>
      <c r="I1107" s="6">
        <v>0.17</v>
      </c>
      <c r="J1107" s="2" t="str">
        <f t="shared" si="17"/>
        <v>2023-04</v>
      </c>
    </row>
    <row r="1108" spans="1:10" x14ac:dyDescent="0.2">
      <c r="A1108" s="2" t="s">
        <v>1178</v>
      </c>
      <c r="B1108" s="2" t="s">
        <v>25</v>
      </c>
      <c r="C1108" s="2" t="s">
        <v>32</v>
      </c>
      <c r="D1108" s="2" t="s">
        <v>2954</v>
      </c>
      <c r="E1108" s="5">
        <v>45030</v>
      </c>
      <c r="F1108" s="2">
        <v>127</v>
      </c>
      <c r="G1108" s="2" t="s">
        <v>37</v>
      </c>
      <c r="H1108" s="2" t="s">
        <v>23</v>
      </c>
      <c r="I1108" s="6">
        <v>0.18</v>
      </c>
      <c r="J1108" s="2" t="str">
        <f t="shared" si="17"/>
        <v>2023-04</v>
      </c>
    </row>
    <row r="1109" spans="1:10" x14ac:dyDescent="0.2">
      <c r="A1109" s="2" t="s">
        <v>1179</v>
      </c>
      <c r="B1109" s="2" t="s">
        <v>162</v>
      </c>
      <c r="C1109" s="2" t="s">
        <v>61</v>
      </c>
      <c r="D1109" s="2" t="s">
        <v>2954</v>
      </c>
      <c r="E1109" s="5">
        <v>45030</v>
      </c>
      <c r="F1109" s="2">
        <v>150</v>
      </c>
      <c r="G1109" s="2" t="s">
        <v>66</v>
      </c>
      <c r="H1109" s="2" t="s">
        <v>163</v>
      </c>
      <c r="I1109" s="6">
        <v>0.25</v>
      </c>
      <c r="J1109" s="2" t="str">
        <f t="shared" si="17"/>
        <v>2023-04</v>
      </c>
    </row>
    <row r="1110" spans="1:10" x14ac:dyDescent="0.2">
      <c r="A1110" s="2" t="s">
        <v>1180</v>
      </c>
      <c r="B1110" s="2" t="s">
        <v>398</v>
      </c>
      <c r="C1110" s="2" t="s">
        <v>11</v>
      </c>
      <c r="D1110" s="2" t="s">
        <v>2954</v>
      </c>
      <c r="E1110" s="5">
        <v>45030</v>
      </c>
      <c r="F1110" s="2">
        <v>139</v>
      </c>
      <c r="G1110" s="2" t="s">
        <v>66</v>
      </c>
      <c r="H1110" s="2" t="s">
        <v>399</v>
      </c>
      <c r="I1110" s="6" t="s">
        <v>2954</v>
      </c>
      <c r="J1110" s="2" t="str">
        <f t="shared" si="17"/>
        <v>2023-04</v>
      </c>
    </row>
    <row r="1111" spans="1:10" x14ac:dyDescent="0.2">
      <c r="A1111" s="2" t="s">
        <v>1181</v>
      </c>
      <c r="B1111" s="2" t="s">
        <v>89</v>
      </c>
      <c r="C1111" s="2" t="s">
        <v>195</v>
      </c>
      <c r="D1111" s="2">
        <v>128</v>
      </c>
      <c r="E1111" s="5">
        <v>45029</v>
      </c>
      <c r="F1111" s="2">
        <v>849</v>
      </c>
      <c r="G1111" s="2" t="s">
        <v>62</v>
      </c>
      <c r="H1111" s="2" t="s">
        <v>23</v>
      </c>
      <c r="I1111" s="6" t="s">
        <v>2954</v>
      </c>
      <c r="J1111" s="2" t="str">
        <f t="shared" si="17"/>
        <v>2023-04</v>
      </c>
    </row>
    <row r="1112" spans="1:10" x14ac:dyDescent="0.2">
      <c r="A1112" s="2" t="s">
        <v>1182</v>
      </c>
      <c r="B1112" s="2" t="s">
        <v>1183</v>
      </c>
      <c r="C1112" s="2" t="s">
        <v>243</v>
      </c>
      <c r="D1112" s="2">
        <v>100</v>
      </c>
      <c r="E1112" s="5">
        <v>45029</v>
      </c>
      <c r="F1112" s="2">
        <v>282</v>
      </c>
      <c r="G1112" s="2" t="s">
        <v>66</v>
      </c>
      <c r="H1112" s="2" t="s">
        <v>23</v>
      </c>
      <c r="I1112" s="6">
        <v>0.4</v>
      </c>
      <c r="J1112" s="2" t="str">
        <f t="shared" si="17"/>
        <v>2023-04</v>
      </c>
    </row>
    <row r="1113" spans="1:10" x14ac:dyDescent="0.2">
      <c r="A1113" s="2" t="s">
        <v>1184</v>
      </c>
      <c r="B1113" s="2" t="s">
        <v>100</v>
      </c>
      <c r="C1113" s="2" t="s">
        <v>235</v>
      </c>
      <c r="D1113" s="2" t="s">
        <v>2954</v>
      </c>
      <c r="E1113" s="5">
        <v>45029</v>
      </c>
      <c r="F1113" s="2" t="s">
        <v>2954</v>
      </c>
      <c r="G1113" s="2" t="s">
        <v>132</v>
      </c>
      <c r="H1113" s="2" t="s">
        <v>98</v>
      </c>
      <c r="I1113" s="6">
        <v>1</v>
      </c>
      <c r="J1113" s="2" t="str">
        <f t="shared" si="17"/>
        <v>2023-04</v>
      </c>
    </row>
    <row r="1114" spans="1:10" x14ac:dyDescent="0.2">
      <c r="A1114" s="2" t="s">
        <v>1185</v>
      </c>
      <c r="B1114" s="2" t="s">
        <v>54</v>
      </c>
      <c r="C1114" s="2" t="s">
        <v>44</v>
      </c>
      <c r="D1114" s="2" t="s">
        <v>2954</v>
      </c>
      <c r="E1114" s="5">
        <v>45029</v>
      </c>
      <c r="F1114" s="2">
        <v>20</v>
      </c>
      <c r="G1114" s="2" t="s">
        <v>41</v>
      </c>
      <c r="H1114" s="2" t="s">
        <v>55</v>
      </c>
      <c r="I1114" s="6">
        <v>1</v>
      </c>
      <c r="J1114" s="2" t="str">
        <f t="shared" si="17"/>
        <v>2023-04</v>
      </c>
    </row>
    <row r="1115" spans="1:10" x14ac:dyDescent="0.2">
      <c r="A1115" s="2" t="s">
        <v>1186</v>
      </c>
      <c r="B1115" s="2" t="s">
        <v>203</v>
      </c>
      <c r="C1115" s="2" t="s">
        <v>22</v>
      </c>
      <c r="D1115" s="2" t="s">
        <v>2954</v>
      </c>
      <c r="E1115" s="5">
        <v>45029</v>
      </c>
      <c r="F1115" s="2" t="s">
        <v>2954</v>
      </c>
      <c r="G1115" s="2" t="s">
        <v>12</v>
      </c>
      <c r="H1115" s="2" t="s">
        <v>204</v>
      </c>
      <c r="I1115" s="6">
        <v>1</v>
      </c>
      <c r="J1115" s="2" t="str">
        <f t="shared" si="17"/>
        <v>2023-04</v>
      </c>
    </row>
    <row r="1116" spans="1:10" x14ac:dyDescent="0.2">
      <c r="A1116" s="2" t="s">
        <v>1187</v>
      </c>
      <c r="B1116" s="2" t="s">
        <v>314</v>
      </c>
      <c r="C1116" s="2" t="s">
        <v>50</v>
      </c>
      <c r="D1116" s="2" t="s">
        <v>2954</v>
      </c>
      <c r="E1116" s="5">
        <v>45029</v>
      </c>
      <c r="F1116" s="2">
        <v>59</v>
      </c>
      <c r="G1116" s="2" t="s">
        <v>199</v>
      </c>
      <c r="H1116" s="2" t="s">
        <v>23</v>
      </c>
      <c r="I1116" s="6" t="s">
        <v>2954</v>
      </c>
      <c r="J1116" s="2" t="str">
        <f t="shared" si="17"/>
        <v>2023-04</v>
      </c>
    </row>
    <row r="1117" spans="1:10" x14ac:dyDescent="0.2">
      <c r="A1117" s="2" t="s">
        <v>600</v>
      </c>
      <c r="B1117" s="2" t="s">
        <v>64</v>
      </c>
      <c r="C1117" s="2" t="s">
        <v>29</v>
      </c>
      <c r="D1117" s="2">
        <v>300</v>
      </c>
      <c r="E1117" s="5">
        <v>45028</v>
      </c>
      <c r="F1117" s="2">
        <v>366</v>
      </c>
      <c r="G1117" s="2" t="s">
        <v>17</v>
      </c>
      <c r="H1117" s="2" t="s">
        <v>23</v>
      </c>
      <c r="I1117" s="6">
        <v>0.04</v>
      </c>
      <c r="J1117" s="2" t="str">
        <f t="shared" si="17"/>
        <v>2023-04</v>
      </c>
    </row>
    <row r="1118" spans="1:10" x14ac:dyDescent="0.2">
      <c r="A1118" s="2" t="s">
        <v>1188</v>
      </c>
      <c r="B1118" s="2" t="s">
        <v>47</v>
      </c>
      <c r="C1118" s="2" t="s">
        <v>32</v>
      </c>
      <c r="D1118" s="2">
        <v>140</v>
      </c>
      <c r="E1118" s="5">
        <v>45028</v>
      </c>
      <c r="F1118" s="2">
        <v>347</v>
      </c>
      <c r="G1118" s="2" t="s">
        <v>17</v>
      </c>
      <c r="H1118" s="2" t="s">
        <v>23</v>
      </c>
      <c r="I1118" s="6" t="s">
        <v>2954</v>
      </c>
      <c r="J1118" s="2" t="str">
        <f t="shared" si="17"/>
        <v>2023-04</v>
      </c>
    </row>
    <row r="1119" spans="1:10" x14ac:dyDescent="0.2">
      <c r="A1119" s="2" t="s">
        <v>1189</v>
      </c>
      <c r="B1119" s="2" t="s">
        <v>34</v>
      </c>
      <c r="C1119" s="2" t="s">
        <v>32</v>
      </c>
      <c r="D1119" s="2">
        <v>59</v>
      </c>
      <c r="E1119" s="5">
        <v>45028</v>
      </c>
      <c r="F1119" s="2">
        <v>5900</v>
      </c>
      <c r="G1119" s="2" t="s">
        <v>17</v>
      </c>
      <c r="H1119" s="2" t="s">
        <v>23</v>
      </c>
      <c r="I1119" s="6" t="s">
        <v>2954</v>
      </c>
      <c r="J1119" s="2" t="str">
        <f t="shared" si="17"/>
        <v>2023-04</v>
      </c>
    </row>
    <row r="1120" spans="1:10" x14ac:dyDescent="0.2">
      <c r="A1120" s="2" t="s">
        <v>1190</v>
      </c>
      <c r="B1120" s="2" t="s">
        <v>273</v>
      </c>
      <c r="C1120" s="2" t="s">
        <v>11</v>
      </c>
      <c r="D1120" s="2">
        <v>400</v>
      </c>
      <c r="E1120" s="5">
        <v>45027</v>
      </c>
      <c r="F1120" s="2">
        <v>86</v>
      </c>
      <c r="G1120" s="2" t="s">
        <v>41</v>
      </c>
      <c r="H1120" s="2" t="s">
        <v>274</v>
      </c>
      <c r="I1120" s="6">
        <v>1</v>
      </c>
      <c r="J1120" s="2" t="str">
        <f t="shared" si="17"/>
        <v>2023-04</v>
      </c>
    </row>
    <row r="1121" spans="1:10" x14ac:dyDescent="0.2">
      <c r="A1121" s="2" t="s">
        <v>1191</v>
      </c>
      <c r="B1121" s="2" t="s">
        <v>28</v>
      </c>
      <c r="C1121" s="2" t="s">
        <v>148</v>
      </c>
      <c r="D1121" s="2">
        <v>201</v>
      </c>
      <c r="E1121" s="5">
        <v>45027</v>
      </c>
      <c r="F1121" s="2">
        <v>320</v>
      </c>
      <c r="G1121" s="2" t="s">
        <v>17</v>
      </c>
      <c r="H1121" s="2" t="s">
        <v>23</v>
      </c>
      <c r="I1121" s="6">
        <v>0.04</v>
      </c>
      <c r="J1121" s="2" t="str">
        <f t="shared" si="17"/>
        <v>2023-04</v>
      </c>
    </row>
    <row r="1122" spans="1:10" x14ac:dyDescent="0.2">
      <c r="A1122" s="2" t="s">
        <v>1192</v>
      </c>
      <c r="B1122" s="2" t="s">
        <v>54</v>
      </c>
      <c r="C1122" s="2" t="s">
        <v>26</v>
      </c>
      <c r="D1122" s="2">
        <v>80</v>
      </c>
      <c r="E1122" s="5">
        <v>45027</v>
      </c>
      <c r="F1122" s="2">
        <v>105</v>
      </c>
      <c r="G1122" s="2" t="s">
        <v>66</v>
      </c>
      <c r="H1122" s="2" t="s">
        <v>55</v>
      </c>
      <c r="I1122" s="6">
        <v>0.4</v>
      </c>
      <c r="J1122" s="2" t="str">
        <f t="shared" si="17"/>
        <v>2023-04</v>
      </c>
    </row>
    <row r="1123" spans="1:10" x14ac:dyDescent="0.2">
      <c r="A1123" s="2" t="s">
        <v>1193</v>
      </c>
      <c r="B1123" s="2" t="s">
        <v>174</v>
      </c>
      <c r="C1123" s="2" t="s">
        <v>32</v>
      </c>
      <c r="D1123" s="2">
        <v>45</v>
      </c>
      <c r="E1123" s="5">
        <v>45027</v>
      </c>
      <c r="F1123" s="2">
        <v>19</v>
      </c>
      <c r="G1123" s="2" t="s">
        <v>12</v>
      </c>
      <c r="H1123" s="2" t="s">
        <v>175</v>
      </c>
      <c r="I1123" s="6">
        <v>0.25</v>
      </c>
      <c r="J1123" s="2" t="str">
        <f t="shared" si="17"/>
        <v>2023-04</v>
      </c>
    </row>
    <row r="1124" spans="1:10" x14ac:dyDescent="0.2">
      <c r="A1124" s="2" t="s">
        <v>1194</v>
      </c>
      <c r="B1124" s="2" t="s">
        <v>1195</v>
      </c>
      <c r="C1124" s="2" t="s">
        <v>26</v>
      </c>
      <c r="D1124" s="2" t="s">
        <v>2954</v>
      </c>
      <c r="E1124" s="5">
        <v>45027</v>
      </c>
      <c r="F1124" s="2" t="s">
        <v>2954</v>
      </c>
      <c r="G1124" s="2" t="s">
        <v>17</v>
      </c>
      <c r="H1124" s="2" t="s">
        <v>23</v>
      </c>
      <c r="I1124" s="6" t="s">
        <v>2954</v>
      </c>
      <c r="J1124" s="2" t="str">
        <f t="shared" si="17"/>
        <v>2023-04</v>
      </c>
    </row>
    <row r="1125" spans="1:10" x14ac:dyDescent="0.2">
      <c r="A1125" s="2" t="s">
        <v>1196</v>
      </c>
      <c r="B1125" s="2" t="s">
        <v>97</v>
      </c>
      <c r="C1125" s="2" t="s">
        <v>52</v>
      </c>
      <c r="D1125" s="2" t="s">
        <v>2954</v>
      </c>
      <c r="E1125" s="5">
        <v>45027</v>
      </c>
      <c r="F1125" s="2">
        <v>92</v>
      </c>
      <c r="G1125" s="2" t="s">
        <v>66</v>
      </c>
      <c r="H1125" s="2" t="s">
        <v>98</v>
      </c>
      <c r="I1125" s="6">
        <v>0.1</v>
      </c>
      <c r="J1125" s="2" t="str">
        <f t="shared" si="17"/>
        <v>2023-04</v>
      </c>
    </row>
    <row r="1126" spans="1:10" x14ac:dyDescent="0.2">
      <c r="A1126" s="2" t="s">
        <v>1197</v>
      </c>
      <c r="B1126" s="2" t="s">
        <v>34</v>
      </c>
      <c r="C1126" s="2" t="s">
        <v>61</v>
      </c>
      <c r="D1126" s="2" t="s">
        <v>2954</v>
      </c>
      <c r="E1126" s="5">
        <v>45027</v>
      </c>
      <c r="F1126" s="2">
        <v>81</v>
      </c>
      <c r="G1126" s="2" t="s">
        <v>37</v>
      </c>
      <c r="H1126" s="2" t="s">
        <v>23</v>
      </c>
      <c r="I1126" s="6" t="s">
        <v>2954</v>
      </c>
      <c r="J1126" s="2" t="str">
        <f t="shared" si="17"/>
        <v>2023-04</v>
      </c>
    </row>
    <row r="1127" spans="1:10" x14ac:dyDescent="0.2">
      <c r="A1127" s="2" t="s">
        <v>225</v>
      </c>
      <c r="B1127" s="2" t="s">
        <v>64</v>
      </c>
      <c r="C1127" s="2" t="s">
        <v>170</v>
      </c>
      <c r="D1127" s="2">
        <v>45</v>
      </c>
      <c r="E1127" s="5">
        <v>45026</v>
      </c>
      <c r="F1127" s="2">
        <v>399</v>
      </c>
      <c r="G1127" s="2" t="s">
        <v>75</v>
      </c>
      <c r="H1127" s="2" t="s">
        <v>23</v>
      </c>
      <c r="I1127" s="6">
        <v>0.08</v>
      </c>
      <c r="J1127" s="2" t="str">
        <f t="shared" si="17"/>
        <v>2023-04</v>
      </c>
    </row>
    <row r="1128" spans="1:10" x14ac:dyDescent="0.2">
      <c r="A1128" s="2" t="s">
        <v>1198</v>
      </c>
      <c r="B1128" s="2" t="s">
        <v>28</v>
      </c>
      <c r="C1128" s="2" t="s">
        <v>109</v>
      </c>
      <c r="D1128" s="2">
        <v>10</v>
      </c>
      <c r="E1128" s="5">
        <v>45026</v>
      </c>
      <c r="F1128" s="2">
        <v>13</v>
      </c>
      <c r="G1128" s="2" t="s">
        <v>12</v>
      </c>
      <c r="H1128" s="2" t="s">
        <v>23</v>
      </c>
      <c r="I1128" s="6">
        <v>0.37</v>
      </c>
      <c r="J1128" s="2" t="str">
        <f t="shared" si="17"/>
        <v>2023-04</v>
      </c>
    </row>
    <row r="1129" spans="1:10" x14ac:dyDescent="0.2">
      <c r="A1129" s="2" t="s">
        <v>99</v>
      </c>
      <c r="B1129" s="2" t="s">
        <v>100</v>
      </c>
      <c r="C1129" s="2" t="s">
        <v>16</v>
      </c>
      <c r="D1129" s="2">
        <v>150</v>
      </c>
      <c r="E1129" s="5">
        <v>45025</v>
      </c>
      <c r="F1129" s="2">
        <v>71</v>
      </c>
      <c r="G1129" s="2" t="s">
        <v>37</v>
      </c>
      <c r="H1129" s="2" t="s">
        <v>98</v>
      </c>
      <c r="I1129" s="6">
        <v>0.25</v>
      </c>
      <c r="J1129" s="2" t="str">
        <f t="shared" si="17"/>
        <v>2023-04</v>
      </c>
    </row>
    <row r="1130" spans="1:10" x14ac:dyDescent="0.2">
      <c r="A1130" s="2" t="s">
        <v>1199</v>
      </c>
      <c r="B1130" s="2" t="s">
        <v>100</v>
      </c>
      <c r="C1130" s="2" t="s">
        <v>32</v>
      </c>
      <c r="D1130" s="2">
        <v>41</v>
      </c>
      <c r="E1130" s="5">
        <v>45024</v>
      </c>
      <c r="F1130" s="2">
        <v>222</v>
      </c>
      <c r="G1130" s="2" t="s">
        <v>75</v>
      </c>
      <c r="H1130" s="2" t="s">
        <v>98</v>
      </c>
      <c r="I1130" s="6" t="s">
        <v>2954</v>
      </c>
      <c r="J1130" s="2" t="str">
        <f t="shared" si="17"/>
        <v>2023-04</v>
      </c>
    </row>
    <row r="1131" spans="1:10" x14ac:dyDescent="0.2">
      <c r="A1131" s="2" t="s">
        <v>1200</v>
      </c>
      <c r="B1131" s="2" t="s">
        <v>89</v>
      </c>
      <c r="C1131" s="2" t="s">
        <v>32</v>
      </c>
      <c r="D1131" s="2">
        <v>170</v>
      </c>
      <c r="E1131" s="5">
        <v>45023</v>
      </c>
      <c r="F1131" s="2">
        <v>409</v>
      </c>
      <c r="G1131" s="2" t="s">
        <v>17</v>
      </c>
      <c r="H1131" s="2" t="s">
        <v>23</v>
      </c>
      <c r="I1131" s="6">
        <v>0.92</v>
      </c>
      <c r="J1131" s="2" t="str">
        <f t="shared" si="17"/>
        <v>2023-04</v>
      </c>
    </row>
    <row r="1132" spans="1:10" x14ac:dyDescent="0.2">
      <c r="A1132" s="2" t="s">
        <v>1201</v>
      </c>
      <c r="B1132" s="2" t="s">
        <v>294</v>
      </c>
      <c r="C1132" s="2" t="s">
        <v>32</v>
      </c>
      <c r="D1132" s="2">
        <v>100</v>
      </c>
      <c r="E1132" s="5">
        <v>45023</v>
      </c>
      <c r="F1132" s="2">
        <v>138</v>
      </c>
      <c r="G1132" s="2" t="s">
        <v>66</v>
      </c>
      <c r="H1132" s="2" t="s">
        <v>23</v>
      </c>
      <c r="I1132" s="6" t="s">
        <v>2954</v>
      </c>
      <c r="J1132" s="2" t="str">
        <f t="shared" si="17"/>
        <v>2023-04</v>
      </c>
    </row>
    <row r="1133" spans="1:10" x14ac:dyDescent="0.2">
      <c r="A1133" s="2" t="s">
        <v>522</v>
      </c>
      <c r="B1133" s="2" t="s">
        <v>100</v>
      </c>
      <c r="C1133" s="2" t="s">
        <v>16</v>
      </c>
      <c r="D1133" s="2">
        <v>100</v>
      </c>
      <c r="E1133" s="5">
        <v>45023</v>
      </c>
      <c r="F1133" s="2">
        <v>120</v>
      </c>
      <c r="G1133" s="2" t="s">
        <v>66</v>
      </c>
      <c r="H1133" s="2" t="s">
        <v>98</v>
      </c>
      <c r="I1133" s="6">
        <v>0.2</v>
      </c>
      <c r="J1133" s="2" t="str">
        <f t="shared" si="17"/>
        <v>2023-04</v>
      </c>
    </row>
    <row r="1134" spans="1:10" x14ac:dyDescent="0.2">
      <c r="A1134" s="2" t="s">
        <v>1202</v>
      </c>
      <c r="B1134" s="2" t="s">
        <v>183</v>
      </c>
      <c r="C1134" s="2" t="s">
        <v>195</v>
      </c>
      <c r="D1134" s="2">
        <v>40</v>
      </c>
      <c r="E1134" s="5">
        <v>45022</v>
      </c>
      <c r="F1134" s="2" t="s">
        <v>2954</v>
      </c>
      <c r="G1134" s="2" t="s">
        <v>17</v>
      </c>
      <c r="H1134" s="2" t="s">
        <v>106</v>
      </c>
      <c r="I1134" s="6">
        <v>0.05</v>
      </c>
      <c r="J1134" s="2" t="str">
        <f t="shared" si="17"/>
        <v>2023-04</v>
      </c>
    </row>
    <row r="1135" spans="1:10" x14ac:dyDescent="0.2">
      <c r="A1135" s="2" t="s">
        <v>1203</v>
      </c>
      <c r="B1135" s="2" t="s">
        <v>74</v>
      </c>
      <c r="C1135" s="2" t="s">
        <v>52</v>
      </c>
      <c r="D1135" s="2">
        <v>16</v>
      </c>
      <c r="E1135" s="5">
        <v>45022</v>
      </c>
      <c r="F1135" s="2" t="s">
        <v>2954</v>
      </c>
      <c r="G1135" s="2" t="s">
        <v>132</v>
      </c>
      <c r="H1135" s="2" t="s">
        <v>76</v>
      </c>
      <c r="I1135" s="6">
        <v>1</v>
      </c>
      <c r="J1135" s="2" t="str">
        <f t="shared" si="17"/>
        <v>2023-04</v>
      </c>
    </row>
    <row r="1136" spans="1:10" x14ac:dyDescent="0.2">
      <c r="A1136" s="2" t="s">
        <v>697</v>
      </c>
      <c r="B1136" s="2" t="s">
        <v>100</v>
      </c>
      <c r="C1136" s="2" t="s">
        <v>11</v>
      </c>
      <c r="D1136" s="2">
        <v>300</v>
      </c>
      <c r="E1136" s="5">
        <v>45021</v>
      </c>
      <c r="F1136" s="2">
        <v>382</v>
      </c>
      <c r="G1136" s="2" t="s">
        <v>12</v>
      </c>
      <c r="H1136" s="2" t="s">
        <v>98</v>
      </c>
      <c r="I1136" s="6">
        <v>0.3</v>
      </c>
      <c r="J1136" s="2" t="str">
        <f t="shared" si="17"/>
        <v>2023-04</v>
      </c>
    </row>
    <row r="1137" spans="1:10" x14ac:dyDescent="0.2">
      <c r="A1137" s="2" t="s">
        <v>1204</v>
      </c>
      <c r="B1137" s="2" t="s">
        <v>34</v>
      </c>
      <c r="C1137" s="2" t="s">
        <v>243</v>
      </c>
      <c r="D1137" s="2">
        <v>99</v>
      </c>
      <c r="E1137" s="5">
        <v>45021</v>
      </c>
      <c r="F1137" s="2">
        <v>311</v>
      </c>
      <c r="G1137" s="2" t="s">
        <v>17</v>
      </c>
      <c r="H1137" s="2" t="s">
        <v>23</v>
      </c>
      <c r="I1137" s="6">
        <v>0.13</v>
      </c>
      <c r="J1137" s="2" t="str">
        <f t="shared" si="17"/>
        <v>2023-04</v>
      </c>
    </row>
    <row r="1138" spans="1:10" x14ac:dyDescent="0.2">
      <c r="A1138" s="2" t="s">
        <v>745</v>
      </c>
      <c r="B1138" s="2" t="s">
        <v>188</v>
      </c>
      <c r="C1138" s="2" t="s">
        <v>84</v>
      </c>
      <c r="D1138" s="2">
        <v>86</v>
      </c>
      <c r="E1138" s="5">
        <v>45021</v>
      </c>
      <c r="F1138" s="2">
        <v>150</v>
      </c>
      <c r="G1138" s="2" t="s">
        <v>37</v>
      </c>
      <c r="H1138" s="2" t="s">
        <v>106</v>
      </c>
      <c r="I1138" s="6">
        <v>0.18</v>
      </c>
      <c r="J1138" s="2" t="str">
        <f t="shared" si="17"/>
        <v>2023-04</v>
      </c>
    </row>
    <row r="1139" spans="1:10" x14ac:dyDescent="0.2">
      <c r="A1139" s="2" t="s">
        <v>1205</v>
      </c>
      <c r="B1139" s="2" t="s">
        <v>255</v>
      </c>
      <c r="C1139" s="2" t="s">
        <v>142</v>
      </c>
      <c r="D1139" s="2">
        <v>600</v>
      </c>
      <c r="E1139" s="5">
        <v>45020</v>
      </c>
      <c r="F1139" s="2" t="s">
        <v>2954</v>
      </c>
      <c r="G1139" s="2" t="s">
        <v>37</v>
      </c>
      <c r="H1139" s="2" t="s">
        <v>98</v>
      </c>
      <c r="I1139" s="6">
        <v>0.4</v>
      </c>
      <c r="J1139" s="2" t="str">
        <f t="shared" si="17"/>
        <v>2023-04</v>
      </c>
    </row>
    <row r="1140" spans="1:10" x14ac:dyDescent="0.2">
      <c r="A1140" s="2" t="s">
        <v>1206</v>
      </c>
      <c r="B1140" s="2" t="s">
        <v>89</v>
      </c>
      <c r="C1140" s="2" t="s">
        <v>32</v>
      </c>
      <c r="D1140" s="2">
        <v>135</v>
      </c>
      <c r="E1140" s="5">
        <v>45020</v>
      </c>
      <c r="F1140" s="2">
        <v>96</v>
      </c>
      <c r="G1140" s="2" t="s">
        <v>45</v>
      </c>
      <c r="H1140" s="2" t="s">
        <v>23</v>
      </c>
      <c r="I1140" s="6" t="s">
        <v>2954</v>
      </c>
      <c r="J1140" s="2" t="str">
        <f t="shared" si="17"/>
        <v>2023-04</v>
      </c>
    </row>
    <row r="1141" spans="1:10" x14ac:dyDescent="0.2">
      <c r="A1141" s="2" t="s">
        <v>272</v>
      </c>
      <c r="B1141" s="2" t="s">
        <v>273</v>
      </c>
      <c r="C1141" s="2" t="s">
        <v>142</v>
      </c>
      <c r="D1141" s="2">
        <v>40</v>
      </c>
      <c r="E1141" s="5">
        <v>45020</v>
      </c>
      <c r="F1141" s="2">
        <v>30</v>
      </c>
      <c r="G1141" s="2" t="s">
        <v>12</v>
      </c>
      <c r="H1141" s="2" t="s">
        <v>274</v>
      </c>
      <c r="I1141" s="6" t="s">
        <v>2954</v>
      </c>
      <c r="J1141" s="2" t="str">
        <f t="shared" si="17"/>
        <v>2023-04</v>
      </c>
    </row>
    <row r="1142" spans="1:10" x14ac:dyDescent="0.2">
      <c r="A1142" s="2" t="s">
        <v>1207</v>
      </c>
      <c r="B1142" s="2" t="s">
        <v>25</v>
      </c>
      <c r="C1142" s="2" t="s">
        <v>16</v>
      </c>
      <c r="D1142" s="2">
        <v>15</v>
      </c>
      <c r="E1142" s="5">
        <v>45020</v>
      </c>
      <c r="F1142" s="2">
        <v>37</v>
      </c>
      <c r="G1142" s="2" t="s">
        <v>37</v>
      </c>
      <c r="H1142" s="2" t="s">
        <v>23</v>
      </c>
      <c r="I1142" s="6">
        <v>0.2</v>
      </c>
      <c r="J1142" s="2" t="str">
        <f t="shared" si="17"/>
        <v>2023-04</v>
      </c>
    </row>
    <row r="1143" spans="1:10" x14ac:dyDescent="0.2">
      <c r="A1143" s="2" t="s">
        <v>1208</v>
      </c>
      <c r="B1143" s="2" t="s">
        <v>858</v>
      </c>
      <c r="C1143" s="2" t="s">
        <v>142</v>
      </c>
      <c r="D1143" s="2" t="s">
        <v>2954</v>
      </c>
      <c r="E1143" s="5">
        <v>45020</v>
      </c>
      <c r="F1143" s="2" t="s">
        <v>2954</v>
      </c>
      <c r="G1143" s="2" t="s">
        <v>199</v>
      </c>
      <c r="H1143" s="2" t="s">
        <v>859</v>
      </c>
      <c r="I1143" s="6" t="s">
        <v>2954</v>
      </c>
      <c r="J1143" s="2" t="str">
        <f t="shared" si="17"/>
        <v>2023-04</v>
      </c>
    </row>
    <row r="1144" spans="1:10" x14ac:dyDescent="0.2">
      <c r="A1144" s="2" t="s">
        <v>1209</v>
      </c>
      <c r="B1144" s="2" t="s">
        <v>1210</v>
      </c>
      <c r="C1144" s="2" t="s">
        <v>29</v>
      </c>
      <c r="D1144" s="2">
        <v>1000</v>
      </c>
      <c r="E1144" s="5">
        <v>45019</v>
      </c>
      <c r="F1144" s="2" t="s">
        <v>2954</v>
      </c>
      <c r="G1144" s="2" t="s">
        <v>45</v>
      </c>
      <c r="H1144" s="2" t="s">
        <v>23</v>
      </c>
      <c r="I1144" s="6">
        <v>0.2</v>
      </c>
      <c r="J1144" s="2" t="str">
        <f t="shared" si="17"/>
        <v>2023-04</v>
      </c>
    </row>
    <row r="1145" spans="1:10" x14ac:dyDescent="0.2">
      <c r="A1145" s="2" t="s">
        <v>1211</v>
      </c>
      <c r="B1145" s="2" t="s">
        <v>34</v>
      </c>
      <c r="C1145" s="2" t="s">
        <v>29</v>
      </c>
      <c r="D1145" s="2">
        <v>170</v>
      </c>
      <c r="E1145" s="5">
        <v>45019</v>
      </c>
      <c r="F1145" s="2">
        <v>2300</v>
      </c>
      <c r="G1145" s="2" t="s">
        <v>17</v>
      </c>
      <c r="H1145" s="2" t="s">
        <v>23</v>
      </c>
      <c r="I1145" s="6">
        <v>0.23</v>
      </c>
      <c r="J1145" s="2" t="str">
        <f t="shared" si="17"/>
        <v>2023-04</v>
      </c>
    </row>
    <row r="1146" spans="1:10" x14ac:dyDescent="0.2">
      <c r="A1146" s="2" t="s">
        <v>1212</v>
      </c>
      <c r="B1146" s="2" t="s">
        <v>34</v>
      </c>
      <c r="C1146" s="2" t="s">
        <v>16</v>
      </c>
      <c r="D1146" s="2">
        <v>48</v>
      </c>
      <c r="E1146" s="5">
        <v>45019</v>
      </c>
      <c r="F1146" s="2">
        <v>339</v>
      </c>
      <c r="G1146" s="2" t="s">
        <v>128</v>
      </c>
      <c r="H1146" s="2" t="s">
        <v>23</v>
      </c>
      <c r="I1146" s="6">
        <v>0.11</v>
      </c>
      <c r="J1146" s="2" t="str">
        <f t="shared" si="17"/>
        <v>2023-04</v>
      </c>
    </row>
    <row r="1147" spans="1:10" x14ac:dyDescent="0.2">
      <c r="A1147" s="2" t="s">
        <v>230</v>
      </c>
      <c r="B1147" s="2" t="s">
        <v>28</v>
      </c>
      <c r="C1147" s="2" t="s">
        <v>84</v>
      </c>
      <c r="D1147" s="2">
        <v>15</v>
      </c>
      <c r="E1147" s="5">
        <v>45019</v>
      </c>
      <c r="F1147" s="2">
        <v>42</v>
      </c>
      <c r="G1147" s="2" t="s">
        <v>12</v>
      </c>
      <c r="H1147" s="2" t="s">
        <v>23</v>
      </c>
      <c r="I1147" s="6">
        <v>0.12</v>
      </c>
      <c r="J1147" s="2" t="str">
        <f t="shared" si="17"/>
        <v>2023-04</v>
      </c>
    </row>
    <row r="1148" spans="1:10" x14ac:dyDescent="0.2">
      <c r="A1148" s="2" t="s">
        <v>185</v>
      </c>
      <c r="B1148" s="2" t="s">
        <v>34</v>
      </c>
      <c r="C1148" s="2" t="s">
        <v>142</v>
      </c>
      <c r="D1148" s="2" t="s">
        <v>2954</v>
      </c>
      <c r="E1148" s="5">
        <v>45019</v>
      </c>
      <c r="F1148" s="2">
        <v>6200</v>
      </c>
      <c r="G1148" s="2" t="s">
        <v>17</v>
      </c>
      <c r="H1148" s="2" t="s">
        <v>23</v>
      </c>
      <c r="I1148" s="6" t="s">
        <v>2954</v>
      </c>
      <c r="J1148" s="2" t="str">
        <f t="shared" si="17"/>
        <v>2023-04</v>
      </c>
    </row>
    <row r="1149" spans="1:10" x14ac:dyDescent="0.2">
      <c r="A1149" s="2" t="s">
        <v>491</v>
      </c>
      <c r="B1149" s="2" t="s">
        <v>54</v>
      </c>
      <c r="C1149" s="2" t="s">
        <v>16</v>
      </c>
      <c r="D1149" s="2" t="s">
        <v>2954</v>
      </c>
      <c r="E1149" s="5">
        <v>45019</v>
      </c>
      <c r="F1149" s="2">
        <v>1800</v>
      </c>
      <c r="G1149" s="2" t="s">
        <v>75</v>
      </c>
      <c r="H1149" s="2" t="s">
        <v>55</v>
      </c>
      <c r="I1149" s="6" t="s">
        <v>2954</v>
      </c>
      <c r="J1149" s="2" t="str">
        <f t="shared" si="17"/>
        <v>2023-04</v>
      </c>
    </row>
    <row r="1150" spans="1:10" x14ac:dyDescent="0.2">
      <c r="A1150" s="2" t="s">
        <v>1213</v>
      </c>
      <c r="B1150" s="2" t="s">
        <v>119</v>
      </c>
      <c r="C1150" s="2" t="s">
        <v>61</v>
      </c>
      <c r="D1150" s="2">
        <v>89</v>
      </c>
      <c r="E1150" s="5">
        <v>45016</v>
      </c>
      <c r="F1150" s="2">
        <v>130</v>
      </c>
      <c r="G1150" s="2" t="s">
        <v>75</v>
      </c>
      <c r="H1150" s="2" t="s">
        <v>120</v>
      </c>
      <c r="I1150" s="6">
        <v>0.45</v>
      </c>
      <c r="J1150" s="2" t="str">
        <f t="shared" si="17"/>
        <v>2023-03</v>
      </c>
    </row>
    <row r="1151" spans="1:10" x14ac:dyDescent="0.2">
      <c r="A1151" s="2" t="s">
        <v>1214</v>
      </c>
      <c r="B1151" s="2" t="s">
        <v>34</v>
      </c>
      <c r="C1151" s="2" t="s">
        <v>243</v>
      </c>
      <c r="D1151" s="2" t="s">
        <v>2954</v>
      </c>
      <c r="E1151" s="5">
        <v>45016</v>
      </c>
      <c r="F1151" s="2">
        <v>181</v>
      </c>
      <c r="G1151" s="2" t="s">
        <v>37</v>
      </c>
      <c r="H1151" s="2" t="s">
        <v>23</v>
      </c>
      <c r="I1151" s="6" t="s">
        <v>2954</v>
      </c>
      <c r="J1151" s="2" t="str">
        <f t="shared" si="17"/>
        <v>2023-03</v>
      </c>
    </row>
    <row r="1152" spans="1:10" x14ac:dyDescent="0.2">
      <c r="A1152" s="2" t="s">
        <v>1215</v>
      </c>
      <c r="B1152" s="2" t="s">
        <v>595</v>
      </c>
      <c r="C1152" s="2" t="s">
        <v>235</v>
      </c>
      <c r="D1152" s="2">
        <v>200</v>
      </c>
      <c r="E1152" s="5">
        <v>45015</v>
      </c>
      <c r="F1152" s="2">
        <v>683</v>
      </c>
      <c r="G1152" s="2" t="s">
        <v>45</v>
      </c>
      <c r="H1152" s="2" t="s">
        <v>224</v>
      </c>
      <c r="I1152" s="6" t="s">
        <v>2954</v>
      </c>
      <c r="J1152" s="2" t="str">
        <f t="shared" si="17"/>
        <v>2023-03</v>
      </c>
    </row>
    <row r="1153" spans="1:10" x14ac:dyDescent="0.2">
      <c r="A1153" s="2" t="s">
        <v>737</v>
      </c>
      <c r="B1153" s="2" t="s">
        <v>34</v>
      </c>
      <c r="C1153" s="2" t="s">
        <v>235</v>
      </c>
      <c r="D1153" s="2">
        <v>200</v>
      </c>
      <c r="E1153" s="5">
        <v>45015</v>
      </c>
      <c r="F1153" s="2">
        <v>208</v>
      </c>
      <c r="G1153" s="2" t="s">
        <v>17</v>
      </c>
      <c r="H1153" s="2" t="s">
        <v>23</v>
      </c>
      <c r="I1153" s="6">
        <v>0.06</v>
      </c>
      <c r="J1153" s="2" t="str">
        <f t="shared" si="17"/>
        <v>2023-03</v>
      </c>
    </row>
    <row r="1154" spans="1:10" x14ac:dyDescent="0.2">
      <c r="A1154" s="2" t="s">
        <v>1216</v>
      </c>
      <c r="B1154" s="2" t="s">
        <v>733</v>
      </c>
      <c r="C1154" s="2" t="s">
        <v>16</v>
      </c>
      <c r="D1154" s="2">
        <v>150</v>
      </c>
      <c r="E1154" s="5">
        <v>45015</v>
      </c>
      <c r="F1154" s="2" t="s">
        <v>2954</v>
      </c>
      <c r="G1154" s="2" t="s">
        <v>17</v>
      </c>
      <c r="H1154" s="2" t="s">
        <v>23</v>
      </c>
      <c r="I1154" s="6">
        <v>0.13</v>
      </c>
      <c r="J1154" s="2" t="str">
        <f t="shared" si="17"/>
        <v>2023-03</v>
      </c>
    </row>
    <row r="1155" spans="1:10" x14ac:dyDescent="0.2">
      <c r="A1155" s="2" t="s">
        <v>1217</v>
      </c>
      <c r="B1155" s="2" t="s">
        <v>255</v>
      </c>
      <c r="C1155" s="2" t="s">
        <v>35</v>
      </c>
      <c r="D1155" s="2">
        <v>100</v>
      </c>
      <c r="E1155" s="5">
        <v>45015</v>
      </c>
      <c r="F1155" s="2">
        <v>50</v>
      </c>
      <c r="G1155" s="2" t="s">
        <v>37</v>
      </c>
      <c r="H1155" s="2" t="s">
        <v>98</v>
      </c>
      <c r="I1155" s="6">
        <v>0.75</v>
      </c>
      <c r="J1155" s="2" t="str">
        <f t="shared" ref="J1155:J1218" si="18">TEXT(E1155,"YYYY-MM")</f>
        <v>2023-03</v>
      </c>
    </row>
    <row r="1156" spans="1:10" x14ac:dyDescent="0.2">
      <c r="A1156" s="2" t="s">
        <v>1218</v>
      </c>
      <c r="B1156" s="2" t="s">
        <v>86</v>
      </c>
      <c r="C1156" s="2" t="s">
        <v>16</v>
      </c>
      <c r="D1156" s="2">
        <v>19</v>
      </c>
      <c r="E1156" s="5">
        <v>45015</v>
      </c>
      <c r="F1156" s="2">
        <v>24</v>
      </c>
      <c r="G1156" s="2" t="s">
        <v>41</v>
      </c>
      <c r="H1156" s="2" t="s">
        <v>23</v>
      </c>
      <c r="I1156" s="6">
        <v>0.25</v>
      </c>
      <c r="J1156" s="2" t="str">
        <f t="shared" si="18"/>
        <v>2023-03</v>
      </c>
    </row>
    <row r="1157" spans="1:10" x14ac:dyDescent="0.2">
      <c r="A1157" s="2" t="s">
        <v>1219</v>
      </c>
      <c r="B1157" s="2" t="s">
        <v>80</v>
      </c>
      <c r="C1157" s="2" t="s">
        <v>50</v>
      </c>
      <c r="D1157" s="2">
        <v>17</v>
      </c>
      <c r="E1157" s="5">
        <v>45015</v>
      </c>
      <c r="F1157" s="2">
        <v>116</v>
      </c>
      <c r="G1157" s="2" t="s">
        <v>66</v>
      </c>
      <c r="H1157" s="2" t="s">
        <v>23</v>
      </c>
      <c r="I1157" s="6">
        <v>0.15</v>
      </c>
      <c r="J1157" s="2" t="str">
        <f t="shared" si="18"/>
        <v>2023-03</v>
      </c>
    </row>
    <row r="1158" spans="1:10" x14ac:dyDescent="0.2">
      <c r="A1158" s="2" t="s">
        <v>530</v>
      </c>
      <c r="B1158" s="2" t="s">
        <v>287</v>
      </c>
      <c r="C1158" s="2" t="s">
        <v>235</v>
      </c>
      <c r="D1158" s="2">
        <v>15</v>
      </c>
      <c r="E1158" s="5">
        <v>45015</v>
      </c>
      <c r="F1158" s="2">
        <v>2100</v>
      </c>
      <c r="G1158" s="2" t="s">
        <v>17</v>
      </c>
      <c r="H1158" s="2" t="s">
        <v>291</v>
      </c>
      <c r="I1158" s="6" t="s">
        <v>2954</v>
      </c>
      <c r="J1158" s="2" t="str">
        <f t="shared" si="18"/>
        <v>2023-03</v>
      </c>
    </row>
    <row r="1159" spans="1:10" x14ac:dyDescent="0.2">
      <c r="A1159" s="2" t="s">
        <v>1220</v>
      </c>
      <c r="B1159" s="2" t="s">
        <v>34</v>
      </c>
      <c r="C1159" s="2" t="s">
        <v>26</v>
      </c>
      <c r="D1159" s="2" t="s">
        <v>2954</v>
      </c>
      <c r="E1159" s="5">
        <v>45015</v>
      </c>
      <c r="F1159" s="2" t="s">
        <v>2954</v>
      </c>
      <c r="G1159" s="2" t="s">
        <v>12</v>
      </c>
      <c r="H1159" s="2" t="s">
        <v>23</v>
      </c>
      <c r="I1159" s="6">
        <v>0.17</v>
      </c>
      <c r="J1159" s="2" t="str">
        <f t="shared" si="18"/>
        <v>2023-03</v>
      </c>
    </row>
    <row r="1160" spans="1:10" x14ac:dyDescent="0.2">
      <c r="A1160" s="2" t="s">
        <v>1221</v>
      </c>
      <c r="B1160" s="2" t="s">
        <v>217</v>
      </c>
      <c r="C1160" s="2" t="s">
        <v>16</v>
      </c>
      <c r="D1160" s="2" t="s">
        <v>2954</v>
      </c>
      <c r="E1160" s="5">
        <v>45015</v>
      </c>
      <c r="F1160" s="2">
        <v>44</v>
      </c>
      <c r="G1160" s="2" t="s">
        <v>12</v>
      </c>
      <c r="H1160" s="2" t="s">
        <v>217</v>
      </c>
      <c r="I1160" s="6" t="s">
        <v>2954</v>
      </c>
      <c r="J1160" s="2" t="str">
        <f t="shared" si="18"/>
        <v>2023-03</v>
      </c>
    </row>
    <row r="1161" spans="1:10" x14ac:dyDescent="0.2">
      <c r="A1161" s="2" t="s">
        <v>1222</v>
      </c>
      <c r="B1161" s="2" t="s">
        <v>217</v>
      </c>
      <c r="C1161" s="2" t="s">
        <v>84</v>
      </c>
      <c r="D1161" s="2" t="s">
        <v>2954</v>
      </c>
      <c r="E1161" s="5">
        <v>45015</v>
      </c>
      <c r="F1161" s="2" t="s">
        <v>2954</v>
      </c>
      <c r="G1161" s="2" t="s">
        <v>45</v>
      </c>
      <c r="H1161" s="2" t="s">
        <v>217</v>
      </c>
      <c r="I1161" s="6">
        <v>0.9</v>
      </c>
      <c r="J1161" s="2" t="str">
        <f t="shared" si="18"/>
        <v>2023-03</v>
      </c>
    </row>
    <row r="1162" spans="1:10" x14ac:dyDescent="0.2">
      <c r="A1162" s="2" t="s">
        <v>1223</v>
      </c>
      <c r="B1162" s="2" t="s">
        <v>25</v>
      </c>
      <c r="C1162" s="2" t="s">
        <v>48</v>
      </c>
      <c r="D1162" s="2" t="s">
        <v>2954</v>
      </c>
      <c r="E1162" s="5">
        <v>45015</v>
      </c>
      <c r="F1162" s="2" t="s">
        <v>2954</v>
      </c>
      <c r="G1162" s="2" t="s">
        <v>17</v>
      </c>
      <c r="H1162" s="2" t="s">
        <v>23</v>
      </c>
      <c r="I1162" s="6" t="s">
        <v>2954</v>
      </c>
      <c r="J1162" s="2" t="str">
        <f t="shared" si="18"/>
        <v>2023-03</v>
      </c>
    </row>
    <row r="1163" spans="1:10" x14ac:dyDescent="0.2">
      <c r="A1163" s="2" t="s">
        <v>1224</v>
      </c>
      <c r="B1163" s="2" t="s">
        <v>1225</v>
      </c>
      <c r="C1163" s="2" t="s">
        <v>170</v>
      </c>
      <c r="D1163" s="2" t="s">
        <v>2954</v>
      </c>
      <c r="E1163" s="5">
        <v>45015</v>
      </c>
      <c r="F1163" s="2" t="s">
        <v>2954</v>
      </c>
      <c r="G1163" s="2" t="s">
        <v>66</v>
      </c>
      <c r="H1163" s="2" t="s">
        <v>956</v>
      </c>
      <c r="I1163" s="6">
        <v>0.15</v>
      </c>
      <c r="J1163" s="2" t="str">
        <f t="shared" si="18"/>
        <v>2023-03</v>
      </c>
    </row>
    <row r="1164" spans="1:10" x14ac:dyDescent="0.2">
      <c r="A1164" s="2" t="s">
        <v>1226</v>
      </c>
      <c r="B1164" s="2" t="s">
        <v>100</v>
      </c>
      <c r="C1164" s="2" t="s">
        <v>61</v>
      </c>
      <c r="D1164" s="2" t="s">
        <v>2954</v>
      </c>
      <c r="E1164" s="5">
        <v>45015</v>
      </c>
      <c r="F1164" s="2">
        <v>838</v>
      </c>
      <c r="G1164" s="2" t="s">
        <v>81</v>
      </c>
      <c r="H1164" s="2" t="s">
        <v>98</v>
      </c>
      <c r="I1164" s="6">
        <v>0.12</v>
      </c>
      <c r="J1164" s="2" t="str">
        <f t="shared" si="18"/>
        <v>2023-03</v>
      </c>
    </row>
    <row r="1165" spans="1:10" x14ac:dyDescent="0.2">
      <c r="A1165" s="2" t="s">
        <v>1227</v>
      </c>
      <c r="B1165" s="2" t="s">
        <v>414</v>
      </c>
      <c r="C1165" s="2" t="s">
        <v>32</v>
      </c>
      <c r="D1165" s="2">
        <v>800</v>
      </c>
      <c r="E1165" s="5">
        <v>45014</v>
      </c>
      <c r="F1165" s="2">
        <v>5</v>
      </c>
      <c r="G1165" s="2" t="s">
        <v>45</v>
      </c>
      <c r="H1165" s="2" t="s">
        <v>23</v>
      </c>
      <c r="I1165" s="6" t="s">
        <v>2954</v>
      </c>
      <c r="J1165" s="2" t="str">
        <f t="shared" si="18"/>
        <v>2023-03</v>
      </c>
    </row>
    <row r="1166" spans="1:10" x14ac:dyDescent="0.2">
      <c r="A1166" s="2" t="s">
        <v>260</v>
      </c>
      <c r="B1166" s="2" t="s">
        <v>34</v>
      </c>
      <c r="C1166" s="2" t="s">
        <v>35</v>
      </c>
      <c r="D1166" s="2">
        <v>780</v>
      </c>
      <c r="E1166" s="5">
        <v>45014</v>
      </c>
      <c r="F1166" s="2">
        <v>2</v>
      </c>
      <c r="G1166" s="2" t="s">
        <v>17</v>
      </c>
      <c r="H1166" s="2" t="s">
        <v>23</v>
      </c>
      <c r="I1166" s="6">
        <v>0.06</v>
      </c>
      <c r="J1166" s="2" t="str">
        <f t="shared" si="18"/>
        <v>2023-03</v>
      </c>
    </row>
    <row r="1167" spans="1:10" x14ac:dyDescent="0.2">
      <c r="A1167" s="2" t="s">
        <v>1228</v>
      </c>
      <c r="B1167" s="2" t="s">
        <v>34</v>
      </c>
      <c r="C1167" s="2" t="s">
        <v>103</v>
      </c>
      <c r="D1167" s="2">
        <v>480</v>
      </c>
      <c r="E1167" s="5">
        <v>45014</v>
      </c>
      <c r="F1167" s="2" t="s">
        <v>2954</v>
      </c>
      <c r="G1167" s="2" t="s">
        <v>17</v>
      </c>
      <c r="H1167" s="2" t="s">
        <v>23</v>
      </c>
      <c r="I1167" s="6" t="s">
        <v>2954</v>
      </c>
      <c r="J1167" s="2" t="str">
        <f t="shared" si="18"/>
        <v>2023-03</v>
      </c>
    </row>
    <row r="1168" spans="1:10" x14ac:dyDescent="0.2">
      <c r="A1168" s="2" t="s">
        <v>325</v>
      </c>
      <c r="B1168" s="2" t="s">
        <v>89</v>
      </c>
      <c r="C1168" s="2" t="s">
        <v>142</v>
      </c>
      <c r="D1168" s="2">
        <v>100</v>
      </c>
      <c r="E1168" s="5">
        <v>45014</v>
      </c>
      <c r="F1168" s="2">
        <v>119</v>
      </c>
      <c r="G1168" s="2" t="s">
        <v>45</v>
      </c>
      <c r="H1168" s="2" t="s">
        <v>23</v>
      </c>
      <c r="I1168" s="6" t="s">
        <v>2954</v>
      </c>
      <c r="J1168" s="2" t="str">
        <f t="shared" si="18"/>
        <v>2023-03</v>
      </c>
    </row>
    <row r="1169" spans="1:10" x14ac:dyDescent="0.2">
      <c r="A1169" s="2" t="s">
        <v>1229</v>
      </c>
      <c r="B1169" s="2" t="s">
        <v>1230</v>
      </c>
      <c r="C1169" s="2" t="s">
        <v>32</v>
      </c>
      <c r="D1169" s="2">
        <v>23</v>
      </c>
      <c r="E1169" s="5">
        <v>45014</v>
      </c>
      <c r="F1169" s="2">
        <v>59</v>
      </c>
      <c r="G1169" s="2" t="s">
        <v>17</v>
      </c>
      <c r="H1169" s="2" t="s">
        <v>23</v>
      </c>
      <c r="I1169" s="6">
        <v>0.28000000000000003</v>
      </c>
      <c r="J1169" s="2" t="str">
        <f t="shared" si="18"/>
        <v>2023-03</v>
      </c>
    </row>
    <row r="1170" spans="1:10" x14ac:dyDescent="0.2">
      <c r="A1170" s="2" t="s">
        <v>1231</v>
      </c>
      <c r="B1170" s="2" t="s">
        <v>392</v>
      </c>
      <c r="C1170" s="2" t="s">
        <v>29</v>
      </c>
      <c r="D1170" s="2" t="s">
        <v>2954</v>
      </c>
      <c r="E1170" s="5">
        <v>45014</v>
      </c>
      <c r="F1170" s="2">
        <v>37</v>
      </c>
      <c r="G1170" s="2" t="s">
        <v>37</v>
      </c>
      <c r="H1170" s="2" t="s">
        <v>393</v>
      </c>
      <c r="I1170" s="6">
        <v>0.25</v>
      </c>
      <c r="J1170" s="2" t="str">
        <f t="shared" si="18"/>
        <v>2023-03</v>
      </c>
    </row>
    <row r="1171" spans="1:10" x14ac:dyDescent="0.2">
      <c r="A1171" s="2" t="s">
        <v>1232</v>
      </c>
      <c r="B1171" s="2" t="s">
        <v>203</v>
      </c>
      <c r="C1171" s="2" t="s">
        <v>16</v>
      </c>
      <c r="D1171" s="2" t="s">
        <v>2954</v>
      </c>
      <c r="E1171" s="5">
        <v>45014</v>
      </c>
      <c r="F1171" s="2">
        <v>9</v>
      </c>
      <c r="G1171" s="2" t="s">
        <v>132</v>
      </c>
      <c r="H1171" s="2" t="s">
        <v>204</v>
      </c>
      <c r="I1171" s="6" t="s">
        <v>2954</v>
      </c>
      <c r="J1171" s="2" t="str">
        <f t="shared" si="18"/>
        <v>2023-03</v>
      </c>
    </row>
    <row r="1172" spans="1:10" x14ac:dyDescent="0.2">
      <c r="A1172" s="2" t="s">
        <v>672</v>
      </c>
      <c r="B1172" s="2" t="s">
        <v>34</v>
      </c>
      <c r="C1172" s="2" t="s">
        <v>52</v>
      </c>
      <c r="D1172" s="2" t="s">
        <v>2954</v>
      </c>
      <c r="E1172" s="5">
        <v>45014</v>
      </c>
      <c r="F1172" s="2">
        <v>504</v>
      </c>
      <c r="G1172" s="2" t="s">
        <v>17</v>
      </c>
      <c r="H1172" s="2" t="s">
        <v>23</v>
      </c>
      <c r="I1172" s="6">
        <v>0.3</v>
      </c>
      <c r="J1172" s="2" t="str">
        <f t="shared" si="18"/>
        <v>2023-03</v>
      </c>
    </row>
    <row r="1173" spans="1:10" x14ac:dyDescent="0.2">
      <c r="A1173" s="2" t="s">
        <v>56</v>
      </c>
      <c r="B1173" s="2" t="s">
        <v>34</v>
      </c>
      <c r="C1173" s="2" t="s">
        <v>52</v>
      </c>
      <c r="D1173" s="2">
        <v>1300</v>
      </c>
      <c r="E1173" s="5">
        <v>45013</v>
      </c>
      <c r="F1173" s="2">
        <v>8300</v>
      </c>
      <c r="G1173" s="2" t="s">
        <v>17</v>
      </c>
      <c r="H1173" s="2" t="s">
        <v>23</v>
      </c>
      <c r="I1173" s="6">
        <v>0.18</v>
      </c>
      <c r="J1173" s="2" t="str">
        <f t="shared" si="18"/>
        <v>2023-03</v>
      </c>
    </row>
    <row r="1174" spans="1:10" x14ac:dyDescent="0.2">
      <c r="A1174" s="2" t="s">
        <v>1233</v>
      </c>
      <c r="B1174" s="2" t="s">
        <v>28</v>
      </c>
      <c r="C1174" s="2" t="s">
        <v>142</v>
      </c>
      <c r="D1174" s="2">
        <v>119</v>
      </c>
      <c r="E1174" s="5">
        <v>45013</v>
      </c>
      <c r="F1174" s="2">
        <v>62</v>
      </c>
      <c r="G1174" s="2" t="s">
        <v>45</v>
      </c>
      <c r="H1174" s="2" t="s">
        <v>23</v>
      </c>
      <c r="I1174" s="6" t="s">
        <v>2954</v>
      </c>
      <c r="J1174" s="2" t="str">
        <f t="shared" si="18"/>
        <v>2023-03</v>
      </c>
    </row>
    <row r="1175" spans="1:10" x14ac:dyDescent="0.2">
      <c r="A1175" s="2" t="s">
        <v>1234</v>
      </c>
      <c r="B1175" s="2" t="s">
        <v>34</v>
      </c>
      <c r="C1175" s="2" t="s">
        <v>52</v>
      </c>
      <c r="D1175" s="2">
        <v>46</v>
      </c>
      <c r="E1175" s="5">
        <v>45013</v>
      </c>
      <c r="F1175" s="2">
        <v>314</v>
      </c>
      <c r="G1175" s="2" t="s">
        <v>17</v>
      </c>
      <c r="H1175" s="2" t="s">
        <v>23</v>
      </c>
      <c r="I1175" s="6">
        <v>0.33</v>
      </c>
      <c r="J1175" s="2" t="str">
        <f t="shared" si="18"/>
        <v>2023-03</v>
      </c>
    </row>
    <row r="1176" spans="1:10" x14ac:dyDescent="0.2">
      <c r="A1176" s="2" t="s">
        <v>1235</v>
      </c>
      <c r="B1176" s="2" t="s">
        <v>1236</v>
      </c>
      <c r="C1176" s="2" t="s">
        <v>243</v>
      </c>
      <c r="D1176" s="2">
        <v>275</v>
      </c>
      <c r="E1176" s="5">
        <v>45012</v>
      </c>
      <c r="F1176" s="2">
        <v>17</v>
      </c>
      <c r="G1176" s="2" t="s">
        <v>45</v>
      </c>
      <c r="H1176" s="2" t="s">
        <v>23</v>
      </c>
      <c r="I1176" s="6" t="s">
        <v>2954</v>
      </c>
      <c r="J1176" s="2" t="str">
        <f t="shared" si="18"/>
        <v>2023-03</v>
      </c>
    </row>
    <row r="1177" spans="1:10" x14ac:dyDescent="0.2">
      <c r="A1177" s="2" t="s">
        <v>1237</v>
      </c>
      <c r="B1177" s="2" t="s">
        <v>34</v>
      </c>
      <c r="C1177" s="2" t="s">
        <v>32</v>
      </c>
      <c r="D1177" s="2" t="s">
        <v>2954</v>
      </c>
      <c r="E1177" s="5">
        <v>45012</v>
      </c>
      <c r="F1177" s="2">
        <v>143</v>
      </c>
      <c r="G1177" s="2" t="s">
        <v>17</v>
      </c>
      <c r="H1177" s="2" t="s">
        <v>23</v>
      </c>
      <c r="I1177" s="6">
        <v>0.35</v>
      </c>
      <c r="J1177" s="2" t="str">
        <f t="shared" si="18"/>
        <v>2023-03</v>
      </c>
    </row>
    <row r="1178" spans="1:10" x14ac:dyDescent="0.2">
      <c r="A1178" s="2" t="s">
        <v>1238</v>
      </c>
      <c r="B1178" s="2" t="s">
        <v>47</v>
      </c>
      <c r="C1178" s="2" t="s">
        <v>16</v>
      </c>
      <c r="D1178" s="2">
        <v>170</v>
      </c>
      <c r="E1178" s="5">
        <v>45009</v>
      </c>
      <c r="F1178" s="2">
        <v>250</v>
      </c>
      <c r="G1178" s="2" t="s">
        <v>12</v>
      </c>
      <c r="H1178" s="2" t="s">
        <v>23</v>
      </c>
      <c r="I1178" s="6" t="s">
        <v>2954</v>
      </c>
      <c r="J1178" s="2" t="str">
        <f t="shared" si="18"/>
        <v>2023-03</v>
      </c>
    </row>
    <row r="1179" spans="1:10" x14ac:dyDescent="0.2">
      <c r="A1179" s="2" t="s">
        <v>1239</v>
      </c>
      <c r="B1179" s="2" t="s">
        <v>1240</v>
      </c>
      <c r="C1179" s="2" t="s">
        <v>35</v>
      </c>
      <c r="D1179" s="2" t="s">
        <v>2954</v>
      </c>
      <c r="E1179" s="5">
        <v>45009</v>
      </c>
      <c r="F1179" s="2" t="s">
        <v>2954</v>
      </c>
      <c r="G1179" s="2" t="s">
        <v>45</v>
      </c>
      <c r="H1179" s="2" t="s">
        <v>23</v>
      </c>
      <c r="I1179" s="6" t="s">
        <v>2954</v>
      </c>
      <c r="J1179" s="2" t="str">
        <f t="shared" si="18"/>
        <v>2023-03</v>
      </c>
    </row>
    <row r="1180" spans="1:10" x14ac:dyDescent="0.2">
      <c r="A1180" s="2" t="s">
        <v>1241</v>
      </c>
      <c r="B1180" s="2" t="s">
        <v>162</v>
      </c>
      <c r="C1180" s="2" t="s">
        <v>142</v>
      </c>
      <c r="D1180" s="2">
        <v>500</v>
      </c>
      <c r="E1180" s="5">
        <v>45008</v>
      </c>
      <c r="F1180" s="2">
        <v>300</v>
      </c>
      <c r="G1180" s="2" t="s">
        <v>17</v>
      </c>
      <c r="H1180" s="2" t="s">
        <v>163</v>
      </c>
      <c r="I1180" s="6" t="s">
        <v>2954</v>
      </c>
      <c r="J1180" s="2" t="str">
        <f t="shared" si="18"/>
        <v>2023-03</v>
      </c>
    </row>
    <row r="1181" spans="1:10" x14ac:dyDescent="0.2">
      <c r="A1181" s="2" t="s">
        <v>413</v>
      </c>
      <c r="B1181" s="2" t="s">
        <v>414</v>
      </c>
      <c r="C1181" s="2" t="s">
        <v>243</v>
      </c>
      <c r="D1181" s="2">
        <v>200</v>
      </c>
      <c r="E1181" s="5">
        <v>45008</v>
      </c>
      <c r="F1181" s="2">
        <v>500</v>
      </c>
      <c r="G1181" s="2" t="s">
        <v>45</v>
      </c>
      <c r="H1181" s="2" t="s">
        <v>23</v>
      </c>
      <c r="I1181" s="6" t="s">
        <v>2954</v>
      </c>
      <c r="J1181" s="2" t="str">
        <f t="shared" si="18"/>
        <v>2023-03</v>
      </c>
    </row>
    <row r="1182" spans="1:10" x14ac:dyDescent="0.2">
      <c r="A1182" s="2" t="s">
        <v>164</v>
      </c>
      <c r="B1182" s="2" t="s">
        <v>165</v>
      </c>
      <c r="C1182" s="2" t="s">
        <v>11</v>
      </c>
      <c r="D1182" s="2">
        <v>140</v>
      </c>
      <c r="E1182" s="5">
        <v>45008</v>
      </c>
      <c r="F1182" s="2">
        <v>1200</v>
      </c>
      <c r="G1182" s="2" t="s">
        <v>45</v>
      </c>
      <c r="H1182" s="2" t="s">
        <v>120</v>
      </c>
      <c r="I1182" s="6" t="s">
        <v>2954</v>
      </c>
      <c r="J1182" s="2" t="str">
        <f t="shared" si="18"/>
        <v>2023-03</v>
      </c>
    </row>
    <row r="1183" spans="1:10" x14ac:dyDescent="0.2">
      <c r="A1183" s="2" t="s">
        <v>1242</v>
      </c>
      <c r="B1183" s="2" t="s">
        <v>1243</v>
      </c>
      <c r="C1183" s="2" t="s">
        <v>142</v>
      </c>
      <c r="D1183" s="2">
        <v>50</v>
      </c>
      <c r="E1183" s="5">
        <v>45008</v>
      </c>
      <c r="F1183" s="2">
        <v>146</v>
      </c>
      <c r="G1183" s="2" t="s">
        <v>12</v>
      </c>
      <c r="H1183" s="2" t="s">
        <v>1244</v>
      </c>
      <c r="I1183" s="6" t="s">
        <v>2954</v>
      </c>
      <c r="J1183" s="2" t="str">
        <f t="shared" si="18"/>
        <v>2023-03</v>
      </c>
    </row>
    <row r="1184" spans="1:10" x14ac:dyDescent="0.2">
      <c r="A1184" s="2" t="s">
        <v>1245</v>
      </c>
      <c r="B1184" s="2" t="s">
        <v>162</v>
      </c>
      <c r="C1184" s="2" t="s">
        <v>29</v>
      </c>
      <c r="D1184" s="2">
        <v>10</v>
      </c>
      <c r="E1184" s="5">
        <v>45008</v>
      </c>
      <c r="F1184" s="2">
        <v>15</v>
      </c>
      <c r="G1184" s="2" t="s">
        <v>41</v>
      </c>
      <c r="H1184" s="2" t="s">
        <v>163</v>
      </c>
      <c r="I1184" s="6">
        <v>0.25</v>
      </c>
      <c r="J1184" s="2" t="str">
        <f t="shared" si="18"/>
        <v>2023-03</v>
      </c>
    </row>
    <row r="1185" spans="1:10" x14ac:dyDescent="0.2">
      <c r="A1185" s="2" t="s">
        <v>90</v>
      </c>
      <c r="B1185" s="2" t="s">
        <v>86</v>
      </c>
      <c r="C1185" s="2" t="s">
        <v>68</v>
      </c>
      <c r="D1185" s="2">
        <v>2200</v>
      </c>
      <c r="E1185" s="5">
        <v>45007</v>
      </c>
      <c r="F1185" s="2">
        <v>5</v>
      </c>
      <c r="G1185" s="2" t="s">
        <v>45</v>
      </c>
      <c r="H1185" s="2" t="s">
        <v>23</v>
      </c>
      <c r="I1185" s="6">
        <v>0.15</v>
      </c>
      <c r="J1185" s="2" t="str">
        <f t="shared" si="18"/>
        <v>2023-03</v>
      </c>
    </row>
    <row r="1186" spans="1:10" x14ac:dyDescent="0.2">
      <c r="A1186" s="2" t="s">
        <v>1246</v>
      </c>
      <c r="B1186" s="2" t="s">
        <v>1247</v>
      </c>
      <c r="C1186" s="2" t="s">
        <v>103</v>
      </c>
      <c r="D1186" s="2">
        <v>300</v>
      </c>
      <c r="E1186" s="5">
        <v>45007</v>
      </c>
      <c r="F1186" s="2" t="s">
        <v>2954</v>
      </c>
      <c r="G1186" s="2" t="s">
        <v>17</v>
      </c>
      <c r="H1186" s="2" t="s">
        <v>606</v>
      </c>
      <c r="I1186" s="6" t="s">
        <v>2954</v>
      </c>
      <c r="J1186" s="2" t="str">
        <f t="shared" si="18"/>
        <v>2023-03</v>
      </c>
    </row>
    <row r="1187" spans="1:10" x14ac:dyDescent="0.2">
      <c r="A1187" s="2" t="s">
        <v>1248</v>
      </c>
      <c r="B1187" s="2" t="s">
        <v>34</v>
      </c>
      <c r="C1187" s="2" t="s">
        <v>68</v>
      </c>
      <c r="D1187" s="2">
        <v>140</v>
      </c>
      <c r="E1187" s="5">
        <v>45007</v>
      </c>
      <c r="F1187" s="2">
        <v>204</v>
      </c>
      <c r="G1187" s="2" t="s">
        <v>45</v>
      </c>
      <c r="H1187" s="2" t="s">
        <v>23</v>
      </c>
      <c r="I1187" s="6">
        <v>0.15</v>
      </c>
      <c r="J1187" s="2" t="str">
        <f t="shared" si="18"/>
        <v>2023-03</v>
      </c>
    </row>
    <row r="1188" spans="1:10" x14ac:dyDescent="0.2">
      <c r="A1188" s="2" t="s">
        <v>1249</v>
      </c>
      <c r="B1188" s="2" t="s">
        <v>1250</v>
      </c>
      <c r="C1188" s="2" t="s">
        <v>52</v>
      </c>
      <c r="D1188" s="2">
        <v>40</v>
      </c>
      <c r="E1188" s="5">
        <v>45007</v>
      </c>
      <c r="F1188" s="2">
        <v>376</v>
      </c>
      <c r="G1188" s="2" t="s">
        <v>17</v>
      </c>
      <c r="H1188" s="2" t="s">
        <v>55</v>
      </c>
      <c r="I1188" s="6">
        <v>0.16</v>
      </c>
      <c r="J1188" s="2" t="str">
        <f t="shared" si="18"/>
        <v>2023-03</v>
      </c>
    </row>
    <row r="1189" spans="1:10" x14ac:dyDescent="0.2">
      <c r="A1189" s="2" t="s">
        <v>1251</v>
      </c>
      <c r="B1189" s="2" t="s">
        <v>54</v>
      </c>
      <c r="C1189" s="2" t="s">
        <v>22</v>
      </c>
      <c r="D1189" s="2" t="s">
        <v>2954</v>
      </c>
      <c r="E1189" s="5">
        <v>45007</v>
      </c>
      <c r="F1189" s="2">
        <v>281</v>
      </c>
      <c r="G1189" s="2" t="s">
        <v>66</v>
      </c>
      <c r="H1189" s="2" t="s">
        <v>55</v>
      </c>
      <c r="I1189" s="6">
        <v>0.15</v>
      </c>
      <c r="J1189" s="2" t="str">
        <f t="shared" si="18"/>
        <v>2023-03</v>
      </c>
    </row>
    <row r="1190" spans="1:10" x14ac:dyDescent="0.2">
      <c r="A1190" s="2" t="s">
        <v>1252</v>
      </c>
      <c r="B1190" s="2" t="s">
        <v>105</v>
      </c>
      <c r="C1190" s="2" t="s">
        <v>243</v>
      </c>
      <c r="D1190" s="2" t="s">
        <v>2954</v>
      </c>
      <c r="E1190" s="5">
        <v>45007</v>
      </c>
      <c r="F1190" s="2">
        <v>80</v>
      </c>
      <c r="G1190" s="2" t="s">
        <v>37</v>
      </c>
      <c r="H1190" s="2" t="s">
        <v>106</v>
      </c>
      <c r="I1190" s="6" t="s">
        <v>2954</v>
      </c>
      <c r="J1190" s="2" t="str">
        <f t="shared" si="18"/>
        <v>2023-03</v>
      </c>
    </row>
    <row r="1191" spans="1:10" x14ac:dyDescent="0.2">
      <c r="A1191" s="2" t="s">
        <v>1253</v>
      </c>
      <c r="B1191" s="2" t="s">
        <v>34</v>
      </c>
      <c r="C1191" s="2" t="s">
        <v>148</v>
      </c>
      <c r="D1191" s="2" t="s">
        <v>2954</v>
      </c>
      <c r="E1191" s="5">
        <v>45007</v>
      </c>
      <c r="F1191" s="2">
        <v>365</v>
      </c>
      <c r="G1191" s="2" t="s">
        <v>128</v>
      </c>
      <c r="H1191" s="2" t="s">
        <v>23</v>
      </c>
      <c r="I1191" s="6">
        <v>0.27</v>
      </c>
      <c r="J1191" s="2" t="str">
        <f t="shared" si="18"/>
        <v>2023-03</v>
      </c>
    </row>
    <row r="1192" spans="1:10" x14ac:dyDescent="0.2">
      <c r="A1192" s="2" t="s">
        <v>1254</v>
      </c>
      <c r="B1192" s="2" t="s">
        <v>54</v>
      </c>
      <c r="C1192" s="2" t="s">
        <v>11</v>
      </c>
      <c r="D1192" s="2">
        <v>1700</v>
      </c>
      <c r="E1192" s="5">
        <v>45006</v>
      </c>
      <c r="F1192" s="2" t="s">
        <v>2954</v>
      </c>
      <c r="G1192" s="2" t="s">
        <v>45</v>
      </c>
      <c r="H1192" s="2" t="s">
        <v>55</v>
      </c>
      <c r="I1192" s="6" t="s">
        <v>2954</v>
      </c>
      <c r="J1192" s="2" t="str">
        <f t="shared" si="18"/>
        <v>2023-03</v>
      </c>
    </row>
    <row r="1193" spans="1:10" x14ac:dyDescent="0.2">
      <c r="A1193" s="2" t="s">
        <v>1255</v>
      </c>
      <c r="B1193" s="2" t="s">
        <v>34</v>
      </c>
      <c r="C1193" s="2" t="s">
        <v>103</v>
      </c>
      <c r="D1193" s="2">
        <v>320</v>
      </c>
      <c r="E1193" s="5">
        <v>45006</v>
      </c>
      <c r="F1193" s="2" t="s">
        <v>2954</v>
      </c>
      <c r="G1193" s="2" t="s">
        <v>17</v>
      </c>
      <c r="H1193" s="2" t="s">
        <v>23</v>
      </c>
      <c r="I1193" s="6">
        <v>0.04</v>
      </c>
      <c r="J1193" s="2" t="str">
        <f t="shared" si="18"/>
        <v>2023-03</v>
      </c>
    </row>
    <row r="1194" spans="1:10" x14ac:dyDescent="0.2">
      <c r="A1194" s="2" t="s">
        <v>1256</v>
      </c>
      <c r="B1194" s="2" t="s">
        <v>167</v>
      </c>
      <c r="C1194" s="2" t="s">
        <v>68</v>
      </c>
      <c r="D1194" s="2">
        <v>130</v>
      </c>
      <c r="E1194" s="5">
        <v>45006</v>
      </c>
      <c r="F1194" s="2">
        <v>131</v>
      </c>
      <c r="G1194" s="2" t="s">
        <v>12</v>
      </c>
      <c r="H1194" s="2" t="s">
        <v>168</v>
      </c>
      <c r="I1194" s="6">
        <v>0.1</v>
      </c>
      <c r="J1194" s="2" t="str">
        <f t="shared" si="18"/>
        <v>2023-03</v>
      </c>
    </row>
    <row r="1195" spans="1:10" x14ac:dyDescent="0.2">
      <c r="A1195" s="2" t="s">
        <v>572</v>
      </c>
      <c r="B1195" s="2" t="s">
        <v>335</v>
      </c>
      <c r="C1195" s="2" t="s">
        <v>16</v>
      </c>
      <c r="D1195" s="2">
        <v>80</v>
      </c>
      <c r="E1195" s="5">
        <v>45006</v>
      </c>
      <c r="F1195" s="2">
        <v>331</v>
      </c>
      <c r="G1195" s="2" t="s">
        <v>12</v>
      </c>
      <c r="H1195" s="2" t="s">
        <v>106</v>
      </c>
      <c r="I1195" s="6">
        <v>0.1</v>
      </c>
      <c r="J1195" s="2" t="str">
        <f t="shared" si="18"/>
        <v>2023-03</v>
      </c>
    </row>
    <row r="1196" spans="1:10" x14ac:dyDescent="0.2">
      <c r="A1196" s="2" t="s">
        <v>1257</v>
      </c>
      <c r="B1196" s="2" t="s">
        <v>425</v>
      </c>
      <c r="C1196" s="2" t="s">
        <v>68</v>
      </c>
      <c r="D1196" s="2">
        <v>68</v>
      </c>
      <c r="E1196" s="5">
        <v>45006</v>
      </c>
      <c r="F1196" s="2" t="s">
        <v>2954</v>
      </c>
      <c r="G1196" s="2" t="s">
        <v>41</v>
      </c>
      <c r="H1196" s="2" t="s">
        <v>76</v>
      </c>
      <c r="I1196" s="6" t="s">
        <v>2954</v>
      </c>
      <c r="J1196" s="2" t="str">
        <f t="shared" si="18"/>
        <v>2023-03</v>
      </c>
    </row>
    <row r="1197" spans="1:10" x14ac:dyDescent="0.2">
      <c r="A1197" s="2" t="s">
        <v>1258</v>
      </c>
      <c r="B1197" s="2" t="s">
        <v>831</v>
      </c>
      <c r="C1197" s="2" t="s">
        <v>11</v>
      </c>
      <c r="D1197" s="2">
        <v>40</v>
      </c>
      <c r="E1197" s="5">
        <v>45006</v>
      </c>
      <c r="F1197" s="2">
        <v>101</v>
      </c>
      <c r="G1197" s="2" t="s">
        <v>41</v>
      </c>
      <c r="H1197" s="2" t="s">
        <v>274</v>
      </c>
      <c r="I1197" s="6" t="s">
        <v>2954</v>
      </c>
      <c r="J1197" s="2" t="str">
        <f t="shared" si="18"/>
        <v>2023-03</v>
      </c>
    </row>
    <row r="1198" spans="1:10" x14ac:dyDescent="0.2">
      <c r="A1198" s="2" t="s">
        <v>1259</v>
      </c>
      <c r="B1198" s="2" t="s">
        <v>100</v>
      </c>
      <c r="C1198" s="2" t="s">
        <v>16</v>
      </c>
      <c r="D1198" s="2">
        <v>15</v>
      </c>
      <c r="E1198" s="5">
        <v>45006</v>
      </c>
      <c r="F1198" s="2">
        <v>62</v>
      </c>
      <c r="G1198" s="2" t="s">
        <v>66</v>
      </c>
      <c r="H1198" s="2" t="s">
        <v>98</v>
      </c>
      <c r="I1198" s="6">
        <v>0.04</v>
      </c>
      <c r="J1198" s="2" t="str">
        <f t="shared" si="18"/>
        <v>2023-03</v>
      </c>
    </row>
    <row r="1199" spans="1:10" x14ac:dyDescent="0.2">
      <c r="A1199" s="2" t="s">
        <v>138</v>
      </c>
      <c r="B1199" s="2" t="s">
        <v>28</v>
      </c>
      <c r="C1199" s="2" t="s">
        <v>44</v>
      </c>
      <c r="D1199" s="2" t="s">
        <v>2954</v>
      </c>
      <c r="E1199" s="5">
        <v>45006</v>
      </c>
      <c r="F1199" s="2">
        <v>3300</v>
      </c>
      <c r="G1199" s="2" t="s">
        <v>17</v>
      </c>
      <c r="H1199" s="2" t="s">
        <v>23</v>
      </c>
      <c r="I1199" s="6" t="s">
        <v>2954</v>
      </c>
      <c r="J1199" s="2" t="str">
        <f t="shared" si="18"/>
        <v>2023-03</v>
      </c>
    </row>
    <row r="1200" spans="1:10" x14ac:dyDescent="0.2">
      <c r="A1200" s="2" t="s">
        <v>1260</v>
      </c>
      <c r="B1200" s="2" t="s">
        <v>273</v>
      </c>
      <c r="C1200" s="2" t="s">
        <v>35</v>
      </c>
      <c r="D1200" s="2" t="s">
        <v>2954</v>
      </c>
      <c r="E1200" s="5">
        <v>45006</v>
      </c>
      <c r="F1200" s="2">
        <v>17</v>
      </c>
      <c r="G1200" s="2" t="s">
        <v>41</v>
      </c>
      <c r="H1200" s="2" t="s">
        <v>274</v>
      </c>
      <c r="I1200" s="6" t="s">
        <v>2954</v>
      </c>
      <c r="J1200" s="2" t="str">
        <f t="shared" si="18"/>
        <v>2023-03</v>
      </c>
    </row>
    <row r="1201" spans="1:10" x14ac:dyDescent="0.2">
      <c r="A1201" s="2" t="s">
        <v>136</v>
      </c>
      <c r="B1201" s="2" t="s">
        <v>137</v>
      </c>
      <c r="C1201" s="2" t="s">
        <v>26</v>
      </c>
      <c r="D1201" s="2" t="s">
        <v>2954</v>
      </c>
      <c r="E1201" s="5">
        <v>45006</v>
      </c>
      <c r="F1201" s="2">
        <v>145</v>
      </c>
      <c r="G1201" s="2" t="s">
        <v>37</v>
      </c>
      <c r="H1201" s="2" t="s">
        <v>23</v>
      </c>
      <c r="I1201" s="6" t="s">
        <v>2954</v>
      </c>
      <c r="J1201" s="2" t="str">
        <f t="shared" si="18"/>
        <v>2023-03</v>
      </c>
    </row>
    <row r="1202" spans="1:10" x14ac:dyDescent="0.2">
      <c r="A1202" s="2" t="s">
        <v>1261</v>
      </c>
      <c r="B1202" s="2" t="s">
        <v>858</v>
      </c>
      <c r="C1202" s="2" t="s">
        <v>16</v>
      </c>
      <c r="D1202" s="2" t="s">
        <v>2954</v>
      </c>
      <c r="E1202" s="5">
        <v>45006</v>
      </c>
      <c r="F1202" s="2">
        <v>130</v>
      </c>
      <c r="G1202" s="2" t="s">
        <v>17</v>
      </c>
      <c r="H1202" s="2" t="s">
        <v>859</v>
      </c>
      <c r="I1202" s="6">
        <v>0.1</v>
      </c>
      <c r="J1202" s="2" t="str">
        <f t="shared" si="18"/>
        <v>2023-03</v>
      </c>
    </row>
    <row r="1203" spans="1:10" x14ac:dyDescent="0.2">
      <c r="A1203" s="2" t="s">
        <v>191</v>
      </c>
      <c r="B1203" s="2" t="s">
        <v>28</v>
      </c>
      <c r="C1203" s="2" t="s">
        <v>142</v>
      </c>
      <c r="D1203" s="2">
        <v>9000</v>
      </c>
      <c r="E1203" s="5">
        <v>45005</v>
      </c>
      <c r="F1203" s="2">
        <v>108</v>
      </c>
      <c r="G1203" s="2" t="s">
        <v>17</v>
      </c>
      <c r="H1203" s="2" t="s">
        <v>23</v>
      </c>
      <c r="I1203" s="6" t="s">
        <v>2954</v>
      </c>
      <c r="J1203" s="2" t="str">
        <f t="shared" si="18"/>
        <v>2023-03</v>
      </c>
    </row>
    <row r="1204" spans="1:10" x14ac:dyDescent="0.2">
      <c r="A1204" s="2" t="s">
        <v>1262</v>
      </c>
      <c r="B1204" s="2" t="s">
        <v>1263</v>
      </c>
      <c r="C1204" s="2" t="s">
        <v>35</v>
      </c>
      <c r="D1204" s="2" t="s">
        <v>2954</v>
      </c>
      <c r="E1204" s="5">
        <v>45005</v>
      </c>
      <c r="F1204" s="2">
        <v>57</v>
      </c>
      <c r="G1204" s="2" t="s">
        <v>66</v>
      </c>
      <c r="H1204" s="2" t="s">
        <v>278</v>
      </c>
      <c r="I1204" s="6">
        <v>0.1</v>
      </c>
      <c r="J1204" s="2" t="str">
        <f t="shared" si="18"/>
        <v>2023-03</v>
      </c>
    </row>
    <row r="1205" spans="1:10" x14ac:dyDescent="0.2">
      <c r="A1205" s="2" t="s">
        <v>1264</v>
      </c>
      <c r="B1205" s="2" t="s">
        <v>100</v>
      </c>
      <c r="C1205" s="2" t="s">
        <v>142</v>
      </c>
      <c r="D1205" s="2">
        <v>100</v>
      </c>
      <c r="E1205" s="5">
        <v>45002</v>
      </c>
      <c r="F1205" s="2">
        <v>431</v>
      </c>
      <c r="G1205" s="2" t="s">
        <v>62</v>
      </c>
      <c r="H1205" s="2" t="s">
        <v>98</v>
      </c>
      <c r="I1205" s="6">
        <v>0.02</v>
      </c>
      <c r="J1205" s="2" t="str">
        <f t="shared" si="18"/>
        <v>2023-03</v>
      </c>
    </row>
    <row r="1206" spans="1:10" x14ac:dyDescent="0.2">
      <c r="A1206" s="2" t="s">
        <v>1265</v>
      </c>
      <c r="B1206" s="2" t="s">
        <v>634</v>
      </c>
      <c r="C1206" s="2" t="s">
        <v>29</v>
      </c>
      <c r="D1206" s="2">
        <v>50</v>
      </c>
      <c r="E1206" s="5">
        <v>45002</v>
      </c>
      <c r="F1206" s="2">
        <v>148</v>
      </c>
      <c r="G1206" s="2" t="s">
        <v>66</v>
      </c>
      <c r="H1206" s="2" t="s">
        <v>106</v>
      </c>
      <c r="I1206" s="6">
        <v>0.25</v>
      </c>
      <c r="J1206" s="2" t="str">
        <f t="shared" si="18"/>
        <v>2023-03</v>
      </c>
    </row>
    <row r="1207" spans="1:10" x14ac:dyDescent="0.2">
      <c r="A1207" s="2" t="s">
        <v>1266</v>
      </c>
      <c r="B1207" s="2" t="s">
        <v>115</v>
      </c>
      <c r="C1207" s="2" t="s">
        <v>148</v>
      </c>
      <c r="D1207" s="2" t="s">
        <v>2954</v>
      </c>
      <c r="E1207" s="5">
        <v>45002</v>
      </c>
      <c r="F1207" s="2">
        <v>23</v>
      </c>
      <c r="G1207" s="2" t="s">
        <v>12</v>
      </c>
      <c r="H1207" s="2" t="s">
        <v>23</v>
      </c>
      <c r="I1207" s="6" t="s">
        <v>2954</v>
      </c>
      <c r="J1207" s="2" t="str">
        <f t="shared" si="18"/>
        <v>2023-03</v>
      </c>
    </row>
    <row r="1208" spans="1:10" x14ac:dyDescent="0.2">
      <c r="A1208" s="2" t="s">
        <v>1019</v>
      </c>
      <c r="B1208" s="2" t="s">
        <v>34</v>
      </c>
      <c r="C1208" s="2" t="s">
        <v>113</v>
      </c>
      <c r="D1208" s="2">
        <v>114</v>
      </c>
      <c r="E1208" s="5">
        <v>45001</v>
      </c>
      <c r="F1208" s="2">
        <v>484</v>
      </c>
      <c r="G1208" s="2" t="s">
        <v>17</v>
      </c>
      <c r="H1208" s="2" t="s">
        <v>23</v>
      </c>
      <c r="I1208" s="6">
        <v>0.02</v>
      </c>
      <c r="J1208" s="2" t="str">
        <f t="shared" si="18"/>
        <v>2023-03</v>
      </c>
    </row>
    <row r="1209" spans="1:10" x14ac:dyDescent="0.2">
      <c r="A1209" s="2" t="s">
        <v>1026</v>
      </c>
      <c r="B1209" s="2" t="s">
        <v>34</v>
      </c>
      <c r="C1209" s="2" t="s">
        <v>71</v>
      </c>
      <c r="D1209" s="2">
        <v>108</v>
      </c>
      <c r="E1209" s="5">
        <v>45001</v>
      </c>
      <c r="F1209" s="2" t="s">
        <v>2954</v>
      </c>
      <c r="G1209" s="2" t="s">
        <v>17</v>
      </c>
      <c r="H1209" s="2" t="s">
        <v>23</v>
      </c>
      <c r="I1209" s="6" t="s">
        <v>2954</v>
      </c>
      <c r="J1209" s="2" t="str">
        <f t="shared" si="18"/>
        <v>2023-03</v>
      </c>
    </row>
    <row r="1210" spans="1:10" x14ac:dyDescent="0.2">
      <c r="A1210" s="2" t="s">
        <v>1267</v>
      </c>
      <c r="B1210" s="2" t="s">
        <v>1268</v>
      </c>
      <c r="C1210" s="2" t="s">
        <v>117</v>
      </c>
      <c r="D1210" s="2">
        <v>70</v>
      </c>
      <c r="E1210" s="5">
        <v>45001</v>
      </c>
      <c r="F1210" s="2" t="s">
        <v>2954</v>
      </c>
      <c r="G1210" s="2" t="s">
        <v>45</v>
      </c>
      <c r="H1210" s="2" t="s">
        <v>393</v>
      </c>
      <c r="I1210" s="6">
        <v>0.28000000000000003</v>
      </c>
      <c r="J1210" s="2" t="str">
        <f t="shared" si="18"/>
        <v>2023-03</v>
      </c>
    </row>
    <row r="1211" spans="1:10" x14ac:dyDescent="0.2">
      <c r="A1211" s="2" t="s">
        <v>526</v>
      </c>
      <c r="B1211" s="2" t="s">
        <v>34</v>
      </c>
      <c r="C1211" s="2" t="s">
        <v>61</v>
      </c>
      <c r="D1211" s="2">
        <v>42</v>
      </c>
      <c r="E1211" s="5">
        <v>45001</v>
      </c>
      <c r="F1211" s="2">
        <v>477</v>
      </c>
      <c r="G1211" s="2" t="s">
        <v>66</v>
      </c>
      <c r="H1211" s="2" t="s">
        <v>23</v>
      </c>
      <c r="I1211" s="6">
        <v>0.15</v>
      </c>
      <c r="J1211" s="2" t="str">
        <f t="shared" si="18"/>
        <v>2023-03</v>
      </c>
    </row>
    <row r="1212" spans="1:10" x14ac:dyDescent="0.2">
      <c r="A1212" s="2" t="s">
        <v>1269</v>
      </c>
      <c r="B1212" s="2" t="s">
        <v>28</v>
      </c>
      <c r="C1212" s="2" t="s">
        <v>142</v>
      </c>
      <c r="D1212" s="2">
        <v>40</v>
      </c>
      <c r="E1212" s="5">
        <v>45001</v>
      </c>
      <c r="F1212" s="2">
        <v>71</v>
      </c>
      <c r="G1212" s="2" t="s">
        <v>17</v>
      </c>
      <c r="H1212" s="2" t="s">
        <v>23</v>
      </c>
      <c r="I1212" s="6">
        <v>0.21</v>
      </c>
      <c r="J1212" s="2" t="str">
        <f t="shared" si="18"/>
        <v>2023-03</v>
      </c>
    </row>
    <row r="1213" spans="1:10" x14ac:dyDescent="0.2">
      <c r="A1213" s="2" t="s">
        <v>1270</v>
      </c>
      <c r="B1213" s="2" t="s">
        <v>284</v>
      </c>
      <c r="C1213" s="2" t="s">
        <v>68</v>
      </c>
      <c r="D1213" s="2" t="s">
        <v>2954</v>
      </c>
      <c r="E1213" s="5">
        <v>45001</v>
      </c>
      <c r="F1213" s="2">
        <v>31</v>
      </c>
      <c r="G1213" s="2" t="s">
        <v>37</v>
      </c>
      <c r="H1213" s="2" t="s">
        <v>23</v>
      </c>
      <c r="I1213" s="6" t="s">
        <v>2954</v>
      </c>
      <c r="J1213" s="2" t="str">
        <f t="shared" si="18"/>
        <v>2023-03</v>
      </c>
    </row>
    <row r="1214" spans="1:10" x14ac:dyDescent="0.2">
      <c r="A1214" s="2" t="s">
        <v>1271</v>
      </c>
      <c r="B1214" s="2" t="s">
        <v>89</v>
      </c>
      <c r="C1214" s="2" t="s">
        <v>26</v>
      </c>
      <c r="D1214" s="2">
        <v>140</v>
      </c>
      <c r="E1214" s="5">
        <v>45000</v>
      </c>
      <c r="F1214" s="2">
        <v>778</v>
      </c>
      <c r="G1214" s="2" t="s">
        <v>12</v>
      </c>
      <c r="H1214" s="2" t="s">
        <v>23</v>
      </c>
      <c r="I1214" s="6" t="s">
        <v>2954</v>
      </c>
      <c r="J1214" s="2" t="str">
        <f t="shared" si="18"/>
        <v>2023-03</v>
      </c>
    </row>
    <row r="1215" spans="1:10" x14ac:dyDescent="0.2">
      <c r="A1215" s="2" t="s">
        <v>920</v>
      </c>
      <c r="B1215" s="2" t="s">
        <v>100</v>
      </c>
      <c r="C1215" s="2" t="s">
        <v>142</v>
      </c>
      <c r="D1215" s="2">
        <v>56</v>
      </c>
      <c r="E1215" s="5">
        <v>45000</v>
      </c>
      <c r="F1215" s="2">
        <v>17</v>
      </c>
      <c r="G1215" s="2" t="s">
        <v>41</v>
      </c>
      <c r="H1215" s="2" t="s">
        <v>98</v>
      </c>
      <c r="I1215" s="6">
        <v>0.3</v>
      </c>
      <c r="J1215" s="2" t="str">
        <f t="shared" si="18"/>
        <v>2023-03</v>
      </c>
    </row>
    <row r="1216" spans="1:10" x14ac:dyDescent="0.2">
      <c r="A1216" s="2" t="s">
        <v>1272</v>
      </c>
      <c r="B1216" s="2" t="s">
        <v>25</v>
      </c>
      <c r="C1216" s="2" t="s">
        <v>142</v>
      </c>
      <c r="D1216" s="2">
        <v>32</v>
      </c>
      <c r="E1216" s="5">
        <v>45000</v>
      </c>
      <c r="F1216" s="2">
        <v>365</v>
      </c>
      <c r="G1216" s="2" t="s">
        <v>17</v>
      </c>
      <c r="H1216" s="2" t="s">
        <v>23</v>
      </c>
      <c r="I1216" s="6">
        <v>0.25</v>
      </c>
      <c r="J1216" s="2" t="str">
        <f t="shared" si="18"/>
        <v>2023-03</v>
      </c>
    </row>
    <row r="1217" spans="1:10" x14ac:dyDescent="0.2">
      <c r="A1217" s="2" t="s">
        <v>1021</v>
      </c>
      <c r="B1217" s="2" t="s">
        <v>661</v>
      </c>
      <c r="C1217" s="2" t="s">
        <v>16</v>
      </c>
      <c r="D1217" s="2">
        <v>30</v>
      </c>
      <c r="E1217" s="5">
        <v>45000</v>
      </c>
      <c r="F1217" s="2">
        <v>4100</v>
      </c>
      <c r="G1217" s="2" t="s">
        <v>17</v>
      </c>
      <c r="H1217" s="2" t="s">
        <v>662</v>
      </c>
      <c r="I1217" s="6" t="s">
        <v>2954</v>
      </c>
      <c r="J1217" s="2" t="str">
        <f t="shared" si="18"/>
        <v>2023-03</v>
      </c>
    </row>
    <row r="1218" spans="1:10" x14ac:dyDescent="0.2">
      <c r="A1218" s="2" t="s">
        <v>1273</v>
      </c>
      <c r="B1218" s="2" t="s">
        <v>858</v>
      </c>
      <c r="C1218" s="2" t="s">
        <v>16</v>
      </c>
      <c r="D1218" s="2">
        <v>25</v>
      </c>
      <c r="E1218" s="5">
        <v>45000</v>
      </c>
      <c r="F1218" s="2">
        <v>24</v>
      </c>
      <c r="G1218" s="2" t="s">
        <v>37</v>
      </c>
      <c r="H1218" s="2" t="s">
        <v>859</v>
      </c>
      <c r="I1218" s="6">
        <v>0.3</v>
      </c>
      <c r="J1218" s="2" t="str">
        <f t="shared" si="18"/>
        <v>2023-03</v>
      </c>
    </row>
    <row r="1219" spans="1:10" x14ac:dyDescent="0.2">
      <c r="A1219" s="2" t="s">
        <v>1274</v>
      </c>
      <c r="B1219" s="2" t="s">
        <v>89</v>
      </c>
      <c r="C1219" s="2" t="s">
        <v>148</v>
      </c>
      <c r="D1219" s="2" t="s">
        <v>2954</v>
      </c>
      <c r="E1219" s="5">
        <v>45000</v>
      </c>
      <c r="F1219" s="2">
        <v>172</v>
      </c>
      <c r="G1219" s="2" t="s">
        <v>12</v>
      </c>
      <c r="H1219" s="2" t="s">
        <v>23</v>
      </c>
      <c r="I1219" s="6" t="s">
        <v>2954</v>
      </c>
      <c r="J1219" s="2" t="str">
        <f t="shared" ref="J1219:J1282" si="19">TEXT(E1219,"YYYY-MM")</f>
        <v>2023-03</v>
      </c>
    </row>
    <row r="1220" spans="1:10" x14ac:dyDescent="0.2">
      <c r="A1220" s="2" t="s">
        <v>241</v>
      </c>
      <c r="B1220" s="2" t="s">
        <v>34</v>
      </c>
      <c r="C1220" s="2" t="s">
        <v>35</v>
      </c>
      <c r="D1220" s="2">
        <v>10000</v>
      </c>
      <c r="E1220" s="5">
        <v>44999</v>
      </c>
      <c r="F1220" s="2">
        <v>26000</v>
      </c>
      <c r="G1220" s="2" t="s">
        <v>17</v>
      </c>
      <c r="H1220" s="2" t="s">
        <v>23</v>
      </c>
      <c r="I1220" s="6" t="s">
        <v>2954</v>
      </c>
      <c r="J1220" s="2" t="str">
        <f t="shared" si="19"/>
        <v>2023-03</v>
      </c>
    </row>
    <row r="1221" spans="1:10" x14ac:dyDescent="0.2">
      <c r="A1221" s="2" t="s">
        <v>1275</v>
      </c>
      <c r="B1221" s="2" t="s">
        <v>1276</v>
      </c>
      <c r="C1221" s="2" t="s">
        <v>142</v>
      </c>
      <c r="D1221" s="2">
        <v>100</v>
      </c>
      <c r="E1221" s="5">
        <v>44999</v>
      </c>
      <c r="F1221" s="2">
        <v>581</v>
      </c>
      <c r="G1221" s="2" t="s">
        <v>128</v>
      </c>
      <c r="H1221" s="2" t="s">
        <v>23</v>
      </c>
      <c r="I1221" s="6">
        <v>0.1</v>
      </c>
      <c r="J1221" s="2" t="str">
        <f t="shared" si="19"/>
        <v>2023-03</v>
      </c>
    </row>
    <row r="1222" spans="1:10" x14ac:dyDescent="0.2">
      <c r="A1222" s="2" t="s">
        <v>1277</v>
      </c>
      <c r="B1222" s="2" t="s">
        <v>34</v>
      </c>
      <c r="C1222" s="2" t="s">
        <v>22</v>
      </c>
      <c r="D1222" s="2">
        <v>75</v>
      </c>
      <c r="E1222" s="5">
        <v>44999</v>
      </c>
      <c r="F1222" s="2">
        <v>487</v>
      </c>
      <c r="G1222" s="2" t="s">
        <v>75</v>
      </c>
      <c r="H1222" s="2" t="s">
        <v>23</v>
      </c>
      <c r="I1222" s="6">
        <v>0.2</v>
      </c>
      <c r="J1222" s="2" t="str">
        <f t="shared" si="19"/>
        <v>2023-03</v>
      </c>
    </row>
    <row r="1223" spans="1:10" x14ac:dyDescent="0.2">
      <c r="A1223" s="2" t="s">
        <v>1278</v>
      </c>
      <c r="B1223" s="2" t="s">
        <v>1279</v>
      </c>
      <c r="C1223" s="2" t="s">
        <v>103</v>
      </c>
      <c r="D1223" s="2">
        <v>50</v>
      </c>
      <c r="E1223" s="5">
        <v>44999</v>
      </c>
      <c r="F1223" s="2">
        <v>106</v>
      </c>
      <c r="G1223" s="2" t="s">
        <v>66</v>
      </c>
      <c r="H1223" s="2" t="s">
        <v>106</v>
      </c>
      <c r="I1223" s="6">
        <v>0.14000000000000001</v>
      </c>
      <c r="J1223" s="2" t="str">
        <f t="shared" si="19"/>
        <v>2023-03</v>
      </c>
    </row>
    <row r="1224" spans="1:10" x14ac:dyDescent="0.2">
      <c r="A1224" s="2" t="s">
        <v>1280</v>
      </c>
      <c r="B1224" s="2" t="s">
        <v>34</v>
      </c>
      <c r="C1224" s="2" t="s">
        <v>103</v>
      </c>
      <c r="D1224" s="2">
        <v>30</v>
      </c>
      <c r="E1224" s="5">
        <v>44999</v>
      </c>
      <c r="F1224" s="2" t="s">
        <v>2954</v>
      </c>
      <c r="G1224" s="2" t="s">
        <v>17</v>
      </c>
      <c r="H1224" s="2" t="s">
        <v>23</v>
      </c>
      <c r="I1224" s="6" t="s">
        <v>2954</v>
      </c>
      <c r="J1224" s="2" t="str">
        <f t="shared" si="19"/>
        <v>2023-03</v>
      </c>
    </row>
    <row r="1225" spans="1:10" x14ac:dyDescent="0.2">
      <c r="A1225" s="2" t="s">
        <v>1281</v>
      </c>
      <c r="B1225" s="2" t="s">
        <v>378</v>
      </c>
      <c r="C1225" s="2" t="s">
        <v>16</v>
      </c>
      <c r="D1225" s="2">
        <v>15</v>
      </c>
      <c r="E1225" s="5">
        <v>44999</v>
      </c>
      <c r="F1225" s="2">
        <v>16</v>
      </c>
      <c r="G1225" s="2" t="s">
        <v>41</v>
      </c>
      <c r="H1225" s="2" t="s">
        <v>23</v>
      </c>
      <c r="I1225" s="6">
        <v>0.3</v>
      </c>
      <c r="J1225" s="2" t="str">
        <f t="shared" si="19"/>
        <v>2023-03</v>
      </c>
    </row>
    <row r="1226" spans="1:10" x14ac:dyDescent="0.2">
      <c r="A1226" s="2" t="s">
        <v>1282</v>
      </c>
      <c r="B1226" s="2" t="s">
        <v>398</v>
      </c>
      <c r="C1226" s="2" t="s">
        <v>52</v>
      </c>
      <c r="D1226" s="2">
        <v>600</v>
      </c>
      <c r="E1226" s="5">
        <v>44995</v>
      </c>
      <c r="F1226" s="2">
        <v>1300</v>
      </c>
      <c r="G1226" s="2" t="s">
        <v>17</v>
      </c>
      <c r="H1226" s="2" t="s">
        <v>399</v>
      </c>
      <c r="I1226" s="6" t="s">
        <v>2954</v>
      </c>
      <c r="J1226" s="2" t="str">
        <f t="shared" si="19"/>
        <v>2023-03</v>
      </c>
    </row>
    <row r="1227" spans="1:10" x14ac:dyDescent="0.2">
      <c r="A1227" s="2" t="s">
        <v>1283</v>
      </c>
      <c r="B1227" s="2" t="s">
        <v>70</v>
      </c>
      <c r="C1227" s="2" t="s">
        <v>35</v>
      </c>
      <c r="D1227" s="2">
        <v>80</v>
      </c>
      <c r="E1227" s="5">
        <v>44995</v>
      </c>
      <c r="F1227" s="2" t="s">
        <v>2954</v>
      </c>
      <c r="G1227" s="2" t="s">
        <v>12</v>
      </c>
      <c r="H1227" s="2" t="s">
        <v>72</v>
      </c>
      <c r="I1227" s="6" t="s">
        <v>2954</v>
      </c>
      <c r="J1227" s="2" t="str">
        <f t="shared" si="19"/>
        <v>2023-03</v>
      </c>
    </row>
    <row r="1228" spans="1:10" x14ac:dyDescent="0.2">
      <c r="A1228" s="2" t="s">
        <v>1284</v>
      </c>
      <c r="B1228" s="2" t="s">
        <v>1285</v>
      </c>
      <c r="C1228" s="2" t="s">
        <v>16</v>
      </c>
      <c r="D1228" s="2">
        <v>800</v>
      </c>
      <c r="E1228" s="5">
        <v>44994</v>
      </c>
      <c r="F1228" s="2">
        <v>681</v>
      </c>
      <c r="G1228" s="2" t="s">
        <v>17</v>
      </c>
      <c r="H1228" s="2" t="s">
        <v>859</v>
      </c>
      <c r="I1228" s="6">
        <v>0.15</v>
      </c>
      <c r="J1228" s="2" t="str">
        <f t="shared" si="19"/>
        <v>2023-03</v>
      </c>
    </row>
    <row r="1229" spans="1:10" x14ac:dyDescent="0.2">
      <c r="A1229" s="2" t="s">
        <v>1286</v>
      </c>
      <c r="B1229" s="2" t="s">
        <v>398</v>
      </c>
      <c r="C1229" s="2" t="s">
        <v>11</v>
      </c>
      <c r="D1229" s="2">
        <v>200</v>
      </c>
      <c r="E1229" s="5">
        <v>44994</v>
      </c>
      <c r="F1229" s="2" t="s">
        <v>2954</v>
      </c>
      <c r="G1229" s="2" t="s">
        <v>12</v>
      </c>
      <c r="H1229" s="2" t="s">
        <v>399</v>
      </c>
      <c r="I1229" s="6" t="s">
        <v>2954</v>
      </c>
      <c r="J1229" s="2" t="str">
        <f t="shared" si="19"/>
        <v>2023-03</v>
      </c>
    </row>
    <row r="1230" spans="1:10" x14ac:dyDescent="0.2">
      <c r="A1230" s="2" t="s">
        <v>79</v>
      </c>
      <c r="B1230" s="2" t="s">
        <v>80</v>
      </c>
      <c r="C1230" s="2" t="s">
        <v>11</v>
      </c>
      <c r="D1230" s="2">
        <v>100</v>
      </c>
      <c r="E1230" s="5">
        <v>44994</v>
      </c>
      <c r="F1230" s="2">
        <v>3400</v>
      </c>
      <c r="G1230" s="2" t="s">
        <v>81</v>
      </c>
      <c r="H1230" s="2" t="s">
        <v>23</v>
      </c>
      <c r="I1230" s="6">
        <v>0.02</v>
      </c>
      <c r="J1230" s="2" t="str">
        <f t="shared" si="19"/>
        <v>2023-03</v>
      </c>
    </row>
    <row r="1231" spans="1:10" x14ac:dyDescent="0.2">
      <c r="A1231" s="2" t="s">
        <v>1287</v>
      </c>
      <c r="B1231" s="2" t="s">
        <v>335</v>
      </c>
      <c r="C1231" s="2" t="s">
        <v>16</v>
      </c>
      <c r="D1231" s="2">
        <v>50</v>
      </c>
      <c r="E1231" s="5">
        <v>44994</v>
      </c>
      <c r="F1231" s="2">
        <v>79</v>
      </c>
      <c r="G1231" s="2" t="s">
        <v>45</v>
      </c>
      <c r="H1231" s="2" t="s">
        <v>106</v>
      </c>
      <c r="I1231" s="6" t="s">
        <v>2954</v>
      </c>
      <c r="J1231" s="2" t="str">
        <f t="shared" si="19"/>
        <v>2023-03</v>
      </c>
    </row>
    <row r="1232" spans="1:10" x14ac:dyDescent="0.2">
      <c r="A1232" s="2" t="s">
        <v>1288</v>
      </c>
      <c r="B1232" s="2" t="s">
        <v>25</v>
      </c>
      <c r="C1232" s="2" t="s">
        <v>235</v>
      </c>
      <c r="D1232" s="2">
        <v>40</v>
      </c>
      <c r="E1232" s="5">
        <v>44994</v>
      </c>
      <c r="F1232" s="2" t="s">
        <v>2954</v>
      </c>
      <c r="G1232" s="2" t="s">
        <v>45</v>
      </c>
      <c r="H1232" s="2" t="s">
        <v>23</v>
      </c>
      <c r="I1232" s="6" t="s">
        <v>2954</v>
      </c>
      <c r="J1232" s="2" t="str">
        <f t="shared" si="19"/>
        <v>2023-03</v>
      </c>
    </row>
    <row r="1233" spans="1:10" x14ac:dyDescent="0.2">
      <c r="A1233" s="2" t="s">
        <v>1270</v>
      </c>
      <c r="B1233" s="2" t="s">
        <v>284</v>
      </c>
      <c r="C1233" s="2" t="s">
        <v>68</v>
      </c>
      <c r="D1233" s="2" t="s">
        <v>2954</v>
      </c>
      <c r="E1233" s="5">
        <v>44994</v>
      </c>
      <c r="F1233" s="2">
        <v>31</v>
      </c>
      <c r="G1233" s="2" t="s">
        <v>37</v>
      </c>
      <c r="H1233" s="2" t="s">
        <v>23</v>
      </c>
      <c r="I1233" s="6" t="s">
        <v>2954</v>
      </c>
      <c r="J1233" s="2" t="str">
        <f t="shared" si="19"/>
        <v>2023-03</v>
      </c>
    </row>
    <row r="1234" spans="1:10" x14ac:dyDescent="0.2">
      <c r="A1234" s="2" t="s">
        <v>1289</v>
      </c>
      <c r="B1234" s="2" t="s">
        <v>28</v>
      </c>
      <c r="C1234" s="2" t="s">
        <v>32</v>
      </c>
      <c r="D1234" s="2" t="s">
        <v>2954</v>
      </c>
      <c r="E1234" s="5">
        <v>44994</v>
      </c>
      <c r="F1234" s="2">
        <v>157</v>
      </c>
      <c r="G1234" s="2" t="s">
        <v>17</v>
      </c>
      <c r="H1234" s="2" t="s">
        <v>23</v>
      </c>
      <c r="I1234" s="6">
        <v>0.7</v>
      </c>
      <c r="J1234" s="2" t="str">
        <f t="shared" si="19"/>
        <v>2023-03</v>
      </c>
    </row>
    <row r="1235" spans="1:10" x14ac:dyDescent="0.2">
      <c r="A1235" s="2" t="s">
        <v>1290</v>
      </c>
      <c r="B1235" s="2" t="s">
        <v>47</v>
      </c>
      <c r="C1235" s="2" t="s">
        <v>61</v>
      </c>
      <c r="D1235" s="2" t="s">
        <v>2954</v>
      </c>
      <c r="E1235" s="5">
        <v>44994</v>
      </c>
      <c r="F1235" s="2" t="s">
        <v>2954</v>
      </c>
      <c r="G1235" s="2" t="s">
        <v>41</v>
      </c>
      <c r="H1235" s="2" t="s">
        <v>23</v>
      </c>
      <c r="I1235" s="6">
        <v>1</v>
      </c>
      <c r="J1235" s="2" t="str">
        <f t="shared" si="19"/>
        <v>2023-03</v>
      </c>
    </row>
    <row r="1236" spans="1:10" x14ac:dyDescent="0.2">
      <c r="A1236" s="2" t="s">
        <v>358</v>
      </c>
      <c r="B1236" s="2" t="s">
        <v>335</v>
      </c>
      <c r="C1236" s="2" t="s">
        <v>235</v>
      </c>
      <c r="D1236" s="2">
        <v>42</v>
      </c>
      <c r="E1236" s="5">
        <v>44993</v>
      </c>
      <c r="F1236" s="2">
        <v>117</v>
      </c>
      <c r="G1236" s="2" t="s">
        <v>45</v>
      </c>
      <c r="H1236" s="2" t="s">
        <v>106</v>
      </c>
      <c r="I1236" s="6">
        <v>0.15</v>
      </c>
      <c r="J1236" s="2" t="str">
        <f t="shared" si="19"/>
        <v>2023-03</v>
      </c>
    </row>
    <row r="1237" spans="1:10" x14ac:dyDescent="0.2">
      <c r="A1237" s="2" t="s">
        <v>1291</v>
      </c>
      <c r="B1237" s="2" t="s">
        <v>89</v>
      </c>
      <c r="C1237" s="2" t="s">
        <v>243</v>
      </c>
      <c r="D1237" s="2" t="s">
        <v>2954</v>
      </c>
      <c r="E1237" s="5">
        <v>44993</v>
      </c>
      <c r="F1237" s="2">
        <v>52</v>
      </c>
      <c r="G1237" s="2" t="s">
        <v>37</v>
      </c>
      <c r="H1237" s="2" t="s">
        <v>23</v>
      </c>
      <c r="I1237" s="6">
        <v>0.15</v>
      </c>
      <c r="J1237" s="2" t="str">
        <f t="shared" si="19"/>
        <v>2023-03</v>
      </c>
    </row>
    <row r="1238" spans="1:10" x14ac:dyDescent="0.2">
      <c r="A1238" s="2" t="s">
        <v>254</v>
      </c>
      <c r="B1238" s="2" t="s">
        <v>255</v>
      </c>
      <c r="C1238" s="2" t="s">
        <v>32</v>
      </c>
      <c r="D1238" s="2">
        <v>300</v>
      </c>
      <c r="E1238" s="5">
        <v>44992</v>
      </c>
      <c r="F1238" s="2">
        <v>177</v>
      </c>
      <c r="G1238" s="2" t="s">
        <v>128</v>
      </c>
      <c r="H1238" s="2" t="s">
        <v>98</v>
      </c>
      <c r="I1238" s="6">
        <v>0.15</v>
      </c>
      <c r="J1238" s="2" t="str">
        <f t="shared" si="19"/>
        <v>2023-03</v>
      </c>
    </row>
    <row r="1239" spans="1:10" x14ac:dyDescent="0.2">
      <c r="A1239" s="2" t="s">
        <v>333</v>
      </c>
      <c r="B1239" s="2" t="s">
        <v>47</v>
      </c>
      <c r="C1239" s="2" t="s">
        <v>117</v>
      </c>
      <c r="D1239" s="2">
        <v>80</v>
      </c>
      <c r="E1239" s="5">
        <v>44992</v>
      </c>
      <c r="F1239" s="2">
        <v>619</v>
      </c>
      <c r="G1239" s="2" t="s">
        <v>66</v>
      </c>
      <c r="H1239" s="2" t="s">
        <v>23</v>
      </c>
      <c r="I1239" s="6">
        <v>0.15</v>
      </c>
      <c r="J1239" s="2" t="str">
        <f t="shared" si="19"/>
        <v>2023-03</v>
      </c>
    </row>
    <row r="1240" spans="1:10" x14ac:dyDescent="0.2">
      <c r="A1240" s="2" t="s">
        <v>1292</v>
      </c>
      <c r="B1240" s="2" t="s">
        <v>25</v>
      </c>
      <c r="C1240" s="2" t="s">
        <v>16</v>
      </c>
      <c r="D1240" s="2" t="s">
        <v>2954</v>
      </c>
      <c r="E1240" s="5">
        <v>44992</v>
      </c>
      <c r="F1240" s="2">
        <v>18</v>
      </c>
      <c r="G1240" s="2" t="s">
        <v>41</v>
      </c>
      <c r="H1240" s="2" t="s">
        <v>23</v>
      </c>
      <c r="I1240" s="6">
        <v>1</v>
      </c>
      <c r="J1240" s="2" t="str">
        <f t="shared" si="19"/>
        <v>2023-03</v>
      </c>
    </row>
    <row r="1241" spans="1:10" x14ac:dyDescent="0.2">
      <c r="A1241" s="2" t="s">
        <v>1293</v>
      </c>
      <c r="B1241" s="2" t="s">
        <v>54</v>
      </c>
      <c r="C1241" s="2" t="s">
        <v>22</v>
      </c>
      <c r="D1241" s="2" t="s">
        <v>2954</v>
      </c>
      <c r="E1241" s="5">
        <v>44992</v>
      </c>
      <c r="F1241" s="2">
        <v>6</v>
      </c>
      <c r="G1241" s="2" t="s">
        <v>12</v>
      </c>
      <c r="H1241" s="2" t="s">
        <v>55</v>
      </c>
      <c r="I1241" s="6">
        <v>0.25</v>
      </c>
      <c r="J1241" s="2" t="str">
        <f t="shared" si="19"/>
        <v>2023-03</v>
      </c>
    </row>
    <row r="1242" spans="1:10" x14ac:dyDescent="0.2">
      <c r="A1242" s="2" t="s">
        <v>1294</v>
      </c>
      <c r="B1242" s="2" t="s">
        <v>25</v>
      </c>
      <c r="C1242" s="2" t="s">
        <v>35</v>
      </c>
      <c r="D1242" s="2" t="s">
        <v>2954</v>
      </c>
      <c r="E1242" s="5">
        <v>44992</v>
      </c>
      <c r="F1242" s="2">
        <v>2700</v>
      </c>
      <c r="G1242" s="2" t="s">
        <v>17</v>
      </c>
      <c r="H1242" s="2" t="s">
        <v>23</v>
      </c>
      <c r="I1242" s="6" t="s">
        <v>2954</v>
      </c>
      <c r="J1242" s="2" t="str">
        <f t="shared" si="19"/>
        <v>2023-03</v>
      </c>
    </row>
    <row r="1243" spans="1:10" x14ac:dyDescent="0.2">
      <c r="A1243" s="2" t="s">
        <v>517</v>
      </c>
      <c r="B1243" s="2" t="s">
        <v>28</v>
      </c>
      <c r="C1243" s="2" t="s">
        <v>142</v>
      </c>
      <c r="D1243" s="2" t="s">
        <v>2954</v>
      </c>
      <c r="E1243" s="5">
        <v>44992</v>
      </c>
      <c r="F1243" s="2">
        <v>194</v>
      </c>
      <c r="G1243" s="2" t="s">
        <v>45</v>
      </c>
      <c r="H1243" s="2" t="s">
        <v>23</v>
      </c>
      <c r="I1243" s="6" t="s">
        <v>2954</v>
      </c>
      <c r="J1243" s="2" t="str">
        <f t="shared" si="19"/>
        <v>2023-03</v>
      </c>
    </row>
    <row r="1244" spans="1:10" x14ac:dyDescent="0.2">
      <c r="A1244" s="2" t="s">
        <v>1295</v>
      </c>
      <c r="B1244" s="2" t="s">
        <v>273</v>
      </c>
      <c r="C1244" s="2" t="s">
        <v>29</v>
      </c>
      <c r="D1244" s="2">
        <v>500</v>
      </c>
      <c r="E1244" s="5">
        <v>44991</v>
      </c>
      <c r="F1244" s="2">
        <v>210</v>
      </c>
      <c r="G1244" s="2" t="s">
        <v>17</v>
      </c>
      <c r="H1244" s="2" t="s">
        <v>274</v>
      </c>
      <c r="I1244" s="6">
        <v>0.05</v>
      </c>
      <c r="J1244" s="2" t="str">
        <f t="shared" si="19"/>
        <v>2023-03</v>
      </c>
    </row>
    <row r="1245" spans="1:10" x14ac:dyDescent="0.2">
      <c r="A1245" s="2" t="s">
        <v>306</v>
      </c>
      <c r="B1245" s="2" t="s">
        <v>25</v>
      </c>
      <c r="C1245" s="2" t="s">
        <v>235</v>
      </c>
      <c r="D1245" s="2">
        <v>475</v>
      </c>
      <c r="E1245" s="5">
        <v>44991</v>
      </c>
      <c r="F1245" s="2">
        <v>525</v>
      </c>
      <c r="G1245" s="2" t="s">
        <v>17</v>
      </c>
      <c r="H1245" s="2" t="s">
        <v>23</v>
      </c>
      <c r="I1245" s="6">
        <v>0.08</v>
      </c>
      <c r="J1245" s="2" t="str">
        <f t="shared" si="19"/>
        <v>2023-03</v>
      </c>
    </row>
    <row r="1246" spans="1:10" x14ac:dyDescent="0.2">
      <c r="A1246" s="2" t="s">
        <v>551</v>
      </c>
      <c r="B1246" s="2" t="s">
        <v>552</v>
      </c>
      <c r="C1246" s="2" t="s">
        <v>142</v>
      </c>
      <c r="D1246" s="2">
        <v>400</v>
      </c>
      <c r="E1246" s="5">
        <v>44991</v>
      </c>
      <c r="F1246" s="2">
        <v>16</v>
      </c>
      <c r="G1246" s="2" t="s">
        <v>37</v>
      </c>
      <c r="H1246" s="2" t="s">
        <v>204</v>
      </c>
      <c r="I1246" s="6" t="s">
        <v>2954</v>
      </c>
      <c r="J1246" s="2" t="str">
        <f t="shared" si="19"/>
        <v>2023-03</v>
      </c>
    </row>
    <row r="1247" spans="1:10" x14ac:dyDescent="0.2">
      <c r="A1247" s="2" t="s">
        <v>1296</v>
      </c>
      <c r="B1247" s="2" t="s">
        <v>194</v>
      </c>
      <c r="C1247" s="2" t="s">
        <v>68</v>
      </c>
      <c r="D1247" s="2">
        <v>265</v>
      </c>
      <c r="E1247" s="5">
        <v>44991</v>
      </c>
      <c r="F1247" s="2" t="s">
        <v>2954</v>
      </c>
      <c r="G1247" s="2" t="s">
        <v>12</v>
      </c>
      <c r="H1247" s="2" t="s">
        <v>23</v>
      </c>
      <c r="I1247" s="6" t="s">
        <v>2954</v>
      </c>
      <c r="J1247" s="2" t="str">
        <f t="shared" si="19"/>
        <v>2023-03</v>
      </c>
    </row>
    <row r="1248" spans="1:10" x14ac:dyDescent="0.2">
      <c r="A1248" s="2" t="s">
        <v>1297</v>
      </c>
      <c r="B1248" s="2" t="s">
        <v>538</v>
      </c>
      <c r="C1248" s="2" t="s">
        <v>61</v>
      </c>
      <c r="D1248" s="2">
        <v>120</v>
      </c>
      <c r="E1248" s="5">
        <v>44991</v>
      </c>
      <c r="F1248" s="2">
        <v>631</v>
      </c>
      <c r="G1248" s="2" t="s">
        <v>12</v>
      </c>
      <c r="H1248" s="2" t="s">
        <v>98</v>
      </c>
      <c r="I1248" s="6" t="s">
        <v>2954</v>
      </c>
      <c r="J1248" s="2" t="str">
        <f t="shared" si="19"/>
        <v>2023-03</v>
      </c>
    </row>
    <row r="1249" spans="1:10" x14ac:dyDescent="0.2">
      <c r="A1249" s="2" t="s">
        <v>1298</v>
      </c>
      <c r="B1249" s="2" t="s">
        <v>100</v>
      </c>
      <c r="C1249" s="2" t="s">
        <v>142</v>
      </c>
      <c r="D1249" s="2">
        <v>30</v>
      </c>
      <c r="E1249" s="5">
        <v>44991</v>
      </c>
      <c r="F1249" s="2">
        <v>116</v>
      </c>
      <c r="G1249" s="2" t="s">
        <v>128</v>
      </c>
      <c r="H1249" s="2" t="s">
        <v>98</v>
      </c>
      <c r="I1249" s="6" t="s">
        <v>2954</v>
      </c>
      <c r="J1249" s="2" t="str">
        <f t="shared" si="19"/>
        <v>2023-03</v>
      </c>
    </row>
    <row r="1250" spans="1:10" x14ac:dyDescent="0.2">
      <c r="A1250" s="2" t="s">
        <v>1299</v>
      </c>
      <c r="B1250" s="2" t="s">
        <v>162</v>
      </c>
      <c r="C1250" s="2" t="s">
        <v>142</v>
      </c>
      <c r="D1250" s="2" t="s">
        <v>2954</v>
      </c>
      <c r="E1250" s="5">
        <v>44991</v>
      </c>
      <c r="F1250" s="2">
        <v>365</v>
      </c>
      <c r="G1250" s="2" t="s">
        <v>66</v>
      </c>
      <c r="H1250" s="2" t="s">
        <v>163</v>
      </c>
      <c r="I1250" s="6" t="s">
        <v>2954</v>
      </c>
      <c r="J1250" s="2" t="str">
        <f t="shared" si="19"/>
        <v>2023-03</v>
      </c>
    </row>
    <row r="1251" spans="1:10" x14ac:dyDescent="0.2">
      <c r="A1251" s="2" t="s">
        <v>1300</v>
      </c>
      <c r="B1251" s="2" t="s">
        <v>1301</v>
      </c>
      <c r="C1251" s="2" t="s">
        <v>68</v>
      </c>
      <c r="D1251" s="2">
        <v>13</v>
      </c>
      <c r="E1251" s="5">
        <v>44989</v>
      </c>
      <c r="F1251" s="2" t="s">
        <v>2954</v>
      </c>
      <c r="G1251" s="2" t="s">
        <v>45</v>
      </c>
      <c r="H1251" s="2" t="s">
        <v>278</v>
      </c>
      <c r="I1251" s="6" t="s">
        <v>2954</v>
      </c>
      <c r="J1251" s="2" t="str">
        <f t="shared" si="19"/>
        <v>2023-03</v>
      </c>
    </row>
    <row r="1252" spans="1:10" x14ac:dyDescent="0.2">
      <c r="A1252" s="2" t="s">
        <v>1302</v>
      </c>
      <c r="B1252" s="2" t="s">
        <v>661</v>
      </c>
      <c r="C1252" s="2" t="s">
        <v>148</v>
      </c>
      <c r="D1252" s="2">
        <v>340</v>
      </c>
      <c r="E1252" s="5">
        <v>44988</v>
      </c>
      <c r="F1252" s="2">
        <v>788</v>
      </c>
      <c r="G1252" s="2" t="s">
        <v>12</v>
      </c>
      <c r="H1252" s="2" t="s">
        <v>662</v>
      </c>
      <c r="I1252" s="6">
        <v>0.15</v>
      </c>
      <c r="J1252" s="2" t="str">
        <f t="shared" si="19"/>
        <v>2023-03</v>
      </c>
    </row>
    <row r="1253" spans="1:10" x14ac:dyDescent="0.2">
      <c r="A1253" s="2" t="s">
        <v>1303</v>
      </c>
      <c r="B1253" s="2" t="s">
        <v>34</v>
      </c>
      <c r="C1253" s="2" t="s">
        <v>52</v>
      </c>
      <c r="D1253" s="2">
        <v>230</v>
      </c>
      <c r="E1253" s="5">
        <v>44988</v>
      </c>
      <c r="F1253" s="2">
        <v>317</v>
      </c>
      <c r="G1253" s="2" t="s">
        <v>17</v>
      </c>
      <c r="H1253" s="2" t="s">
        <v>23</v>
      </c>
      <c r="I1253" s="6">
        <v>0.7</v>
      </c>
      <c r="J1253" s="2" t="str">
        <f t="shared" si="19"/>
        <v>2023-03</v>
      </c>
    </row>
    <row r="1254" spans="1:10" x14ac:dyDescent="0.2">
      <c r="A1254" s="2" t="s">
        <v>1304</v>
      </c>
      <c r="B1254" s="2" t="s">
        <v>273</v>
      </c>
      <c r="C1254" s="2" t="s">
        <v>148</v>
      </c>
      <c r="D1254" s="2">
        <v>100</v>
      </c>
      <c r="E1254" s="5">
        <v>44988</v>
      </c>
      <c r="F1254" s="2">
        <v>59</v>
      </c>
      <c r="G1254" s="2" t="s">
        <v>12</v>
      </c>
      <c r="H1254" s="2" t="s">
        <v>274</v>
      </c>
      <c r="I1254" s="6" t="s">
        <v>2954</v>
      </c>
      <c r="J1254" s="2" t="str">
        <f t="shared" si="19"/>
        <v>2023-03</v>
      </c>
    </row>
    <row r="1255" spans="1:10" x14ac:dyDescent="0.2">
      <c r="A1255" s="2" t="s">
        <v>1305</v>
      </c>
      <c r="B1255" s="2" t="s">
        <v>34</v>
      </c>
      <c r="C1255" s="2" t="s">
        <v>26</v>
      </c>
      <c r="D1255" s="2">
        <v>63</v>
      </c>
      <c r="E1255" s="5">
        <v>44988</v>
      </c>
      <c r="F1255" s="2">
        <v>152</v>
      </c>
      <c r="G1255" s="2" t="s">
        <v>45</v>
      </c>
      <c r="H1255" s="2" t="s">
        <v>23</v>
      </c>
      <c r="I1255" s="6" t="s">
        <v>2954</v>
      </c>
      <c r="J1255" s="2" t="str">
        <f t="shared" si="19"/>
        <v>2023-03</v>
      </c>
    </row>
    <row r="1256" spans="1:10" x14ac:dyDescent="0.2">
      <c r="A1256" s="2" t="s">
        <v>1306</v>
      </c>
      <c r="B1256" s="2" t="s">
        <v>34</v>
      </c>
      <c r="C1256" s="2" t="s">
        <v>44</v>
      </c>
      <c r="D1256" s="2">
        <v>30</v>
      </c>
      <c r="E1256" s="5">
        <v>44988</v>
      </c>
      <c r="F1256" s="2">
        <v>6400</v>
      </c>
      <c r="G1256" s="2" t="s">
        <v>17</v>
      </c>
      <c r="H1256" s="2" t="s">
        <v>23</v>
      </c>
      <c r="I1256" s="6" t="s">
        <v>2954</v>
      </c>
      <c r="J1256" s="2" t="str">
        <f t="shared" si="19"/>
        <v>2023-03</v>
      </c>
    </row>
    <row r="1257" spans="1:10" x14ac:dyDescent="0.2">
      <c r="A1257" s="2" t="s">
        <v>1307</v>
      </c>
      <c r="B1257" s="2" t="s">
        <v>28</v>
      </c>
      <c r="C1257" s="2" t="s">
        <v>32</v>
      </c>
      <c r="D1257" s="2" t="s">
        <v>2954</v>
      </c>
      <c r="E1257" s="5">
        <v>44988</v>
      </c>
      <c r="F1257" s="2">
        <v>458</v>
      </c>
      <c r="G1257" s="2" t="s">
        <v>17</v>
      </c>
      <c r="H1257" s="2" t="s">
        <v>23</v>
      </c>
      <c r="I1257" s="6" t="s">
        <v>2954</v>
      </c>
      <c r="J1257" s="2" t="str">
        <f t="shared" si="19"/>
        <v>2023-03</v>
      </c>
    </row>
    <row r="1258" spans="1:10" x14ac:dyDescent="0.2">
      <c r="A1258" s="2" t="s">
        <v>345</v>
      </c>
      <c r="B1258" s="2" t="s">
        <v>89</v>
      </c>
      <c r="C1258" s="2" t="s">
        <v>29</v>
      </c>
      <c r="D1258" s="2" t="s">
        <v>2954</v>
      </c>
      <c r="E1258" s="5">
        <v>44988</v>
      </c>
      <c r="F1258" s="2">
        <v>1200</v>
      </c>
      <c r="G1258" s="2" t="s">
        <v>62</v>
      </c>
      <c r="H1258" s="2" t="s">
        <v>23</v>
      </c>
      <c r="I1258" s="6" t="s">
        <v>2954</v>
      </c>
      <c r="J1258" s="2" t="str">
        <f t="shared" si="19"/>
        <v>2023-03</v>
      </c>
    </row>
    <row r="1259" spans="1:10" x14ac:dyDescent="0.2">
      <c r="A1259" s="2" t="s">
        <v>1308</v>
      </c>
      <c r="B1259" s="2" t="s">
        <v>34</v>
      </c>
      <c r="C1259" s="2" t="s">
        <v>195</v>
      </c>
      <c r="D1259" s="2">
        <v>177</v>
      </c>
      <c r="E1259" s="5">
        <v>44987</v>
      </c>
      <c r="F1259" s="2">
        <v>148</v>
      </c>
      <c r="G1259" s="2" t="s">
        <v>17</v>
      </c>
      <c r="H1259" s="2" t="s">
        <v>23</v>
      </c>
      <c r="I1259" s="6">
        <v>0.03</v>
      </c>
      <c r="J1259" s="2" t="str">
        <f t="shared" si="19"/>
        <v>2023-03</v>
      </c>
    </row>
    <row r="1260" spans="1:10" x14ac:dyDescent="0.2">
      <c r="A1260" s="2" t="s">
        <v>1309</v>
      </c>
      <c r="B1260" s="2" t="s">
        <v>34</v>
      </c>
      <c r="C1260" s="2" t="s">
        <v>61</v>
      </c>
      <c r="D1260" s="2">
        <v>79</v>
      </c>
      <c r="E1260" s="5">
        <v>44987</v>
      </c>
      <c r="F1260" s="2">
        <v>461</v>
      </c>
      <c r="G1260" s="2" t="s">
        <v>128</v>
      </c>
      <c r="H1260" s="2" t="s">
        <v>23</v>
      </c>
      <c r="I1260" s="6" t="s">
        <v>2954</v>
      </c>
      <c r="J1260" s="2" t="str">
        <f t="shared" si="19"/>
        <v>2023-03</v>
      </c>
    </row>
    <row r="1261" spans="1:10" x14ac:dyDescent="0.2">
      <c r="A1261" s="2" t="s">
        <v>1310</v>
      </c>
      <c r="B1261" s="2" t="s">
        <v>1311</v>
      </c>
      <c r="C1261" s="2" t="s">
        <v>11</v>
      </c>
      <c r="D1261" s="2">
        <v>50</v>
      </c>
      <c r="E1261" s="5">
        <v>44987</v>
      </c>
      <c r="F1261" s="2" t="s">
        <v>2954</v>
      </c>
      <c r="G1261" s="2" t="s">
        <v>45</v>
      </c>
      <c r="H1261" s="2" t="s">
        <v>662</v>
      </c>
      <c r="I1261" s="6" t="s">
        <v>2954</v>
      </c>
      <c r="J1261" s="2" t="str">
        <f t="shared" si="19"/>
        <v>2023-03</v>
      </c>
    </row>
    <row r="1262" spans="1:10" x14ac:dyDescent="0.2">
      <c r="A1262" s="2" t="s">
        <v>1312</v>
      </c>
      <c r="B1262" s="2" t="s">
        <v>201</v>
      </c>
      <c r="C1262" s="2" t="s">
        <v>117</v>
      </c>
      <c r="D1262" s="2">
        <v>30</v>
      </c>
      <c r="E1262" s="5">
        <v>44987</v>
      </c>
      <c r="F1262" s="2">
        <v>13</v>
      </c>
      <c r="G1262" s="2" t="s">
        <v>41</v>
      </c>
      <c r="H1262" s="2" t="s">
        <v>98</v>
      </c>
      <c r="I1262" s="6">
        <v>0.11</v>
      </c>
      <c r="J1262" s="2" t="str">
        <f t="shared" si="19"/>
        <v>2023-03</v>
      </c>
    </row>
    <row r="1263" spans="1:10" x14ac:dyDescent="0.2">
      <c r="A1263" s="2" t="s">
        <v>1313</v>
      </c>
      <c r="B1263" s="2" t="s">
        <v>34</v>
      </c>
      <c r="C1263" s="2" t="s">
        <v>235</v>
      </c>
      <c r="D1263" s="2">
        <v>12</v>
      </c>
      <c r="E1263" s="5">
        <v>44987</v>
      </c>
      <c r="F1263" s="2">
        <v>20</v>
      </c>
      <c r="G1263" s="2" t="s">
        <v>45</v>
      </c>
      <c r="H1263" s="2" t="s">
        <v>23</v>
      </c>
      <c r="I1263" s="6">
        <v>0.1</v>
      </c>
      <c r="J1263" s="2" t="str">
        <f t="shared" si="19"/>
        <v>2023-03</v>
      </c>
    </row>
    <row r="1264" spans="1:10" x14ac:dyDescent="0.2">
      <c r="A1264" s="2" t="s">
        <v>1314</v>
      </c>
      <c r="B1264" s="2" t="s">
        <v>659</v>
      </c>
      <c r="C1264" s="2" t="s">
        <v>16</v>
      </c>
      <c r="D1264" s="2" t="s">
        <v>2954</v>
      </c>
      <c r="E1264" s="5">
        <v>44987</v>
      </c>
      <c r="F1264" s="2" t="s">
        <v>2954</v>
      </c>
      <c r="G1264" s="2" t="s">
        <v>12</v>
      </c>
      <c r="H1264" s="2" t="s">
        <v>606</v>
      </c>
      <c r="I1264" s="6">
        <v>0.1</v>
      </c>
      <c r="J1264" s="2" t="str">
        <f t="shared" si="19"/>
        <v>2023-03</v>
      </c>
    </row>
    <row r="1265" spans="1:10" x14ac:dyDescent="0.2">
      <c r="A1265" s="2" t="s">
        <v>457</v>
      </c>
      <c r="B1265" s="2" t="s">
        <v>100</v>
      </c>
      <c r="C1265" s="2" t="s">
        <v>142</v>
      </c>
      <c r="D1265" s="2" t="s">
        <v>2954</v>
      </c>
      <c r="E1265" s="5">
        <v>44987</v>
      </c>
      <c r="F1265" s="2">
        <v>12900</v>
      </c>
      <c r="G1265" s="2" t="s">
        <v>45</v>
      </c>
      <c r="H1265" s="2" t="s">
        <v>98</v>
      </c>
      <c r="I1265" s="6" t="s">
        <v>2954</v>
      </c>
      <c r="J1265" s="2" t="str">
        <f t="shared" si="19"/>
        <v>2023-03</v>
      </c>
    </row>
    <row r="1266" spans="1:10" x14ac:dyDescent="0.2">
      <c r="A1266" s="2" t="s">
        <v>1315</v>
      </c>
      <c r="B1266" s="2" t="s">
        <v>47</v>
      </c>
      <c r="C1266" s="2" t="s">
        <v>35</v>
      </c>
      <c r="D1266" s="2" t="s">
        <v>2954</v>
      </c>
      <c r="E1266" s="5">
        <v>44987</v>
      </c>
      <c r="F1266" s="2" t="s">
        <v>2954</v>
      </c>
      <c r="G1266" s="2" t="s">
        <v>45</v>
      </c>
      <c r="H1266" s="2" t="s">
        <v>23</v>
      </c>
      <c r="I1266" s="6">
        <v>1</v>
      </c>
      <c r="J1266" s="2" t="str">
        <f t="shared" si="19"/>
        <v>2023-03</v>
      </c>
    </row>
    <row r="1267" spans="1:10" x14ac:dyDescent="0.2">
      <c r="A1267" s="2" t="s">
        <v>603</v>
      </c>
      <c r="B1267" s="2" t="s">
        <v>25</v>
      </c>
      <c r="C1267" s="2" t="s">
        <v>148</v>
      </c>
      <c r="D1267" s="2" t="s">
        <v>2954</v>
      </c>
      <c r="E1267" s="5">
        <v>44987</v>
      </c>
      <c r="F1267" s="2">
        <v>472</v>
      </c>
      <c r="G1267" s="2" t="s">
        <v>75</v>
      </c>
      <c r="H1267" s="2" t="s">
        <v>23</v>
      </c>
      <c r="I1267" s="6" t="s">
        <v>2954</v>
      </c>
      <c r="J1267" s="2" t="str">
        <f t="shared" si="19"/>
        <v>2023-03</v>
      </c>
    </row>
    <row r="1268" spans="1:10" x14ac:dyDescent="0.2">
      <c r="A1268" s="2" t="s">
        <v>1316</v>
      </c>
      <c r="B1268" s="2" t="s">
        <v>40</v>
      </c>
      <c r="C1268" s="2" t="s">
        <v>170</v>
      </c>
      <c r="D1268" s="2" t="s">
        <v>2954</v>
      </c>
      <c r="E1268" s="5">
        <v>44987</v>
      </c>
      <c r="F1268" s="2" t="s">
        <v>2954</v>
      </c>
      <c r="G1268" s="2" t="s">
        <v>45</v>
      </c>
      <c r="H1268" s="2" t="s">
        <v>23</v>
      </c>
      <c r="I1268" s="6" t="s">
        <v>2954</v>
      </c>
      <c r="J1268" s="2" t="str">
        <f t="shared" si="19"/>
        <v>2023-03</v>
      </c>
    </row>
    <row r="1269" spans="1:10" x14ac:dyDescent="0.2">
      <c r="A1269" s="2" t="s">
        <v>818</v>
      </c>
      <c r="B1269" s="2" t="s">
        <v>314</v>
      </c>
      <c r="C1269" s="2" t="s">
        <v>29</v>
      </c>
      <c r="D1269" s="2">
        <v>500</v>
      </c>
      <c r="E1269" s="5">
        <v>44986</v>
      </c>
      <c r="F1269" s="2">
        <v>748</v>
      </c>
      <c r="G1269" s="2" t="s">
        <v>17</v>
      </c>
      <c r="H1269" s="2" t="s">
        <v>23</v>
      </c>
      <c r="I1269" s="6">
        <v>0.04</v>
      </c>
      <c r="J1269" s="2" t="str">
        <f t="shared" si="19"/>
        <v>2023-03</v>
      </c>
    </row>
    <row r="1270" spans="1:10" x14ac:dyDescent="0.2">
      <c r="A1270" s="2" t="s">
        <v>1317</v>
      </c>
      <c r="B1270" s="2" t="s">
        <v>661</v>
      </c>
      <c r="C1270" s="2" t="s">
        <v>11</v>
      </c>
      <c r="D1270" s="2">
        <v>355</v>
      </c>
      <c r="E1270" s="5">
        <v>44986</v>
      </c>
      <c r="F1270" s="2">
        <v>2100</v>
      </c>
      <c r="G1270" s="2" t="s">
        <v>214</v>
      </c>
      <c r="H1270" s="2" t="s">
        <v>662</v>
      </c>
      <c r="I1270" s="6">
        <v>0.06</v>
      </c>
      <c r="J1270" s="2" t="str">
        <f t="shared" si="19"/>
        <v>2023-03</v>
      </c>
    </row>
    <row r="1271" spans="1:10" x14ac:dyDescent="0.2">
      <c r="A1271" s="2" t="s">
        <v>1318</v>
      </c>
      <c r="B1271" s="2" t="s">
        <v>34</v>
      </c>
      <c r="C1271" s="2" t="s">
        <v>32</v>
      </c>
      <c r="D1271" s="2">
        <v>300</v>
      </c>
      <c r="E1271" s="5">
        <v>44986</v>
      </c>
      <c r="F1271" s="2">
        <v>482</v>
      </c>
      <c r="G1271" s="2" t="s">
        <v>128</v>
      </c>
      <c r="H1271" s="2" t="s">
        <v>23</v>
      </c>
      <c r="I1271" s="6" t="s">
        <v>2954</v>
      </c>
      <c r="J1271" s="2" t="str">
        <f t="shared" si="19"/>
        <v>2023-03</v>
      </c>
    </row>
    <row r="1272" spans="1:10" x14ac:dyDescent="0.2">
      <c r="A1272" s="2" t="s">
        <v>641</v>
      </c>
      <c r="B1272" s="2" t="s">
        <v>34</v>
      </c>
      <c r="C1272" s="2" t="s">
        <v>52</v>
      </c>
      <c r="D1272" s="2">
        <v>209</v>
      </c>
      <c r="E1272" s="5">
        <v>44986</v>
      </c>
      <c r="F1272" s="2">
        <v>5500</v>
      </c>
      <c r="G1272" s="2" t="s">
        <v>214</v>
      </c>
      <c r="H1272" s="2" t="s">
        <v>23</v>
      </c>
      <c r="I1272" s="6">
        <v>0.08</v>
      </c>
      <c r="J1272" s="2" t="str">
        <f t="shared" si="19"/>
        <v>2023-03</v>
      </c>
    </row>
    <row r="1273" spans="1:10" x14ac:dyDescent="0.2">
      <c r="A1273" s="2" t="s">
        <v>1319</v>
      </c>
      <c r="B1273" s="2" t="s">
        <v>162</v>
      </c>
      <c r="C1273" s="2" t="s">
        <v>68</v>
      </c>
      <c r="D1273" s="2">
        <v>200</v>
      </c>
      <c r="E1273" s="5">
        <v>44986</v>
      </c>
      <c r="F1273" s="2">
        <v>495</v>
      </c>
      <c r="G1273" s="2" t="s">
        <v>128</v>
      </c>
      <c r="H1273" s="2" t="s">
        <v>163</v>
      </c>
      <c r="I1273" s="6">
        <v>0.2</v>
      </c>
      <c r="J1273" s="2" t="str">
        <f t="shared" si="19"/>
        <v>2023-03</v>
      </c>
    </row>
    <row r="1274" spans="1:10" x14ac:dyDescent="0.2">
      <c r="A1274" s="2" t="s">
        <v>1320</v>
      </c>
      <c r="B1274" s="2" t="s">
        <v>34</v>
      </c>
      <c r="C1274" s="2" t="s">
        <v>113</v>
      </c>
      <c r="D1274" s="2">
        <v>200</v>
      </c>
      <c r="E1274" s="5">
        <v>44986</v>
      </c>
      <c r="F1274" s="2">
        <v>102</v>
      </c>
      <c r="G1274" s="2" t="s">
        <v>66</v>
      </c>
      <c r="H1274" s="2" t="s">
        <v>23</v>
      </c>
      <c r="I1274" s="6" t="s">
        <v>2954</v>
      </c>
      <c r="J1274" s="2" t="str">
        <f t="shared" si="19"/>
        <v>2023-03</v>
      </c>
    </row>
    <row r="1275" spans="1:10" x14ac:dyDescent="0.2">
      <c r="A1275" s="2" t="s">
        <v>289</v>
      </c>
      <c r="B1275" s="2" t="s">
        <v>34</v>
      </c>
      <c r="C1275" s="2" t="s">
        <v>44</v>
      </c>
      <c r="D1275" s="2">
        <v>100</v>
      </c>
      <c r="E1275" s="5">
        <v>44986</v>
      </c>
      <c r="F1275" s="2">
        <v>839</v>
      </c>
      <c r="G1275" s="2" t="s">
        <v>17</v>
      </c>
      <c r="H1275" s="2" t="s">
        <v>23</v>
      </c>
      <c r="I1275" s="6">
        <v>0.14000000000000001</v>
      </c>
      <c r="J1275" s="2" t="str">
        <f t="shared" si="19"/>
        <v>2023-03</v>
      </c>
    </row>
    <row r="1276" spans="1:10" x14ac:dyDescent="0.2">
      <c r="A1276" s="2" t="s">
        <v>1321</v>
      </c>
      <c r="B1276" s="2" t="s">
        <v>28</v>
      </c>
      <c r="C1276" s="2" t="s">
        <v>22</v>
      </c>
      <c r="D1276" s="2" t="s">
        <v>2954</v>
      </c>
      <c r="E1276" s="5">
        <v>44986</v>
      </c>
      <c r="F1276" s="2">
        <v>70</v>
      </c>
      <c r="G1276" s="2" t="s">
        <v>41</v>
      </c>
      <c r="H1276" s="2" t="s">
        <v>23</v>
      </c>
      <c r="I1276" s="6">
        <v>0.5</v>
      </c>
      <c r="J1276" s="2" t="str">
        <f t="shared" si="19"/>
        <v>2023-03</v>
      </c>
    </row>
    <row r="1277" spans="1:10" x14ac:dyDescent="0.2">
      <c r="A1277" s="2" t="s">
        <v>260</v>
      </c>
      <c r="B1277" s="2" t="s">
        <v>1322</v>
      </c>
      <c r="C1277" s="2" t="s">
        <v>35</v>
      </c>
      <c r="D1277" s="2">
        <v>200</v>
      </c>
      <c r="E1277" s="5">
        <v>44985</v>
      </c>
      <c r="F1277" s="2">
        <v>2</v>
      </c>
      <c r="G1277" s="2" t="s">
        <v>17</v>
      </c>
      <c r="H1277" s="2" t="s">
        <v>23</v>
      </c>
      <c r="I1277" s="6" t="s">
        <v>2954</v>
      </c>
      <c r="J1277" s="2" t="str">
        <f t="shared" si="19"/>
        <v>2023-02</v>
      </c>
    </row>
    <row r="1278" spans="1:10" x14ac:dyDescent="0.2">
      <c r="A1278" s="2" t="s">
        <v>1323</v>
      </c>
      <c r="B1278" s="2" t="s">
        <v>34</v>
      </c>
      <c r="C1278" s="2" t="s">
        <v>35</v>
      </c>
      <c r="D1278" s="2">
        <v>80</v>
      </c>
      <c r="E1278" s="5">
        <v>44985</v>
      </c>
      <c r="F1278" s="2">
        <v>557</v>
      </c>
      <c r="G1278" s="2" t="s">
        <v>17</v>
      </c>
      <c r="H1278" s="2" t="s">
        <v>23</v>
      </c>
      <c r="I1278" s="6">
        <v>0.08</v>
      </c>
      <c r="J1278" s="2" t="str">
        <f t="shared" si="19"/>
        <v>2023-02</v>
      </c>
    </row>
    <row r="1279" spans="1:10" x14ac:dyDescent="0.2">
      <c r="A1279" s="2" t="s">
        <v>895</v>
      </c>
      <c r="B1279" s="2" t="s">
        <v>64</v>
      </c>
      <c r="C1279" s="2" t="s">
        <v>48</v>
      </c>
      <c r="D1279" s="2">
        <v>10</v>
      </c>
      <c r="E1279" s="5">
        <v>44985</v>
      </c>
      <c r="F1279" s="2">
        <v>39</v>
      </c>
      <c r="G1279" s="2" t="s">
        <v>41</v>
      </c>
      <c r="H1279" s="2" t="s">
        <v>23</v>
      </c>
      <c r="I1279" s="6" t="s">
        <v>2954</v>
      </c>
      <c r="J1279" s="2" t="str">
        <f t="shared" si="19"/>
        <v>2023-02</v>
      </c>
    </row>
    <row r="1280" spans="1:10" x14ac:dyDescent="0.2">
      <c r="A1280" s="2" t="s">
        <v>1324</v>
      </c>
      <c r="B1280" s="2" t="s">
        <v>100</v>
      </c>
      <c r="C1280" s="2" t="s">
        <v>61</v>
      </c>
      <c r="D1280" s="2" t="s">
        <v>2954</v>
      </c>
      <c r="E1280" s="5">
        <v>44985</v>
      </c>
      <c r="F1280" s="2" t="s">
        <v>2954</v>
      </c>
      <c r="G1280" s="2" t="s">
        <v>12</v>
      </c>
      <c r="H1280" s="2" t="s">
        <v>98</v>
      </c>
      <c r="I1280" s="6">
        <v>1</v>
      </c>
      <c r="J1280" s="2" t="str">
        <f t="shared" si="19"/>
        <v>2023-02</v>
      </c>
    </row>
    <row r="1281" spans="1:10" x14ac:dyDescent="0.2">
      <c r="A1281" s="2" t="s">
        <v>466</v>
      </c>
      <c r="B1281" s="2" t="s">
        <v>47</v>
      </c>
      <c r="C1281" s="2" t="s">
        <v>16</v>
      </c>
      <c r="D1281" s="2" t="s">
        <v>2954</v>
      </c>
      <c r="E1281" s="5">
        <v>44985</v>
      </c>
      <c r="F1281" s="2">
        <v>485</v>
      </c>
      <c r="G1281" s="2" t="s">
        <v>17</v>
      </c>
      <c r="H1281" s="2" t="s">
        <v>23</v>
      </c>
      <c r="I1281" s="6">
        <v>0.09</v>
      </c>
      <c r="J1281" s="2" t="str">
        <f t="shared" si="19"/>
        <v>2023-02</v>
      </c>
    </row>
    <row r="1282" spans="1:10" x14ac:dyDescent="0.2">
      <c r="A1282" s="2" t="s">
        <v>687</v>
      </c>
      <c r="B1282" s="2" t="s">
        <v>381</v>
      </c>
      <c r="C1282" s="2" t="s">
        <v>52</v>
      </c>
      <c r="D1282" s="2">
        <v>300</v>
      </c>
      <c r="E1282" s="5">
        <v>44984</v>
      </c>
      <c r="F1282" s="2">
        <v>126</v>
      </c>
      <c r="G1282" s="2" t="s">
        <v>17</v>
      </c>
      <c r="H1282" s="2" t="s">
        <v>76</v>
      </c>
      <c r="I1282" s="6" t="s">
        <v>2954</v>
      </c>
      <c r="J1282" s="2" t="str">
        <f t="shared" si="19"/>
        <v>2023-02</v>
      </c>
    </row>
    <row r="1283" spans="1:10" x14ac:dyDescent="0.2">
      <c r="A1283" s="2" t="s">
        <v>1325</v>
      </c>
      <c r="B1283" s="2" t="s">
        <v>34</v>
      </c>
      <c r="C1283" s="2" t="s">
        <v>32</v>
      </c>
      <c r="D1283" s="2">
        <v>285</v>
      </c>
      <c r="E1283" s="5">
        <v>44984</v>
      </c>
      <c r="F1283" s="2">
        <v>462</v>
      </c>
      <c r="G1283" s="2" t="s">
        <v>66</v>
      </c>
      <c r="H1283" s="2" t="s">
        <v>23</v>
      </c>
      <c r="I1283" s="6">
        <v>0.15</v>
      </c>
      <c r="J1283" s="2" t="str">
        <f t="shared" ref="J1283:J1346" si="20">TEXT(E1283,"YYYY-MM")</f>
        <v>2023-02</v>
      </c>
    </row>
    <row r="1284" spans="1:10" x14ac:dyDescent="0.2">
      <c r="A1284" s="2" t="s">
        <v>1326</v>
      </c>
      <c r="B1284" s="2" t="s">
        <v>314</v>
      </c>
      <c r="C1284" s="2" t="s">
        <v>16</v>
      </c>
      <c r="D1284" s="2">
        <v>130</v>
      </c>
      <c r="E1284" s="5">
        <v>44984</v>
      </c>
      <c r="F1284" s="2">
        <v>283</v>
      </c>
      <c r="G1284" s="2" t="s">
        <v>12</v>
      </c>
      <c r="H1284" s="2" t="s">
        <v>23</v>
      </c>
      <c r="I1284" s="6">
        <v>0.25</v>
      </c>
      <c r="J1284" s="2" t="str">
        <f t="shared" si="20"/>
        <v>2023-02</v>
      </c>
    </row>
    <row r="1285" spans="1:10" x14ac:dyDescent="0.2">
      <c r="A1285" s="2" t="s">
        <v>1327</v>
      </c>
      <c r="B1285" s="2" t="s">
        <v>60</v>
      </c>
      <c r="C1285" s="2" t="s">
        <v>243</v>
      </c>
      <c r="D1285" s="2">
        <v>75</v>
      </c>
      <c r="E1285" s="5">
        <v>44984</v>
      </c>
      <c r="F1285" s="2">
        <v>3000</v>
      </c>
      <c r="G1285" s="2" t="s">
        <v>17</v>
      </c>
      <c r="H1285" s="2" t="s">
        <v>23</v>
      </c>
      <c r="I1285" s="6">
        <v>0.02</v>
      </c>
      <c r="J1285" s="2" t="str">
        <f t="shared" si="20"/>
        <v>2023-02</v>
      </c>
    </row>
    <row r="1286" spans="1:10" x14ac:dyDescent="0.2">
      <c r="A1286" s="2" t="s">
        <v>710</v>
      </c>
      <c r="B1286" s="2" t="s">
        <v>28</v>
      </c>
      <c r="C1286" s="2" t="s">
        <v>50</v>
      </c>
      <c r="D1286" s="2">
        <v>70</v>
      </c>
      <c r="E1286" s="5">
        <v>44984</v>
      </c>
      <c r="F1286" s="2">
        <v>489</v>
      </c>
      <c r="G1286" s="2" t="s">
        <v>58</v>
      </c>
      <c r="H1286" s="2" t="s">
        <v>23</v>
      </c>
      <c r="I1286" s="6">
        <v>7.0000000000000007E-2</v>
      </c>
      <c r="J1286" s="2" t="str">
        <f t="shared" si="20"/>
        <v>2023-02</v>
      </c>
    </row>
    <row r="1287" spans="1:10" x14ac:dyDescent="0.2">
      <c r="A1287" s="2" t="s">
        <v>1328</v>
      </c>
      <c r="B1287" s="2" t="s">
        <v>34</v>
      </c>
      <c r="C1287" s="2" t="s">
        <v>195</v>
      </c>
      <c r="D1287" s="2">
        <v>19</v>
      </c>
      <c r="E1287" s="5">
        <v>44984</v>
      </c>
      <c r="F1287" s="2">
        <v>126</v>
      </c>
      <c r="G1287" s="2" t="s">
        <v>37</v>
      </c>
      <c r="H1287" s="2" t="s">
        <v>23</v>
      </c>
      <c r="I1287" s="6">
        <v>0.25</v>
      </c>
      <c r="J1287" s="2" t="str">
        <f t="shared" si="20"/>
        <v>2023-02</v>
      </c>
    </row>
    <row r="1288" spans="1:10" x14ac:dyDescent="0.2">
      <c r="A1288" s="2" t="s">
        <v>1329</v>
      </c>
      <c r="B1288" s="2" t="s">
        <v>15</v>
      </c>
      <c r="C1288" s="2" t="s">
        <v>195</v>
      </c>
      <c r="D1288" s="2">
        <v>40</v>
      </c>
      <c r="E1288" s="5">
        <v>44983</v>
      </c>
      <c r="F1288" s="2">
        <v>401</v>
      </c>
      <c r="G1288" s="2" t="s">
        <v>12</v>
      </c>
      <c r="H1288" s="2" t="s">
        <v>18</v>
      </c>
      <c r="I1288" s="6" t="s">
        <v>2954</v>
      </c>
      <c r="J1288" s="2" t="str">
        <f t="shared" si="20"/>
        <v>2023-02</v>
      </c>
    </row>
    <row r="1289" spans="1:10" x14ac:dyDescent="0.2">
      <c r="A1289" s="2" t="s">
        <v>1330</v>
      </c>
      <c r="B1289" s="2" t="s">
        <v>34</v>
      </c>
      <c r="C1289" s="2" t="s">
        <v>35</v>
      </c>
      <c r="D1289" s="2">
        <v>200</v>
      </c>
      <c r="E1289" s="5">
        <v>44982</v>
      </c>
      <c r="F1289" s="2">
        <v>12900</v>
      </c>
      <c r="G1289" s="2" t="s">
        <v>17</v>
      </c>
      <c r="H1289" s="2" t="s">
        <v>23</v>
      </c>
      <c r="I1289" s="6">
        <v>0.1</v>
      </c>
      <c r="J1289" s="2" t="str">
        <f t="shared" si="20"/>
        <v>2023-02</v>
      </c>
    </row>
    <row r="1290" spans="1:10" x14ac:dyDescent="0.2">
      <c r="A1290" s="2" t="s">
        <v>1331</v>
      </c>
      <c r="B1290" s="2" t="s">
        <v>287</v>
      </c>
      <c r="C1290" s="2" t="s">
        <v>29</v>
      </c>
      <c r="D1290" s="2">
        <v>8500</v>
      </c>
      <c r="E1290" s="5">
        <v>44981</v>
      </c>
      <c r="F1290" s="2">
        <v>663</v>
      </c>
      <c r="G1290" s="2" t="s">
        <v>17</v>
      </c>
      <c r="H1290" s="2" t="s">
        <v>291</v>
      </c>
      <c r="I1290" s="6">
        <v>0.08</v>
      </c>
      <c r="J1290" s="2" t="str">
        <f t="shared" si="20"/>
        <v>2023-02</v>
      </c>
    </row>
    <row r="1291" spans="1:10" x14ac:dyDescent="0.2">
      <c r="A1291" s="2" t="s">
        <v>1332</v>
      </c>
      <c r="B1291" s="2" t="s">
        <v>100</v>
      </c>
      <c r="C1291" s="2" t="s">
        <v>29</v>
      </c>
      <c r="D1291" s="2">
        <v>300</v>
      </c>
      <c r="E1291" s="5">
        <v>44981</v>
      </c>
      <c r="F1291" s="2">
        <v>1300</v>
      </c>
      <c r="G1291" s="2" t="s">
        <v>214</v>
      </c>
      <c r="H1291" s="2" t="s">
        <v>98</v>
      </c>
      <c r="I1291" s="6" t="s">
        <v>2954</v>
      </c>
      <c r="J1291" s="2" t="str">
        <f t="shared" si="20"/>
        <v>2023-02</v>
      </c>
    </row>
    <row r="1292" spans="1:10" x14ac:dyDescent="0.2">
      <c r="A1292" s="2" t="s">
        <v>1333</v>
      </c>
      <c r="B1292" s="2" t="s">
        <v>34</v>
      </c>
      <c r="C1292" s="2" t="s">
        <v>52</v>
      </c>
      <c r="D1292" s="2">
        <v>220</v>
      </c>
      <c r="E1292" s="5">
        <v>44981</v>
      </c>
      <c r="F1292" s="2">
        <v>575</v>
      </c>
      <c r="G1292" s="2" t="s">
        <v>45</v>
      </c>
      <c r="H1292" s="2" t="s">
        <v>23</v>
      </c>
      <c r="I1292" s="6" t="s">
        <v>2954</v>
      </c>
      <c r="J1292" s="2" t="str">
        <f t="shared" si="20"/>
        <v>2023-02</v>
      </c>
    </row>
    <row r="1293" spans="1:10" x14ac:dyDescent="0.2">
      <c r="A1293" s="2" t="s">
        <v>1334</v>
      </c>
      <c r="B1293" s="2" t="s">
        <v>34</v>
      </c>
      <c r="C1293" s="2" t="s">
        <v>113</v>
      </c>
      <c r="D1293" s="2">
        <v>59</v>
      </c>
      <c r="E1293" s="5">
        <v>44981</v>
      </c>
      <c r="F1293" s="2">
        <v>325</v>
      </c>
      <c r="G1293" s="2" t="s">
        <v>45</v>
      </c>
      <c r="H1293" s="2" t="s">
        <v>23</v>
      </c>
      <c r="I1293" s="6" t="s">
        <v>2954</v>
      </c>
      <c r="J1293" s="2" t="str">
        <f t="shared" si="20"/>
        <v>2023-02</v>
      </c>
    </row>
    <row r="1294" spans="1:10" x14ac:dyDescent="0.2">
      <c r="A1294" s="2" t="s">
        <v>700</v>
      </c>
      <c r="B1294" s="2" t="s">
        <v>34</v>
      </c>
      <c r="C1294" s="2" t="s">
        <v>11</v>
      </c>
      <c r="D1294" s="2">
        <v>40</v>
      </c>
      <c r="E1294" s="5">
        <v>44981</v>
      </c>
      <c r="F1294" s="2">
        <v>465</v>
      </c>
      <c r="G1294" s="2" t="s">
        <v>12</v>
      </c>
      <c r="H1294" s="2" t="s">
        <v>23</v>
      </c>
      <c r="I1294" s="6" t="s">
        <v>2954</v>
      </c>
      <c r="J1294" s="2" t="str">
        <f t="shared" si="20"/>
        <v>2023-02</v>
      </c>
    </row>
    <row r="1295" spans="1:10" x14ac:dyDescent="0.2">
      <c r="A1295" s="2" t="s">
        <v>1335</v>
      </c>
      <c r="B1295" s="2" t="s">
        <v>34</v>
      </c>
      <c r="C1295" s="2" t="s">
        <v>32</v>
      </c>
      <c r="D1295" s="2">
        <v>26</v>
      </c>
      <c r="E1295" s="5">
        <v>44981</v>
      </c>
      <c r="F1295" s="2">
        <v>132</v>
      </c>
      <c r="G1295" s="2" t="s">
        <v>17</v>
      </c>
      <c r="H1295" s="2" t="s">
        <v>23</v>
      </c>
      <c r="I1295" s="6" t="s">
        <v>2954</v>
      </c>
      <c r="J1295" s="2" t="str">
        <f t="shared" si="20"/>
        <v>2023-02</v>
      </c>
    </row>
    <row r="1296" spans="1:10" x14ac:dyDescent="0.2">
      <c r="A1296" s="2" t="s">
        <v>1336</v>
      </c>
      <c r="B1296" s="2" t="s">
        <v>111</v>
      </c>
      <c r="C1296" s="2" t="s">
        <v>16</v>
      </c>
      <c r="D1296" s="2">
        <v>24</v>
      </c>
      <c r="E1296" s="5">
        <v>44981</v>
      </c>
      <c r="F1296" s="2">
        <v>263</v>
      </c>
      <c r="G1296" s="2" t="s">
        <v>75</v>
      </c>
      <c r="H1296" s="2" t="s">
        <v>23</v>
      </c>
      <c r="I1296" s="6" t="s">
        <v>2954</v>
      </c>
      <c r="J1296" s="2" t="str">
        <f t="shared" si="20"/>
        <v>2023-02</v>
      </c>
    </row>
    <row r="1297" spans="1:10" x14ac:dyDescent="0.2">
      <c r="A1297" s="2" t="s">
        <v>1337</v>
      </c>
      <c r="B1297" s="2" t="s">
        <v>89</v>
      </c>
      <c r="C1297" s="2" t="s">
        <v>32</v>
      </c>
      <c r="D1297" s="2" t="s">
        <v>2954</v>
      </c>
      <c r="E1297" s="5">
        <v>44981</v>
      </c>
      <c r="F1297" s="2">
        <v>1900</v>
      </c>
      <c r="G1297" s="2" t="s">
        <v>17</v>
      </c>
      <c r="H1297" s="2" t="s">
        <v>23</v>
      </c>
      <c r="I1297" s="6">
        <v>0.18</v>
      </c>
      <c r="J1297" s="2" t="str">
        <f t="shared" si="20"/>
        <v>2023-02</v>
      </c>
    </row>
    <row r="1298" spans="1:10" x14ac:dyDescent="0.2">
      <c r="A1298" s="2" t="s">
        <v>1338</v>
      </c>
      <c r="B1298" s="2" t="s">
        <v>34</v>
      </c>
      <c r="C1298" s="2" t="s">
        <v>142</v>
      </c>
      <c r="D1298" s="2" t="s">
        <v>2954</v>
      </c>
      <c r="E1298" s="5">
        <v>44981</v>
      </c>
      <c r="F1298" s="2">
        <v>153</v>
      </c>
      <c r="G1298" s="2" t="s">
        <v>45</v>
      </c>
      <c r="H1298" s="2" t="s">
        <v>23</v>
      </c>
      <c r="I1298" s="6">
        <v>0.02</v>
      </c>
      <c r="J1298" s="2" t="str">
        <f t="shared" si="20"/>
        <v>2023-02</v>
      </c>
    </row>
    <row r="1299" spans="1:10" x14ac:dyDescent="0.2">
      <c r="A1299" s="2" t="s">
        <v>707</v>
      </c>
      <c r="B1299" s="2" t="s">
        <v>294</v>
      </c>
      <c r="C1299" s="2" t="s">
        <v>32</v>
      </c>
      <c r="D1299" s="2">
        <v>200</v>
      </c>
      <c r="E1299" s="5">
        <v>44980</v>
      </c>
      <c r="F1299" s="2" t="s">
        <v>2954</v>
      </c>
      <c r="G1299" s="2" t="s">
        <v>45</v>
      </c>
      <c r="H1299" s="2" t="s">
        <v>23</v>
      </c>
      <c r="I1299" s="6">
        <v>0.1</v>
      </c>
      <c r="J1299" s="2" t="str">
        <f t="shared" si="20"/>
        <v>2023-02</v>
      </c>
    </row>
    <row r="1300" spans="1:10" x14ac:dyDescent="0.2">
      <c r="A1300" s="2" t="s">
        <v>1339</v>
      </c>
      <c r="B1300" s="2" t="s">
        <v>74</v>
      </c>
      <c r="C1300" s="2" t="s">
        <v>26</v>
      </c>
      <c r="D1300" s="2">
        <v>150</v>
      </c>
      <c r="E1300" s="5">
        <v>44980</v>
      </c>
      <c r="F1300" s="2">
        <v>442</v>
      </c>
      <c r="G1300" s="2" t="s">
        <v>75</v>
      </c>
      <c r="H1300" s="2" t="s">
        <v>76</v>
      </c>
      <c r="I1300" s="6">
        <v>0.32</v>
      </c>
      <c r="J1300" s="2" t="str">
        <f t="shared" si="20"/>
        <v>2023-02</v>
      </c>
    </row>
    <row r="1301" spans="1:10" x14ac:dyDescent="0.2">
      <c r="A1301" s="2" t="s">
        <v>1340</v>
      </c>
      <c r="B1301" s="2" t="s">
        <v>273</v>
      </c>
      <c r="C1301" s="2" t="s">
        <v>142</v>
      </c>
      <c r="D1301" s="2">
        <v>69</v>
      </c>
      <c r="E1301" s="5">
        <v>44980</v>
      </c>
      <c r="F1301" s="2" t="s">
        <v>2954</v>
      </c>
      <c r="G1301" s="2" t="s">
        <v>12</v>
      </c>
      <c r="H1301" s="2" t="s">
        <v>274</v>
      </c>
      <c r="I1301" s="6">
        <v>0.06</v>
      </c>
      <c r="J1301" s="2" t="str">
        <f t="shared" si="20"/>
        <v>2023-02</v>
      </c>
    </row>
    <row r="1302" spans="1:10" x14ac:dyDescent="0.2">
      <c r="A1302" s="2" t="s">
        <v>1341</v>
      </c>
      <c r="B1302" s="2" t="s">
        <v>47</v>
      </c>
      <c r="C1302" s="2" t="s">
        <v>52</v>
      </c>
      <c r="D1302" s="2">
        <v>40</v>
      </c>
      <c r="E1302" s="5">
        <v>44980</v>
      </c>
      <c r="F1302" s="2">
        <v>400</v>
      </c>
      <c r="G1302" s="2" t="s">
        <v>17</v>
      </c>
      <c r="H1302" s="2" t="s">
        <v>23</v>
      </c>
      <c r="I1302" s="6" t="s">
        <v>2954</v>
      </c>
      <c r="J1302" s="2" t="str">
        <f t="shared" si="20"/>
        <v>2023-02</v>
      </c>
    </row>
    <row r="1303" spans="1:10" x14ac:dyDescent="0.2">
      <c r="A1303" s="2" t="s">
        <v>1342</v>
      </c>
      <c r="B1303" s="2" t="s">
        <v>34</v>
      </c>
      <c r="C1303" s="2" t="s">
        <v>48</v>
      </c>
      <c r="D1303" s="2">
        <v>40</v>
      </c>
      <c r="E1303" s="5">
        <v>44980</v>
      </c>
      <c r="F1303" s="2">
        <v>76</v>
      </c>
      <c r="G1303" s="2" t="s">
        <v>37</v>
      </c>
      <c r="H1303" s="2" t="s">
        <v>23</v>
      </c>
      <c r="I1303" s="6" t="s">
        <v>2954</v>
      </c>
      <c r="J1303" s="2" t="str">
        <f t="shared" si="20"/>
        <v>2023-02</v>
      </c>
    </row>
    <row r="1304" spans="1:10" x14ac:dyDescent="0.2">
      <c r="A1304" s="2" t="s">
        <v>909</v>
      </c>
      <c r="B1304" s="2" t="s">
        <v>183</v>
      </c>
      <c r="C1304" s="2" t="s">
        <v>22</v>
      </c>
      <c r="D1304" s="2" t="s">
        <v>2954</v>
      </c>
      <c r="E1304" s="5">
        <v>44980</v>
      </c>
      <c r="F1304" s="2">
        <v>607</v>
      </c>
      <c r="G1304" s="2" t="s">
        <v>75</v>
      </c>
      <c r="H1304" s="2" t="s">
        <v>23</v>
      </c>
      <c r="I1304" s="6">
        <v>0.2</v>
      </c>
      <c r="J1304" s="2" t="str">
        <f t="shared" si="20"/>
        <v>2023-02</v>
      </c>
    </row>
    <row r="1305" spans="1:10" x14ac:dyDescent="0.2">
      <c r="A1305" s="2" t="s">
        <v>1343</v>
      </c>
      <c r="B1305" s="2" t="s">
        <v>25</v>
      </c>
      <c r="C1305" s="2" t="s">
        <v>22</v>
      </c>
      <c r="D1305" s="2" t="s">
        <v>2954</v>
      </c>
      <c r="E1305" s="5">
        <v>44980</v>
      </c>
      <c r="F1305" s="2">
        <v>61</v>
      </c>
      <c r="G1305" s="2" t="s">
        <v>37</v>
      </c>
      <c r="H1305" s="2" t="s">
        <v>23</v>
      </c>
      <c r="I1305" s="6">
        <v>0.15</v>
      </c>
      <c r="J1305" s="2" t="str">
        <f t="shared" si="20"/>
        <v>2023-02</v>
      </c>
    </row>
    <row r="1306" spans="1:10" x14ac:dyDescent="0.2">
      <c r="A1306" s="2" t="s">
        <v>1344</v>
      </c>
      <c r="B1306" s="2" t="s">
        <v>401</v>
      </c>
      <c r="C1306" s="2" t="s">
        <v>32</v>
      </c>
      <c r="D1306" s="2" t="s">
        <v>2954</v>
      </c>
      <c r="E1306" s="5">
        <v>44980</v>
      </c>
      <c r="F1306" s="2" t="s">
        <v>2954</v>
      </c>
      <c r="G1306" s="2" t="s">
        <v>12</v>
      </c>
      <c r="H1306" s="2" t="s">
        <v>23</v>
      </c>
      <c r="I1306" s="6">
        <v>0.13</v>
      </c>
      <c r="J1306" s="2" t="str">
        <f t="shared" si="20"/>
        <v>2023-02</v>
      </c>
    </row>
    <row r="1307" spans="1:10" x14ac:dyDescent="0.2">
      <c r="A1307" s="2" t="s">
        <v>1345</v>
      </c>
      <c r="B1307" s="2" t="s">
        <v>54</v>
      </c>
      <c r="C1307" s="2" t="s">
        <v>235</v>
      </c>
      <c r="D1307" s="2">
        <v>200</v>
      </c>
      <c r="E1307" s="5">
        <v>44979</v>
      </c>
      <c r="F1307" s="2" t="s">
        <v>2954</v>
      </c>
      <c r="G1307" s="2" t="s">
        <v>12</v>
      </c>
      <c r="H1307" s="2" t="s">
        <v>55</v>
      </c>
      <c r="I1307" s="6">
        <v>0.12</v>
      </c>
      <c r="J1307" s="2" t="str">
        <f t="shared" si="20"/>
        <v>2023-02</v>
      </c>
    </row>
    <row r="1308" spans="1:10" x14ac:dyDescent="0.2">
      <c r="A1308" s="2" t="s">
        <v>1346</v>
      </c>
      <c r="B1308" s="2" t="s">
        <v>1236</v>
      </c>
      <c r="C1308" s="2" t="s">
        <v>113</v>
      </c>
      <c r="D1308" s="2">
        <v>186</v>
      </c>
      <c r="E1308" s="5">
        <v>44979</v>
      </c>
      <c r="F1308" s="2">
        <v>279</v>
      </c>
      <c r="G1308" s="2" t="s">
        <v>17</v>
      </c>
      <c r="H1308" s="2" t="s">
        <v>23</v>
      </c>
      <c r="I1308" s="6" t="s">
        <v>2954</v>
      </c>
      <c r="J1308" s="2" t="str">
        <f t="shared" si="20"/>
        <v>2023-02</v>
      </c>
    </row>
    <row r="1309" spans="1:10" x14ac:dyDescent="0.2">
      <c r="A1309" s="2" t="s">
        <v>1347</v>
      </c>
      <c r="B1309" s="2" t="s">
        <v>560</v>
      </c>
      <c r="C1309" s="2" t="s">
        <v>32</v>
      </c>
      <c r="D1309" s="2" t="s">
        <v>2954</v>
      </c>
      <c r="E1309" s="5">
        <v>44979</v>
      </c>
      <c r="F1309" s="2">
        <v>155</v>
      </c>
      <c r="G1309" s="2" t="s">
        <v>66</v>
      </c>
      <c r="H1309" s="2" t="s">
        <v>23</v>
      </c>
      <c r="I1309" s="6" t="s">
        <v>2954</v>
      </c>
      <c r="J1309" s="2" t="str">
        <f t="shared" si="20"/>
        <v>2023-02</v>
      </c>
    </row>
    <row r="1310" spans="1:10" x14ac:dyDescent="0.2">
      <c r="A1310" s="2" t="s">
        <v>1348</v>
      </c>
      <c r="B1310" s="2" t="s">
        <v>273</v>
      </c>
      <c r="C1310" s="2" t="s">
        <v>22</v>
      </c>
      <c r="D1310" s="2" t="s">
        <v>2954</v>
      </c>
      <c r="E1310" s="5">
        <v>44979</v>
      </c>
      <c r="F1310" s="2">
        <v>279</v>
      </c>
      <c r="G1310" s="2" t="s">
        <v>66</v>
      </c>
      <c r="H1310" s="2" t="s">
        <v>274</v>
      </c>
      <c r="I1310" s="6">
        <v>0.11</v>
      </c>
      <c r="J1310" s="2" t="str">
        <f t="shared" si="20"/>
        <v>2023-02</v>
      </c>
    </row>
    <row r="1311" spans="1:10" x14ac:dyDescent="0.2">
      <c r="A1311" s="2" t="s">
        <v>1349</v>
      </c>
      <c r="B1311" s="2" t="s">
        <v>89</v>
      </c>
      <c r="C1311" s="2" t="s">
        <v>32</v>
      </c>
      <c r="D1311" s="2" t="s">
        <v>2954</v>
      </c>
      <c r="E1311" s="5">
        <v>44979</v>
      </c>
      <c r="F1311" s="2">
        <v>194</v>
      </c>
      <c r="G1311" s="2" t="s">
        <v>45</v>
      </c>
      <c r="H1311" s="2" t="s">
        <v>23</v>
      </c>
      <c r="I1311" s="6">
        <v>0.56999999999999995</v>
      </c>
      <c r="J1311" s="2" t="str">
        <f t="shared" si="20"/>
        <v>2023-02</v>
      </c>
    </row>
    <row r="1312" spans="1:10" x14ac:dyDescent="0.2">
      <c r="A1312" s="2" t="s">
        <v>1350</v>
      </c>
      <c r="B1312" s="2" t="s">
        <v>92</v>
      </c>
      <c r="C1312" s="2" t="s">
        <v>52</v>
      </c>
      <c r="D1312" s="2" t="s">
        <v>2954</v>
      </c>
      <c r="E1312" s="5">
        <v>44979</v>
      </c>
      <c r="F1312" s="2">
        <v>57</v>
      </c>
      <c r="G1312" s="2" t="s">
        <v>132</v>
      </c>
      <c r="H1312" s="2" t="s">
        <v>23</v>
      </c>
      <c r="I1312" s="6">
        <v>1</v>
      </c>
      <c r="J1312" s="2" t="str">
        <f t="shared" si="20"/>
        <v>2023-02</v>
      </c>
    </row>
    <row r="1313" spans="1:10" x14ac:dyDescent="0.2">
      <c r="A1313" s="2" t="s">
        <v>1351</v>
      </c>
      <c r="B1313" s="2" t="s">
        <v>997</v>
      </c>
      <c r="C1313" s="2" t="s">
        <v>11</v>
      </c>
      <c r="D1313" s="2">
        <v>350</v>
      </c>
      <c r="E1313" s="5">
        <v>44978</v>
      </c>
      <c r="F1313" s="2">
        <v>214</v>
      </c>
      <c r="G1313" s="2" t="s">
        <v>66</v>
      </c>
      <c r="H1313" s="2" t="s">
        <v>998</v>
      </c>
      <c r="I1313" s="6">
        <v>0.7</v>
      </c>
      <c r="J1313" s="2" t="str">
        <f t="shared" si="20"/>
        <v>2023-02</v>
      </c>
    </row>
    <row r="1314" spans="1:10" x14ac:dyDescent="0.2">
      <c r="A1314" s="2" t="s">
        <v>343</v>
      </c>
      <c r="B1314" s="2" t="s">
        <v>100</v>
      </c>
      <c r="C1314" s="2" t="s">
        <v>22</v>
      </c>
      <c r="D1314" s="2">
        <v>100</v>
      </c>
      <c r="E1314" s="5">
        <v>44978</v>
      </c>
      <c r="F1314" s="2">
        <v>451</v>
      </c>
      <c r="G1314" s="2" t="s">
        <v>12</v>
      </c>
      <c r="H1314" s="2" t="s">
        <v>98</v>
      </c>
      <c r="I1314" s="6">
        <v>0.2</v>
      </c>
      <c r="J1314" s="2" t="str">
        <f t="shared" si="20"/>
        <v>2023-02</v>
      </c>
    </row>
    <row r="1315" spans="1:10" x14ac:dyDescent="0.2">
      <c r="A1315" s="2" t="s">
        <v>1352</v>
      </c>
      <c r="B1315" s="2" t="s">
        <v>70</v>
      </c>
      <c r="C1315" s="2" t="s">
        <v>235</v>
      </c>
      <c r="D1315" s="2">
        <v>85</v>
      </c>
      <c r="E1315" s="5">
        <v>44978</v>
      </c>
      <c r="F1315" s="2">
        <v>26</v>
      </c>
      <c r="G1315" s="2" t="s">
        <v>12</v>
      </c>
      <c r="H1315" s="2" t="s">
        <v>72</v>
      </c>
      <c r="I1315" s="6" t="s">
        <v>2954</v>
      </c>
      <c r="J1315" s="2" t="str">
        <f t="shared" si="20"/>
        <v>2023-02</v>
      </c>
    </row>
    <row r="1316" spans="1:10" x14ac:dyDescent="0.2">
      <c r="A1316" s="2" t="s">
        <v>1353</v>
      </c>
      <c r="B1316" s="2" t="s">
        <v>34</v>
      </c>
      <c r="C1316" s="2" t="s">
        <v>16</v>
      </c>
      <c r="D1316" s="2">
        <v>50</v>
      </c>
      <c r="E1316" s="5">
        <v>44978</v>
      </c>
      <c r="F1316" s="2">
        <v>406</v>
      </c>
      <c r="G1316" s="2" t="s">
        <v>75</v>
      </c>
      <c r="H1316" s="2" t="s">
        <v>23</v>
      </c>
      <c r="I1316" s="6" t="s">
        <v>2954</v>
      </c>
      <c r="J1316" s="2" t="str">
        <f t="shared" si="20"/>
        <v>2023-02</v>
      </c>
    </row>
    <row r="1317" spans="1:10" x14ac:dyDescent="0.2">
      <c r="A1317" s="2" t="s">
        <v>1354</v>
      </c>
      <c r="B1317" s="2" t="s">
        <v>314</v>
      </c>
      <c r="C1317" s="2" t="s">
        <v>26</v>
      </c>
      <c r="D1317" s="2">
        <v>40</v>
      </c>
      <c r="E1317" s="5">
        <v>44978</v>
      </c>
      <c r="F1317" s="2">
        <v>52</v>
      </c>
      <c r="G1317" s="2" t="s">
        <v>37</v>
      </c>
      <c r="H1317" s="2" t="s">
        <v>23</v>
      </c>
      <c r="I1317" s="6">
        <v>0.04</v>
      </c>
      <c r="J1317" s="2" t="str">
        <f t="shared" si="20"/>
        <v>2023-02</v>
      </c>
    </row>
    <row r="1318" spans="1:10" x14ac:dyDescent="0.2">
      <c r="A1318" s="2" t="s">
        <v>499</v>
      </c>
      <c r="B1318" s="2" t="s">
        <v>203</v>
      </c>
      <c r="C1318" s="2" t="s">
        <v>52</v>
      </c>
      <c r="D1318" s="2">
        <v>17</v>
      </c>
      <c r="E1318" s="5">
        <v>44978</v>
      </c>
      <c r="F1318" s="2" t="s">
        <v>2954</v>
      </c>
      <c r="G1318" s="2" t="s">
        <v>62</v>
      </c>
      <c r="H1318" s="2" t="s">
        <v>204</v>
      </c>
      <c r="I1318" s="6" t="s">
        <v>2954</v>
      </c>
      <c r="J1318" s="2" t="str">
        <f t="shared" si="20"/>
        <v>2023-02</v>
      </c>
    </row>
    <row r="1319" spans="1:10" x14ac:dyDescent="0.2">
      <c r="A1319" s="2" t="s">
        <v>161</v>
      </c>
      <c r="B1319" s="2" t="s">
        <v>162</v>
      </c>
      <c r="C1319" s="2" t="s">
        <v>26</v>
      </c>
      <c r="D1319" s="2" t="s">
        <v>2954</v>
      </c>
      <c r="E1319" s="5">
        <v>44978</v>
      </c>
      <c r="F1319" s="2">
        <v>61</v>
      </c>
      <c r="G1319" s="2" t="s">
        <v>17</v>
      </c>
      <c r="H1319" s="2" t="s">
        <v>163</v>
      </c>
      <c r="I1319" s="6" t="s">
        <v>2954</v>
      </c>
      <c r="J1319" s="2" t="str">
        <f t="shared" si="20"/>
        <v>2023-02</v>
      </c>
    </row>
    <row r="1320" spans="1:10" x14ac:dyDescent="0.2">
      <c r="A1320" s="2" t="s">
        <v>1355</v>
      </c>
      <c r="B1320" s="2" t="s">
        <v>47</v>
      </c>
      <c r="C1320" s="2" t="s">
        <v>148</v>
      </c>
      <c r="D1320" s="2" t="s">
        <v>2954</v>
      </c>
      <c r="E1320" s="5">
        <v>44978</v>
      </c>
      <c r="F1320" s="2">
        <v>121</v>
      </c>
      <c r="G1320" s="2" t="s">
        <v>66</v>
      </c>
      <c r="H1320" s="2" t="s">
        <v>23</v>
      </c>
      <c r="I1320" s="6" t="s">
        <v>2954</v>
      </c>
      <c r="J1320" s="2" t="str">
        <f t="shared" si="20"/>
        <v>2023-02</v>
      </c>
    </row>
    <row r="1321" spans="1:10" x14ac:dyDescent="0.2">
      <c r="A1321" s="2" t="s">
        <v>1006</v>
      </c>
      <c r="B1321" s="2" t="s">
        <v>74</v>
      </c>
      <c r="C1321" s="2" t="s">
        <v>142</v>
      </c>
      <c r="D1321" s="2" t="s">
        <v>2954</v>
      </c>
      <c r="E1321" s="5">
        <v>44978</v>
      </c>
      <c r="F1321" s="2">
        <v>467</v>
      </c>
      <c r="G1321" s="2" t="s">
        <v>17</v>
      </c>
      <c r="H1321" s="2" t="s">
        <v>76</v>
      </c>
      <c r="I1321" s="6" t="s">
        <v>2954</v>
      </c>
      <c r="J1321" s="2" t="str">
        <f t="shared" si="20"/>
        <v>2023-02</v>
      </c>
    </row>
    <row r="1322" spans="1:10" x14ac:dyDescent="0.2">
      <c r="A1322" s="2" t="s">
        <v>1356</v>
      </c>
      <c r="B1322" s="2" t="s">
        <v>100</v>
      </c>
      <c r="C1322" s="2" t="s">
        <v>29</v>
      </c>
      <c r="D1322" s="2">
        <v>200</v>
      </c>
      <c r="E1322" s="5">
        <v>44977</v>
      </c>
      <c r="F1322" s="2">
        <v>79</v>
      </c>
      <c r="G1322" s="2" t="s">
        <v>37</v>
      </c>
      <c r="H1322" s="2" t="s">
        <v>98</v>
      </c>
      <c r="I1322" s="6">
        <v>0.3</v>
      </c>
      <c r="J1322" s="2" t="str">
        <f t="shared" si="20"/>
        <v>2023-02</v>
      </c>
    </row>
    <row r="1323" spans="1:10" x14ac:dyDescent="0.2">
      <c r="A1323" s="2" t="s">
        <v>316</v>
      </c>
      <c r="B1323" s="2" t="s">
        <v>25</v>
      </c>
      <c r="C1323" s="2" t="s">
        <v>22</v>
      </c>
      <c r="D1323" s="2">
        <v>30</v>
      </c>
      <c r="E1323" s="5">
        <v>44977</v>
      </c>
      <c r="F1323" s="2">
        <v>1000</v>
      </c>
      <c r="G1323" s="2" t="s">
        <v>128</v>
      </c>
      <c r="H1323" s="2" t="s">
        <v>23</v>
      </c>
      <c r="I1323" s="6">
        <v>0.05</v>
      </c>
      <c r="J1323" s="2" t="str">
        <f t="shared" si="20"/>
        <v>2023-02</v>
      </c>
    </row>
    <row r="1324" spans="1:10" x14ac:dyDescent="0.2">
      <c r="A1324" s="2" t="s">
        <v>1357</v>
      </c>
      <c r="B1324" s="2" t="s">
        <v>273</v>
      </c>
      <c r="C1324" s="2" t="s">
        <v>29</v>
      </c>
      <c r="D1324" s="2">
        <v>8</v>
      </c>
      <c r="E1324" s="5">
        <v>44977</v>
      </c>
      <c r="F1324" s="2">
        <v>10</v>
      </c>
      <c r="G1324" s="2" t="s">
        <v>132</v>
      </c>
      <c r="H1324" s="2" t="s">
        <v>274</v>
      </c>
      <c r="I1324" s="6">
        <v>0.28000000000000003</v>
      </c>
      <c r="J1324" s="2" t="str">
        <f t="shared" si="20"/>
        <v>2023-02</v>
      </c>
    </row>
    <row r="1325" spans="1:10" x14ac:dyDescent="0.2">
      <c r="A1325" s="2" t="s">
        <v>1358</v>
      </c>
      <c r="B1325" s="2" t="s">
        <v>266</v>
      </c>
      <c r="C1325" s="2" t="s">
        <v>11</v>
      </c>
      <c r="D1325" s="2" t="s">
        <v>2954</v>
      </c>
      <c r="E1325" s="5">
        <v>44977</v>
      </c>
      <c r="F1325" s="2">
        <v>9</v>
      </c>
      <c r="G1325" s="2" t="s">
        <v>41</v>
      </c>
      <c r="H1325" s="2" t="s">
        <v>23</v>
      </c>
      <c r="I1325" s="6">
        <v>1</v>
      </c>
      <c r="J1325" s="2" t="str">
        <f t="shared" si="20"/>
        <v>2023-02</v>
      </c>
    </row>
    <row r="1326" spans="1:10" x14ac:dyDescent="0.2">
      <c r="A1326" s="2" t="s">
        <v>1359</v>
      </c>
      <c r="B1326" s="2" t="s">
        <v>15</v>
      </c>
      <c r="C1326" s="2" t="s">
        <v>103</v>
      </c>
      <c r="D1326" s="2">
        <v>100</v>
      </c>
      <c r="E1326" s="5">
        <v>44976</v>
      </c>
      <c r="F1326" s="2">
        <v>4200</v>
      </c>
      <c r="G1326" s="2" t="s">
        <v>17</v>
      </c>
      <c r="H1326" s="2" t="s">
        <v>18</v>
      </c>
      <c r="I1326" s="6" t="s">
        <v>2954</v>
      </c>
      <c r="J1326" s="2" t="str">
        <f t="shared" si="20"/>
        <v>2023-02</v>
      </c>
    </row>
    <row r="1327" spans="1:10" x14ac:dyDescent="0.2">
      <c r="A1327" s="2" t="s">
        <v>1360</v>
      </c>
      <c r="B1327" s="2" t="s">
        <v>40</v>
      </c>
      <c r="C1327" s="2" t="s">
        <v>103</v>
      </c>
      <c r="D1327" s="2">
        <v>2400</v>
      </c>
      <c r="E1327" s="5">
        <v>44974</v>
      </c>
      <c r="F1327" s="2">
        <v>50</v>
      </c>
      <c r="G1327" s="2" t="s">
        <v>17</v>
      </c>
      <c r="H1327" s="2" t="s">
        <v>23</v>
      </c>
      <c r="I1327" s="6">
        <v>0.05</v>
      </c>
      <c r="J1327" s="2" t="str">
        <f t="shared" si="20"/>
        <v>2023-02</v>
      </c>
    </row>
    <row r="1328" spans="1:10" x14ac:dyDescent="0.2">
      <c r="A1328" s="2" t="s">
        <v>1361</v>
      </c>
      <c r="B1328" s="2" t="s">
        <v>628</v>
      </c>
      <c r="C1328" s="2" t="s">
        <v>35</v>
      </c>
      <c r="D1328" s="2">
        <v>300</v>
      </c>
      <c r="E1328" s="5">
        <v>44974</v>
      </c>
      <c r="F1328" s="2">
        <v>12600</v>
      </c>
      <c r="G1328" s="2" t="s">
        <v>17</v>
      </c>
      <c r="H1328" s="2" t="s">
        <v>224</v>
      </c>
      <c r="I1328" s="6" t="s">
        <v>2954</v>
      </c>
      <c r="J1328" s="2" t="str">
        <f t="shared" si="20"/>
        <v>2023-02</v>
      </c>
    </row>
    <row r="1329" spans="1:10" x14ac:dyDescent="0.2">
      <c r="A1329" s="2" t="s">
        <v>927</v>
      </c>
      <c r="B1329" s="2" t="s">
        <v>34</v>
      </c>
      <c r="C1329" s="2" t="s">
        <v>35</v>
      </c>
      <c r="D1329" s="2">
        <v>129</v>
      </c>
      <c r="E1329" s="5">
        <v>44974</v>
      </c>
      <c r="F1329" s="2">
        <v>290</v>
      </c>
      <c r="G1329" s="2" t="s">
        <v>45</v>
      </c>
      <c r="H1329" s="2" t="s">
        <v>23</v>
      </c>
      <c r="I1329" s="6" t="s">
        <v>2954</v>
      </c>
      <c r="J1329" s="2" t="str">
        <f t="shared" si="20"/>
        <v>2023-02</v>
      </c>
    </row>
    <row r="1330" spans="1:10" x14ac:dyDescent="0.2">
      <c r="A1330" s="2" t="s">
        <v>226</v>
      </c>
      <c r="B1330" s="2" t="s">
        <v>34</v>
      </c>
      <c r="C1330" s="2" t="s">
        <v>16</v>
      </c>
      <c r="D1330" s="2">
        <v>100</v>
      </c>
      <c r="E1330" s="5">
        <v>44974</v>
      </c>
      <c r="F1330" s="2">
        <v>302</v>
      </c>
      <c r="G1330" s="2" t="s">
        <v>66</v>
      </c>
      <c r="H1330" s="2" t="s">
        <v>23</v>
      </c>
      <c r="I1330" s="6">
        <v>0.33</v>
      </c>
      <c r="J1330" s="2" t="str">
        <f t="shared" si="20"/>
        <v>2023-02</v>
      </c>
    </row>
    <row r="1331" spans="1:10" x14ac:dyDescent="0.2">
      <c r="A1331" s="2" t="s">
        <v>1362</v>
      </c>
      <c r="B1331" s="2" t="s">
        <v>43</v>
      </c>
      <c r="C1331" s="2" t="s">
        <v>29</v>
      </c>
      <c r="D1331" s="2" t="s">
        <v>2954</v>
      </c>
      <c r="E1331" s="5">
        <v>44974</v>
      </c>
      <c r="F1331" s="2">
        <v>105</v>
      </c>
      <c r="G1331" s="2" t="s">
        <v>17</v>
      </c>
      <c r="H1331" s="2" t="s">
        <v>23</v>
      </c>
      <c r="I1331" s="6" t="s">
        <v>2954</v>
      </c>
      <c r="J1331" s="2" t="str">
        <f t="shared" si="20"/>
        <v>2023-02</v>
      </c>
    </row>
    <row r="1332" spans="1:10" x14ac:dyDescent="0.2">
      <c r="A1332" s="2" t="s">
        <v>1363</v>
      </c>
      <c r="B1332" s="2" t="s">
        <v>34</v>
      </c>
      <c r="C1332" s="2" t="s">
        <v>22</v>
      </c>
      <c r="D1332" s="2" t="s">
        <v>2954</v>
      </c>
      <c r="E1332" s="5">
        <v>44974</v>
      </c>
      <c r="F1332" s="2" t="s">
        <v>2954</v>
      </c>
      <c r="G1332" s="2" t="s">
        <v>12</v>
      </c>
      <c r="H1332" s="2" t="s">
        <v>23</v>
      </c>
      <c r="I1332" s="6" t="s">
        <v>2954</v>
      </c>
      <c r="J1332" s="2" t="str">
        <f t="shared" si="20"/>
        <v>2023-02</v>
      </c>
    </row>
    <row r="1333" spans="1:10" x14ac:dyDescent="0.2">
      <c r="A1333" s="2" t="s">
        <v>322</v>
      </c>
      <c r="B1333" s="2" t="s">
        <v>34</v>
      </c>
      <c r="C1333" s="2" t="s">
        <v>50</v>
      </c>
      <c r="D1333" s="2">
        <v>680</v>
      </c>
      <c r="E1333" s="5">
        <v>44973</v>
      </c>
      <c r="F1333" s="2">
        <v>536</v>
      </c>
      <c r="G1333" s="2" t="s">
        <v>17</v>
      </c>
      <c r="H1333" s="2" t="s">
        <v>23</v>
      </c>
      <c r="I1333" s="6">
        <v>0.1</v>
      </c>
      <c r="J1333" s="2" t="str">
        <f t="shared" si="20"/>
        <v>2023-02</v>
      </c>
    </row>
    <row r="1334" spans="1:10" x14ac:dyDescent="0.2">
      <c r="A1334" s="2" t="s">
        <v>596</v>
      </c>
      <c r="B1334" s="2" t="s">
        <v>34</v>
      </c>
      <c r="C1334" s="2" t="s">
        <v>29</v>
      </c>
      <c r="D1334" s="2">
        <v>400</v>
      </c>
      <c r="E1334" s="5">
        <v>44973</v>
      </c>
      <c r="F1334" s="2">
        <v>62</v>
      </c>
      <c r="G1334" s="2" t="s">
        <v>45</v>
      </c>
      <c r="H1334" s="2" t="s">
        <v>23</v>
      </c>
      <c r="I1334" s="6">
        <v>0.2</v>
      </c>
      <c r="J1334" s="2" t="str">
        <f t="shared" si="20"/>
        <v>2023-02</v>
      </c>
    </row>
    <row r="1335" spans="1:10" x14ac:dyDescent="0.2">
      <c r="A1335" s="2" t="s">
        <v>1364</v>
      </c>
      <c r="B1335" s="2" t="s">
        <v>34</v>
      </c>
      <c r="C1335" s="2" t="s">
        <v>142</v>
      </c>
      <c r="D1335" s="2">
        <v>230</v>
      </c>
      <c r="E1335" s="5">
        <v>44973</v>
      </c>
      <c r="F1335" s="2">
        <v>356</v>
      </c>
      <c r="G1335" s="2" t="s">
        <v>17</v>
      </c>
      <c r="H1335" s="2" t="s">
        <v>23</v>
      </c>
      <c r="I1335" s="6">
        <v>7.0000000000000007E-2</v>
      </c>
      <c r="J1335" s="2" t="str">
        <f t="shared" si="20"/>
        <v>2023-02</v>
      </c>
    </row>
    <row r="1336" spans="1:10" x14ac:dyDescent="0.2">
      <c r="A1336" s="2" t="s">
        <v>1365</v>
      </c>
      <c r="B1336" s="2" t="s">
        <v>28</v>
      </c>
      <c r="C1336" s="2" t="s">
        <v>29</v>
      </c>
      <c r="D1336" s="2">
        <v>85</v>
      </c>
      <c r="E1336" s="5">
        <v>44973</v>
      </c>
      <c r="F1336" s="2">
        <v>152</v>
      </c>
      <c r="G1336" s="2" t="s">
        <v>17</v>
      </c>
      <c r="H1336" s="2" t="s">
        <v>23</v>
      </c>
      <c r="I1336" s="6">
        <v>0.03</v>
      </c>
      <c r="J1336" s="2" t="str">
        <f t="shared" si="20"/>
        <v>2023-02</v>
      </c>
    </row>
    <row r="1337" spans="1:10" x14ac:dyDescent="0.2">
      <c r="A1337" s="2" t="s">
        <v>629</v>
      </c>
      <c r="B1337" s="2" t="s">
        <v>115</v>
      </c>
      <c r="C1337" s="2" t="s">
        <v>170</v>
      </c>
      <c r="D1337" s="2" t="s">
        <v>2954</v>
      </c>
      <c r="E1337" s="5">
        <v>44973</v>
      </c>
      <c r="F1337" s="2">
        <v>1100</v>
      </c>
      <c r="G1337" s="2" t="s">
        <v>128</v>
      </c>
      <c r="H1337" s="2" t="s">
        <v>23</v>
      </c>
      <c r="I1337" s="6" t="s">
        <v>2954</v>
      </c>
      <c r="J1337" s="2" t="str">
        <f t="shared" si="20"/>
        <v>2023-02</v>
      </c>
    </row>
    <row r="1338" spans="1:10" x14ac:dyDescent="0.2">
      <c r="A1338" s="2" t="s">
        <v>1366</v>
      </c>
      <c r="B1338" s="2" t="s">
        <v>15</v>
      </c>
      <c r="C1338" s="2" t="s">
        <v>26</v>
      </c>
      <c r="D1338" s="2">
        <v>370</v>
      </c>
      <c r="E1338" s="5">
        <v>44972</v>
      </c>
      <c r="F1338" s="2">
        <v>58</v>
      </c>
      <c r="G1338" s="2" t="s">
        <v>17</v>
      </c>
      <c r="H1338" s="2" t="s">
        <v>18</v>
      </c>
      <c r="I1338" s="6">
        <v>0.06</v>
      </c>
      <c r="J1338" s="2" t="str">
        <f t="shared" si="20"/>
        <v>2023-02</v>
      </c>
    </row>
    <row r="1339" spans="1:10" x14ac:dyDescent="0.2">
      <c r="A1339" s="2" t="s">
        <v>1367</v>
      </c>
      <c r="B1339" s="2" t="s">
        <v>47</v>
      </c>
      <c r="C1339" s="2" t="s">
        <v>50</v>
      </c>
      <c r="D1339" s="2">
        <v>221</v>
      </c>
      <c r="E1339" s="5">
        <v>44972</v>
      </c>
      <c r="F1339" s="2">
        <v>1100</v>
      </c>
      <c r="G1339" s="2" t="s">
        <v>58</v>
      </c>
      <c r="H1339" s="2" t="s">
        <v>23</v>
      </c>
      <c r="I1339" s="6">
        <v>0.08</v>
      </c>
      <c r="J1339" s="2" t="str">
        <f t="shared" si="20"/>
        <v>2023-02</v>
      </c>
    </row>
    <row r="1340" spans="1:10" x14ac:dyDescent="0.2">
      <c r="A1340" s="2" t="s">
        <v>660</v>
      </c>
      <c r="B1340" s="2" t="s">
        <v>661</v>
      </c>
      <c r="C1340" s="2" t="s">
        <v>16</v>
      </c>
      <c r="D1340" s="2">
        <v>210</v>
      </c>
      <c r="E1340" s="5">
        <v>44972</v>
      </c>
      <c r="F1340" s="2">
        <v>720</v>
      </c>
      <c r="G1340" s="2" t="s">
        <v>75</v>
      </c>
      <c r="H1340" s="2" t="s">
        <v>662</v>
      </c>
      <c r="I1340" s="6">
        <v>0.09</v>
      </c>
      <c r="J1340" s="2" t="str">
        <f t="shared" si="20"/>
        <v>2023-02</v>
      </c>
    </row>
    <row r="1341" spans="1:10" x14ac:dyDescent="0.2">
      <c r="A1341" s="2" t="s">
        <v>495</v>
      </c>
      <c r="B1341" s="2" t="s">
        <v>162</v>
      </c>
      <c r="C1341" s="2" t="s">
        <v>235</v>
      </c>
      <c r="D1341" s="2">
        <v>208</v>
      </c>
      <c r="E1341" s="5">
        <v>44972</v>
      </c>
      <c r="F1341" s="2">
        <v>22</v>
      </c>
      <c r="G1341" s="2" t="s">
        <v>66</v>
      </c>
      <c r="H1341" s="2" t="s">
        <v>163</v>
      </c>
      <c r="I1341" s="6" t="s">
        <v>2954</v>
      </c>
      <c r="J1341" s="2" t="str">
        <f t="shared" si="20"/>
        <v>2023-02</v>
      </c>
    </row>
    <row r="1342" spans="1:10" x14ac:dyDescent="0.2">
      <c r="A1342" s="2" t="s">
        <v>1368</v>
      </c>
      <c r="B1342" s="2" t="s">
        <v>25</v>
      </c>
      <c r="C1342" s="2" t="s">
        <v>48</v>
      </c>
      <c r="D1342" s="2">
        <v>200</v>
      </c>
      <c r="E1342" s="5">
        <v>44972</v>
      </c>
      <c r="F1342" s="2">
        <v>491</v>
      </c>
      <c r="G1342" s="2" t="s">
        <v>17</v>
      </c>
      <c r="H1342" s="2" t="s">
        <v>23</v>
      </c>
      <c r="I1342" s="6">
        <v>0.11</v>
      </c>
      <c r="J1342" s="2" t="str">
        <f t="shared" si="20"/>
        <v>2023-02</v>
      </c>
    </row>
    <row r="1343" spans="1:10" x14ac:dyDescent="0.2">
      <c r="A1343" s="2" t="s">
        <v>112</v>
      </c>
      <c r="B1343" s="2" t="s">
        <v>25</v>
      </c>
      <c r="C1343" s="2" t="s">
        <v>113</v>
      </c>
      <c r="D1343" s="2">
        <v>100</v>
      </c>
      <c r="E1343" s="5">
        <v>44972</v>
      </c>
      <c r="F1343" s="2">
        <v>429</v>
      </c>
      <c r="G1343" s="2" t="s">
        <v>17</v>
      </c>
      <c r="H1343" s="2" t="s">
        <v>23</v>
      </c>
      <c r="I1343" s="6">
        <v>0.04</v>
      </c>
      <c r="J1343" s="2" t="str">
        <f t="shared" si="20"/>
        <v>2023-02</v>
      </c>
    </row>
    <row r="1344" spans="1:10" x14ac:dyDescent="0.2">
      <c r="A1344" s="2" t="s">
        <v>1369</v>
      </c>
      <c r="B1344" s="2" t="s">
        <v>25</v>
      </c>
      <c r="C1344" s="2" t="s">
        <v>16</v>
      </c>
      <c r="D1344" s="2">
        <v>28</v>
      </c>
      <c r="E1344" s="5">
        <v>44972</v>
      </c>
      <c r="F1344" s="2">
        <v>435</v>
      </c>
      <c r="G1344" s="2" t="s">
        <v>62</v>
      </c>
      <c r="H1344" s="2" t="s">
        <v>23</v>
      </c>
      <c r="I1344" s="6" t="s">
        <v>2954</v>
      </c>
      <c r="J1344" s="2" t="str">
        <f t="shared" si="20"/>
        <v>2023-02</v>
      </c>
    </row>
    <row r="1345" spans="1:10" x14ac:dyDescent="0.2">
      <c r="A1345" s="2" t="s">
        <v>728</v>
      </c>
      <c r="B1345" s="2" t="s">
        <v>34</v>
      </c>
      <c r="C1345" s="2" t="s">
        <v>148</v>
      </c>
      <c r="D1345" s="2" t="s">
        <v>2954</v>
      </c>
      <c r="E1345" s="5">
        <v>44972</v>
      </c>
      <c r="F1345" s="2">
        <v>180</v>
      </c>
      <c r="G1345" s="2" t="s">
        <v>37</v>
      </c>
      <c r="H1345" s="2" t="s">
        <v>23</v>
      </c>
      <c r="I1345" s="6" t="s">
        <v>2954</v>
      </c>
      <c r="J1345" s="2" t="str">
        <f t="shared" si="20"/>
        <v>2023-02</v>
      </c>
    </row>
    <row r="1346" spans="1:10" x14ac:dyDescent="0.2">
      <c r="A1346" s="2" t="s">
        <v>1190</v>
      </c>
      <c r="B1346" s="2" t="s">
        <v>273</v>
      </c>
      <c r="C1346" s="2" t="s">
        <v>11</v>
      </c>
      <c r="D1346" s="2" t="s">
        <v>2954</v>
      </c>
      <c r="E1346" s="5">
        <v>44972</v>
      </c>
      <c r="F1346" s="2">
        <v>86</v>
      </c>
      <c r="G1346" s="2" t="s">
        <v>41</v>
      </c>
      <c r="H1346" s="2" t="s">
        <v>274</v>
      </c>
      <c r="I1346" s="6">
        <v>0.2</v>
      </c>
      <c r="J1346" s="2" t="str">
        <f t="shared" si="20"/>
        <v>2023-02</v>
      </c>
    </row>
    <row r="1347" spans="1:10" x14ac:dyDescent="0.2">
      <c r="A1347" s="2" t="s">
        <v>1370</v>
      </c>
      <c r="B1347" s="2" t="s">
        <v>34</v>
      </c>
      <c r="C1347" s="2" t="s">
        <v>26</v>
      </c>
      <c r="D1347" s="2" t="s">
        <v>2954</v>
      </c>
      <c r="E1347" s="5">
        <v>44972</v>
      </c>
      <c r="F1347" s="2">
        <v>1100</v>
      </c>
      <c r="G1347" s="2" t="s">
        <v>17</v>
      </c>
      <c r="H1347" s="2" t="s">
        <v>23</v>
      </c>
      <c r="I1347" s="6">
        <v>0.14000000000000001</v>
      </c>
      <c r="J1347" s="2" t="str">
        <f t="shared" ref="J1347:J1410" si="21">TEXT(E1347,"YYYY-MM")</f>
        <v>2023-02</v>
      </c>
    </row>
    <row r="1348" spans="1:10" x14ac:dyDescent="0.2">
      <c r="A1348" s="2" t="s">
        <v>1371</v>
      </c>
      <c r="B1348" s="2" t="s">
        <v>34</v>
      </c>
      <c r="C1348" s="2" t="s">
        <v>113</v>
      </c>
      <c r="D1348" s="2" t="s">
        <v>2954</v>
      </c>
      <c r="E1348" s="5">
        <v>44972</v>
      </c>
      <c r="F1348" s="2">
        <v>214</v>
      </c>
      <c r="G1348" s="2" t="s">
        <v>66</v>
      </c>
      <c r="H1348" s="2" t="s">
        <v>23</v>
      </c>
      <c r="I1348" s="6" t="s">
        <v>2954</v>
      </c>
      <c r="J1348" s="2" t="str">
        <f t="shared" si="21"/>
        <v>2023-02</v>
      </c>
    </row>
    <row r="1349" spans="1:10" x14ac:dyDescent="0.2">
      <c r="A1349" s="2" t="s">
        <v>1372</v>
      </c>
      <c r="B1349" s="2" t="s">
        <v>47</v>
      </c>
      <c r="C1349" s="2" t="s">
        <v>235</v>
      </c>
      <c r="D1349" s="2" t="s">
        <v>2954</v>
      </c>
      <c r="E1349" s="5">
        <v>44972</v>
      </c>
      <c r="F1349" s="2">
        <v>63</v>
      </c>
      <c r="G1349" s="2" t="s">
        <v>37</v>
      </c>
      <c r="H1349" s="2" t="s">
        <v>23</v>
      </c>
      <c r="I1349" s="6" t="s">
        <v>2954</v>
      </c>
      <c r="J1349" s="2" t="str">
        <f t="shared" si="21"/>
        <v>2023-02</v>
      </c>
    </row>
    <row r="1350" spans="1:10" x14ac:dyDescent="0.2">
      <c r="A1350" s="2" t="s">
        <v>1373</v>
      </c>
      <c r="B1350" s="2" t="s">
        <v>40</v>
      </c>
      <c r="C1350" s="2" t="s">
        <v>29</v>
      </c>
      <c r="D1350" s="2" t="s">
        <v>2954</v>
      </c>
      <c r="E1350" s="5">
        <v>44972</v>
      </c>
      <c r="F1350" s="2">
        <v>148</v>
      </c>
      <c r="G1350" s="2" t="s">
        <v>66</v>
      </c>
      <c r="H1350" s="2" t="s">
        <v>23</v>
      </c>
      <c r="I1350" s="6">
        <v>0.15</v>
      </c>
      <c r="J1350" s="2" t="str">
        <f t="shared" si="21"/>
        <v>2023-02</v>
      </c>
    </row>
    <row r="1351" spans="1:10" x14ac:dyDescent="0.2">
      <c r="A1351" s="2" t="s">
        <v>1374</v>
      </c>
      <c r="B1351" s="2" t="s">
        <v>89</v>
      </c>
      <c r="C1351" s="2" t="s">
        <v>32</v>
      </c>
      <c r="D1351" s="2" t="s">
        <v>2954</v>
      </c>
      <c r="E1351" s="5">
        <v>44972</v>
      </c>
      <c r="F1351" s="2">
        <v>185</v>
      </c>
      <c r="G1351" s="2" t="s">
        <v>17</v>
      </c>
      <c r="H1351" s="2" t="s">
        <v>23</v>
      </c>
      <c r="I1351" s="6">
        <v>0.14000000000000001</v>
      </c>
      <c r="J1351" s="2" t="str">
        <f t="shared" si="21"/>
        <v>2023-02</v>
      </c>
    </row>
    <row r="1352" spans="1:10" x14ac:dyDescent="0.2">
      <c r="A1352" s="2" t="s">
        <v>1375</v>
      </c>
      <c r="B1352" s="2" t="s">
        <v>484</v>
      </c>
      <c r="C1352" s="2" t="s">
        <v>29</v>
      </c>
      <c r="D1352" s="2">
        <v>500</v>
      </c>
      <c r="E1352" s="5">
        <v>44971</v>
      </c>
      <c r="F1352" s="2" t="s">
        <v>2954</v>
      </c>
      <c r="G1352" s="2" t="s">
        <v>17</v>
      </c>
      <c r="H1352" s="2" t="s">
        <v>23</v>
      </c>
      <c r="I1352" s="6">
        <v>0.14000000000000001</v>
      </c>
      <c r="J1352" s="2" t="str">
        <f t="shared" si="21"/>
        <v>2023-02</v>
      </c>
    </row>
    <row r="1353" spans="1:10" x14ac:dyDescent="0.2">
      <c r="A1353" s="2" t="s">
        <v>1376</v>
      </c>
      <c r="B1353" s="2" t="s">
        <v>1377</v>
      </c>
      <c r="C1353" s="2" t="s">
        <v>142</v>
      </c>
      <c r="D1353" s="2">
        <v>371</v>
      </c>
      <c r="E1353" s="5">
        <v>44971</v>
      </c>
      <c r="F1353" s="2" t="s">
        <v>2954</v>
      </c>
      <c r="G1353" s="2" t="s">
        <v>45</v>
      </c>
      <c r="H1353" s="2" t="s">
        <v>23</v>
      </c>
      <c r="I1353" s="6">
        <v>0.31</v>
      </c>
      <c r="J1353" s="2" t="str">
        <f t="shared" si="21"/>
        <v>2023-02</v>
      </c>
    </row>
    <row r="1354" spans="1:10" x14ac:dyDescent="0.2">
      <c r="A1354" s="2" t="s">
        <v>1378</v>
      </c>
      <c r="B1354" s="2" t="s">
        <v>74</v>
      </c>
      <c r="C1354" s="2" t="s">
        <v>142</v>
      </c>
      <c r="D1354" s="2">
        <v>60</v>
      </c>
      <c r="E1354" s="5">
        <v>44971</v>
      </c>
      <c r="F1354" s="2">
        <v>2</v>
      </c>
      <c r="G1354" s="2" t="s">
        <v>12</v>
      </c>
      <c r="H1354" s="2" t="s">
        <v>76</v>
      </c>
      <c r="I1354" s="6">
        <v>1</v>
      </c>
      <c r="J1354" s="2" t="str">
        <f t="shared" si="21"/>
        <v>2023-02</v>
      </c>
    </row>
    <row r="1355" spans="1:10" x14ac:dyDescent="0.2">
      <c r="A1355" s="2" t="s">
        <v>1379</v>
      </c>
      <c r="B1355" s="2" t="s">
        <v>34</v>
      </c>
      <c r="C1355" s="2" t="s">
        <v>68</v>
      </c>
      <c r="D1355" s="2" t="s">
        <v>2954</v>
      </c>
      <c r="E1355" s="5">
        <v>44971</v>
      </c>
      <c r="F1355" s="2">
        <v>11</v>
      </c>
      <c r="G1355" s="2" t="s">
        <v>37</v>
      </c>
      <c r="H1355" s="2" t="s">
        <v>23</v>
      </c>
      <c r="I1355" s="6">
        <v>0.08</v>
      </c>
      <c r="J1355" s="2" t="str">
        <f t="shared" si="21"/>
        <v>2023-02</v>
      </c>
    </row>
    <row r="1356" spans="1:10" x14ac:dyDescent="0.2">
      <c r="A1356" s="2" t="s">
        <v>1380</v>
      </c>
      <c r="B1356" s="2" t="s">
        <v>100</v>
      </c>
      <c r="C1356" s="2" t="s">
        <v>32</v>
      </c>
      <c r="D1356" s="2" t="s">
        <v>2954</v>
      </c>
      <c r="E1356" s="5">
        <v>44971</v>
      </c>
      <c r="F1356" s="2">
        <v>40</v>
      </c>
      <c r="G1356" s="2" t="s">
        <v>37</v>
      </c>
      <c r="H1356" s="2" t="s">
        <v>98</v>
      </c>
      <c r="I1356" s="7" t="s">
        <v>1381</v>
      </c>
      <c r="J1356" s="2" t="str">
        <f t="shared" si="21"/>
        <v>2023-02</v>
      </c>
    </row>
    <row r="1357" spans="1:10" x14ac:dyDescent="0.2">
      <c r="A1357" s="2" t="s">
        <v>1382</v>
      </c>
      <c r="B1357" s="2" t="s">
        <v>34</v>
      </c>
      <c r="C1357" s="2" t="s">
        <v>61</v>
      </c>
      <c r="D1357" s="2" t="s">
        <v>2954</v>
      </c>
      <c r="E1357" s="5">
        <v>44971</v>
      </c>
      <c r="F1357" s="2">
        <v>311</v>
      </c>
      <c r="G1357" s="2" t="s">
        <v>17</v>
      </c>
      <c r="H1357" s="2" t="s">
        <v>23</v>
      </c>
      <c r="I1357" s="6">
        <v>0.1</v>
      </c>
      <c r="J1357" s="2" t="str">
        <f t="shared" si="21"/>
        <v>2023-02</v>
      </c>
    </row>
    <row r="1358" spans="1:10" x14ac:dyDescent="0.2">
      <c r="A1358" s="2" t="s">
        <v>535</v>
      </c>
      <c r="B1358" s="2" t="s">
        <v>34</v>
      </c>
      <c r="C1358" s="2" t="s">
        <v>29</v>
      </c>
      <c r="D1358" s="2">
        <v>1500</v>
      </c>
      <c r="E1358" s="5">
        <v>44970</v>
      </c>
      <c r="F1358" s="2">
        <v>614</v>
      </c>
      <c r="G1358" s="2" t="s">
        <v>17</v>
      </c>
      <c r="H1358" s="2" t="s">
        <v>23</v>
      </c>
      <c r="I1358" s="6">
        <v>0.17</v>
      </c>
      <c r="J1358" s="2" t="str">
        <f t="shared" si="21"/>
        <v>2023-02</v>
      </c>
    </row>
    <row r="1359" spans="1:10" x14ac:dyDescent="0.2">
      <c r="A1359" s="2" t="s">
        <v>1383</v>
      </c>
      <c r="B1359" s="2" t="s">
        <v>25</v>
      </c>
      <c r="C1359" s="2" t="s">
        <v>29</v>
      </c>
      <c r="D1359" s="2">
        <v>141</v>
      </c>
      <c r="E1359" s="5">
        <v>44970</v>
      </c>
      <c r="F1359" s="2">
        <v>212</v>
      </c>
      <c r="G1359" s="2" t="s">
        <v>75</v>
      </c>
      <c r="H1359" s="2" t="s">
        <v>23</v>
      </c>
      <c r="I1359" s="6">
        <v>0.25</v>
      </c>
      <c r="J1359" s="2" t="str">
        <f t="shared" si="21"/>
        <v>2023-02</v>
      </c>
    </row>
    <row r="1360" spans="1:10" x14ac:dyDescent="0.2">
      <c r="A1360" s="2" t="s">
        <v>1384</v>
      </c>
      <c r="B1360" s="2" t="s">
        <v>25</v>
      </c>
      <c r="C1360" s="2" t="s">
        <v>26</v>
      </c>
      <c r="D1360" s="2">
        <v>100</v>
      </c>
      <c r="E1360" s="5">
        <v>44970</v>
      </c>
      <c r="F1360" s="2" t="s">
        <v>2954</v>
      </c>
      <c r="G1360" s="2" t="s">
        <v>12</v>
      </c>
      <c r="H1360" s="2" t="s">
        <v>23</v>
      </c>
      <c r="I1360" s="6">
        <v>1</v>
      </c>
      <c r="J1360" s="2" t="str">
        <f t="shared" si="21"/>
        <v>2023-02</v>
      </c>
    </row>
    <row r="1361" spans="1:10" x14ac:dyDescent="0.2">
      <c r="A1361" s="2" t="s">
        <v>1385</v>
      </c>
      <c r="B1361" s="2" t="s">
        <v>661</v>
      </c>
      <c r="C1361" s="2" t="s">
        <v>142</v>
      </c>
      <c r="D1361" s="2">
        <v>94</v>
      </c>
      <c r="E1361" s="5">
        <v>44970</v>
      </c>
      <c r="F1361" s="2">
        <v>225</v>
      </c>
      <c r="G1361" s="2" t="s">
        <v>66</v>
      </c>
      <c r="H1361" s="2" t="s">
        <v>662</v>
      </c>
      <c r="I1361" s="6" t="s">
        <v>2954</v>
      </c>
      <c r="J1361" s="2" t="str">
        <f t="shared" si="21"/>
        <v>2023-02</v>
      </c>
    </row>
    <row r="1362" spans="1:10" x14ac:dyDescent="0.2">
      <c r="A1362" s="2" t="s">
        <v>365</v>
      </c>
      <c r="B1362" s="2" t="s">
        <v>89</v>
      </c>
      <c r="C1362" s="2" t="s">
        <v>35</v>
      </c>
      <c r="D1362" s="2">
        <v>85</v>
      </c>
      <c r="E1362" s="5">
        <v>44970</v>
      </c>
      <c r="F1362" s="2">
        <v>30</v>
      </c>
      <c r="G1362" s="2" t="s">
        <v>45</v>
      </c>
      <c r="H1362" s="2" t="s">
        <v>23</v>
      </c>
      <c r="I1362" s="6">
        <v>7.0000000000000007E-2</v>
      </c>
      <c r="J1362" s="2" t="str">
        <f t="shared" si="21"/>
        <v>2023-02</v>
      </c>
    </row>
    <row r="1363" spans="1:10" x14ac:dyDescent="0.2">
      <c r="A1363" s="2" t="s">
        <v>1386</v>
      </c>
      <c r="B1363" s="2" t="s">
        <v>34</v>
      </c>
      <c r="C1363" s="2" t="s">
        <v>32</v>
      </c>
      <c r="D1363" s="2">
        <v>54</v>
      </c>
      <c r="E1363" s="5">
        <v>44970</v>
      </c>
      <c r="F1363" s="2">
        <v>719</v>
      </c>
      <c r="G1363" s="2" t="s">
        <v>62</v>
      </c>
      <c r="H1363" s="2" t="s">
        <v>23</v>
      </c>
      <c r="I1363" s="6" t="s">
        <v>2954</v>
      </c>
      <c r="J1363" s="2" t="str">
        <f t="shared" si="21"/>
        <v>2023-02</v>
      </c>
    </row>
    <row r="1364" spans="1:10" x14ac:dyDescent="0.2">
      <c r="A1364" s="2" t="s">
        <v>1387</v>
      </c>
      <c r="B1364" s="2" t="s">
        <v>34</v>
      </c>
      <c r="C1364" s="2" t="s">
        <v>22</v>
      </c>
      <c r="D1364" s="2">
        <v>22</v>
      </c>
      <c r="E1364" s="5">
        <v>44970</v>
      </c>
      <c r="F1364" s="2">
        <v>170</v>
      </c>
      <c r="G1364" s="2" t="s">
        <v>37</v>
      </c>
      <c r="H1364" s="2" t="s">
        <v>23</v>
      </c>
      <c r="I1364" s="6" t="s">
        <v>2954</v>
      </c>
      <c r="J1364" s="2" t="str">
        <f t="shared" si="21"/>
        <v>2023-02</v>
      </c>
    </row>
    <row r="1365" spans="1:10" x14ac:dyDescent="0.2">
      <c r="A1365" s="2" t="s">
        <v>1388</v>
      </c>
      <c r="B1365" s="2" t="s">
        <v>1389</v>
      </c>
      <c r="C1365" s="2" t="s">
        <v>148</v>
      </c>
      <c r="D1365" s="2" t="s">
        <v>2954</v>
      </c>
      <c r="E1365" s="5">
        <v>44970</v>
      </c>
      <c r="F1365" s="2">
        <v>708</v>
      </c>
      <c r="G1365" s="2" t="s">
        <v>12</v>
      </c>
      <c r="H1365" s="2" t="s">
        <v>1390</v>
      </c>
      <c r="I1365" s="6">
        <v>0.3</v>
      </c>
      <c r="J1365" s="2" t="str">
        <f t="shared" si="21"/>
        <v>2023-02</v>
      </c>
    </row>
    <row r="1366" spans="1:10" x14ac:dyDescent="0.2">
      <c r="A1366" s="2" t="s">
        <v>703</v>
      </c>
      <c r="B1366" s="2" t="s">
        <v>217</v>
      </c>
      <c r="C1366" s="2" t="s">
        <v>11</v>
      </c>
      <c r="D1366" s="2" t="s">
        <v>2954</v>
      </c>
      <c r="E1366" s="5">
        <v>44970</v>
      </c>
      <c r="F1366" s="2">
        <v>749</v>
      </c>
      <c r="G1366" s="2" t="s">
        <v>45</v>
      </c>
      <c r="H1366" s="2" t="s">
        <v>217</v>
      </c>
      <c r="I1366" s="6" t="s">
        <v>2954</v>
      </c>
      <c r="J1366" s="2" t="str">
        <f t="shared" si="21"/>
        <v>2023-02</v>
      </c>
    </row>
    <row r="1367" spans="1:10" x14ac:dyDescent="0.2">
      <c r="A1367" s="2" t="s">
        <v>127</v>
      </c>
      <c r="B1367" s="2" t="s">
        <v>54</v>
      </c>
      <c r="C1367" s="2" t="s">
        <v>11</v>
      </c>
      <c r="D1367" s="2" t="s">
        <v>2954</v>
      </c>
      <c r="E1367" s="5">
        <v>44970</v>
      </c>
      <c r="F1367" s="2">
        <v>1800</v>
      </c>
      <c r="G1367" s="2" t="s">
        <v>128</v>
      </c>
      <c r="H1367" s="2" t="s">
        <v>55</v>
      </c>
      <c r="I1367" s="6" t="s">
        <v>2954</v>
      </c>
      <c r="J1367" s="2" t="str">
        <f t="shared" si="21"/>
        <v>2023-02</v>
      </c>
    </row>
    <row r="1368" spans="1:10" x14ac:dyDescent="0.2">
      <c r="A1368" s="2" t="s">
        <v>642</v>
      </c>
      <c r="B1368" s="2" t="s">
        <v>34</v>
      </c>
      <c r="C1368" s="2" t="s">
        <v>84</v>
      </c>
      <c r="D1368" s="2" t="s">
        <v>2954</v>
      </c>
      <c r="E1368" s="5">
        <v>44970</v>
      </c>
      <c r="F1368" s="2">
        <v>154</v>
      </c>
      <c r="G1368" s="2" t="s">
        <v>45</v>
      </c>
      <c r="H1368" s="2" t="s">
        <v>23</v>
      </c>
      <c r="I1368" s="6" t="s">
        <v>2954</v>
      </c>
      <c r="J1368" s="2" t="str">
        <f t="shared" si="21"/>
        <v>2023-02</v>
      </c>
    </row>
    <row r="1369" spans="1:10" x14ac:dyDescent="0.2">
      <c r="A1369" s="2" t="s">
        <v>1391</v>
      </c>
      <c r="B1369" s="2" t="s">
        <v>398</v>
      </c>
      <c r="C1369" s="2" t="s">
        <v>52</v>
      </c>
      <c r="D1369" s="2">
        <v>360</v>
      </c>
      <c r="E1369" s="5">
        <v>44969</v>
      </c>
      <c r="F1369" s="2">
        <v>138</v>
      </c>
      <c r="G1369" s="2" t="s">
        <v>37</v>
      </c>
      <c r="H1369" s="2" t="s">
        <v>399</v>
      </c>
      <c r="I1369" s="6">
        <v>0.11</v>
      </c>
      <c r="J1369" s="2" t="str">
        <f t="shared" si="21"/>
        <v>2023-02</v>
      </c>
    </row>
    <row r="1370" spans="1:10" x14ac:dyDescent="0.2">
      <c r="A1370" s="2" t="s">
        <v>1392</v>
      </c>
      <c r="B1370" s="2" t="s">
        <v>25</v>
      </c>
      <c r="C1370" s="2" t="s">
        <v>26</v>
      </c>
      <c r="D1370" s="2">
        <v>100</v>
      </c>
      <c r="E1370" s="5">
        <v>44967</v>
      </c>
      <c r="F1370" s="2">
        <v>16</v>
      </c>
      <c r="G1370" s="2" t="s">
        <v>45</v>
      </c>
      <c r="H1370" s="2" t="s">
        <v>23</v>
      </c>
      <c r="I1370" s="6">
        <v>0.2</v>
      </c>
      <c r="J1370" s="2" t="str">
        <f t="shared" si="21"/>
        <v>2023-02</v>
      </c>
    </row>
    <row r="1371" spans="1:10" x14ac:dyDescent="0.2">
      <c r="A1371" s="2" t="s">
        <v>1393</v>
      </c>
      <c r="B1371" s="2" t="s">
        <v>335</v>
      </c>
      <c r="C1371" s="2" t="s">
        <v>32</v>
      </c>
      <c r="D1371" s="2">
        <v>48</v>
      </c>
      <c r="E1371" s="5">
        <v>44967</v>
      </c>
      <c r="F1371" s="2">
        <v>278</v>
      </c>
      <c r="G1371" s="2" t="s">
        <v>17</v>
      </c>
      <c r="H1371" s="2" t="s">
        <v>106</v>
      </c>
      <c r="I1371" s="6">
        <v>0.72</v>
      </c>
      <c r="J1371" s="2" t="str">
        <f t="shared" si="21"/>
        <v>2023-02</v>
      </c>
    </row>
    <row r="1372" spans="1:10" x14ac:dyDescent="0.2">
      <c r="A1372" s="2" t="s">
        <v>1394</v>
      </c>
      <c r="B1372" s="2" t="s">
        <v>538</v>
      </c>
      <c r="C1372" s="2" t="s">
        <v>35</v>
      </c>
      <c r="D1372" s="2">
        <v>40</v>
      </c>
      <c r="E1372" s="5">
        <v>44967</v>
      </c>
      <c r="F1372" s="2">
        <v>9400</v>
      </c>
      <c r="G1372" s="2" t="s">
        <v>45</v>
      </c>
      <c r="H1372" s="2" t="s">
        <v>98</v>
      </c>
      <c r="I1372" s="6" t="s">
        <v>2954</v>
      </c>
      <c r="J1372" s="2" t="str">
        <f t="shared" si="21"/>
        <v>2023-02</v>
      </c>
    </row>
    <row r="1373" spans="1:10" x14ac:dyDescent="0.2">
      <c r="A1373" s="2" t="s">
        <v>1395</v>
      </c>
      <c r="B1373" s="2" t="s">
        <v>858</v>
      </c>
      <c r="C1373" s="2" t="s">
        <v>71</v>
      </c>
      <c r="D1373" s="2">
        <v>30</v>
      </c>
      <c r="E1373" s="5">
        <v>44967</v>
      </c>
      <c r="F1373" s="2" t="s">
        <v>2954</v>
      </c>
      <c r="G1373" s="2" t="s">
        <v>199</v>
      </c>
      <c r="H1373" s="2" t="s">
        <v>859</v>
      </c>
      <c r="I1373" s="6">
        <v>0.2</v>
      </c>
      <c r="J1373" s="2" t="str">
        <f t="shared" si="21"/>
        <v>2023-02</v>
      </c>
    </row>
    <row r="1374" spans="1:10" x14ac:dyDescent="0.2">
      <c r="A1374" s="2" t="s">
        <v>1396</v>
      </c>
      <c r="B1374" s="2" t="s">
        <v>661</v>
      </c>
      <c r="C1374" s="2" t="s">
        <v>16</v>
      </c>
      <c r="D1374" s="2" t="s">
        <v>2954</v>
      </c>
      <c r="E1374" s="5">
        <v>44967</v>
      </c>
      <c r="F1374" s="2">
        <v>140</v>
      </c>
      <c r="G1374" s="2" t="s">
        <v>75</v>
      </c>
      <c r="H1374" s="2" t="s">
        <v>662</v>
      </c>
      <c r="I1374" s="6" t="s">
        <v>2954</v>
      </c>
      <c r="J1374" s="2" t="str">
        <f t="shared" si="21"/>
        <v>2023-02</v>
      </c>
    </row>
    <row r="1375" spans="1:10" x14ac:dyDescent="0.2">
      <c r="A1375" s="2" t="s">
        <v>1397</v>
      </c>
      <c r="B1375" s="2" t="s">
        <v>34</v>
      </c>
      <c r="C1375" s="2" t="s">
        <v>103</v>
      </c>
      <c r="D1375" s="2" t="s">
        <v>2954</v>
      </c>
      <c r="E1375" s="5">
        <v>44967</v>
      </c>
      <c r="F1375" s="2">
        <v>298</v>
      </c>
      <c r="G1375" s="2" t="s">
        <v>17</v>
      </c>
      <c r="H1375" s="2" t="s">
        <v>23</v>
      </c>
      <c r="I1375" s="6">
        <v>0.28000000000000003</v>
      </c>
      <c r="J1375" s="2" t="str">
        <f t="shared" si="21"/>
        <v>2023-02</v>
      </c>
    </row>
    <row r="1376" spans="1:10" x14ac:dyDescent="0.2">
      <c r="A1376" s="2" t="s">
        <v>1398</v>
      </c>
      <c r="B1376" s="2" t="s">
        <v>34</v>
      </c>
      <c r="C1376" s="2" t="s">
        <v>61</v>
      </c>
      <c r="D1376" s="2" t="s">
        <v>2954</v>
      </c>
      <c r="E1376" s="5">
        <v>44967</v>
      </c>
      <c r="F1376" s="2">
        <v>24</v>
      </c>
      <c r="G1376" s="2" t="s">
        <v>41</v>
      </c>
      <c r="H1376" s="2" t="s">
        <v>23</v>
      </c>
      <c r="I1376" s="6" t="s">
        <v>2954</v>
      </c>
      <c r="J1376" s="2" t="str">
        <f t="shared" si="21"/>
        <v>2023-02</v>
      </c>
    </row>
    <row r="1377" spans="1:10" x14ac:dyDescent="0.2">
      <c r="A1377" s="2" t="s">
        <v>529</v>
      </c>
      <c r="B1377" s="2" t="s">
        <v>34</v>
      </c>
      <c r="C1377" s="2" t="s">
        <v>35</v>
      </c>
      <c r="D1377" s="2">
        <v>1600</v>
      </c>
      <c r="E1377" s="5">
        <v>44966</v>
      </c>
      <c r="F1377" s="2">
        <v>6</v>
      </c>
      <c r="G1377" s="2" t="s">
        <v>45</v>
      </c>
      <c r="H1377" s="2" t="s">
        <v>23</v>
      </c>
      <c r="I1377" s="6">
        <v>0.2</v>
      </c>
      <c r="J1377" s="2" t="str">
        <f t="shared" si="21"/>
        <v>2023-02</v>
      </c>
    </row>
    <row r="1378" spans="1:10" x14ac:dyDescent="0.2">
      <c r="A1378" s="2" t="s">
        <v>1399</v>
      </c>
      <c r="B1378" s="2" t="s">
        <v>80</v>
      </c>
      <c r="C1378" s="2" t="s">
        <v>11</v>
      </c>
      <c r="D1378" s="2">
        <v>649</v>
      </c>
      <c r="E1378" s="5">
        <v>44966</v>
      </c>
      <c r="F1378" s="2">
        <v>526</v>
      </c>
      <c r="G1378" s="2" t="s">
        <v>66</v>
      </c>
      <c r="H1378" s="2" t="s">
        <v>23</v>
      </c>
      <c r="I1378" s="6">
        <v>0.33</v>
      </c>
      <c r="J1378" s="2" t="str">
        <f t="shared" si="21"/>
        <v>2023-02</v>
      </c>
    </row>
    <row r="1379" spans="1:10" x14ac:dyDescent="0.2">
      <c r="A1379" s="2" t="s">
        <v>1400</v>
      </c>
      <c r="B1379" s="2" t="s">
        <v>54</v>
      </c>
      <c r="C1379" s="2" t="s">
        <v>11</v>
      </c>
      <c r="D1379" s="2">
        <v>350</v>
      </c>
      <c r="E1379" s="5">
        <v>44966</v>
      </c>
      <c r="F1379" s="2">
        <v>1700</v>
      </c>
      <c r="G1379" s="2" t="s">
        <v>17</v>
      </c>
      <c r="H1379" s="2" t="s">
        <v>55</v>
      </c>
      <c r="I1379" s="6">
        <v>0.09</v>
      </c>
      <c r="J1379" s="2" t="str">
        <f t="shared" si="21"/>
        <v>2023-02</v>
      </c>
    </row>
    <row r="1380" spans="1:10" x14ac:dyDescent="0.2">
      <c r="A1380" s="2" t="s">
        <v>1401</v>
      </c>
      <c r="B1380" s="2" t="s">
        <v>414</v>
      </c>
      <c r="C1380" s="2" t="s">
        <v>32</v>
      </c>
      <c r="D1380" s="2">
        <v>215</v>
      </c>
      <c r="E1380" s="5">
        <v>44966</v>
      </c>
      <c r="F1380" s="2">
        <v>856</v>
      </c>
      <c r="G1380" s="2" t="s">
        <v>81</v>
      </c>
      <c r="H1380" s="2" t="s">
        <v>23</v>
      </c>
      <c r="I1380" s="7" t="s">
        <v>1402</v>
      </c>
      <c r="J1380" s="2" t="str">
        <f t="shared" si="21"/>
        <v>2023-02</v>
      </c>
    </row>
    <row r="1381" spans="1:10" x14ac:dyDescent="0.2">
      <c r="A1381" s="2" t="s">
        <v>589</v>
      </c>
      <c r="B1381" s="2" t="s">
        <v>34</v>
      </c>
      <c r="C1381" s="2" t="s">
        <v>16</v>
      </c>
      <c r="D1381" s="2">
        <v>155</v>
      </c>
      <c r="E1381" s="5">
        <v>44966</v>
      </c>
      <c r="F1381" s="2">
        <v>566</v>
      </c>
      <c r="G1381" s="2" t="s">
        <v>17</v>
      </c>
      <c r="H1381" s="2" t="s">
        <v>23</v>
      </c>
      <c r="I1381" s="6">
        <v>0.1</v>
      </c>
      <c r="J1381" s="2" t="str">
        <f t="shared" si="21"/>
        <v>2023-02</v>
      </c>
    </row>
    <row r="1382" spans="1:10" x14ac:dyDescent="0.2">
      <c r="A1382" s="2" t="s">
        <v>1403</v>
      </c>
      <c r="B1382" s="2" t="s">
        <v>34</v>
      </c>
      <c r="C1382" s="2" t="s">
        <v>78</v>
      </c>
      <c r="D1382" s="2">
        <v>130</v>
      </c>
      <c r="E1382" s="5">
        <v>44966</v>
      </c>
      <c r="F1382" s="2">
        <v>413</v>
      </c>
      <c r="G1382" s="2" t="s">
        <v>17</v>
      </c>
      <c r="H1382" s="2" t="s">
        <v>23</v>
      </c>
      <c r="I1382" s="6">
        <v>7.0000000000000007E-2</v>
      </c>
      <c r="J1382" s="2" t="str">
        <f t="shared" si="21"/>
        <v>2023-02</v>
      </c>
    </row>
    <row r="1383" spans="1:10" x14ac:dyDescent="0.2">
      <c r="A1383" s="2" t="s">
        <v>905</v>
      </c>
      <c r="B1383" s="2" t="s">
        <v>25</v>
      </c>
      <c r="C1383" s="2" t="s">
        <v>142</v>
      </c>
      <c r="D1383" s="2">
        <v>126</v>
      </c>
      <c r="E1383" s="5">
        <v>44966</v>
      </c>
      <c r="F1383" s="2" t="s">
        <v>2954</v>
      </c>
      <c r="G1383" s="2" t="s">
        <v>17</v>
      </c>
      <c r="H1383" s="2" t="s">
        <v>23</v>
      </c>
      <c r="I1383" s="6">
        <v>0.12</v>
      </c>
      <c r="J1383" s="2" t="str">
        <f t="shared" si="21"/>
        <v>2023-02</v>
      </c>
    </row>
    <row r="1384" spans="1:10" x14ac:dyDescent="0.2">
      <c r="A1384" s="2" t="s">
        <v>775</v>
      </c>
      <c r="B1384" s="2" t="s">
        <v>416</v>
      </c>
      <c r="C1384" s="2" t="s">
        <v>195</v>
      </c>
      <c r="D1384" s="2">
        <v>66</v>
      </c>
      <c r="E1384" s="5">
        <v>44966</v>
      </c>
      <c r="F1384" s="2">
        <v>192</v>
      </c>
      <c r="G1384" s="2" t="s">
        <v>66</v>
      </c>
      <c r="H1384" s="2" t="s">
        <v>417</v>
      </c>
      <c r="I1384" s="6">
        <v>0.12</v>
      </c>
      <c r="J1384" s="2" t="str">
        <f t="shared" si="21"/>
        <v>2023-02</v>
      </c>
    </row>
    <row r="1385" spans="1:10" x14ac:dyDescent="0.2">
      <c r="A1385" s="2" t="s">
        <v>1404</v>
      </c>
      <c r="B1385" s="2" t="s">
        <v>15</v>
      </c>
      <c r="C1385" s="2" t="s">
        <v>52</v>
      </c>
      <c r="D1385" s="2">
        <v>31</v>
      </c>
      <c r="E1385" s="5">
        <v>44966</v>
      </c>
      <c r="F1385" s="2">
        <v>317</v>
      </c>
      <c r="G1385" s="2" t="s">
        <v>17</v>
      </c>
      <c r="H1385" s="2" t="s">
        <v>18</v>
      </c>
      <c r="I1385" s="6">
        <v>0.11</v>
      </c>
      <c r="J1385" s="2" t="str">
        <f t="shared" si="21"/>
        <v>2023-02</v>
      </c>
    </row>
    <row r="1386" spans="1:10" x14ac:dyDescent="0.2">
      <c r="A1386" s="2" t="s">
        <v>1405</v>
      </c>
      <c r="B1386" s="2" t="s">
        <v>34</v>
      </c>
      <c r="C1386" s="2" t="s">
        <v>78</v>
      </c>
      <c r="D1386" s="2" t="s">
        <v>2954</v>
      </c>
      <c r="E1386" s="5">
        <v>44966</v>
      </c>
      <c r="F1386" s="2">
        <v>350</v>
      </c>
      <c r="G1386" s="2" t="s">
        <v>45</v>
      </c>
      <c r="H1386" s="2" t="s">
        <v>23</v>
      </c>
      <c r="I1386" s="6">
        <v>0.1</v>
      </c>
      <c r="J1386" s="2" t="str">
        <f t="shared" si="21"/>
        <v>2023-02</v>
      </c>
    </row>
    <row r="1387" spans="1:10" x14ac:dyDescent="0.2">
      <c r="A1387" s="2" t="s">
        <v>1406</v>
      </c>
      <c r="B1387" s="2" t="s">
        <v>560</v>
      </c>
      <c r="C1387" s="2" t="s">
        <v>235</v>
      </c>
      <c r="D1387" s="2" t="s">
        <v>2954</v>
      </c>
      <c r="E1387" s="5">
        <v>44966</v>
      </c>
      <c r="F1387" s="2" t="s">
        <v>2954</v>
      </c>
      <c r="G1387" s="2" t="s">
        <v>12</v>
      </c>
      <c r="H1387" s="2" t="s">
        <v>23</v>
      </c>
      <c r="I1387" s="6" t="s">
        <v>2954</v>
      </c>
      <c r="J1387" s="2" t="str">
        <f t="shared" si="21"/>
        <v>2023-02</v>
      </c>
    </row>
    <row r="1388" spans="1:10" x14ac:dyDescent="0.2">
      <c r="A1388" s="2" t="s">
        <v>1407</v>
      </c>
      <c r="B1388" s="2" t="s">
        <v>100</v>
      </c>
      <c r="C1388" s="2" t="s">
        <v>22</v>
      </c>
      <c r="D1388" s="2" t="s">
        <v>2954</v>
      </c>
      <c r="E1388" s="5">
        <v>44966</v>
      </c>
      <c r="F1388" s="2" t="s">
        <v>2954</v>
      </c>
      <c r="G1388" s="2" t="s">
        <v>12</v>
      </c>
      <c r="H1388" s="2" t="s">
        <v>98</v>
      </c>
      <c r="I1388" s="6">
        <v>1</v>
      </c>
      <c r="J1388" s="2" t="str">
        <f t="shared" si="21"/>
        <v>2023-02</v>
      </c>
    </row>
    <row r="1389" spans="1:10" x14ac:dyDescent="0.2">
      <c r="A1389" s="2" t="s">
        <v>1408</v>
      </c>
      <c r="B1389" s="2" t="s">
        <v>250</v>
      </c>
      <c r="C1389" s="2" t="s">
        <v>26</v>
      </c>
      <c r="D1389" s="2">
        <v>530</v>
      </c>
      <c r="E1389" s="5">
        <v>44965</v>
      </c>
      <c r="F1389" s="2">
        <v>800</v>
      </c>
      <c r="G1389" s="2" t="s">
        <v>17</v>
      </c>
      <c r="H1389" s="2" t="s">
        <v>23</v>
      </c>
      <c r="I1389" s="6">
        <v>0.08</v>
      </c>
      <c r="J1389" s="2" t="str">
        <f t="shared" si="21"/>
        <v>2023-02</v>
      </c>
    </row>
    <row r="1390" spans="1:10" x14ac:dyDescent="0.2">
      <c r="A1390" s="2" t="s">
        <v>271</v>
      </c>
      <c r="B1390" s="2" t="s">
        <v>34</v>
      </c>
      <c r="C1390" s="2" t="s">
        <v>16</v>
      </c>
      <c r="D1390" s="2">
        <v>500</v>
      </c>
      <c r="E1390" s="5">
        <v>44965</v>
      </c>
      <c r="F1390" s="2">
        <v>1500</v>
      </c>
      <c r="G1390" s="2" t="s">
        <v>17</v>
      </c>
      <c r="H1390" s="2" t="s">
        <v>23</v>
      </c>
      <c r="I1390" s="6">
        <v>0.19</v>
      </c>
      <c r="J1390" s="2" t="str">
        <f t="shared" si="21"/>
        <v>2023-02</v>
      </c>
    </row>
    <row r="1391" spans="1:10" x14ac:dyDescent="0.2">
      <c r="A1391" s="2" t="s">
        <v>1409</v>
      </c>
      <c r="B1391" s="2" t="s">
        <v>34</v>
      </c>
      <c r="C1391" s="2" t="s">
        <v>68</v>
      </c>
      <c r="D1391" s="2">
        <v>126</v>
      </c>
      <c r="E1391" s="5">
        <v>44965</v>
      </c>
      <c r="F1391" s="2">
        <v>746</v>
      </c>
      <c r="G1391" s="2" t="s">
        <v>128</v>
      </c>
      <c r="H1391" s="2" t="s">
        <v>23</v>
      </c>
      <c r="I1391" s="6">
        <v>0.05</v>
      </c>
      <c r="J1391" s="2" t="str">
        <f t="shared" si="21"/>
        <v>2023-02</v>
      </c>
    </row>
    <row r="1392" spans="1:10" x14ac:dyDescent="0.2">
      <c r="A1392" s="2" t="s">
        <v>1410</v>
      </c>
      <c r="B1392" s="2" t="s">
        <v>34</v>
      </c>
      <c r="C1392" s="2" t="s">
        <v>50</v>
      </c>
      <c r="D1392" s="2">
        <v>80</v>
      </c>
      <c r="E1392" s="5">
        <v>44965</v>
      </c>
      <c r="F1392" s="2">
        <v>583</v>
      </c>
      <c r="G1392" s="2" t="s">
        <v>128</v>
      </c>
      <c r="H1392" s="2" t="s">
        <v>23</v>
      </c>
      <c r="I1392" s="6">
        <v>7.0000000000000007E-2</v>
      </c>
      <c r="J1392" s="2" t="str">
        <f t="shared" si="21"/>
        <v>2023-02</v>
      </c>
    </row>
    <row r="1393" spans="1:10" x14ac:dyDescent="0.2">
      <c r="A1393" s="2" t="s">
        <v>441</v>
      </c>
      <c r="B1393" s="2" t="s">
        <v>414</v>
      </c>
      <c r="C1393" s="2" t="s">
        <v>32</v>
      </c>
      <c r="D1393" s="2">
        <v>31</v>
      </c>
      <c r="E1393" s="5">
        <v>44965</v>
      </c>
      <c r="F1393" s="2">
        <v>168</v>
      </c>
      <c r="G1393" s="2" t="s">
        <v>128</v>
      </c>
      <c r="H1393" s="2" t="s">
        <v>23</v>
      </c>
      <c r="I1393" s="6">
        <v>0.08</v>
      </c>
      <c r="J1393" s="2" t="str">
        <f t="shared" si="21"/>
        <v>2023-02</v>
      </c>
    </row>
    <row r="1394" spans="1:10" x14ac:dyDescent="0.2">
      <c r="A1394" s="2" t="s">
        <v>1411</v>
      </c>
      <c r="B1394" s="2" t="s">
        <v>34</v>
      </c>
      <c r="C1394" s="2" t="s">
        <v>16</v>
      </c>
      <c r="D1394" s="2">
        <v>24</v>
      </c>
      <c r="E1394" s="5">
        <v>44965</v>
      </c>
      <c r="F1394" s="2">
        <v>85</v>
      </c>
      <c r="G1394" s="2" t="s">
        <v>37</v>
      </c>
      <c r="H1394" s="2" t="s">
        <v>23</v>
      </c>
      <c r="I1394" s="6">
        <v>0.25</v>
      </c>
      <c r="J1394" s="2" t="str">
        <f t="shared" si="21"/>
        <v>2023-02</v>
      </c>
    </row>
    <row r="1395" spans="1:10" x14ac:dyDescent="0.2">
      <c r="A1395" s="2" t="s">
        <v>1412</v>
      </c>
      <c r="B1395" s="2" t="s">
        <v>273</v>
      </c>
      <c r="C1395" s="2" t="s">
        <v>52</v>
      </c>
      <c r="D1395" s="2" t="s">
        <v>2954</v>
      </c>
      <c r="E1395" s="5">
        <v>44965</v>
      </c>
      <c r="F1395" s="2">
        <v>63</v>
      </c>
      <c r="G1395" s="2" t="s">
        <v>12</v>
      </c>
      <c r="H1395" s="2" t="s">
        <v>274</v>
      </c>
      <c r="I1395" s="6">
        <v>0.75</v>
      </c>
      <c r="J1395" s="2" t="str">
        <f t="shared" si="21"/>
        <v>2023-02</v>
      </c>
    </row>
    <row r="1396" spans="1:10" x14ac:dyDescent="0.2">
      <c r="A1396" s="2" t="s">
        <v>1413</v>
      </c>
      <c r="B1396" s="2" t="s">
        <v>335</v>
      </c>
      <c r="C1396" s="2" t="s">
        <v>16</v>
      </c>
      <c r="D1396" s="2" t="s">
        <v>2954</v>
      </c>
      <c r="E1396" s="5">
        <v>44965</v>
      </c>
      <c r="F1396" s="2">
        <v>278</v>
      </c>
      <c r="G1396" s="2" t="s">
        <v>75</v>
      </c>
      <c r="H1396" s="2" t="s">
        <v>106</v>
      </c>
      <c r="I1396" s="6">
        <v>0.14000000000000001</v>
      </c>
      <c r="J1396" s="2" t="str">
        <f t="shared" si="21"/>
        <v>2023-02</v>
      </c>
    </row>
    <row r="1397" spans="1:10" x14ac:dyDescent="0.2">
      <c r="A1397" s="2" t="s">
        <v>1414</v>
      </c>
      <c r="B1397" s="2" t="s">
        <v>25</v>
      </c>
      <c r="C1397" s="2" t="s">
        <v>32</v>
      </c>
      <c r="D1397" s="2" t="s">
        <v>2954</v>
      </c>
      <c r="E1397" s="5">
        <v>44965</v>
      </c>
      <c r="F1397" s="2">
        <v>100</v>
      </c>
      <c r="G1397" s="2" t="s">
        <v>66</v>
      </c>
      <c r="H1397" s="2" t="s">
        <v>23</v>
      </c>
      <c r="I1397" s="6">
        <v>1</v>
      </c>
      <c r="J1397" s="2" t="str">
        <f t="shared" si="21"/>
        <v>2023-02</v>
      </c>
    </row>
    <row r="1398" spans="1:10" x14ac:dyDescent="0.2">
      <c r="A1398" s="2" t="s">
        <v>1415</v>
      </c>
      <c r="B1398" s="2" t="s">
        <v>273</v>
      </c>
      <c r="C1398" s="2" t="s">
        <v>363</v>
      </c>
      <c r="D1398" s="2" t="s">
        <v>2954</v>
      </c>
      <c r="E1398" s="5">
        <v>44965</v>
      </c>
      <c r="F1398" s="2">
        <v>15</v>
      </c>
      <c r="G1398" s="2" t="s">
        <v>45</v>
      </c>
      <c r="H1398" s="2" t="s">
        <v>274</v>
      </c>
      <c r="I1398" s="6">
        <v>0.2</v>
      </c>
      <c r="J1398" s="2" t="str">
        <f t="shared" si="21"/>
        <v>2023-02</v>
      </c>
    </row>
    <row r="1399" spans="1:10" x14ac:dyDescent="0.2">
      <c r="A1399" s="2" t="s">
        <v>341</v>
      </c>
      <c r="B1399" s="2" t="s">
        <v>34</v>
      </c>
      <c r="C1399" s="2" t="s">
        <v>29</v>
      </c>
      <c r="D1399" s="2">
        <v>1300</v>
      </c>
      <c r="E1399" s="5">
        <v>44964</v>
      </c>
      <c r="F1399" s="2">
        <v>276</v>
      </c>
      <c r="G1399" s="2" t="s">
        <v>17</v>
      </c>
      <c r="H1399" s="2" t="s">
        <v>23</v>
      </c>
      <c r="I1399" s="6">
        <v>0.15</v>
      </c>
      <c r="J1399" s="2" t="str">
        <f t="shared" si="21"/>
        <v>2023-02</v>
      </c>
    </row>
    <row r="1400" spans="1:10" x14ac:dyDescent="0.2">
      <c r="A1400" s="2" t="s">
        <v>387</v>
      </c>
      <c r="B1400" s="2" t="s">
        <v>34</v>
      </c>
      <c r="C1400" s="2" t="s">
        <v>142</v>
      </c>
      <c r="D1400" s="2">
        <v>500</v>
      </c>
      <c r="E1400" s="5">
        <v>44964</v>
      </c>
      <c r="F1400" s="2">
        <v>1200</v>
      </c>
      <c r="G1400" s="2" t="s">
        <v>17</v>
      </c>
      <c r="H1400" s="2" t="s">
        <v>23</v>
      </c>
      <c r="I1400" s="6">
        <v>0.04</v>
      </c>
      <c r="J1400" s="2" t="str">
        <f t="shared" si="21"/>
        <v>2023-02</v>
      </c>
    </row>
    <row r="1401" spans="1:10" x14ac:dyDescent="0.2">
      <c r="A1401" s="2" t="s">
        <v>800</v>
      </c>
      <c r="B1401" s="2" t="s">
        <v>115</v>
      </c>
      <c r="C1401" s="2" t="s">
        <v>195</v>
      </c>
      <c r="D1401" s="2">
        <v>212</v>
      </c>
      <c r="E1401" s="5">
        <v>44964</v>
      </c>
      <c r="F1401" s="2">
        <v>83</v>
      </c>
      <c r="G1401" s="2" t="s">
        <v>17</v>
      </c>
      <c r="H1401" s="2" t="s">
        <v>23</v>
      </c>
      <c r="I1401" s="6">
        <v>0.09</v>
      </c>
      <c r="J1401" s="2" t="str">
        <f t="shared" si="21"/>
        <v>2023-02</v>
      </c>
    </row>
    <row r="1402" spans="1:10" x14ac:dyDescent="0.2">
      <c r="A1402" s="2" t="s">
        <v>1416</v>
      </c>
      <c r="B1402" s="2" t="s">
        <v>115</v>
      </c>
      <c r="C1402" s="2" t="s">
        <v>50</v>
      </c>
      <c r="D1402" s="2">
        <v>100</v>
      </c>
      <c r="E1402" s="5">
        <v>44964</v>
      </c>
      <c r="F1402" s="2">
        <v>245</v>
      </c>
      <c r="G1402" s="2" t="s">
        <v>45</v>
      </c>
      <c r="H1402" s="2" t="s">
        <v>23</v>
      </c>
      <c r="I1402" s="6">
        <v>0.1</v>
      </c>
      <c r="J1402" s="2" t="str">
        <f t="shared" si="21"/>
        <v>2023-02</v>
      </c>
    </row>
    <row r="1403" spans="1:10" x14ac:dyDescent="0.2">
      <c r="A1403" s="2" t="s">
        <v>1417</v>
      </c>
      <c r="B1403" s="2" t="s">
        <v>831</v>
      </c>
      <c r="C1403" s="2" t="s">
        <v>16</v>
      </c>
      <c r="D1403" s="2">
        <v>83</v>
      </c>
      <c r="E1403" s="5">
        <v>44964</v>
      </c>
      <c r="F1403" s="2">
        <v>299</v>
      </c>
      <c r="G1403" s="2" t="s">
        <v>17</v>
      </c>
      <c r="H1403" s="2" t="s">
        <v>274</v>
      </c>
      <c r="I1403" s="6">
        <v>1</v>
      </c>
      <c r="J1403" s="2" t="str">
        <f t="shared" si="21"/>
        <v>2023-02</v>
      </c>
    </row>
    <row r="1404" spans="1:10" x14ac:dyDescent="0.2">
      <c r="A1404" s="2" t="s">
        <v>1418</v>
      </c>
      <c r="B1404" s="2" t="s">
        <v>167</v>
      </c>
      <c r="C1404" s="2" t="s">
        <v>61</v>
      </c>
      <c r="D1404" s="2">
        <v>27</v>
      </c>
      <c r="E1404" s="5">
        <v>44964</v>
      </c>
      <c r="F1404" s="2">
        <v>56</v>
      </c>
      <c r="G1404" s="2" t="s">
        <v>199</v>
      </c>
      <c r="H1404" s="2" t="s">
        <v>168</v>
      </c>
      <c r="I1404" s="6">
        <v>0.09</v>
      </c>
      <c r="J1404" s="2" t="str">
        <f t="shared" si="21"/>
        <v>2023-02</v>
      </c>
    </row>
    <row r="1405" spans="1:10" x14ac:dyDescent="0.2">
      <c r="A1405" s="2" t="s">
        <v>610</v>
      </c>
      <c r="B1405" s="2" t="s">
        <v>86</v>
      </c>
      <c r="C1405" s="2" t="s">
        <v>68</v>
      </c>
      <c r="D1405" s="2" t="s">
        <v>2954</v>
      </c>
      <c r="E1405" s="5">
        <v>44964</v>
      </c>
      <c r="F1405" s="2">
        <v>106</v>
      </c>
      <c r="G1405" s="2" t="s">
        <v>37</v>
      </c>
      <c r="H1405" s="2" t="s">
        <v>23</v>
      </c>
      <c r="I1405" s="6">
        <v>0.19</v>
      </c>
      <c r="J1405" s="2" t="str">
        <f t="shared" si="21"/>
        <v>2023-02</v>
      </c>
    </row>
    <row r="1406" spans="1:10" x14ac:dyDescent="0.2">
      <c r="A1406" s="2" t="s">
        <v>212</v>
      </c>
      <c r="B1406" s="2" t="s">
        <v>86</v>
      </c>
      <c r="C1406" s="2" t="s">
        <v>103</v>
      </c>
      <c r="D1406" s="2">
        <v>6650</v>
      </c>
      <c r="E1406" s="5">
        <v>44963</v>
      </c>
      <c r="F1406" s="2" t="s">
        <v>2954</v>
      </c>
      <c r="G1406" s="2" t="s">
        <v>17</v>
      </c>
      <c r="H1406" s="2" t="s">
        <v>23</v>
      </c>
      <c r="I1406" s="6">
        <v>0.05</v>
      </c>
      <c r="J1406" s="2" t="str">
        <f t="shared" si="21"/>
        <v>2023-02</v>
      </c>
    </row>
    <row r="1407" spans="1:10" x14ac:dyDescent="0.2">
      <c r="A1407" s="2" t="s">
        <v>1419</v>
      </c>
      <c r="B1407" s="2" t="s">
        <v>661</v>
      </c>
      <c r="C1407" s="2" t="s">
        <v>170</v>
      </c>
      <c r="D1407" s="2">
        <v>300</v>
      </c>
      <c r="E1407" s="5">
        <v>44963</v>
      </c>
      <c r="F1407" s="2">
        <v>507</v>
      </c>
      <c r="G1407" s="2" t="s">
        <v>62</v>
      </c>
      <c r="H1407" s="2" t="s">
        <v>662</v>
      </c>
      <c r="I1407" s="6">
        <v>7.0000000000000007E-2</v>
      </c>
      <c r="J1407" s="2" t="str">
        <f t="shared" si="21"/>
        <v>2023-02</v>
      </c>
    </row>
    <row r="1408" spans="1:10" x14ac:dyDescent="0.2">
      <c r="A1408" s="2" t="s">
        <v>1420</v>
      </c>
      <c r="B1408" s="2" t="s">
        <v>831</v>
      </c>
      <c r="C1408" s="2" t="s">
        <v>142</v>
      </c>
      <c r="D1408" s="2">
        <v>100</v>
      </c>
      <c r="E1408" s="5">
        <v>44963</v>
      </c>
      <c r="F1408" s="2">
        <v>80</v>
      </c>
      <c r="G1408" s="2" t="s">
        <v>45</v>
      </c>
      <c r="H1408" s="2" t="s">
        <v>274</v>
      </c>
      <c r="I1408" s="6" t="s">
        <v>2954</v>
      </c>
      <c r="J1408" s="2" t="str">
        <f t="shared" si="21"/>
        <v>2023-02</v>
      </c>
    </row>
    <row r="1409" spans="1:10" x14ac:dyDescent="0.2">
      <c r="A1409" s="2" t="s">
        <v>1421</v>
      </c>
      <c r="B1409" s="2" t="s">
        <v>47</v>
      </c>
      <c r="C1409" s="2" t="s">
        <v>52</v>
      </c>
      <c r="D1409" s="2">
        <v>80</v>
      </c>
      <c r="E1409" s="5">
        <v>44963</v>
      </c>
      <c r="F1409" s="2" t="s">
        <v>2954</v>
      </c>
      <c r="G1409" s="2" t="s">
        <v>214</v>
      </c>
      <c r="H1409" s="2" t="s">
        <v>23</v>
      </c>
      <c r="I1409" s="6" t="s">
        <v>2954</v>
      </c>
      <c r="J1409" s="2" t="str">
        <f t="shared" si="21"/>
        <v>2023-02</v>
      </c>
    </row>
    <row r="1410" spans="1:10" x14ac:dyDescent="0.2">
      <c r="A1410" s="2" t="s">
        <v>735</v>
      </c>
      <c r="B1410" s="2" t="s">
        <v>89</v>
      </c>
      <c r="C1410" s="2" t="s">
        <v>26</v>
      </c>
      <c r="D1410" s="2">
        <v>59</v>
      </c>
      <c r="E1410" s="5">
        <v>44963</v>
      </c>
      <c r="F1410" s="2">
        <v>107</v>
      </c>
      <c r="G1410" s="2" t="s">
        <v>45</v>
      </c>
      <c r="H1410" s="2" t="s">
        <v>23</v>
      </c>
      <c r="I1410" s="6" t="s">
        <v>2954</v>
      </c>
      <c r="J1410" s="2" t="str">
        <f t="shared" si="21"/>
        <v>2023-02</v>
      </c>
    </row>
    <row r="1411" spans="1:10" x14ac:dyDescent="0.2">
      <c r="A1411" s="2" t="s">
        <v>1422</v>
      </c>
      <c r="B1411" s="2" t="s">
        <v>538</v>
      </c>
      <c r="C1411" s="2" t="s">
        <v>235</v>
      </c>
      <c r="D1411" s="2">
        <v>50</v>
      </c>
      <c r="E1411" s="5">
        <v>44963</v>
      </c>
      <c r="F1411" s="2">
        <v>19</v>
      </c>
      <c r="G1411" s="2" t="s">
        <v>12</v>
      </c>
      <c r="H1411" s="2" t="s">
        <v>98</v>
      </c>
      <c r="I1411" s="6">
        <v>0.25</v>
      </c>
      <c r="J1411" s="2" t="str">
        <f t="shared" ref="J1411:J1474" si="22">TEXT(E1411,"YYYY-MM")</f>
        <v>2023-02</v>
      </c>
    </row>
    <row r="1412" spans="1:10" x14ac:dyDescent="0.2">
      <c r="A1412" s="2" t="s">
        <v>1423</v>
      </c>
      <c r="B1412" s="2" t="s">
        <v>34</v>
      </c>
      <c r="C1412" s="2" t="s">
        <v>50</v>
      </c>
      <c r="D1412" s="2">
        <v>20</v>
      </c>
      <c r="E1412" s="5">
        <v>44963</v>
      </c>
      <c r="F1412" s="2">
        <v>496</v>
      </c>
      <c r="G1412" s="2" t="s">
        <v>62</v>
      </c>
      <c r="H1412" s="2" t="s">
        <v>23</v>
      </c>
      <c r="I1412" s="6" t="s">
        <v>2954</v>
      </c>
      <c r="J1412" s="2" t="str">
        <f t="shared" si="22"/>
        <v>2023-02</v>
      </c>
    </row>
    <row r="1413" spans="1:10" x14ac:dyDescent="0.2">
      <c r="A1413" s="2" t="s">
        <v>1424</v>
      </c>
      <c r="B1413" s="2" t="s">
        <v>661</v>
      </c>
      <c r="C1413" s="2" t="s">
        <v>16</v>
      </c>
      <c r="D1413" s="2" t="s">
        <v>2954</v>
      </c>
      <c r="E1413" s="5">
        <v>44963</v>
      </c>
      <c r="F1413" s="2">
        <v>2300</v>
      </c>
      <c r="G1413" s="2" t="s">
        <v>12</v>
      </c>
      <c r="H1413" s="2" t="s">
        <v>662</v>
      </c>
      <c r="I1413" s="6" t="s">
        <v>2954</v>
      </c>
      <c r="J1413" s="2" t="str">
        <f t="shared" si="22"/>
        <v>2023-02</v>
      </c>
    </row>
    <row r="1414" spans="1:10" x14ac:dyDescent="0.2">
      <c r="A1414" s="2" t="s">
        <v>267</v>
      </c>
      <c r="B1414" s="2" t="s">
        <v>217</v>
      </c>
      <c r="C1414" s="2" t="s">
        <v>142</v>
      </c>
      <c r="D1414" s="2" t="s">
        <v>2954</v>
      </c>
      <c r="E1414" s="5">
        <v>44963</v>
      </c>
      <c r="F1414" s="2" t="s">
        <v>2954</v>
      </c>
      <c r="G1414" s="2" t="s">
        <v>12</v>
      </c>
      <c r="H1414" s="2" t="s">
        <v>217</v>
      </c>
      <c r="I1414" s="6">
        <v>0.11</v>
      </c>
      <c r="J1414" s="2" t="str">
        <f t="shared" si="22"/>
        <v>2023-02</v>
      </c>
    </row>
    <row r="1415" spans="1:10" x14ac:dyDescent="0.2">
      <c r="A1415" s="2" t="s">
        <v>1425</v>
      </c>
      <c r="B1415" s="2" t="s">
        <v>15</v>
      </c>
      <c r="C1415" s="2" t="s">
        <v>16</v>
      </c>
      <c r="D1415" s="2" t="s">
        <v>2954</v>
      </c>
      <c r="E1415" s="5">
        <v>44963</v>
      </c>
      <c r="F1415" s="2">
        <v>6</v>
      </c>
      <c r="G1415" s="2" t="s">
        <v>132</v>
      </c>
      <c r="H1415" s="2" t="s">
        <v>18</v>
      </c>
      <c r="I1415" s="6" t="s">
        <v>2954</v>
      </c>
      <c r="J1415" s="2" t="str">
        <f t="shared" si="22"/>
        <v>2023-02</v>
      </c>
    </row>
    <row r="1416" spans="1:10" x14ac:dyDescent="0.2">
      <c r="A1416" s="2" t="s">
        <v>1426</v>
      </c>
      <c r="B1416" s="2" t="s">
        <v>89</v>
      </c>
      <c r="C1416" s="2" t="s">
        <v>32</v>
      </c>
      <c r="D1416" s="2">
        <v>70</v>
      </c>
      <c r="E1416" s="5">
        <v>44962</v>
      </c>
      <c r="F1416" s="2">
        <v>183</v>
      </c>
      <c r="G1416" s="2" t="s">
        <v>12</v>
      </c>
      <c r="H1416" s="2" t="s">
        <v>23</v>
      </c>
      <c r="I1416" s="6" t="s">
        <v>2954</v>
      </c>
      <c r="J1416" s="2" t="str">
        <f t="shared" si="22"/>
        <v>2023-02</v>
      </c>
    </row>
    <row r="1417" spans="1:10" x14ac:dyDescent="0.2">
      <c r="A1417" s="2" t="s">
        <v>1427</v>
      </c>
      <c r="B1417" s="2" t="s">
        <v>15</v>
      </c>
      <c r="C1417" s="2" t="s">
        <v>16</v>
      </c>
      <c r="D1417" s="2">
        <v>20</v>
      </c>
      <c r="E1417" s="5">
        <v>44962</v>
      </c>
      <c r="F1417" s="2">
        <v>42</v>
      </c>
      <c r="G1417" s="2" t="s">
        <v>37</v>
      </c>
      <c r="H1417" s="2" t="s">
        <v>18</v>
      </c>
      <c r="I1417" s="6">
        <v>0.25</v>
      </c>
      <c r="J1417" s="2" t="str">
        <f t="shared" si="22"/>
        <v>2023-02</v>
      </c>
    </row>
    <row r="1418" spans="1:10" x14ac:dyDescent="0.2">
      <c r="A1418" s="2" t="s">
        <v>1428</v>
      </c>
      <c r="B1418" s="2" t="s">
        <v>34</v>
      </c>
      <c r="C1418" s="2" t="s">
        <v>68</v>
      </c>
      <c r="D1418" s="2">
        <v>90</v>
      </c>
      <c r="E1418" s="5">
        <v>44960</v>
      </c>
      <c r="F1418" s="2">
        <v>396</v>
      </c>
      <c r="G1418" s="2" t="s">
        <v>128</v>
      </c>
      <c r="H1418" s="2" t="s">
        <v>23</v>
      </c>
      <c r="I1418" s="6">
        <v>0.15</v>
      </c>
      <c r="J1418" s="2" t="str">
        <f t="shared" si="22"/>
        <v>2023-02</v>
      </c>
    </row>
    <row r="1419" spans="1:10" x14ac:dyDescent="0.2">
      <c r="A1419" s="2" t="s">
        <v>1429</v>
      </c>
      <c r="B1419" s="2" t="s">
        <v>97</v>
      </c>
      <c r="C1419" s="2" t="s">
        <v>170</v>
      </c>
      <c r="D1419" s="2">
        <v>90</v>
      </c>
      <c r="E1419" s="5">
        <v>44960</v>
      </c>
      <c r="F1419" s="2">
        <v>150</v>
      </c>
      <c r="G1419" s="2" t="s">
        <v>128</v>
      </c>
      <c r="H1419" s="2" t="s">
        <v>98</v>
      </c>
      <c r="I1419" s="6" t="s">
        <v>2954</v>
      </c>
      <c r="J1419" s="2" t="str">
        <f t="shared" si="22"/>
        <v>2023-02</v>
      </c>
    </row>
    <row r="1420" spans="1:10" x14ac:dyDescent="0.2">
      <c r="A1420" s="2" t="s">
        <v>1430</v>
      </c>
      <c r="B1420" s="2" t="s">
        <v>34</v>
      </c>
      <c r="C1420" s="2" t="s">
        <v>22</v>
      </c>
      <c r="D1420" s="2">
        <v>89</v>
      </c>
      <c r="E1420" s="5">
        <v>44960</v>
      </c>
      <c r="F1420" s="2">
        <v>10</v>
      </c>
      <c r="G1420" s="2" t="s">
        <v>12</v>
      </c>
      <c r="H1420" s="2" t="s">
        <v>23</v>
      </c>
      <c r="I1420" s="6">
        <v>0.2</v>
      </c>
      <c r="J1420" s="2" t="str">
        <f t="shared" si="22"/>
        <v>2023-02</v>
      </c>
    </row>
    <row r="1421" spans="1:10" x14ac:dyDescent="0.2">
      <c r="A1421" s="2" t="s">
        <v>1431</v>
      </c>
      <c r="B1421" s="2" t="s">
        <v>515</v>
      </c>
      <c r="C1421" s="2" t="s">
        <v>363</v>
      </c>
      <c r="D1421" s="2" t="s">
        <v>2954</v>
      </c>
      <c r="E1421" s="5">
        <v>44960</v>
      </c>
      <c r="F1421" s="2">
        <v>313</v>
      </c>
      <c r="G1421" s="2" t="s">
        <v>12</v>
      </c>
      <c r="H1421" s="2" t="s">
        <v>23</v>
      </c>
      <c r="I1421" s="6">
        <v>0.08</v>
      </c>
      <c r="J1421" s="2" t="str">
        <f t="shared" si="22"/>
        <v>2023-02</v>
      </c>
    </row>
    <row r="1422" spans="1:10" x14ac:dyDescent="0.2">
      <c r="A1422" s="2" t="s">
        <v>272</v>
      </c>
      <c r="B1422" s="2" t="s">
        <v>273</v>
      </c>
      <c r="C1422" s="2" t="s">
        <v>142</v>
      </c>
      <c r="D1422" s="2" t="s">
        <v>2954</v>
      </c>
      <c r="E1422" s="5">
        <v>44960</v>
      </c>
      <c r="F1422" s="2">
        <v>30</v>
      </c>
      <c r="G1422" s="2" t="s">
        <v>12</v>
      </c>
      <c r="H1422" s="2" t="s">
        <v>274</v>
      </c>
      <c r="I1422" s="6">
        <v>0.15</v>
      </c>
      <c r="J1422" s="2" t="str">
        <f t="shared" si="22"/>
        <v>2023-02</v>
      </c>
    </row>
    <row r="1423" spans="1:10" x14ac:dyDescent="0.2">
      <c r="A1423" s="2" t="s">
        <v>198</v>
      </c>
      <c r="B1423" s="2" t="s">
        <v>100</v>
      </c>
      <c r="C1423" s="2" t="s">
        <v>61</v>
      </c>
      <c r="D1423" s="2">
        <v>1500</v>
      </c>
      <c r="E1423" s="5">
        <v>44959</v>
      </c>
      <c r="F1423" s="2">
        <v>5500</v>
      </c>
      <c r="G1423" s="2" t="s">
        <v>199</v>
      </c>
      <c r="H1423" s="2" t="s">
        <v>98</v>
      </c>
      <c r="I1423" s="6" t="s">
        <v>2954</v>
      </c>
      <c r="J1423" s="2" t="str">
        <f t="shared" si="22"/>
        <v>2023-02</v>
      </c>
    </row>
    <row r="1424" spans="1:10" x14ac:dyDescent="0.2">
      <c r="A1424" s="2" t="s">
        <v>340</v>
      </c>
      <c r="B1424" s="2" t="s">
        <v>34</v>
      </c>
      <c r="C1424" s="2" t="s">
        <v>195</v>
      </c>
      <c r="D1424" s="2">
        <v>300</v>
      </c>
      <c r="E1424" s="5">
        <v>44959</v>
      </c>
      <c r="F1424" s="2">
        <v>1200</v>
      </c>
      <c r="G1424" s="2" t="s">
        <v>17</v>
      </c>
      <c r="H1424" s="2" t="s">
        <v>23</v>
      </c>
      <c r="I1424" s="6">
        <v>0.05</v>
      </c>
      <c r="J1424" s="2" t="str">
        <f t="shared" si="22"/>
        <v>2023-02</v>
      </c>
    </row>
    <row r="1425" spans="1:10" x14ac:dyDescent="0.2">
      <c r="A1425" s="2" t="s">
        <v>1432</v>
      </c>
      <c r="B1425" s="2" t="s">
        <v>34</v>
      </c>
      <c r="C1425" s="2" t="s">
        <v>29</v>
      </c>
      <c r="D1425" s="2">
        <v>250</v>
      </c>
      <c r="E1425" s="5">
        <v>44959</v>
      </c>
      <c r="F1425" s="2" t="s">
        <v>2954</v>
      </c>
      <c r="G1425" s="2" t="s">
        <v>17</v>
      </c>
      <c r="H1425" s="2" t="s">
        <v>23</v>
      </c>
      <c r="I1425" s="6">
        <v>0.02</v>
      </c>
      <c r="J1425" s="2" t="str">
        <f t="shared" si="22"/>
        <v>2023-02</v>
      </c>
    </row>
    <row r="1426" spans="1:10" x14ac:dyDescent="0.2">
      <c r="A1426" s="2" t="s">
        <v>1433</v>
      </c>
      <c r="B1426" s="2" t="s">
        <v>34</v>
      </c>
      <c r="C1426" s="2" t="s">
        <v>32</v>
      </c>
      <c r="D1426" s="2">
        <v>127</v>
      </c>
      <c r="E1426" s="5">
        <v>44959</v>
      </c>
      <c r="F1426" s="2">
        <v>160</v>
      </c>
      <c r="G1426" s="2" t="s">
        <v>66</v>
      </c>
      <c r="H1426" s="2" t="s">
        <v>23</v>
      </c>
      <c r="I1426" s="6" t="s">
        <v>2954</v>
      </c>
      <c r="J1426" s="2" t="str">
        <f t="shared" si="22"/>
        <v>2023-02</v>
      </c>
    </row>
    <row r="1427" spans="1:10" x14ac:dyDescent="0.2">
      <c r="A1427" s="2" t="s">
        <v>809</v>
      </c>
      <c r="B1427" s="2" t="s">
        <v>282</v>
      </c>
      <c r="C1427" s="2" t="s">
        <v>195</v>
      </c>
      <c r="D1427" s="2">
        <v>125</v>
      </c>
      <c r="E1427" s="5">
        <v>44959</v>
      </c>
      <c r="F1427" s="2" t="s">
        <v>2954</v>
      </c>
      <c r="G1427" s="2" t="s">
        <v>17</v>
      </c>
      <c r="H1427" s="2" t="s">
        <v>55</v>
      </c>
      <c r="I1427" s="6">
        <v>7.0000000000000007E-2</v>
      </c>
      <c r="J1427" s="2" t="str">
        <f t="shared" si="22"/>
        <v>2023-02</v>
      </c>
    </row>
    <row r="1428" spans="1:10" x14ac:dyDescent="0.2">
      <c r="A1428" s="2" t="s">
        <v>1434</v>
      </c>
      <c r="B1428" s="2" t="s">
        <v>34</v>
      </c>
      <c r="C1428" s="2" t="s">
        <v>29</v>
      </c>
      <c r="D1428" s="2">
        <v>119</v>
      </c>
      <c r="E1428" s="5">
        <v>44959</v>
      </c>
      <c r="F1428" s="2">
        <v>476</v>
      </c>
      <c r="G1428" s="2" t="s">
        <v>66</v>
      </c>
      <c r="H1428" s="2" t="s">
        <v>23</v>
      </c>
      <c r="I1428" s="6">
        <v>7.0000000000000007E-2</v>
      </c>
      <c r="J1428" s="2" t="str">
        <f t="shared" si="22"/>
        <v>2023-02</v>
      </c>
    </row>
    <row r="1429" spans="1:10" x14ac:dyDescent="0.2">
      <c r="A1429" s="2" t="s">
        <v>127</v>
      </c>
      <c r="B1429" s="2" t="s">
        <v>25</v>
      </c>
      <c r="C1429" s="2" t="s">
        <v>11</v>
      </c>
      <c r="D1429" s="2">
        <v>100</v>
      </c>
      <c r="E1429" s="5">
        <v>44959</v>
      </c>
      <c r="F1429" s="2">
        <v>1800</v>
      </c>
      <c r="G1429" s="2" t="s">
        <v>128</v>
      </c>
      <c r="H1429" s="2" t="s">
        <v>23</v>
      </c>
      <c r="I1429" s="6" t="s">
        <v>2954</v>
      </c>
      <c r="J1429" s="2" t="str">
        <f t="shared" si="22"/>
        <v>2023-02</v>
      </c>
    </row>
    <row r="1430" spans="1:10" x14ac:dyDescent="0.2">
      <c r="A1430" s="2" t="s">
        <v>1017</v>
      </c>
      <c r="B1430" s="2" t="s">
        <v>28</v>
      </c>
      <c r="C1430" s="2" t="s">
        <v>50</v>
      </c>
      <c r="D1430" s="2">
        <v>100</v>
      </c>
      <c r="E1430" s="5">
        <v>44959</v>
      </c>
      <c r="F1430" s="2">
        <v>644</v>
      </c>
      <c r="G1430" s="2" t="s">
        <v>62</v>
      </c>
      <c r="H1430" s="2" t="s">
        <v>23</v>
      </c>
      <c r="I1430" s="6">
        <v>0.1</v>
      </c>
      <c r="J1430" s="2" t="str">
        <f t="shared" si="22"/>
        <v>2023-02</v>
      </c>
    </row>
    <row r="1431" spans="1:10" x14ac:dyDescent="0.2">
      <c r="A1431" s="2" t="s">
        <v>1435</v>
      </c>
      <c r="B1431" s="2" t="s">
        <v>28</v>
      </c>
      <c r="C1431" s="2" t="s">
        <v>22</v>
      </c>
      <c r="D1431" s="2">
        <v>80</v>
      </c>
      <c r="E1431" s="5">
        <v>44959</v>
      </c>
      <c r="F1431" s="2" t="s">
        <v>2954</v>
      </c>
      <c r="G1431" s="2" t="s">
        <v>12</v>
      </c>
      <c r="H1431" s="2" t="s">
        <v>23</v>
      </c>
      <c r="I1431" s="6" t="s">
        <v>2954</v>
      </c>
      <c r="J1431" s="2" t="str">
        <f t="shared" si="22"/>
        <v>2023-02</v>
      </c>
    </row>
    <row r="1432" spans="1:10" x14ac:dyDescent="0.2">
      <c r="A1432" s="2" t="s">
        <v>1436</v>
      </c>
      <c r="B1432" s="2" t="s">
        <v>54</v>
      </c>
      <c r="C1432" s="2" t="s">
        <v>243</v>
      </c>
      <c r="D1432" s="2">
        <v>40</v>
      </c>
      <c r="E1432" s="5">
        <v>44959</v>
      </c>
      <c r="F1432" s="2">
        <v>55</v>
      </c>
      <c r="G1432" s="2" t="s">
        <v>37</v>
      </c>
      <c r="H1432" s="2" t="s">
        <v>23</v>
      </c>
      <c r="I1432" s="6" t="s">
        <v>2954</v>
      </c>
      <c r="J1432" s="2" t="str">
        <f t="shared" si="22"/>
        <v>2023-02</v>
      </c>
    </row>
    <row r="1433" spans="1:10" x14ac:dyDescent="0.2">
      <c r="A1433" s="2" t="s">
        <v>1437</v>
      </c>
      <c r="B1433" s="2" t="s">
        <v>25</v>
      </c>
      <c r="C1433" s="2" t="s">
        <v>61</v>
      </c>
      <c r="D1433" s="2">
        <v>38</v>
      </c>
      <c r="E1433" s="5">
        <v>44959</v>
      </c>
      <c r="F1433" s="2">
        <v>1500</v>
      </c>
      <c r="G1433" s="2" t="s">
        <v>41</v>
      </c>
      <c r="H1433" s="2" t="s">
        <v>23</v>
      </c>
      <c r="I1433" s="6" t="s">
        <v>2954</v>
      </c>
      <c r="J1433" s="2" t="str">
        <f t="shared" si="22"/>
        <v>2023-02</v>
      </c>
    </row>
    <row r="1434" spans="1:10" x14ac:dyDescent="0.2">
      <c r="A1434" s="2" t="s">
        <v>383</v>
      </c>
      <c r="B1434" s="2" t="s">
        <v>89</v>
      </c>
      <c r="C1434" s="2" t="s">
        <v>29</v>
      </c>
      <c r="D1434" s="2" t="s">
        <v>2954</v>
      </c>
      <c r="E1434" s="5">
        <v>44959</v>
      </c>
      <c r="F1434" s="2">
        <v>811</v>
      </c>
      <c r="G1434" s="2" t="s">
        <v>17</v>
      </c>
      <c r="H1434" s="2" t="s">
        <v>23</v>
      </c>
      <c r="I1434" s="6" t="s">
        <v>2954</v>
      </c>
      <c r="J1434" s="2" t="str">
        <f t="shared" si="22"/>
        <v>2023-02</v>
      </c>
    </row>
    <row r="1435" spans="1:10" x14ac:dyDescent="0.2">
      <c r="A1435" s="2" t="s">
        <v>312</v>
      </c>
      <c r="B1435" s="2" t="s">
        <v>34</v>
      </c>
      <c r="C1435" s="2" t="s">
        <v>52</v>
      </c>
      <c r="D1435" s="2" t="s">
        <v>2954</v>
      </c>
      <c r="E1435" s="5">
        <v>44959</v>
      </c>
      <c r="F1435" s="2">
        <v>948</v>
      </c>
      <c r="G1435" s="2" t="s">
        <v>17</v>
      </c>
      <c r="H1435" s="2" t="s">
        <v>23</v>
      </c>
      <c r="I1435" s="6">
        <v>0.1</v>
      </c>
      <c r="J1435" s="2" t="str">
        <f t="shared" si="22"/>
        <v>2023-02</v>
      </c>
    </row>
    <row r="1436" spans="1:10" x14ac:dyDescent="0.2">
      <c r="A1436" s="2" t="s">
        <v>1438</v>
      </c>
      <c r="B1436" s="2" t="s">
        <v>997</v>
      </c>
      <c r="C1436" s="2" t="s">
        <v>35</v>
      </c>
      <c r="D1436" s="2" t="s">
        <v>2954</v>
      </c>
      <c r="E1436" s="5">
        <v>44959</v>
      </c>
      <c r="F1436" s="2">
        <v>240</v>
      </c>
      <c r="G1436" s="2" t="s">
        <v>17</v>
      </c>
      <c r="H1436" s="2" t="s">
        <v>998</v>
      </c>
      <c r="I1436" s="6">
        <v>0.2</v>
      </c>
      <c r="J1436" s="2" t="str">
        <f t="shared" si="22"/>
        <v>2023-02</v>
      </c>
    </row>
    <row r="1437" spans="1:10" x14ac:dyDescent="0.2">
      <c r="A1437" s="2" t="s">
        <v>1439</v>
      </c>
      <c r="B1437" s="2" t="s">
        <v>1285</v>
      </c>
      <c r="C1437" s="2" t="s">
        <v>16</v>
      </c>
      <c r="D1437" s="2" t="s">
        <v>2954</v>
      </c>
      <c r="E1437" s="5">
        <v>44959</v>
      </c>
      <c r="F1437" s="2">
        <v>60</v>
      </c>
      <c r="G1437" s="2" t="s">
        <v>66</v>
      </c>
      <c r="H1437" s="2" t="s">
        <v>859</v>
      </c>
      <c r="I1437" s="6" t="s">
        <v>2954</v>
      </c>
      <c r="J1437" s="2" t="str">
        <f t="shared" si="22"/>
        <v>2023-02</v>
      </c>
    </row>
    <row r="1438" spans="1:10" x14ac:dyDescent="0.2">
      <c r="A1438" s="2" t="s">
        <v>698</v>
      </c>
      <c r="B1438" s="2" t="s">
        <v>34</v>
      </c>
      <c r="C1438" s="2" t="s">
        <v>113</v>
      </c>
      <c r="D1438" s="2" t="s">
        <v>2954</v>
      </c>
      <c r="E1438" s="5">
        <v>44959</v>
      </c>
      <c r="F1438" s="2">
        <v>497</v>
      </c>
      <c r="G1438" s="2" t="s">
        <v>75</v>
      </c>
      <c r="H1438" s="2" t="s">
        <v>23</v>
      </c>
      <c r="I1438" s="6" t="s">
        <v>2954</v>
      </c>
      <c r="J1438" s="2" t="str">
        <f t="shared" si="22"/>
        <v>2023-02</v>
      </c>
    </row>
    <row r="1439" spans="1:10" x14ac:dyDescent="0.2">
      <c r="A1439" s="2" t="s">
        <v>608</v>
      </c>
      <c r="B1439" s="2" t="s">
        <v>34</v>
      </c>
      <c r="C1439" s="2" t="s">
        <v>243</v>
      </c>
      <c r="D1439" s="2">
        <v>325</v>
      </c>
      <c r="E1439" s="5">
        <v>44958</v>
      </c>
      <c r="F1439" s="2">
        <v>2400</v>
      </c>
      <c r="G1439" s="2" t="s">
        <v>17</v>
      </c>
      <c r="H1439" s="2" t="s">
        <v>23</v>
      </c>
      <c r="I1439" s="6">
        <v>0.04</v>
      </c>
      <c r="J1439" s="2" t="str">
        <f t="shared" si="22"/>
        <v>2023-02</v>
      </c>
    </row>
    <row r="1440" spans="1:10" x14ac:dyDescent="0.2">
      <c r="A1440" s="2" t="s">
        <v>1440</v>
      </c>
      <c r="B1440" s="2" t="s">
        <v>34</v>
      </c>
      <c r="C1440" s="2" t="s">
        <v>35</v>
      </c>
      <c r="D1440" s="2">
        <v>150</v>
      </c>
      <c r="E1440" s="5">
        <v>44958</v>
      </c>
      <c r="F1440" s="2">
        <v>1500</v>
      </c>
      <c r="G1440" s="2" t="s">
        <v>17</v>
      </c>
      <c r="H1440" s="2" t="s">
        <v>23</v>
      </c>
      <c r="I1440" s="6" t="s">
        <v>2954</v>
      </c>
      <c r="J1440" s="2" t="str">
        <f t="shared" si="22"/>
        <v>2023-02</v>
      </c>
    </row>
    <row r="1441" spans="1:10" x14ac:dyDescent="0.2">
      <c r="A1441" s="2" t="s">
        <v>1441</v>
      </c>
      <c r="B1441" s="2" t="s">
        <v>89</v>
      </c>
      <c r="C1441" s="2" t="s">
        <v>35</v>
      </c>
      <c r="D1441" s="2">
        <v>140</v>
      </c>
      <c r="E1441" s="5">
        <v>44958</v>
      </c>
      <c r="F1441" s="2">
        <v>719</v>
      </c>
      <c r="G1441" s="2" t="s">
        <v>17</v>
      </c>
      <c r="H1441" s="2" t="s">
        <v>23</v>
      </c>
      <c r="I1441" s="6">
        <v>0.04</v>
      </c>
      <c r="J1441" s="2" t="str">
        <f t="shared" si="22"/>
        <v>2023-02</v>
      </c>
    </row>
    <row r="1442" spans="1:10" x14ac:dyDescent="0.2">
      <c r="A1442" s="2" t="s">
        <v>1442</v>
      </c>
      <c r="B1442" s="2" t="s">
        <v>401</v>
      </c>
      <c r="C1442" s="2" t="s">
        <v>195</v>
      </c>
      <c r="D1442" s="2">
        <v>121</v>
      </c>
      <c r="E1442" s="5">
        <v>44958</v>
      </c>
      <c r="F1442" s="2">
        <v>161</v>
      </c>
      <c r="G1442" s="2" t="s">
        <v>17</v>
      </c>
      <c r="H1442" s="2" t="s">
        <v>23</v>
      </c>
      <c r="I1442" s="6" t="s">
        <v>2954</v>
      </c>
      <c r="J1442" s="2" t="str">
        <f t="shared" si="22"/>
        <v>2023-02</v>
      </c>
    </row>
    <row r="1443" spans="1:10" x14ac:dyDescent="0.2">
      <c r="A1443" s="2" t="s">
        <v>1443</v>
      </c>
      <c r="B1443" s="2" t="s">
        <v>34</v>
      </c>
      <c r="C1443" s="2" t="s">
        <v>29</v>
      </c>
      <c r="D1443" s="2">
        <v>90</v>
      </c>
      <c r="E1443" s="5">
        <v>44958</v>
      </c>
      <c r="F1443" s="2">
        <v>415</v>
      </c>
      <c r="G1443" s="2" t="s">
        <v>128</v>
      </c>
      <c r="H1443" s="2" t="s">
        <v>23</v>
      </c>
      <c r="I1443" s="6">
        <v>0.1</v>
      </c>
      <c r="J1443" s="2" t="str">
        <f t="shared" si="22"/>
        <v>2023-02</v>
      </c>
    </row>
    <row r="1444" spans="1:10" x14ac:dyDescent="0.2">
      <c r="A1444" s="2" t="s">
        <v>1444</v>
      </c>
      <c r="B1444" s="2" t="s">
        <v>335</v>
      </c>
      <c r="C1444" s="2" t="s">
        <v>235</v>
      </c>
      <c r="D1444" s="2">
        <v>60</v>
      </c>
      <c r="E1444" s="5">
        <v>44958</v>
      </c>
      <c r="F1444" s="2" t="s">
        <v>2954</v>
      </c>
      <c r="G1444" s="2" t="s">
        <v>17</v>
      </c>
      <c r="H1444" s="2" t="s">
        <v>106</v>
      </c>
      <c r="I1444" s="6">
        <v>0.22</v>
      </c>
      <c r="J1444" s="2" t="str">
        <f t="shared" si="22"/>
        <v>2023-02</v>
      </c>
    </row>
    <row r="1445" spans="1:10" x14ac:dyDescent="0.2">
      <c r="A1445" s="2" t="s">
        <v>1445</v>
      </c>
      <c r="B1445" s="2" t="s">
        <v>86</v>
      </c>
      <c r="C1445" s="2" t="s">
        <v>32</v>
      </c>
      <c r="D1445" s="2">
        <v>56</v>
      </c>
      <c r="E1445" s="5">
        <v>44958</v>
      </c>
      <c r="F1445" s="2">
        <v>215</v>
      </c>
      <c r="G1445" s="2" t="s">
        <v>66</v>
      </c>
      <c r="H1445" s="2" t="s">
        <v>23</v>
      </c>
      <c r="I1445" s="6">
        <v>0.28000000000000003</v>
      </c>
      <c r="J1445" s="2" t="str">
        <f t="shared" si="22"/>
        <v>2023-02</v>
      </c>
    </row>
    <row r="1446" spans="1:10" x14ac:dyDescent="0.2">
      <c r="A1446" s="2" t="s">
        <v>683</v>
      </c>
      <c r="B1446" s="2" t="s">
        <v>25</v>
      </c>
      <c r="C1446" s="2" t="s">
        <v>22</v>
      </c>
      <c r="D1446" s="2">
        <v>44</v>
      </c>
      <c r="E1446" s="5">
        <v>44958</v>
      </c>
      <c r="F1446" s="2">
        <v>536</v>
      </c>
      <c r="G1446" s="2" t="s">
        <v>62</v>
      </c>
      <c r="H1446" s="2" t="s">
        <v>23</v>
      </c>
      <c r="I1446" s="6">
        <v>0.05</v>
      </c>
      <c r="J1446" s="2" t="str">
        <f t="shared" si="22"/>
        <v>2023-02</v>
      </c>
    </row>
    <row r="1447" spans="1:10" x14ac:dyDescent="0.2">
      <c r="A1447" s="2" t="s">
        <v>1446</v>
      </c>
      <c r="B1447" s="2" t="s">
        <v>194</v>
      </c>
      <c r="C1447" s="2" t="s">
        <v>195</v>
      </c>
      <c r="D1447" s="2">
        <v>34</v>
      </c>
      <c r="E1447" s="5">
        <v>44958</v>
      </c>
      <c r="F1447" s="2" t="s">
        <v>2954</v>
      </c>
      <c r="G1447" s="2" t="s">
        <v>17</v>
      </c>
      <c r="H1447" s="2" t="s">
        <v>23</v>
      </c>
      <c r="I1447" s="6">
        <v>0.08</v>
      </c>
      <c r="J1447" s="2" t="str">
        <f t="shared" si="22"/>
        <v>2023-02</v>
      </c>
    </row>
    <row r="1448" spans="1:10" x14ac:dyDescent="0.2">
      <c r="A1448" s="2" t="s">
        <v>1447</v>
      </c>
      <c r="B1448" s="2" t="s">
        <v>43</v>
      </c>
      <c r="C1448" s="2" t="s">
        <v>632</v>
      </c>
      <c r="D1448" s="2">
        <v>24</v>
      </c>
      <c r="E1448" s="5">
        <v>44958</v>
      </c>
      <c r="F1448" s="2">
        <v>100</v>
      </c>
      <c r="G1448" s="2" t="s">
        <v>199</v>
      </c>
      <c r="H1448" s="2" t="s">
        <v>23</v>
      </c>
      <c r="I1448" s="6">
        <v>0.03</v>
      </c>
      <c r="J1448" s="2" t="str">
        <f t="shared" si="22"/>
        <v>2023-02</v>
      </c>
    </row>
    <row r="1449" spans="1:10" x14ac:dyDescent="0.2">
      <c r="A1449" s="2" t="s">
        <v>1123</v>
      </c>
      <c r="B1449" s="2" t="s">
        <v>25</v>
      </c>
      <c r="C1449" s="2" t="s">
        <v>235</v>
      </c>
      <c r="D1449" s="2">
        <v>17</v>
      </c>
      <c r="E1449" s="5">
        <v>44958</v>
      </c>
      <c r="F1449" s="2">
        <v>28</v>
      </c>
      <c r="G1449" s="2" t="s">
        <v>66</v>
      </c>
      <c r="H1449" s="2" t="s">
        <v>23</v>
      </c>
      <c r="I1449" s="6">
        <v>0.1</v>
      </c>
      <c r="J1449" s="2" t="str">
        <f t="shared" si="22"/>
        <v>2023-02</v>
      </c>
    </row>
    <row r="1450" spans="1:10" x14ac:dyDescent="0.2">
      <c r="A1450" s="2" t="s">
        <v>1448</v>
      </c>
      <c r="B1450" s="2" t="s">
        <v>335</v>
      </c>
      <c r="C1450" s="2" t="s">
        <v>113</v>
      </c>
      <c r="D1450" s="2" t="s">
        <v>2954</v>
      </c>
      <c r="E1450" s="5">
        <v>44958</v>
      </c>
      <c r="F1450" s="2">
        <v>190</v>
      </c>
      <c r="G1450" s="2" t="s">
        <v>66</v>
      </c>
      <c r="H1450" s="2" t="s">
        <v>106</v>
      </c>
      <c r="I1450" s="6" t="s">
        <v>2954</v>
      </c>
      <c r="J1450" s="2" t="str">
        <f t="shared" si="22"/>
        <v>2023-02</v>
      </c>
    </row>
    <row r="1451" spans="1:10" x14ac:dyDescent="0.2">
      <c r="A1451" s="2" t="s">
        <v>1449</v>
      </c>
      <c r="B1451" s="2" t="s">
        <v>25</v>
      </c>
      <c r="C1451" s="2" t="s">
        <v>235</v>
      </c>
      <c r="D1451" s="2" t="s">
        <v>2954</v>
      </c>
      <c r="E1451" s="5">
        <v>44958</v>
      </c>
      <c r="F1451" s="2">
        <v>80</v>
      </c>
      <c r="G1451" s="2" t="s">
        <v>128</v>
      </c>
      <c r="H1451" s="2" t="s">
        <v>23</v>
      </c>
      <c r="I1451" s="6">
        <v>0.08</v>
      </c>
      <c r="J1451" s="2" t="str">
        <f t="shared" si="22"/>
        <v>2023-02</v>
      </c>
    </row>
    <row r="1452" spans="1:10" x14ac:dyDescent="0.2">
      <c r="A1452" s="2" t="s">
        <v>1450</v>
      </c>
      <c r="B1452" s="2" t="s">
        <v>89</v>
      </c>
      <c r="C1452" s="2" t="s">
        <v>32</v>
      </c>
      <c r="D1452" s="2" t="s">
        <v>2954</v>
      </c>
      <c r="E1452" s="5">
        <v>44958</v>
      </c>
      <c r="F1452" s="2">
        <v>76</v>
      </c>
      <c r="G1452" s="2" t="s">
        <v>17</v>
      </c>
      <c r="H1452" s="2" t="s">
        <v>23</v>
      </c>
      <c r="I1452" s="6">
        <v>0.5</v>
      </c>
      <c r="J1452" s="2" t="str">
        <f t="shared" si="22"/>
        <v>2023-02</v>
      </c>
    </row>
    <row r="1453" spans="1:10" x14ac:dyDescent="0.2">
      <c r="A1453" s="2" t="s">
        <v>656</v>
      </c>
      <c r="B1453" s="2" t="s">
        <v>619</v>
      </c>
      <c r="C1453" s="2" t="s">
        <v>243</v>
      </c>
      <c r="D1453" s="2" t="s">
        <v>2954</v>
      </c>
      <c r="E1453" s="5">
        <v>44958</v>
      </c>
      <c r="F1453" s="2">
        <v>245</v>
      </c>
      <c r="G1453" s="2" t="s">
        <v>17</v>
      </c>
      <c r="H1453" s="2" t="s">
        <v>321</v>
      </c>
      <c r="I1453" s="6">
        <v>0.08</v>
      </c>
      <c r="J1453" s="2" t="str">
        <f t="shared" si="22"/>
        <v>2023-02</v>
      </c>
    </row>
    <row r="1454" spans="1:10" x14ac:dyDescent="0.2">
      <c r="A1454" s="2" t="s">
        <v>1451</v>
      </c>
      <c r="B1454" s="2" t="s">
        <v>25</v>
      </c>
      <c r="C1454" s="2" t="s">
        <v>35</v>
      </c>
      <c r="D1454" s="2" t="s">
        <v>2954</v>
      </c>
      <c r="E1454" s="5">
        <v>44958</v>
      </c>
      <c r="F1454" s="2" t="s">
        <v>2954</v>
      </c>
      <c r="G1454" s="2" t="s">
        <v>17</v>
      </c>
      <c r="H1454" s="2" t="s">
        <v>23</v>
      </c>
      <c r="I1454" s="6">
        <v>0.08</v>
      </c>
      <c r="J1454" s="2" t="str">
        <f t="shared" si="22"/>
        <v>2023-02</v>
      </c>
    </row>
    <row r="1455" spans="1:10" x14ac:dyDescent="0.2">
      <c r="A1455" s="2" t="s">
        <v>1452</v>
      </c>
      <c r="B1455" s="2" t="s">
        <v>54</v>
      </c>
      <c r="C1455" s="2" t="s">
        <v>68</v>
      </c>
      <c r="D1455" s="2" t="s">
        <v>2954</v>
      </c>
      <c r="E1455" s="5">
        <v>44958</v>
      </c>
      <c r="F1455" s="2">
        <v>137</v>
      </c>
      <c r="G1455" s="2" t="s">
        <v>37</v>
      </c>
      <c r="H1455" s="2" t="s">
        <v>23</v>
      </c>
      <c r="I1455" s="6" t="s">
        <v>2954</v>
      </c>
      <c r="J1455" s="2" t="str">
        <f t="shared" si="22"/>
        <v>2023-02</v>
      </c>
    </row>
    <row r="1456" spans="1:10" x14ac:dyDescent="0.2">
      <c r="A1456" s="2" t="s">
        <v>1453</v>
      </c>
      <c r="B1456" s="2" t="s">
        <v>28</v>
      </c>
      <c r="C1456" s="2" t="s">
        <v>11</v>
      </c>
      <c r="D1456" s="2" t="s">
        <v>2954</v>
      </c>
      <c r="E1456" s="5">
        <v>44958</v>
      </c>
      <c r="F1456" s="2">
        <v>52</v>
      </c>
      <c r="G1456" s="2" t="s">
        <v>12</v>
      </c>
      <c r="H1456" s="2" t="s">
        <v>23</v>
      </c>
      <c r="I1456" s="6" t="s">
        <v>2954</v>
      </c>
      <c r="J1456" s="2" t="str">
        <f t="shared" si="22"/>
        <v>2023-02</v>
      </c>
    </row>
    <row r="1457" spans="1:10" x14ac:dyDescent="0.2">
      <c r="A1457" s="2" t="s">
        <v>93</v>
      </c>
      <c r="B1457" s="2" t="s">
        <v>158</v>
      </c>
      <c r="C1457" s="2" t="s">
        <v>52</v>
      </c>
      <c r="D1457" s="2" t="s">
        <v>2954</v>
      </c>
      <c r="E1457" s="5">
        <v>44958</v>
      </c>
      <c r="F1457" s="2">
        <v>10700</v>
      </c>
      <c r="G1457" s="2" t="s">
        <v>17</v>
      </c>
      <c r="H1457" s="2" t="s">
        <v>23</v>
      </c>
      <c r="I1457" s="6">
        <v>0.06</v>
      </c>
      <c r="J1457" s="2" t="str">
        <f t="shared" si="22"/>
        <v>2023-02</v>
      </c>
    </row>
    <row r="1458" spans="1:10" x14ac:dyDescent="0.2">
      <c r="A1458" s="2" t="s">
        <v>353</v>
      </c>
      <c r="B1458" s="2" t="s">
        <v>34</v>
      </c>
      <c r="C1458" s="2" t="s">
        <v>16</v>
      </c>
      <c r="D1458" s="2">
        <v>2000</v>
      </c>
      <c r="E1458" s="5">
        <v>44957</v>
      </c>
      <c r="F1458" s="2">
        <v>216</v>
      </c>
      <c r="G1458" s="2" t="s">
        <v>17</v>
      </c>
      <c r="H1458" s="2" t="s">
        <v>23</v>
      </c>
      <c r="I1458" s="6">
        <v>7.0000000000000007E-2</v>
      </c>
      <c r="J1458" s="2" t="str">
        <f t="shared" si="22"/>
        <v>2023-01</v>
      </c>
    </row>
    <row r="1459" spans="1:10" x14ac:dyDescent="0.2">
      <c r="A1459" s="2" t="s">
        <v>1454</v>
      </c>
      <c r="B1459" s="2" t="s">
        <v>34</v>
      </c>
      <c r="C1459" s="2" t="s">
        <v>243</v>
      </c>
      <c r="D1459" s="2">
        <v>960</v>
      </c>
      <c r="E1459" s="5">
        <v>44957</v>
      </c>
      <c r="F1459" s="2" t="s">
        <v>2954</v>
      </c>
      <c r="G1459" s="2" t="s">
        <v>17</v>
      </c>
      <c r="H1459" s="2" t="s">
        <v>23</v>
      </c>
      <c r="I1459" s="6">
        <v>0.08</v>
      </c>
      <c r="J1459" s="2" t="str">
        <f t="shared" si="22"/>
        <v>2023-01</v>
      </c>
    </row>
    <row r="1460" spans="1:10" x14ac:dyDescent="0.2">
      <c r="A1460" s="2" t="s">
        <v>1455</v>
      </c>
      <c r="B1460" s="2" t="s">
        <v>34</v>
      </c>
      <c r="C1460" s="2" t="s">
        <v>68</v>
      </c>
      <c r="D1460" s="2">
        <v>525</v>
      </c>
      <c r="E1460" s="5">
        <v>44957</v>
      </c>
      <c r="F1460" s="2">
        <v>230</v>
      </c>
      <c r="G1460" s="2" t="s">
        <v>17</v>
      </c>
      <c r="H1460" s="2" t="s">
        <v>23</v>
      </c>
      <c r="I1460" s="6">
        <v>0.03</v>
      </c>
      <c r="J1460" s="2" t="str">
        <f t="shared" si="22"/>
        <v>2023-01</v>
      </c>
    </row>
    <row r="1461" spans="1:10" x14ac:dyDescent="0.2">
      <c r="A1461" s="2" t="s">
        <v>384</v>
      </c>
      <c r="B1461" s="2" t="s">
        <v>89</v>
      </c>
      <c r="C1461" s="2" t="s">
        <v>26</v>
      </c>
      <c r="D1461" s="2">
        <v>500</v>
      </c>
      <c r="E1461" s="5">
        <v>44957</v>
      </c>
      <c r="F1461" s="2">
        <v>100</v>
      </c>
      <c r="G1461" s="2" t="s">
        <v>17</v>
      </c>
      <c r="H1461" s="2" t="s">
        <v>23</v>
      </c>
      <c r="I1461" s="6">
        <v>7.0000000000000007E-2</v>
      </c>
      <c r="J1461" s="2" t="str">
        <f t="shared" si="22"/>
        <v>2023-01</v>
      </c>
    </row>
    <row r="1462" spans="1:10" x14ac:dyDescent="0.2">
      <c r="A1462" s="2" t="s">
        <v>1456</v>
      </c>
      <c r="B1462" s="2" t="s">
        <v>34</v>
      </c>
      <c r="C1462" s="2" t="s">
        <v>16</v>
      </c>
      <c r="D1462" s="2">
        <v>365</v>
      </c>
      <c r="E1462" s="5">
        <v>44957</v>
      </c>
      <c r="F1462" s="2">
        <v>144</v>
      </c>
      <c r="G1462" s="2" t="s">
        <v>17</v>
      </c>
      <c r="H1462" s="2" t="s">
        <v>23</v>
      </c>
      <c r="I1462" s="6">
        <v>0.2</v>
      </c>
      <c r="J1462" s="2" t="str">
        <f t="shared" si="22"/>
        <v>2023-01</v>
      </c>
    </row>
    <row r="1463" spans="1:10" x14ac:dyDescent="0.2">
      <c r="A1463" s="2" t="s">
        <v>1457</v>
      </c>
      <c r="B1463" s="2" t="s">
        <v>1458</v>
      </c>
      <c r="C1463" s="2" t="s">
        <v>243</v>
      </c>
      <c r="D1463" s="2">
        <v>200</v>
      </c>
      <c r="E1463" s="5">
        <v>44957</v>
      </c>
      <c r="F1463" s="2">
        <v>344</v>
      </c>
      <c r="G1463" s="2" t="s">
        <v>17</v>
      </c>
      <c r="H1463" s="2" t="s">
        <v>76</v>
      </c>
      <c r="I1463" s="6">
        <v>0.04</v>
      </c>
      <c r="J1463" s="2" t="str">
        <f t="shared" si="22"/>
        <v>2023-01</v>
      </c>
    </row>
    <row r="1464" spans="1:10" x14ac:dyDescent="0.2">
      <c r="A1464" s="2" t="s">
        <v>863</v>
      </c>
      <c r="B1464" s="2" t="s">
        <v>34</v>
      </c>
      <c r="C1464" s="2" t="s">
        <v>142</v>
      </c>
      <c r="D1464" s="2">
        <v>150</v>
      </c>
      <c r="E1464" s="5">
        <v>44957</v>
      </c>
      <c r="F1464" s="2">
        <v>1600</v>
      </c>
      <c r="G1464" s="2" t="s">
        <v>17</v>
      </c>
      <c r="H1464" s="2" t="s">
        <v>23</v>
      </c>
      <c r="I1464" s="6">
        <v>0.17</v>
      </c>
      <c r="J1464" s="2" t="str">
        <f t="shared" si="22"/>
        <v>2023-01</v>
      </c>
    </row>
    <row r="1465" spans="1:10" x14ac:dyDescent="0.2">
      <c r="A1465" s="2" t="s">
        <v>73</v>
      </c>
      <c r="B1465" s="2" t="s">
        <v>74</v>
      </c>
      <c r="C1465" s="2" t="s">
        <v>16</v>
      </c>
      <c r="D1465" s="2">
        <v>100</v>
      </c>
      <c r="E1465" s="5">
        <v>44957</v>
      </c>
      <c r="F1465" s="2">
        <v>1300</v>
      </c>
      <c r="G1465" s="2" t="s">
        <v>75</v>
      </c>
      <c r="H1465" s="2" t="s">
        <v>76</v>
      </c>
      <c r="I1465" s="6" t="s">
        <v>2954</v>
      </c>
      <c r="J1465" s="2" t="str">
        <f t="shared" si="22"/>
        <v>2023-01</v>
      </c>
    </row>
    <row r="1466" spans="1:10" x14ac:dyDescent="0.2">
      <c r="A1466" s="2" t="s">
        <v>1459</v>
      </c>
      <c r="B1466" s="2" t="s">
        <v>25</v>
      </c>
      <c r="C1466" s="2" t="s">
        <v>35</v>
      </c>
      <c r="D1466" s="2">
        <v>60</v>
      </c>
      <c r="E1466" s="5">
        <v>44957</v>
      </c>
      <c r="F1466" s="2">
        <v>235</v>
      </c>
      <c r="G1466" s="2" t="s">
        <v>12</v>
      </c>
      <c r="H1466" s="2" t="s">
        <v>23</v>
      </c>
      <c r="I1466" s="6">
        <v>0.14000000000000001</v>
      </c>
      <c r="J1466" s="2" t="str">
        <f t="shared" si="22"/>
        <v>2023-01</v>
      </c>
    </row>
    <row r="1467" spans="1:10" x14ac:dyDescent="0.2">
      <c r="A1467" s="2" t="s">
        <v>1460</v>
      </c>
      <c r="B1467" s="2" t="s">
        <v>203</v>
      </c>
      <c r="C1467" s="2" t="s">
        <v>52</v>
      </c>
      <c r="D1467" s="2">
        <v>54</v>
      </c>
      <c r="E1467" s="5">
        <v>44957</v>
      </c>
      <c r="F1467" s="2">
        <v>12</v>
      </c>
      <c r="G1467" s="2" t="s">
        <v>12</v>
      </c>
      <c r="H1467" s="2" t="s">
        <v>204</v>
      </c>
      <c r="I1467" s="6" t="s">
        <v>2954</v>
      </c>
      <c r="J1467" s="2" t="str">
        <f t="shared" si="22"/>
        <v>2023-01</v>
      </c>
    </row>
    <row r="1468" spans="1:10" x14ac:dyDescent="0.2">
      <c r="A1468" s="2" t="s">
        <v>1021</v>
      </c>
      <c r="B1468" s="2" t="s">
        <v>661</v>
      </c>
      <c r="C1468" s="2" t="s">
        <v>16</v>
      </c>
      <c r="D1468" s="2">
        <v>40</v>
      </c>
      <c r="E1468" s="5">
        <v>44957</v>
      </c>
      <c r="F1468" s="2">
        <v>4100</v>
      </c>
      <c r="G1468" s="2" t="s">
        <v>17</v>
      </c>
      <c r="H1468" s="2" t="s">
        <v>662</v>
      </c>
      <c r="I1468" s="6" t="s">
        <v>2954</v>
      </c>
      <c r="J1468" s="2" t="str">
        <f t="shared" si="22"/>
        <v>2023-01</v>
      </c>
    </row>
    <row r="1469" spans="1:10" x14ac:dyDescent="0.2">
      <c r="A1469" s="2" t="s">
        <v>1461</v>
      </c>
      <c r="B1469" s="2" t="s">
        <v>15</v>
      </c>
      <c r="C1469" s="2" t="s">
        <v>195</v>
      </c>
      <c r="D1469" s="2">
        <v>19</v>
      </c>
      <c r="E1469" s="5">
        <v>44957</v>
      </c>
      <c r="F1469" s="2">
        <v>80</v>
      </c>
      <c r="G1469" s="2" t="s">
        <v>12</v>
      </c>
      <c r="H1469" s="2" t="s">
        <v>18</v>
      </c>
      <c r="I1469" s="6">
        <v>0.09</v>
      </c>
      <c r="J1469" s="2" t="str">
        <f t="shared" si="22"/>
        <v>2023-01</v>
      </c>
    </row>
    <row r="1470" spans="1:10" x14ac:dyDescent="0.2">
      <c r="A1470" s="2" t="s">
        <v>1462</v>
      </c>
      <c r="B1470" s="2" t="s">
        <v>86</v>
      </c>
      <c r="C1470" s="2" t="s">
        <v>103</v>
      </c>
      <c r="D1470" s="2" t="s">
        <v>2954</v>
      </c>
      <c r="E1470" s="5">
        <v>44957</v>
      </c>
      <c r="F1470" s="2" t="s">
        <v>2954</v>
      </c>
      <c r="G1470" s="2" t="s">
        <v>17</v>
      </c>
      <c r="H1470" s="2" t="s">
        <v>23</v>
      </c>
      <c r="I1470" s="6">
        <v>0.04</v>
      </c>
      <c r="J1470" s="2" t="str">
        <f t="shared" si="22"/>
        <v>2023-01</v>
      </c>
    </row>
    <row r="1471" spans="1:10" x14ac:dyDescent="0.2">
      <c r="A1471" s="2" t="s">
        <v>1463</v>
      </c>
      <c r="B1471" s="2" t="s">
        <v>1464</v>
      </c>
      <c r="C1471" s="2" t="s">
        <v>243</v>
      </c>
      <c r="D1471" s="2" t="s">
        <v>2954</v>
      </c>
      <c r="E1471" s="5">
        <v>44957</v>
      </c>
      <c r="F1471" s="2">
        <v>1100</v>
      </c>
      <c r="G1471" s="2" t="s">
        <v>17</v>
      </c>
      <c r="H1471" s="2" t="s">
        <v>106</v>
      </c>
      <c r="I1471" s="6">
        <v>0.08</v>
      </c>
      <c r="J1471" s="2" t="str">
        <f t="shared" si="22"/>
        <v>2023-01</v>
      </c>
    </row>
    <row r="1472" spans="1:10" x14ac:dyDescent="0.2">
      <c r="A1472" s="2" t="s">
        <v>1465</v>
      </c>
      <c r="B1472" s="2" t="s">
        <v>245</v>
      </c>
      <c r="C1472" s="2" t="s">
        <v>32</v>
      </c>
      <c r="D1472" s="2">
        <v>6000</v>
      </c>
      <c r="E1472" s="5">
        <v>44956</v>
      </c>
      <c r="F1472" s="2" t="s">
        <v>2954</v>
      </c>
      <c r="G1472" s="2" t="s">
        <v>17</v>
      </c>
      <c r="H1472" s="2" t="s">
        <v>246</v>
      </c>
      <c r="I1472" s="6">
        <v>0.13</v>
      </c>
      <c r="J1472" s="2" t="str">
        <f t="shared" si="22"/>
        <v>2023-01</v>
      </c>
    </row>
    <row r="1473" spans="1:10" x14ac:dyDescent="0.2">
      <c r="A1473" s="2" t="s">
        <v>986</v>
      </c>
      <c r="B1473" s="2" t="s">
        <v>245</v>
      </c>
      <c r="C1473" s="2" t="s">
        <v>26</v>
      </c>
      <c r="D1473" s="2">
        <v>1500</v>
      </c>
      <c r="E1473" s="5">
        <v>44956</v>
      </c>
      <c r="F1473" s="2" t="s">
        <v>2954</v>
      </c>
      <c r="G1473" s="2" t="s">
        <v>45</v>
      </c>
      <c r="H1473" s="2" t="s">
        <v>246</v>
      </c>
      <c r="I1473" s="6">
        <v>0.15</v>
      </c>
      <c r="J1473" s="2" t="str">
        <f t="shared" si="22"/>
        <v>2023-01</v>
      </c>
    </row>
    <row r="1474" spans="1:10" x14ac:dyDescent="0.2">
      <c r="A1474" s="2" t="s">
        <v>676</v>
      </c>
      <c r="B1474" s="2" t="s">
        <v>54</v>
      </c>
      <c r="C1474" s="2" t="s">
        <v>52</v>
      </c>
      <c r="D1474" s="2">
        <v>800</v>
      </c>
      <c r="E1474" s="5">
        <v>44956</v>
      </c>
      <c r="F1474" s="2">
        <v>629</v>
      </c>
      <c r="G1474" s="2" t="s">
        <v>17</v>
      </c>
      <c r="H1474" s="2" t="s">
        <v>55</v>
      </c>
      <c r="I1474" s="6">
        <v>0.5</v>
      </c>
      <c r="J1474" s="2" t="str">
        <f t="shared" si="22"/>
        <v>2023-01</v>
      </c>
    </row>
    <row r="1475" spans="1:10" x14ac:dyDescent="0.2">
      <c r="A1475" s="2" t="s">
        <v>1466</v>
      </c>
      <c r="B1475" s="2" t="s">
        <v>314</v>
      </c>
      <c r="C1475" s="2" t="s">
        <v>142</v>
      </c>
      <c r="D1475" s="2">
        <v>500</v>
      </c>
      <c r="E1475" s="5">
        <v>44956</v>
      </c>
      <c r="F1475" s="2">
        <v>1400</v>
      </c>
      <c r="G1475" s="2" t="s">
        <v>17</v>
      </c>
      <c r="H1475" s="2" t="s">
        <v>23</v>
      </c>
      <c r="I1475" s="6" t="s">
        <v>2954</v>
      </c>
      <c r="J1475" s="2" t="str">
        <f t="shared" ref="J1475:J1538" si="23">TEXT(E1475,"YYYY-MM")</f>
        <v>2023-01</v>
      </c>
    </row>
    <row r="1476" spans="1:10" x14ac:dyDescent="0.2">
      <c r="A1476" s="2" t="s">
        <v>178</v>
      </c>
      <c r="B1476" s="2" t="s">
        <v>34</v>
      </c>
      <c r="C1476" s="2" t="s">
        <v>103</v>
      </c>
      <c r="D1476" s="2">
        <v>343</v>
      </c>
      <c r="E1476" s="5">
        <v>44956</v>
      </c>
      <c r="F1476" s="2">
        <v>12</v>
      </c>
      <c r="G1476" s="2" t="s">
        <v>17</v>
      </c>
      <c r="H1476" s="2" t="s">
        <v>23</v>
      </c>
      <c r="I1476" s="6" t="s">
        <v>2954</v>
      </c>
      <c r="J1476" s="2" t="str">
        <f t="shared" si="23"/>
        <v>2023-01</v>
      </c>
    </row>
    <row r="1477" spans="1:10" x14ac:dyDescent="0.2">
      <c r="A1477" s="2" t="s">
        <v>164</v>
      </c>
      <c r="B1477" s="2" t="s">
        <v>165</v>
      </c>
      <c r="C1477" s="2" t="s">
        <v>11</v>
      </c>
      <c r="D1477" s="2">
        <v>250</v>
      </c>
      <c r="E1477" s="5">
        <v>44956</v>
      </c>
      <c r="F1477" s="2">
        <v>1200</v>
      </c>
      <c r="G1477" s="2" t="s">
        <v>45</v>
      </c>
      <c r="H1477" s="2" t="s">
        <v>120</v>
      </c>
      <c r="I1477" s="6">
        <v>0.06</v>
      </c>
      <c r="J1477" s="2" t="str">
        <f t="shared" si="23"/>
        <v>2023-01</v>
      </c>
    </row>
    <row r="1478" spans="1:10" x14ac:dyDescent="0.2">
      <c r="A1478" s="2" t="s">
        <v>494</v>
      </c>
      <c r="B1478" s="2" t="s">
        <v>74</v>
      </c>
      <c r="C1478" s="2" t="s">
        <v>11</v>
      </c>
      <c r="D1478" s="2">
        <v>156</v>
      </c>
      <c r="E1478" s="5">
        <v>44956</v>
      </c>
      <c r="F1478" s="2">
        <v>9900</v>
      </c>
      <c r="G1478" s="2" t="s">
        <v>17</v>
      </c>
      <c r="H1478" s="2" t="s">
        <v>76</v>
      </c>
      <c r="I1478" s="6">
        <v>0.04</v>
      </c>
      <c r="J1478" s="2" t="str">
        <f t="shared" si="23"/>
        <v>2023-01</v>
      </c>
    </row>
    <row r="1479" spans="1:10" x14ac:dyDescent="0.2">
      <c r="A1479" s="2" t="s">
        <v>1467</v>
      </c>
      <c r="B1479" s="2" t="s">
        <v>34</v>
      </c>
      <c r="C1479" s="2" t="s">
        <v>11</v>
      </c>
      <c r="D1479" s="2">
        <v>140</v>
      </c>
      <c r="E1479" s="5">
        <v>44956</v>
      </c>
      <c r="F1479" s="2">
        <v>1900</v>
      </c>
      <c r="G1479" s="2" t="s">
        <v>81</v>
      </c>
      <c r="H1479" s="2" t="s">
        <v>23</v>
      </c>
      <c r="I1479" s="6">
        <v>0.2</v>
      </c>
      <c r="J1479" s="2" t="str">
        <f t="shared" si="23"/>
        <v>2023-01</v>
      </c>
    </row>
    <row r="1480" spans="1:10" x14ac:dyDescent="0.2">
      <c r="A1480" s="2" t="s">
        <v>1468</v>
      </c>
      <c r="B1480" s="2" t="s">
        <v>1469</v>
      </c>
      <c r="C1480" s="2" t="s">
        <v>142</v>
      </c>
      <c r="D1480" s="2">
        <v>65</v>
      </c>
      <c r="E1480" s="5">
        <v>44956</v>
      </c>
      <c r="F1480" s="2">
        <v>205</v>
      </c>
      <c r="G1480" s="2" t="s">
        <v>66</v>
      </c>
      <c r="H1480" s="2" t="s">
        <v>76</v>
      </c>
      <c r="I1480" s="6">
        <v>0.13</v>
      </c>
      <c r="J1480" s="2" t="str">
        <f t="shared" si="23"/>
        <v>2023-01</v>
      </c>
    </row>
    <row r="1481" spans="1:10" x14ac:dyDescent="0.2">
      <c r="A1481" s="2" t="s">
        <v>1470</v>
      </c>
      <c r="B1481" s="2" t="s">
        <v>80</v>
      </c>
      <c r="C1481" s="2" t="s">
        <v>16</v>
      </c>
      <c r="D1481" s="2" t="s">
        <v>2954</v>
      </c>
      <c r="E1481" s="5">
        <v>44956</v>
      </c>
      <c r="F1481" s="2" t="s">
        <v>2954</v>
      </c>
      <c r="G1481" s="2" t="s">
        <v>17</v>
      </c>
      <c r="H1481" s="2" t="s">
        <v>23</v>
      </c>
      <c r="I1481" s="6">
        <v>0.25</v>
      </c>
      <c r="J1481" s="2" t="str">
        <f t="shared" si="23"/>
        <v>2023-01</v>
      </c>
    </row>
    <row r="1482" spans="1:10" x14ac:dyDescent="0.2">
      <c r="A1482" s="2" t="s">
        <v>1471</v>
      </c>
      <c r="B1482" s="2" t="s">
        <v>1472</v>
      </c>
      <c r="C1482" s="2" t="s">
        <v>142</v>
      </c>
      <c r="D1482" s="2" t="s">
        <v>2954</v>
      </c>
      <c r="E1482" s="5">
        <v>44956</v>
      </c>
      <c r="F1482" s="2">
        <v>322</v>
      </c>
      <c r="G1482" s="2" t="s">
        <v>128</v>
      </c>
      <c r="H1482" s="2" t="s">
        <v>662</v>
      </c>
      <c r="I1482" s="6" t="s">
        <v>2954</v>
      </c>
      <c r="J1482" s="2" t="str">
        <f t="shared" si="23"/>
        <v>2023-01</v>
      </c>
    </row>
    <row r="1483" spans="1:10" x14ac:dyDescent="0.2">
      <c r="A1483" s="2" t="s">
        <v>732</v>
      </c>
      <c r="B1483" s="2" t="s">
        <v>733</v>
      </c>
      <c r="C1483" s="2" t="s">
        <v>68</v>
      </c>
      <c r="D1483" s="2" t="s">
        <v>2954</v>
      </c>
      <c r="E1483" s="5">
        <v>44956</v>
      </c>
      <c r="F1483" s="2">
        <v>224</v>
      </c>
      <c r="G1483" s="2" t="s">
        <v>66</v>
      </c>
      <c r="H1483" s="2" t="s">
        <v>23</v>
      </c>
      <c r="I1483" s="6" t="s">
        <v>2954</v>
      </c>
      <c r="J1483" s="2" t="str">
        <f t="shared" si="23"/>
        <v>2023-01</v>
      </c>
    </row>
    <row r="1484" spans="1:10" x14ac:dyDescent="0.2">
      <c r="A1484" s="2" t="s">
        <v>1473</v>
      </c>
      <c r="B1484" s="2" t="s">
        <v>1092</v>
      </c>
      <c r="C1484" s="2" t="s">
        <v>22</v>
      </c>
      <c r="D1484" s="2" t="s">
        <v>2954</v>
      </c>
      <c r="E1484" s="5">
        <v>44956</v>
      </c>
      <c r="F1484" s="2">
        <v>176</v>
      </c>
      <c r="G1484" s="2" t="s">
        <v>37</v>
      </c>
      <c r="H1484" s="2" t="s">
        <v>23</v>
      </c>
      <c r="I1484" s="6">
        <v>0.33</v>
      </c>
      <c r="J1484" s="2" t="str">
        <f t="shared" si="23"/>
        <v>2023-01</v>
      </c>
    </row>
    <row r="1485" spans="1:10" x14ac:dyDescent="0.2">
      <c r="A1485" s="2" t="s">
        <v>1474</v>
      </c>
      <c r="B1485" s="2" t="s">
        <v>1475</v>
      </c>
      <c r="C1485" s="2" t="s">
        <v>32</v>
      </c>
      <c r="D1485" s="2" t="s">
        <v>2954</v>
      </c>
      <c r="E1485" s="5">
        <v>44956</v>
      </c>
      <c r="F1485" s="2">
        <v>425</v>
      </c>
      <c r="G1485" s="2" t="s">
        <v>17</v>
      </c>
      <c r="H1485" s="2" t="s">
        <v>23</v>
      </c>
      <c r="I1485" s="6">
        <v>0.12</v>
      </c>
      <c r="J1485" s="2" t="str">
        <f t="shared" si="23"/>
        <v>2023-01</v>
      </c>
    </row>
    <row r="1486" spans="1:10" x14ac:dyDescent="0.2">
      <c r="A1486" s="2" t="s">
        <v>444</v>
      </c>
      <c r="B1486" s="2" t="s">
        <v>34</v>
      </c>
      <c r="C1486" s="2" t="s">
        <v>16</v>
      </c>
      <c r="D1486" s="2" t="s">
        <v>2954</v>
      </c>
      <c r="E1486" s="5">
        <v>44956</v>
      </c>
      <c r="F1486" s="2">
        <v>3000</v>
      </c>
      <c r="G1486" s="2" t="s">
        <v>17</v>
      </c>
      <c r="H1486" s="2" t="s">
        <v>23</v>
      </c>
      <c r="I1486" s="6" t="s">
        <v>2954</v>
      </c>
      <c r="J1486" s="2" t="str">
        <f t="shared" si="23"/>
        <v>2023-01</v>
      </c>
    </row>
    <row r="1487" spans="1:10" x14ac:dyDescent="0.2">
      <c r="A1487" s="2" t="s">
        <v>1476</v>
      </c>
      <c r="B1487" s="2" t="s">
        <v>619</v>
      </c>
      <c r="C1487" s="2" t="s">
        <v>195</v>
      </c>
      <c r="D1487" s="2" t="s">
        <v>2954</v>
      </c>
      <c r="E1487" s="5">
        <v>44955</v>
      </c>
      <c r="F1487" s="2">
        <v>43</v>
      </c>
      <c r="G1487" s="2" t="s">
        <v>37</v>
      </c>
      <c r="H1487" s="2" t="s">
        <v>321</v>
      </c>
      <c r="I1487" s="6" t="s">
        <v>2954</v>
      </c>
      <c r="J1487" s="2" t="str">
        <f t="shared" si="23"/>
        <v>2023-01</v>
      </c>
    </row>
    <row r="1488" spans="1:10" x14ac:dyDescent="0.2">
      <c r="A1488" s="2" t="s">
        <v>1477</v>
      </c>
      <c r="B1488" s="2" t="s">
        <v>661</v>
      </c>
      <c r="C1488" s="2" t="s">
        <v>16</v>
      </c>
      <c r="D1488" s="2">
        <v>60</v>
      </c>
      <c r="E1488" s="5">
        <v>44954</v>
      </c>
      <c r="F1488" s="2" t="s">
        <v>2954</v>
      </c>
      <c r="G1488" s="2" t="s">
        <v>12</v>
      </c>
      <c r="H1488" s="2" t="s">
        <v>662</v>
      </c>
      <c r="I1488" s="6">
        <v>0.5</v>
      </c>
      <c r="J1488" s="2" t="str">
        <f t="shared" si="23"/>
        <v>2023-01</v>
      </c>
    </row>
    <row r="1489" spans="1:10" x14ac:dyDescent="0.2">
      <c r="A1489" s="2" t="s">
        <v>1478</v>
      </c>
      <c r="B1489" s="2" t="s">
        <v>34</v>
      </c>
      <c r="C1489" s="2" t="s">
        <v>22</v>
      </c>
      <c r="D1489" s="2">
        <v>19</v>
      </c>
      <c r="E1489" s="5">
        <v>44954</v>
      </c>
      <c r="F1489" s="2">
        <v>101</v>
      </c>
      <c r="G1489" s="2" t="s">
        <v>41</v>
      </c>
      <c r="H1489" s="2" t="s">
        <v>23</v>
      </c>
      <c r="I1489" s="6" t="s">
        <v>2954</v>
      </c>
      <c r="J1489" s="2" t="str">
        <f t="shared" si="23"/>
        <v>2023-01</v>
      </c>
    </row>
    <row r="1490" spans="1:10" x14ac:dyDescent="0.2">
      <c r="A1490" s="2" t="s">
        <v>1479</v>
      </c>
      <c r="B1490" s="2" t="s">
        <v>188</v>
      </c>
      <c r="C1490" s="2" t="s">
        <v>142</v>
      </c>
      <c r="D1490" s="2">
        <v>138</v>
      </c>
      <c r="E1490" s="5">
        <v>44953</v>
      </c>
      <c r="F1490" s="2" t="s">
        <v>2954</v>
      </c>
      <c r="G1490" s="2" t="s">
        <v>41</v>
      </c>
      <c r="H1490" s="2" t="s">
        <v>106</v>
      </c>
      <c r="I1490" s="6">
        <v>7.0000000000000007E-2</v>
      </c>
      <c r="J1490" s="2" t="str">
        <f t="shared" si="23"/>
        <v>2023-01</v>
      </c>
    </row>
    <row r="1491" spans="1:10" x14ac:dyDescent="0.2">
      <c r="A1491" s="2" t="s">
        <v>706</v>
      </c>
      <c r="B1491" s="2" t="s">
        <v>100</v>
      </c>
      <c r="C1491" s="2" t="s">
        <v>142</v>
      </c>
      <c r="D1491" s="2">
        <v>100</v>
      </c>
      <c r="E1491" s="5">
        <v>44953</v>
      </c>
      <c r="F1491" s="2">
        <v>390</v>
      </c>
      <c r="G1491" s="2" t="s">
        <v>128</v>
      </c>
      <c r="H1491" s="2" t="s">
        <v>98</v>
      </c>
      <c r="I1491" s="6">
        <v>0.06</v>
      </c>
      <c r="J1491" s="2" t="str">
        <f t="shared" si="23"/>
        <v>2023-01</v>
      </c>
    </row>
    <row r="1492" spans="1:10" x14ac:dyDescent="0.2">
      <c r="A1492" s="2" t="s">
        <v>1480</v>
      </c>
      <c r="B1492" s="2" t="s">
        <v>47</v>
      </c>
      <c r="C1492" s="2" t="s">
        <v>142</v>
      </c>
      <c r="D1492" s="2">
        <v>100</v>
      </c>
      <c r="E1492" s="5">
        <v>44953</v>
      </c>
      <c r="F1492" s="2" t="s">
        <v>2954</v>
      </c>
      <c r="G1492" s="2" t="s">
        <v>132</v>
      </c>
      <c r="H1492" s="2" t="s">
        <v>23</v>
      </c>
      <c r="I1492" s="6" t="s">
        <v>2954</v>
      </c>
      <c r="J1492" s="2" t="str">
        <f t="shared" si="23"/>
        <v>2023-01</v>
      </c>
    </row>
    <row r="1493" spans="1:10" x14ac:dyDescent="0.2">
      <c r="A1493" s="2" t="s">
        <v>1481</v>
      </c>
      <c r="B1493" s="2" t="s">
        <v>34</v>
      </c>
      <c r="C1493" s="2" t="s">
        <v>29</v>
      </c>
      <c r="D1493" s="2">
        <v>100</v>
      </c>
      <c r="E1493" s="5">
        <v>44953</v>
      </c>
      <c r="F1493" s="2" t="s">
        <v>2954</v>
      </c>
      <c r="G1493" s="2" t="s">
        <v>17</v>
      </c>
      <c r="H1493" s="2" t="s">
        <v>23</v>
      </c>
      <c r="I1493" s="6" t="s">
        <v>2954</v>
      </c>
      <c r="J1493" s="2" t="str">
        <f t="shared" si="23"/>
        <v>2023-01</v>
      </c>
    </row>
    <row r="1494" spans="1:10" x14ac:dyDescent="0.2">
      <c r="A1494" s="2" t="s">
        <v>1482</v>
      </c>
      <c r="B1494" s="2" t="s">
        <v>74</v>
      </c>
      <c r="C1494" s="2" t="s">
        <v>52</v>
      </c>
      <c r="D1494" s="2">
        <v>73</v>
      </c>
      <c r="E1494" s="5">
        <v>44953</v>
      </c>
      <c r="F1494" s="2" t="s">
        <v>2954</v>
      </c>
      <c r="G1494" s="2" t="s">
        <v>12</v>
      </c>
      <c r="H1494" s="2" t="s">
        <v>76</v>
      </c>
      <c r="I1494" s="6" t="s">
        <v>2954</v>
      </c>
      <c r="J1494" s="2" t="str">
        <f t="shared" si="23"/>
        <v>2023-01</v>
      </c>
    </row>
    <row r="1495" spans="1:10" x14ac:dyDescent="0.2">
      <c r="A1495" s="2" t="s">
        <v>1483</v>
      </c>
      <c r="B1495" s="2" t="s">
        <v>217</v>
      </c>
      <c r="C1495" s="2" t="s">
        <v>22</v>
      </c>
      <c r="D1495" s="2">
        <v>29</v>
      </c>
      <c r="E1495" s="5">
        <v>44953</v>
      </c>
      <c r="F1495" s="2">
        <v>100</v>
      </c>
      <c r="G1495" s="2" t="s">
        <v>66</v>
      </c>
      <c r="H1495" s="2" t="s">
        <v>217</v>
      </c>
      <c r="I1495" s="6">
        <v>0.1</v>
      </c>
      <c r="J1495" s="2" t="str">
        <f t="shared" si="23"/>
        <v>2023-01</v>
      </c>
    </row>
    <row r="1496" spans="1:10" x14ac:dyDescent="0.2">
      <c r="A1496" s="2" t="s">
        <v>1484</v>
      </c>
      <c r="B1496" s="2" t="s">
        <v>188</v>
      </c>
      <c r="C1496" s="2" t="s">
        <v>22</v>
      </c>
      <c r="D1496" s="2">
        <v>21</v>
      </c>
      <c r="E1496" s="5">
        <v>44953</v>
      </c>
      <c r="F1496" s="2">
        <v>45</v>
      </c>
      <c r="G1496" s="2" t="s">
        <v>41</v>
      </c>
      <c r="H1496" s="2" t="s">
        <v>106</v>
      </c>
      <c r="I1496" s="6">
        <v>0.25</v>
      </c>
      <c r="J1496" s="2" t="str">
        <f t="shared" si="23"/>
        <v>2023-01</v>
      </c>
    </row>
    <row r="1497" spans="1:10" x14ac:dyDescent="0.2">
      <c r="A1497" s="2" t="s">
        <v>1485</v>
      </c>
      <c r="B1497" s="2" t="s">
        <v>335</v>
      </c>
      <c r="C1497" s="2" t="s">
        <v>26</v>
      </c>
      <c r="D1497" s="2">
        <v>19</v>
      </c>
      <c r="E1497" s="5">
        <v>44953</v>
      </c>
      <c r="F1497" s="2">
        <v>21</v>
      </c>
      <c r="G1497" s="2" t="s">
        <v>37</v>
      </c>
      <c r="H1497" s="2" t="s">
        <v>106</v>
      </c>
      <c r="I1497" s="6">
        <v>0.17</v>
      </c>
      <c r="J1497" s="2" t="str">
        <f t="shared" si="23"/>
        <v>2023-01</v>
      </c>
    </row>
    <row r="1498" spans="1:10" x14ac:dyDescent="0.2">
      <c r="A1498" s="2" t="s">
        <v>1486</v>
      </c>
      <c r="B1498" s="2" t="s">
        <v>34</v>
      </c>
      <c r="C1498" s="2" t="s">
        <v>32</v>
      </c>
      <c r="D1498" s="2" t="s">
        <v>2954</v>
      </c>
      <c r="E1498" s="5">
        <v>44953</v>
      </c>
      <c r="F1498" s="2">
        <v>18</v>
      </c>
      <c r="G1498" s="2" t="s">
        <v>41</v>
      </c>
      <c r="H1498" s="2" t="s">
        <v>23</v>
      </c>
      <c r="I1498" s="6" t="s">
        <v>2954</v>
      </c>
      <c r="J1498" s="2" t="str">
        <f t="shared" si="23"/>
        <v>2023-01</v>
      </c>
    </row>
    <row r="1499" spans="1:10" x14ac:dyDescent="0.2">
      <c r="A1499" s="2" t="s">
        <v>1487</v>
      </c>
      <c r="B1499" s="2" t="s">
        <v>1488</v>
      </c>
      <c r="C1499" s="2" t="s">
        <v>16</v>
      </c>
      <c r="D1499" s="2" t="s">
        <v>2954</v>
      </c>
      <c r="E1499" s="5">
        <v>44953</v>
      </c>
      <c r="F1499" s="2">
        <v>273</v>
      </c>
      <c r="G1499" s="2" t="s">
        <v>12</v>
      </c>
      <c r="H1499" s="2" t="s">
        <v>1489</v>
      </c>
      <c r="I1499" s="6" t="s">
        <v>2954</v>
      </c>
      <c r="J1499" s="2" t="str">
        <f t="shared" si="23"/>
        <v>2023-01</v>
      </c>
    </row>
    <row r="1500" spans="1:10" x14ac:dyDescent="0.2">
      <c r="A1500" s="2" t="s">
        <v>1490</v>
      </c>
      <c r="B1500" s="2" t="s">
        <v>25</v>
      </c>
      <c r="C1500" s="2" t="s">
        <v>142</v>
      </c>
      <c r="D1500" s="2" t="s">
        <v>2954</v>
      </c>
      <c r="E1500" s="5">
        <v>44953</v>
      </c>
      <c r="F1500" s="2">
        <v>47</v>
      </c>
      <c r="G1500" s="2" t="s">
        <v>41</v>
      </c>
      <c r="H1500" s="2" t="s">
        <v>23</v>
      </c>
      <c r="I1500" s="6" t="s">
        <v>2954</v>
      </c>
      <c r="J1500" s="2" t="str">
        <f t="shared" si="23"/>
        <v>2023-01</v>
      </c>
    </row>
    <row r="1501" spans="1:10" x14ac:dyDescent="0.2">
      <c r="A1501" s="2" t="s">
        <v>1491</v>
      </c>
      <c r="B1501" s="2" t="s">
        <v>74</v>
      </c>
      <c r="C1501" s="2" t="s">
        <v>29</v>
      </c>
      <c r="D1501" s="2" t="s">
        <v>2954</v>
      </c>
      <c r="E1501" s="5">
        <v>44953</v>
      </c>
      <c r="F1501" s="2" t="s">
        <v>2954</v>
      </c>
      <c r="G1501" s="2" t="s">
        <v>12</v>
      </c>
      <c r="H1501" s="2" t="s">
        <v>76</v>
      </c>
      <c r="I1501" s="6">
        <v>0.08</v>
      </c>
      <c r="J1501" s="2" t="str">
        <f t="shared" si="23"/>
        <v>2023-01</v>
      </c>
    </row>
    <row r="1502" spans="1:10" x14ac:dyDescent="0.2">
      <c r="A1502" s="2" t="s">
        <v>385</v>
      </c>
      <c r="B1502" s="2" t="s">
        <v>386</v>
      </c>
      <c r="C1502" s="2" t="s">
        <v>29</v>
      </c>
      <c r="D1502" s="2">
        <v>3000</v>
      </c>
      <c r="E1502" s="5">
        <v>44952</v>
      </c>
      <c r="F1502" s="2">
        <v>1300</v>
      </c>
      <c r="G1502" s="2" t="s">
        <v>17</v>
      </c>
      <c r="H1502" s="2" t="s">
        <v>76</v>
      </c>
      <c r="I1502" s="6">
        <v>0.03</v>
      </c>
      <c r="J1502" s="2" t="str">
        <f t="shared" si="23"/>
        <v>2023-01</v>
      </c>
    </row>
    <row r="1503" spans="1:10" x14ac:dyDescent="0.2">
      <c r="A1503" s="2" t="s">
        <v>1492</v>
      </c>
      <c r="B1503" s="2" t="s">
        <v>34</v>
      </c>
      <c r="C1503" s="2" t="s">
        <v>243</v>
      </c>
      <c r="D1503" s="2">
        <v>221</v>
      </c>
      <c r="E1503" s="5">
        <v>44952</v>
      </c>
      <c r="F1503" s="2">
        <v>455</v>
      </c>
      <c r="G1503" s="2" t="s">
        <v>17</v>
      </c>
      <c r="H1503" s="2" t="s">
        <v>23</v>
      </c>
      <c r="I1503" s="6">
        <v>0.08</v>
      </c>
      <c r="J1503" s="2" t="str">
        <f t="shared" si="23"/>
        <v>2023-01</v>
      </c>
    </row>
    <row r="1504" spans="1:10" x14ac:dyDescent="0.2">
      <c r="A1504" s="2" t="s">
        <v>1493</v>
      </c>
      <c r="B1504" s="2" t="s">
        <v>54</v>
      </c>
      <c r="C1504" s="2" t="s">
        <v>44</v>
      </c>
      <c r="D1504" s="2">
        <v>25</v>
      </c>
      <c r="E1504" s="5">
        <v>44952</v>
      </c>
      <c r="F1504" s="2">
        <v>1</v>
      </c>
      <c r="G1504" s="2" t="s">
        <v>12</v>
      </c>
      <c r="H1504" s="2" t="s">
        <v>55</v>
      </c>
      <c r="I1504" s="6">
        <v>1</v>
      </c>
      <c r="J1504" s="2" t="str">
        <f t="shared" si="23"/>
        <v>2023-01</v>
      </c>
    </row>
    <row r="1505" spans="1:10" x14ac:dyDescent="0.2">
      <c r="A1505" s="2" t="s">
        <v>1494</v>
      </c>
      <c r="B1505" s="2" t="s">
        <v>1495</v>
      </c>
      <c r="C1505" s="2" t="s">
        <v>16</v>
      </c>
      <c r="D1505" s="2" t="s">
        <v>2954</v>
      </c>
      <c r="E1505" s="5">
        <v>44952</v>
      </c>
      <c r="F1505" s="2">
        <v>550</v>
      </c>
      <c r="G1505" s="2" t="s">
        <v>75</v>
      </c>
      <c r="H1505" s="2" t="s">
        <v>23</v>
      </c>
      <c r="I1505" s="6">
        <v>0.2</v>
      </c>
      <c r="J1505" s="2" t="str">
        <f t="shared" si="23"/>
        <v>2023-01</v>
      </c>
    </row>
    <row r="1506" spans="1:10" x14ac:dyDescent="0.2">
      <c r="A1506" s="2" t="s">
        <v>1496</v>
      </c>
      <c r="B1506" s="2" t="s">
        <v>54</v>
      </c>
      <c r="C1506" s="2" t="s">
        <v>16</v>
      </c>
      <c r="D1506" s="2" t="s">
        <v>2954</v>
      </c>
      <c r="E1506" s="5">
        <v>44952</v>
      </c>
      <c r="F1506" s="2" t="s">
        <v>2954</v>
      </c>
      <c r="G1506" s="2" t="s">
        <v>17</v>
      </c>
      <c r="H1506" s="2" t="s">
        <v>55</v>
      </c>
      <c r="I1506" s="6">
        <v>1</v>
      </c>
      <c r="J1506" s="2" t="str">
        <f t="shared" si="23"/>
        <v>2023-01</v>
      </c>
    </row>
    <row r="1507" spans="1:10" x14ac:dyDescent="0.2">
      <c r="A1507" s="2" t="s">
        <v>1497</v>
      </c>
      <c r="B1507" s="2" t="s">
        <v>1236</v>
      </c>
      <c r="C1507" s="2" t="s">
        <v>29</v>
      </c>
      <c r="D1507" s="2" t="s">
        <v>2954</v>
      </c>
      <c r="E1507" s="5">
        <v>44952</v>
      </c>
      <c r="F1507" s="2">
        <v>43</v>
      </c>
      <c r="G1507" s="2" t="s">
        <v>37</v>
      </c>
      <c r="H1507" s="2" t="s">
        <v>23</v>
      </c>
      <c r="I1507" s="6">
        <v>0.1</v>
      </c>
      <c r="J1507" s="2" t="str">
        <f t="shared" si="23"/>
        <v>2023-01</v>
      </c>
    </row>
    <row r="1508" spans="1:10" x14ac:dyDescent="0.2">
      <c r="A1508" s="2" t="s">
        <v>1498</v>
      </c>
      <c r="B1508" s="2" t="s">
        <v>34</v>
      </c>
      <c r="C1508" s="2" t="s">
        <v>35</v>
      </c>
      <c r="D1508" s="2" t="s">
        <v>2954</v>
      </c>
      <c r="E1508" s="5">
        <v>44952</v>
      </c>
      <c r="F1508" s="2">
        <v>226</v>
      </c>
      <c r="G1508" s="2" t="s">
        <v>75</v>
      </c>
      <c r="H1508" s="2" t="s">
        <v>23</v>
      </c>
      <c r="I1508" s="6" t="s">
        <v>2954</v>
      </c>
      <c r="J1508" s="2" t="str">
        <f t="shared" si="23"/>
        <v>2023-01</v>
      </c>
    </row>
    <row r="1509" spans="1:10" x14ac:dyDescent="0.2">
      <c r="A1509" s="2" t="s">
        <v>233</v>
      </c>
      <c r="B1509" s="2" t="s">
        <v>25</v>
      </c>
      <c r="C1509" s="2" t="s">
        <v>103</v>
      </c>
      <c r="D1509" s="2">
        <v>3900</v>
      </c>
      <c r="E1509" s="5">
        <v>44951</v>
      </c>
      <c r="F1509" s="2" t="s">
        <v>2954</v>
      </c>
      <c r="G1509" s="2" t="s">
        <v>17</v>
      </c>
      <c r="H1509" s="2" t="s">
        <v>23</v>
      </c>
      <c r="I1509" s="6">
        <v>0.02</v>
      </c>
      <c r="J1509" s="2" t="str">
        <f t="shared" si="23"/>
        <v>2023-01</v>
      </c>
    </row>
    <row r="1510" spans="1:10" x14ac:dyDescent="0.2">
      <c r="A1510" s="2" t="s">
        <v>1499</v>
      </c>
      <c r="B1510" s="2" t="s">
        <v>34</v>
      </c>
      <c r="C1510" s="2" t="s">
        <v>103</v>
      </c>
      <c r="D1510" s="2">
        <v>1300</v>
      </c>
      <c r="E1510" s="5">
        <v>44951</v>
      </c>
      <c r="F1510" s="2" t="s">
        <v>2954</v>
      </c>
      <c r="G1510" s="2" t="s">
        <v>17</v>
      </c>
      <c r="H1510" s="2" t="s">
        <v>23</v>
      </c>
      <c r="I1510" s="6">
        <v>7.0000000000000007E-2</v>
      </c>
      <c r="J1510" s="2" t="str">
        <f t="shared" si="23"/>
        <v>2023-01</v>
      </c>
    </row>
    <row r="1511" spans="1:10" x14ac:dyDescent="0.2">
      <c r="A1511" s="2" t="s">
        <v>806</v>
      </c>
      <c r="B1511" s="2" t="s">
        <v>34</v>
      </c>
      <c r="C1511" s="2" t="s">
        <v>142</v>
      </c>
      <c r="D1511" s="2">
        <v>360</v>
      </c>
      <c r="E1511" s="5">
        <v>44951</v>
      </c>
      <c r="F1511" s="2">
        <v>50</v>
      </c>
      <c r="G1511" s="2" t="s">
        <v>45</v>
      </c>
      <c r="H1511" s="2" t="s">
        <v>23</v>
      </c>
      <c r="I1511" s="6" t="s">
        <v>2954</v>
      </c>
      <c r="J1511" s="2" t="str">
        <f t="shared" si="23"/>
        <v>2023-01</v>
      </c>
    </row>
    <row r="1512" spans="1:10" x14ac:dyDescent="0.2">
      <c r="A1512" s="2" t="s">
        <v>1500</v>
      </c>
      <c r="B1512" s="2" t="s">
        <v>54</v>
      </c>
      <c r="C1512" s="2" t="s">
        <v>22</v>
      </c>
      <c r="D1512" s="2">
        <v>330</v>
      </c>
      <c r="E1512" s="5">
        <v>44951</v>
      </c>
      <c r="F1512" s="2">
        <v>13</v>
      </c>
      <c r="G1512" s="2" t="s">
        <v>45</v>
      </c>
      <c r="H1512" s="2" t="s">
        <v>55</v>
      </c>
      <c r="I1512" s="7" t="s">
        <v>1402</v>
      </c>
      <c r="J1512" s="2" t="str">
        <f t="shared" si="23"/>
        <v>2023-01</v>
      </c>
    </row>
    <row r="1513" spans="1:10" x14ac:dyDescent="0.2">
      <c r="A1513" s="2" t="s">
        <v>1501</v>
      </c>
      <c r="B1513" s="2" t="s">
        <v>1033</v>
      </c>
      <c r="C1513" s="2" t="s">
        <v>148</v>
      </c>
      <c r="D1513" s="2">
        <v>250</v>
      </c>
      <c r="E1513" s="5">
        <v>44951</v>
      </c>
      <c r="F1513" s="2" t="s">
        <v>2954</v>
      </c>
      <c r="G1513" s="2" t="s">
        <v>12</v>
      </c>
      <c r="H1513" s="2" t="s">
        <v>23</v>
      </c>
      <c r="I1513" s="6">
        <v>0.25</v>
      </c>
      <c r="J1513" s="2" t="str">
        <f t="shared" si="23"/>
        <v>2023-01</v>
      </c>
    </row>
    <row r="1514" spans="1:10" x14ac:dyDescent="0.2">
      <c r="A1514" s="2" t="s">
        <v>1502</v>
      </c>
      <c r="B1514" s="2" t="s">
        <v>34</v>
      </c>
      <c r="C1514" s="2" t="s">
        <v>32</v>
      </c>
      <c r="D1514" s="2">
        <v>130</v>
      </c>
      <c r="E1514" s="5">
        <v>44951</v>
      </c>
      <c r="F1514" s="2">
        <v>550</v>
      </c>
      <c r="G1514" s="2" t="s">
        <v>17</v>
      </c>
      <c r="H1514" s="2" t="s">
        <v>23</v>
      </c>
      <c r="I1514" s="6">
        <v>7.0000000000000007E-2</v>
      </c>
      <c r="J1514" s="2" t="str">
        <f t="shared" si="23"/>
        <v>2023-01</v>
      </c>
    </row>
    <row r="1515" spans="1:10" x14ac:dyDescent="0.2">
      <c r="A1515" s="2" t="s">
        <v>1503</v>
      </c>
      <c r="B1515" s="2" t="s">
        <v>28</v>
      </c>
      <c r="C1515" s="2" t="s">
        <v>632</v>
      </c>
      <c r="D1515" s="2">
        <v>130</v>
      </c>
      <c r="E1515" s="5">
        <v>44951</v>
      </c>
      <c r="F1515" s="2">
        <v>171</v>
      </c>
      <c r="G1515" s="2" t="s">
        <v>75</v>
      </c>
      <c r="H1515" s="2" t="s">
        <v>23</v>
      </c>
      <c r="I1515" s="6">
        <v>0.15</v>
      </c>
      <c r="J1515" s="2" t="str">
        <f t="shared" si="23"/>
        <v>2023-01</v>
      </c>
    </row>
    <row r="1516" spans="1:10" x14ac:dyDescent="0.2">
      <c r="A1516" s="2" t="s">
        <v>546</v>
      </c>
      <c r="B1516" s="2" t="s">
        <v>74</v>
      </c>
      <c r="C1516" s="2" t="s">
        <v>52</v>
      </c>
      <c r="D1516" s="2">
        <v>80</v>
      </c>
      <c r="E1516" s="5">
        <v>44951</v>
      </c>
      <c r="F1516" s="2">
        <v>646</v>
      </c>
      <c r="G1516" s="2" t="s">
        <v>75</v>
      </c>
      <c r="H1516" s="2" t="s">
        <v>76</v>
      </c>
      <c r="I1516" s="6">
        <v>7.0000000000000007E-2</v>
      </c>
      <c r="J1516" s="2" t="str">
        <f t="shared" si="23"/>
        <v>2023-01</v>
      </c>
    </row>
    <row r="1517" spans="1:10" x14ac:dyDescent="0.2">
      <c r="A1517" s="2" t="s">
        <v>995</v>
      </c>
      <c r="B1517" s="2" t="s">
        <v>47</v>
      </c>
      <c r="C1517" s="2" t="s">
        <v>32</v>
      </c>
      <c r="D1517" s="2" t="s">
        <v>2954</v>
      </c>
      <c r="E1517" s="5">
        <v>44951</v>
      </c>
      <c r="F1517" s="2">
        <v>51</v>
      </c>
      <c r="G1517" s="2" t="s">
        <v>41</v>
      </c>
      <c r="H1517" s="2" t="s">
        <v>23</v>
      </c>
      <c r="I1517" s="6" t="s">
        <v>2954</v>
      </c>
      <c r="J1517" s="2" t="str">
        <f t="shared" si="23"/>
        <v>2023-01</v>
      </c>
    </row>
    <row r="1518" spans="1:10" x14ac:dyDescent="0.2">
      <c r="A1518" s="2" t="s">
        <v>834</v>
      </c>
      <c r="B1518" s="2" t="s">
        <v>15</v>
      </c>
      <c r="C1518" s="2" t="s">
        <v>16</v>
      </c>
      <c r="D1518" s="2" t="s">
        <v>2954</v>
      </c>
      <c r="E1518" s="5">
        <v>44951</v>
      </c>
      <c r="F1518" s="2" t="s">
        <v>2954</v>
      </c>
      <c r="G1518" s="2" t="s">
        <v>12</v>
      </c>
      <c r="H1518" s="2" t="s">
        <v>18</v>
      </c>
      <c r="I1518" s="6" t="s">
        <v>2954</v>
      </c>
      <c r="J1518" s="2" t="str">
        <f t="shared" si="23"/>
        <v>2023-01</v>
      </c>
    </row>
    <row r="1519" spans="1:10" x14ac:dyDescent="0.2">
      <c r="A1519" s="2" t="s">
        <v>360</v>
      </c>
      <c r="B1519" s="2" t="s">
        <v>25</v>
      </c>
      <c r="C1519" s="2" t="s">
        <v>117</v>
      </c>
      <c r="D1519" s="2" t="s">
        <v>2954</v>
      </c>
      <c r="E1519" s="5">
        <v>44951</v>
      </c>
      <c r="F1519" s="2">
        <v>657</v>
      </c>
      <c r="G1519" s="2" t="s">
        <v>62</v>
      </c>
      <c r="H1519" s="2" t="s">
        <v>23</v>
      </c>
      <c r="I1519" s="6" t="s">
        <v>2954</v>
      </c>
      <c r="J1519" s="2" t="str">
        <f t="shared" si="23"/>
        <v>2023-01</v>
      </c>
    </row>
    <row r="1520" spans="1:10" x14ac:dyDescent="0.2">
      <c r="A1520" s="2" t="s">
        <v>1504</v>
      </c>
      <c r="B1520" s="2" t="s">
        <v>661</v>
      </c>
      <c r="C1520" s="2" t="s">
        <v>16</v>
      </c>
      <c r="D1520" s="2" t="s">
        <v>2954</v>
      </c>
      <c r="E1520" s="5">
        <v>44951</v>
      </c>
      <c r="F1520" s="2" t="s">
        <v>2954</v>
      </c>
      <c r="G1520" s="2" t="s">
        <v>17</v>
      </c>
      <c r="H1520" s="2" t="s">
        <v>662</v>
      </c>
      <c r="I1520" s="6">
        <v>7.0000000000000007E-2</v>
      </c>
      <c r="J1520" s="2" t="str">
        <f t="shared" si="23"/>
        <v>2023-01</v>
      </c>
    </row>
    <row r="1521" spans="1:10" x14ac:dyDescent="0.2">
      <c r="A1521" s="2" t="s">
        <v>1505</v>
      </c>
      <c r="B1521" s="2" t="s">
        <v>245</v>
      </c>
      <c r="C1521" s="2" t="s">
        <v>29</v>
      </c>
      <c r="D1521" s="2" t="s">
        <v>2954</v>
      </c>
      <c r="E1521" s="5">
        <v>44951</v>
      </c>
      <c r="F1521" s="2" t="s">
        <v>2954</v>
      </c>
      <c r="G1521" s="2" t="s">
        <v>12</v>
      </c>
      <c r="H1521" s="2" t="s">
        <v>246</v>
      </c>
      <c r="I1521" s="6">
        <v>0.3</v>
      </c>
      <c r="J1521" s="2" t="str">
        <f t="shared" si="23"/>
        <v>2023-01</v>
      </c>
    </row>
    <row r="1522" spans="1:10" x14ac:dyDescent="0.2">
      <c r="A1522" s="2" t="s">
        <v>94</v>
      </c>
      <c r="B1522" s="2" t="s">
        <v>43</v>
      </c>
      <c r="C1522" s="2" t="s">
        <v>44</v>
      </c>
      <c r="D1522" s="2">
        <v>1300</v>
      </c>
      <c r="E1522" s="5">
        <v>44950</v>
      </c>
      <c r="F1522" s="2">
        <v>834</v>
      </c>
      <c r="G1522" s="2" t="s">
        <v>17</v>
      </c>
      <c r="H1522" s="2" t="s">
        <v>23</v>
      </c>
      <c r="I1522" s="6">
        <v>0.17</v>
      </c>
      <c r="J1522" s="2" t="str">
        <f t="shared" si="23"/>
        <v>2023-01</v>
      </c>
    </row>
    <row r="1523" spans="1:10" x14ac:dyDescent="0.2">
      <c r="A1523" s="2" t="s">
        <v>1506</v>
      </c>
      <c r="B1523" s="2" t="s">
        <v>34</v>
      </c>
      <c r="C1523" s="2" t="s">
        <v>32</v>
      </c>
      <c r="D1523" s="2">
        <v>245</v>
      </c>
      <c r="E1523" s="5">
        <v>44950</v>
      </c>
      <c r="F1523" s="2">
        <v>379</v>
      </c>
      <c r="G1523" s="2" t="s">
        <v>128</v>
      </c>
      <c r="H1523" s="2" t="s">
        <v>23</v>
      </c>
      <c r="I1523" s="6">
        <v>0.15</v>
      </c>
      <c r="J1523" s="2" t="str">
        <f t="shared" si="23"/>
        <v>2023-01</v>
      </c>
    </row>
    <row r="1524" spans="1:10" x14ac:dyDescent="0.2">
      <c r="A1524" s="2" t="s">
        <v>499</v>
      </c>
      <c r="B1524" s="2" t="s">
        <v>34</v>
      </c>
      <c r="C1524" s="2" t="s">
        <v>16</v>
      </c>
      <c r="D1524" s="2">
        <v>50</v>
      </c>
      <c r="E1524" s="5">
        <v>44950</v>
      </c>
      <c r="F1524" s="2">
        <v>1300</v>
      </c>
      <c r="G1524" s="2" t="s">
        <v>128</v>
      </c>
      <c r="H1524" s="2" t="s">
        <v>23</v>
      </c>
      <c r="I1524" s="6">
        <v>0.1</v>
      </c>
      <c r="J1524" s="2" t="str">
        <f t="shared" si="23"/>
        <v>2023-01</v>
      </c>
    </row>
    <row r="1525" spans="1:10" x14ac:dyDescent="0.2">
      <c r="A1525" s="2" t="s">
        <v>1507</v>
      </c>
      <c r="B1525" s="2" t="s">
        <v>335</v>
      </c>
      <c r="C1525" s="2" t="s">
        <v>50</v>
      </c>
      <c r="D1525" s="2">
        <v>40</v>
      </c>
      <c r="E1525" s="5">
        <v>44950</v>
      </c>
      <c r="F1525" s="2">
        <v>36</v>
      </c>
      <c r="G1525" s="2" t="s">
        <v>37</v>
      </c>
      <c r="H1525" s="2" t="s">
        <v>106</v>
      </c>
      <c r="I1525" s="6">
        <v>0.2</v>
      </c>
      <c r="J1525" s="2" t="str">
        <f t="shared" si="23"/>
        <v>2023-01</v>
      </c>
    </row>
    <row r="1526" spans="1:10" x14ac:dyDescent="0.2">
      <c r="A1526" s="2" t="s">
        <v>1508</v>
      </c>
      <c r="B1526" s="2" t="s">
        <v>1509</v>
      </c>
      <c r="C1526" s="2" t="s">
        <v>78</v>
      </c>
      <c r="D1526" s="2">
        <v>21</v>
      </c>
      <c r="E1526" s="5">
        <v>44950</v>
      </c>
      <c r="F1526" s="2">
        <v>41</v>
      </c>
      <c r="G1526" s="2" t="s">
        <v>41</v>
      </c>
      <c r="H1526" s="2" t="s">
        <v>76</v>
      </c>
      <c r="I1526" s="6">
        <v>0.28000000000000003</v>
      </c>
      <c r="J1526" s="2" t="str">
        <f t="shared" si="23"/>
        <v>2023-01</v>
      </c>
    </row>
    <row r="1527" spans="1:10" x14ac:dyDescent="0.2">
      <c r="A1527" s="2" t="s">
        <v>1510</v>
      </c>
      <c r="B1527" s="2" t="s">
        <v>414</v>
      </c>
      <c r="C1527" s="2" t="s">
        <v>32</v>
      </c>
      <c r="D1527" s="2">
        <v>16</v>
      </c>
      <c r="E1527" s="5">
        <v>44950</v>
      </c>
      <c r="F1527" s="2">
        <v>14</v>
      </c>
      <c r="G1527" s="2" t="s">
        <v>41</v>
      </c>
      <c r="H1527" s="2" t="s">
        <v>23</v>
      </c>
      <c r="I1527" s="6" t="s">
        <v>2954</v>
      </c>
      <c r="J1527" s="2" t="str">
        <f t="shared" si="23"/>
        <v>2023-01</v>
      </c>
    </row>
    <row r="1528" spans="1:10" x14ac:dyDescent="0.2">
      <c r="A1528" s="2" t="s">
        <v>1511</v>
      </c>
      <c r="B1528" s="2" t="s">
        <v>335</v>
      </c>
      <c r="C1528" s="2" t="s">
        <v>26</v>
      </c>
      <c r="D1528" s="2">
        <v>11</v>
      </c>
      <c r="E1528" s="5">
        <v>44950</v>
      </c>
      <c r="F1528" s="2" t="s">
        <v>2954</v>
      </c>
      <c r="G1528" s="2" t="s">
        <v>12</v>
      </c>
      <c r="H1528" s="2" t="s">
        <v>106</v>
      </c>
      <c r="I1528" s="6">
        <v>0.2</v>
      </c>
      <c r="J1528" s="2" t="str">
        <f t="shared" si="23"/>
        <v>2023-01</v>
      </c>
    </row>
    <row r="1529" spans="1:10" x14ac:dyDescent="0.2">
      <c r="A1529" s="2" t="s">
        <v>1044</v>
      </c>
      <c r="B1529" s="2" t="s">
        <v>74</v>
      </c>
      <c r="C1529" s="2" t="s">
        <v>68</v>
      </c>
      <c r="D1529" s="2" t="s">
        <v>2954</v>
      </c>
      <c r="E1529" s="5">
        <v>44950</v>
      </c>
      <c r="F1529" s="2">
        <v>332</v>
      </c>
      <c r="G1529" s="2" t="s">
        <v>66</v>
      </c>
      <c r="H1529" s="2" t="s">
        <v>76</v>
      </c>
      <c r="I1529" s="6">
        <v>0.1</v>
      </c>
      <c r="J1529" s="2" t="str">
        <f t="shared" si="23"/>
        <v>2023-01</v>
      </c>
    </row>
    <row r="1530" spans="1:10" x14ac:dyDescent="0.2">
      <c r="A1530" s="2" t="s">
        <v>1512</v>
      </c>
      <c r="B1530" s="2" t="s">
        <v>89</v>
      </c>
      <c r="C1530" s="2" t="s">
        <v>16</v>
      </c>
      <c r="D1530" s="2" t="s">
        <v>2954</v>
      </c>
      <c r="E1530" s="5">
        <v>44950</v>
      </c>
      <c r="F1530" s="2">
        <v>160</v>
      </c>
      <c r="G1530" s="2" t="s">
        <v>66</v>
      </c>
      <c r="H1530" s="2" t="s">
        <v>23</v>
      </c>
      <c r="I1530" s="6">
        <v>0.14000000000000001</v>
      </c>
      <c r="J1530" s="2" t="str">
        <f t="shared" si="23"/>
        <v>2023-01</v>
      </c>
    </row>
    <row r="1531" spans="1:10" x14ac:dyDescent="0.2">
      <c r="A1531" s="2" t="s">
        <v>1513</v>
      </c>
      <c r="B1531" s="2" t="s">
        <v>86</v>
      </c>
      <c r="C1531" s="2" t="s">
        <v>363</v>
      </c>
      <c r="D1531" s="2" t="s">
        <v>2954</v>
      </c>
      <c r="E1531" s="5">
        <v>44950</v>
      </c>
      <c r="F1531" s="2">
        <v>451</v>
      </c>
      <c r="G1531" s="2" t="s">
        <v>37</v>
      </c>
      <c r="H1531" s="2" t="s">
        <v>23</v>
      </c>
      <c r="I1531" s="6" t="s">
        <v>2954</v>
      </c>
      <c r="J1531" s="2" t="str">
        <f t="shared" si="23"/>
        <v>2023-01</v>
      </c>
    </row>
    <row r="1532" spans="1:10" x14ac:dyDescent="0.2">
      <c r="A1532" s="2" t="s">
        <v>1514</v>
      </c>
      <c r="B1532" s="2" t="s">
        <v>34</v>
      </c>
      <c r="C1532" s="2" t="s">
        <v>78</v>
      </c>
      <c r="D1532" s="2" t="s">
        <v>2954</v>
      </c>
      <c r="E1532" s="5">
        <v>44950</v>
      </c>
      <c r="F1532" s="2">
        <v>173</v>
      </c>
      <c r="G1532" s="2" t="s">
        <v>17</v>
      </c>
      <c r="H1532" s="2" t="s">
        <v>23</v>
      </c>
      <c r="I1532" s="6">
        <v>7.0000000000000007E-2</v>
      </c>
      <c r="J1532" s="2" t="str">
        <f t="shared" si="23"/>
        <v>2023-01</v>
      </c>
    </row>
    <row r="1533" spans="1:10" x14ac:dyDescent="0.2">
      <c r="A1533" s="2" t="s">
        <v>1515</v>
      </c>
      <c r="B1533" s="2" t="s">
        <v>54</v>
      </c>
      <c r="C1533" s="2" t="s">
        <v>68</v>
      </c>
      <c r="D1533" s="2" t="s">
        <v>2954</v>
      </c>
      <c r="E1533" s="5">
        <v>44950</v>
      </c>
      <c r="F1533" s="2">
        <v>23</v>
      </c>
      <c r="G1533" s="2" t="s">
        <v>37</v>
      </c>
      <c r="H1533" s="2" t="s">
        <v>55</v>
      </c>
      <c r="I1533" s="6">
        <v>0.09</v>
      </c>
      <c r="J1533" s="2" t="str">
        <f t="shared" si="23"/>
        <v>2023-01</v>
      </c>
    </row>
    <row r="1534" spans="1:10" x14ac:dyDescent="0.2">
      <c r="A1534" s="2" t="s">
        <v>530</v>
      </c>
      <c r="B1534" s="2" t="s">
        <v>287</v>
      </c>
      <c r="C1534" s="2" t="s">
        <v>235</v>
      </c>
      <c r="D1534" s="2">
        <v>600</v>
      </c>
      <c r="E1534" s="5">
        <v>44949</v>
      </c>
      <c r="F1534" s="2">
        <v>2100</v>
      </c>
      <c r="G1534" s="2" t="s">
        <v>17</v>
      </c>
      <c r="H1534" s="2" t="s">
        <v>291</v>
      </c>
      <c r="I1534" s="6">
        <v>0.06</v>
      </c>
      <c r="J1534" s="2" t="str">
        <f t="shared" si="23"/>
        <v>2023-01</v>
      </c>
    </row>
    <row r="1535" spans="1:10" x14ac:dyDescent="0.2">
      <c r="A1535" s="2" t="s">
        <v>449</v>
      </c>
      <c r="B1535" s="2" t="s">
        <v>34</v>
      </c>
      <c r="C1535" s="2" t="s">
        <v>170</v>
      </c>
      <c r="D1535" s="2">
        <v>150</v>
      </c>
      <c r="E1535" s="5">
        <v>44949</v>
      </c>
      <c r="F1535" s="2">
        <v>2700</v>
      </c>
      <c r="G1535" s="2" t="s">
        <v>214</v>
      </c>
      <c r="H1535" s="2" t="s">
        <v>23</v>
      </c>
      <c r="I1535" s="6">
        <v>0.03</v>
      </c>
      <c r="J1535" s="2" t="str">
        <f t="shared" si="23"/>
        <v>2023-01</v>
      </c>
    </row>
    <row r="1536" spans="1:10" x14ac:dyDescent="0.2">
      <c r="A1536" s="2" t="s">
        <v>428</v>
      </c>
      <c r="B1536" s="2" t="s">
        <v>100</v>
      </c>
      <c r="C1536" s="2" t="s">
        <v>26</v>
      </c>
      <c r="D1536" s="2">
        <v>50</v>
      </c>
      <c r="E1536" s="5">
        <v>44949</v>
      </c>
      <c r="F1536" s="2">
        <v>320</v>
      </c>
      <c r="G1536" s="2" t="s">
        <v>12</v>
      </c>
      <c r="H1536" s="2" t="s">
        <v>98</v>
      </c>
      <c r="I1536" s="6" t="s">
        <v>2954</v>
      </c>
      <c r="J1536" s="2" t="str">
        <f t="shared" si="23"/>
        <v>2023-01</v>
      </c>
    </row>
    <row r="1537" spans="1:10" x14ac:dyDescent="0.2">
      <c r="A1537" s="2" t="s">
        <v>1516</v>
      </c>
      <c r="B1537" s="2" t="s">
        <v>25</v>
      </c>
      <c r="C1537" s="2" t="s">
        <v>26</v>
      </c>
      <c r="D1537" s="2">
        <v>40</v>
      </c>
      <c r="E1537" s="5">
        <v>44949</v>
      </c>
      <c r="F1537" s="2">
        <v>295</v>
      </c>
      <c r="G1537" s="2" t="s">
        <v>17</v>
      </c>
      <c r="H1537" s="2" t="s">
        <v>23</v>
      </c>
      <c r="I1537" s="6">
        <v>0.1</v>
      </c>
      <c r="J1537" s="2" t="str">
        <f t="shared" si="23"/>
        <v>2023-01</v>
      </c>
    </row>
    <row r="1538" spans="1:10" x14ac:dyDescent="0.2">
      <c r="A1538" s="2" t="s">
        <v>1517</v>
      </c>
      <c r="B1538" s="2" t="s">
        <v>273</v>
      </c>
      <c r="C1538" s="2" t="s">
        <v>142</v>
      </c>
      <c r="D1538" s="2">
        <v>30</v>
      </c>
      <c r="E1538" s="5">
        <v>44949</v>
      </c>
      <c r="F1538" s="2">
        <v>23</v>
      </c>
      <c r="G1538" s="2" t="s">
        <v>41</v>
      </c>
      <c r="H1538" s="2" t="s">
        <v>274</v>
      </c>
      <c r="I1538" s="6" t="s">
        <v>2954</v>
      </c>
      <c r="J1538" s="2" t="str">
        <f t="shared" si="23"/>
        <v>2023-01</v>
      </c>
    </row>
    <row r="1539" spans="1:10" x14ac:dyDescent="0.2">
      <c r="A1539" s="2" t="s">
        <v>1518</v>
      </c>
      <c r="B1539" s="2" t="s">
        <v>34</v>
      </c>
      <c r="C1539" s="2" t="s">
        <v>195</v>
      </c>
      <c r="D1539" s="2">
        <v>30</v>
      </c>
      <c r="E1539" s="5">
        <v>44949</v>
      </c>
      <c r="F1539" s="2">
        <v>97</v>
      </c>
      <c r="G1539" s="2" t="s">
        <v>37</v>
      </c>
      <c r="H1539" s="2" t="s">
        <v>23</v>
      </c>
      <c r="I1539" s="6">
        <v>0.17</v>
      </c>
      <c r="J1539" s="2" t="str">
        <f t="shared" ref="J1539:J1602" si="24">TEXT(E1539,"YYYY-MM")</f>
        <v>2023-01</v>
      </c>
    </row>
    <row r="1540" spans="1:10" x14ac:dyDescent="0.2">
      <c r="A1540" s="2" t="s">
        <v>1519</v>
      </c>
      <c r="B1540" s="2" t="s">
        <v>15</v>
      </c>
      <c r="C1540" s="2" t="s">
        <v>26</v>
      </c>
      <c r="D1540" s="2">
        <v>20</v>
      </c>
      <c r="E1540" s="5">
        <v>44949</v>
      </c>
      <c r="F1540" s="2">
        <v>69</v>
      </c>
      <c r="G1540" s="2" t="s">
        <v>66</v>
      </c>
      <c r="H1540" s="2" t="s">
        <v>23</v>
      </c>
      <c r="I1540" s="6">
        <v>0.15</v>
      </c>
      <c r="J1540" s="2" t="str">
        <f t="shared" si="24"/>
        <v>2023-01</v>
      </c>
    </row>
    <row r="1541" spans="1:10" x14ac:dyDescent="0.2">
      <c r="A1541" s="2" t="s">
        <v>1520</v>
      </c>
      <c r="B1541" s="2" t="s">
        <v>255</v>
      </c>
      <c r="C1541" s="2" t="s">
        <v>61</v>
      </c>
      <c r="D1541" s="2" t="s">
        <v>2954</v>
      </c>
      <c r="E1541" s="5">
        <v>44949</v>
      </c>
      <c r="F1541" s="2">
        <v>16</v>
      </c>
      <c r="G1541" s="2" t="s">
        <v>41</v>
      </c>
      <c r="H1541" s="2" t="s">
        <v>98</v>
      </c>
      <c r="I1541" s="7" t="s">
        <v>1381</v>
      </c>
      <c r="J1541" s="2" t="str">
        <f t="shared" si="24"/>
        <v>2023-01</v>
      </c>
    </row>
    <row r="1542" spans="1:10" x14ac:dyDescent="0.2">
      <c r="A1542" s="2" t="s">
        <v>1521</v>
      </c>
      <c r="B1542" s="2" t="s">
        <v>25</v>
      </c>
      <c r="C1542" s="2" t="s">
        <v>22</v>
      </c>
      <c r="D1542" s="2" t="s">
        <v>2954</v>
      </c>
      <c r="E1542" s="5">
        <v>44949</v>
      </c>
      <c r="F1542" s="2">
        <v>423</v>
      </c>
      <c r="G1542" s="2" t="s">
        <v>12</v>
      </c>
      <c r="H1542" s="2" t="s">
        <v>23</v>
      </c>
      <c r="I1542" s="6">
        <v>0.1</v>
      </c>
      <c r="J1542" s="2" t="str">
        <f t="shared" si="24"/>
        <v>2023-01</v>
      </c>
    </row>
    <row r="1543" spans="1:10" x14ac:dyDescent="0.2">
      <c r="A1543" s="2" t="s">
        <v>24</v>
      </c>
      <c r="B1543" s="2" t="s">
        <v>25</v>
      </c>
      <c r="C1543" s="2" t="s">
        <v>26</v>
      </c>
      <c r="D1543" s="2" t="s">
        <v>2954</v>
      </c>
      <c r="E1543" s="5">
        <v>44949</v>
      </c>
      <c r="F1543" s="2">
        <v>117</v>
      </c>
      <c r="G1543" s="2" t="s">
        <v>17</v>
      </c>
      <c r="H1543" s="2" t="s">
        <v>23</v>
      </c>
      <c r="I1543" s="6">
        <v>0.08</v>
      </c>
      <c r="J1543" s="2" t="str">
        <f t="shared" si="24"/>
        <v>2023-01</v>
      </c>
    </row>
    <row r="1544" spans="1:10" x14ac:dyDescent="0.2">
      <c r="A1544" s="2" t="s">
        <v>1522</v>
      </c>
      <c r="B1544" s="2" t="s">
        <v>245</v>
      </c>
      <c r="C1544" s="2" t="s">
        <v>16</v>
      </c>
      <c r="D1544" s="2" t="s">
        <v>2954</v>
      </c>
      <c r="E1544" s="5">
        <v>44948</v>
      </c>
      <c r="F1544" s="2">
        <v>115</v>
      </c>
      <c r="G1544" s="2" t="s">
        <v>66</v>
      </c>
      <c r="H1544" s="2" t="s">
        <v>246</v>
      </c>
      <c r="I1544" s="6" t="s">
        <v>2954</v>
      </c>
      <c r="J1544" s="2" t="str">
        <f t="shared" si="24"/>
        <v>2023-01</v>
      </c>
    </row>
    <row r="1545" spans="1:10" x14ac:dyDescent="0.2">
      <c r="A1545" s="2" t="s">
        <v>33</v>
      </c>
      <c r="B1545" s="2" t="s">
        <v>34</v>
      </c>
      <c r="C1545" s="2" t="s">
        <v>35</v>
      </c>
      <c r="D1545" s="2">
        <v>12000</v>
      </c>
      <c r="E1545" s="5">
        <v>44946</v>
      </c>
      <c r="F1545" s="2">
        <v>26</v>
      </c>
      <c r="G1545" s="2" t="s">
        <v>17</v>
      </c>
      <c r="H1545" s="2" t="s">
        <v>23</v>
      </c>
      <c r="I1545" s="6">
        <v>0.06</v>
      </c>
      <c r="J1545" s="2" t="str">
        <f t="shared" si="24"/>
        <v>2023-01</v>
      </c>
    </row>
    <row r="1546" spans="1:10" x14ac:dyDescent="0.2">
      <c r="A1546" s="2" t="s">
        <v>403</v>
      </c>
      <c r="B1546" s="2" t="s">
        <v>89</v>
      </c>
      <c r="C1546" s="2" t="s">
        <v>142</v>
      </c>
      <c r="D1546" s="2">
        <v>1750</v>
      </c>
      <c r="E1546" s="5">
        <v>44946</v>
      </c>
      <c r="F1546" s="2">
        <v>1700</v>
      </c>
      <c r="G1546" s="2" t="s">
        <v>17</v>
      </c>
      <c r="H1546" s="2" t="s">
        <v>23</v>
      </c>
      <c r="I1546" s="6">
        <v>0.1</v>
      </c>
      <c r="J1546" s="2" t="str">
        <f t="shared" si="24"/>
        <v>2023-01</v>
      </c>
    </row>
    <row r="1547" spans="1:10" x14ac:dyDescent="0.2">
      <c r="A1547" s="2" t="s">
        <v>371</v>
      </c>
      <c r="B1547" s="2" t="s">
        <v>100</v>
      </c>
      <c r="C1547" s="2" t="s">
        <v>11</v>
      </c>
      <c r="D1547" s="2">
        <v>380</v>
      </c>
      <c r="E1547" s="5">
        <v>44946</v>
      </c>
      <c r="F1547" s="2">
        <v>3600</v>
      </c>
      <c r="G1547" s="2" t="s">
        <v>12</v>
      </c>
      <c r="H1547" s="2" t="s">
        <v>98</v>
      </c>
      <c r="I1547" s="6">
        <v>0.06</v>
      </c>
      <c r="J1547" s="2" t="str">
        <f t="shared" si="24"/>
        <v>2023-01</v>
      </c>
    </row>
    <row r="1548" spans="1:10" x14ac:dyDescent="0.2">
      <c r="A1548" s="2" t="s">
        <v>1523</v>
      </c>
      <c r="B1548" s="2" t="s">
        <v>100</v>
      </c>
      <c r="C1548" s="2" t="s">
        <v>32</v>
      </c>
      <c r="D1548" s="2">
        <v>200</v>
      </c>
      <c r="E1548" s="5">
        <v>44946</v>
      </c>
      <c r="F1548" s="2">
        <v>192</v>
      </c>
      <c r="G1548" s="2" t="s">
        <v>45</v>
      </c>
      <c r="H1548" s="2" t="s">
        <v>98</v>
      </c>
      <c r="I1548" s="6">
        <v>0.08</v>
      </c>
      <c r="J1548" s="2" t="str">
        <f t="shared" si="24"/>
        <v>2023-01</v>
      </c>
    </row>
    <row r="1549" spans="1:10" x14ac:dyDescent="0.2">
      <c r="A1549" s="2" t="s">
        <v>543</v>
      </c>
      <c r="B1549" s="2" t="s">
        <v>401</v>
      </c>
      <c r="C1549" s="2" t="s">
        <v>235</v>
      </c>
      <c r="D1549" s="2">
        <v>130</v>
      </c>
      <c r="E1549" s="5">
        <v>44946</v>
      </c>
      <c r="F1549" s="2">
        <v>307</v>
      </c>
      <c r="G1549" s="2" t="s">
        <v>62</v>
      </c>
      <c r="H1549" s="2" t="s">
        <v>23</v>
      </c>
      <c r="I1549" s="6">
        <v>7.0000000000000007E-2</v>
      </c>
      <c r="J1549" s="2" t="str">
        <f t="shared" si="24"/>
        <v>2023-01</v>
      </c>
    </row>
    <row r="1550" spans="1:10" x14ac:dyDescent="0.2">
      <c r="A1550" s="2" t="s">
        <v>1524</v>
      </c>
      <c r="B1550" s="2" t="s">
        <v>34</v>
      </c>
      <c r="C1550" s="2" t="s">
        <v>48</v>
      </c>
      <c r="D1550" s="2">
        <v>92</v>
      </c>
      <c r="E1550" s="5">
        <v>44946</v>
      </c>
      <c r="F1550" s="2" t="s">
        <v>2954</v>
      </c>
      <c r="G1550" s="2" t="s">
        <v>45</v>
      </c>
      <c r="H1550" s="2" t="s">
        <v>23</v>
      </c>
      <c r="I1550" s="6" t="s">
        <v>2954</v>
      </c>
      <c r="J1550" s="2" t="str">
        <f t="shared" si="24"/>
        <v>2023-01</v>
      </c>
    </row>
    <row r="1551" spans="1:10" x14ac:dyDescent="0.2">
      <c r="A1551" s="2" t="s">
        <v>963</v>
      </c>
      <c r="B1551" s="2" t="s">
        <v>28</v>
      </c>
      <c r="C1551" s="2" t="s">
        <v>68</v>
      </c>
      <c r="D1551" s="2">
        <v>47</v>
      </c>
      <c r="E1551" s="5">
        <v>44946</v>
      </c>
      <c r="F1551" s="2">
        <v>169</v>
      </c>
      <c r="G1551" s="2" t="s">
        <v>12</v>
      </c>
      <c r="H1551" s="2" t="s">
        <v>23</v>
      </c>
      <c r="I1551" s="6" t="s">
        <v>2954</v>
      </c>
      <c r="J1551" s="2" t="str">
        <f t="shared" si="24"/>
        <v>2023-01</v>
      </c>
    </row>
    <row r="1552" spans="1:10" x14ac:dyDescent="0.2">
      <c r="A1552" s="2" t="s">
        <v>1525</v>
      </c>
      <c r="B1552" s="2" t="s">
        <v>661</v>
      </c>
      <c r="C1552" s="2" t="s">
        <v>142</v>
      </c>
      <c r="D1552" s="2">
        <v>31</v>
      </c>
      <c r="E1552" s="5">
        <v>44946</v>
      </c>
      <c r="F1552" s="2">
        <v>14</v>
      </c>
      <c r="G1552" s="2" t="s">
        <v>12</v>
      </c>
      <c r="H1552" s="2" t="s">
        <v>662</v>
      </c>
      <c r="I1552" s="6">
        <v>0.1</v>
      </c>
      <c r="J1552" s="2" t="str">
        <f t="shared" si="24"/>
        <v>2023-01</v>
      </c>
    </row>
    <row r="1553" spans="1:10" x14ac:dyDescent="0.2">
      <c r="A1553" s="2" t="s">
        <v>1526</v>
      </c>
      <c r="B1553" s="2" t="s">
        <v>28</v>
      </c>
      <c r="C1553" s="2" t="s">
        <v>32</v>
      </c>
      <c r="D1553" s="2">
        <v>30</v>
      </c>
      <c r="E1553" s="5">
        <v>44946</v>
      </c>
      <c r="F1553" s="2">
        <v>1</v>
      </c>
      <c r="G1553" s="2" t="s">
        <v>12</v>
      </c>
      <c r="H1553" s="2" t="s">
        <v>23</v>
      </c>
      <c r="I1553" s="6" t="s">
        <v>2954</v>
      </c>
      <c r="J1553" s="2" t="str">
        <f t="shared" si="24"/>
        <v>2023-01</v>
      </c>
    </row>
    <row r="1554" spans="1:10" x14ac:dyDescent="0.2">
      <c r="A1554" s="2" t="s">
        <v>1527</v>
      </c>
      <c r="B1554" s="2" t="s">
        <v>34</v>
      </c>
      <c r="C1554" s="2" t="s">
        <v>243</v>
      </c>
      <c r="D1554" s="2">
        <v>22</v>
      </c>
      <c r="E1554" s="5">
        <v>44946</v>
      </c>
      <c r="F1554" s="2">
        <v>64</v>
      </c>
      <c r="G1554" s="2" t="s">
        <v>66</v>
      </c>
      <c r="H1554" s="2" t="s">
        <v>23</v>
      </c>
      <c r="I1554" s="6">
        <v>0.27</v>
      </c>
      <c r="J1554" s="2" t="str">
        <f t="shared" si="24"/>
        <v>2023-01</v>
      </c>
    </row>
    <row r="1555" spans="1:10" x14ac:dyDescent="0.2">
      <c r="A1555" s="2" t="s">
        <v>1528</v>
      </c>
      <c r="B1555" s="2" t="s">
        <v>28</v>
      </c>
      <c r="C1555" s="2" t="s">
        <v>16</v>
      </c>
      <c r="D1555" s="2" t="s">
        <v>2954</v>
      </c>
      <c r="E1555" s="5">
        <v>44946</v>
      </c>
      <c r="F1555" s="2">
        <v>341</v>
      </c>
      <c r="G1555" s="2" t="s">
        <v>45</v>
      </c>
      <c r="H1555" s="2" t="s">
        <v>23</v>
      </c>
      <c r="I1555" s="6" t="s">
        <v>2954</v>
      </c>
      <c r="J1555" s="2" t="str">
        <f t="shared" si="24"/>
        <v>2023-01</v>
      </c>
    </row>
    <row r="1556" spans="1:10" x14ac:dyDescent="0.2">
      <c r="A1556" s="2" t="s">
        <v>1529</v>
      </c>
      <c r="B1556" s="2" t="s">
        <v>89</v>
      </c>
      <c r="C1556" s="2" t="s">
        <v>32</v>
      </c>
      <c r="D1556" s="2" t="s">
        <v>2954</v>
      </c>
      <c r="E1556" s="5">
        <v>44946</v>
      </c>
      <c r="F1556" s="2">
        <v>156</v>
      </c>
      <c r="G1556" s="2" t="s">
        <v>66</v>
      </c>
      <c r="H1556" s="2" t="s">
        <v>23</v>
      </c>
      <c r="I1556" s="7" t="s">
        <v>1381</v>
      </c>
      <c r="J1556" s="2" t="str">
        <f t="shared" si="24"/>
        <v>2023-01</v>
      </c>
    </row>
    <row r="1557" spans="1:10" x14ac:dyDescent="0.2">
      <c r="A1557" s="2" t="s">
        <v>454</v>
      </c>
      <c r="B1557" s="2" t="s">
        <v>401</v>
      </c>
      <c r="C1557" s="2" t="s">
        <v>243</v>
      </c>
      <c r="D1557" s="2" t="s">
        <v>2954</v>
      </c>
      <c r="E1557" s="5">
        <v>44946</v>
      </c>
      <c r="F1557" s="2">
        <v>91</v>
      </c>
      <c r="G1557" s="2" t="s">
        <v>37</v>
      </c>
      <c r="H1557" s="2" t="s">
        <v>23</v>
      </c>
      <c r="I1557" s="6" t="s">
        <v>2954</v>
      </c>
      <c r="J1557" s="2" t="str">
        <f t="shared" si="24"/>
        <v>2023-01</v>
      </c>
    </row>
    <row r="1558" spans="1:10" x14ac:dyDescent="0.2">
      <c r="A1558" s="2" t="s">
        <v>166</v>
      </c>
      <c r="B1558" s="2" t="s">
        <v>47</v>
      </c>
      <c r="C1558" s="2" t="s">
        <v>35</v>
      </c>
      <c r="D1558" s="2" t="s">
        <v>2954</v>
      </c>
      <c r="E1558" s="5">
        <v>44946</v>
      </c>
      <c r="F1558" s="2" t="s">
        <v>2954</v>
      </c>
      <c r="G1558" s="2" t="s">
        <v>45</v>
      </c>
      <c r="H1558" s="2" t="s">
        <v>23</v>
      </c>
      <c r="I1558" s="6" t="s">
        <v>2954</v>
      </c>
      <c r="J1558" s="2" t="str">
        <f t="shared" si="24"/>
        <v>2023-01</v>
      </c>
    </row>
    <row r="1559" spans="1:10" x14ac:dyDescent="0.2">
      <c r="A1559" s="2" t="s">
        <v>1530</v>
      </c>
      <c r="B1559" s="2" t="s">
        <v>1092</v>
      </c>
      <c r="C1559" s="2" t="s">
        <v>142</v>
      </c>
      <c r="D1559" s="2" t="s">
        <v>2954</v>
      </c>
      <c r="E1559" s="5">
        <v>44946</v>
      </c>
      <c r="F1559" s="2">
        <v>62</v>
      </c>
      <c r="G1559" s="2" t="s">
        <v>45</v>
      </c>
      <c r="H1559" s="2" t="s">
        <v>23</v>
      </c>
      <c r="I1559" s="6" t="s">
        <v>2954</v>
      </c>
      <c r="J1559" s="2" t="str">
        <f t="shared" si="24"/>
        <v>2023-01</v>
      </c>
    </row>
    <row r="1560" spans="1:10" x14ac:dyDescent="0.2">
      <c r="A1560" s="2" t="s">
        <v>1531</v>
      </c>
      <c r="B1560" s="2" t="s">
        <v>401</v>
      </c>
      <c r="C1560" s="2" t="s">
        <v>16</v>
      </c>
      <c r="D1560" s="2">
        <v>1100</v>
      </c>
      <c r="E1560" s="5">
        <v>44945</v>
      </c>
      <c r="F1560" s="2" t="s">
        <v>2954</v>
      </c>
      <c r="G1560" s="2" t="s">
        <v>17</v>
      </c>
      <c r="H1560" s="2" t="s">
        <v>23</v>
      </c>
      <c r="I1560" s="6" t="s">
        <v>2954</v>
      </c>
      <c r="J1560" s="2" t="str">
        <f t="shared" si="24"/>
        <v>2023-01</v>
      </c>
    </row>
    <row r="1561" spans="1:10" x14ac:dyDescent="0.2">
      <c r="A1561" s="2" t="s">
        <v>1532</v>
      </c>
      <c r="B1561" s="2" t="s">
        <v>34</v>
      </c>
      <c r="C1561" s="2" t="s">
        <v>52</v>
      </c>
      <c r="D1561" s="2">
        <v>300</v>
      </c>
      <c r="E1561" s="5">
        <v>44945</v>
      </c>
      <c r="F1561" s="2">
        <v>1200</v>
      </c>
      <c r="G1561" s="2" t="s">
        <v>17</v>
      </c>
      <c r="H1561" s="2" t="s">
        <v>23</v>
      </c>
      <c r="I1561" s="6" t="s">
        <v>2954</v>
      </c>
      <c r="J1561" s="2" t="str">
        <f t="shared" si="24"/>
        <v>2023-01</v>
      </c>
    </row>
    <row r="1562" spans="1:10" x14ac:dyDescent="0.2">
      <c r="A1562" s="2" t="s">
        <v>1533</v>
      </c>
      <c r="B1562" s="2" t="s">
        <v>25</v>
      </c>
      <c r="C1562" s="2" t="s">
        <v>148</v>
      </c>
      <c r="D1562" s="2">
        <v>300</v>
      </c>
      <c r="E1562" s="5">
        <v>44945</v>
      </c>
      <c r="F1562" s="2">
        <v>22200</v>
      </c>
      <c r="G1562" s="2" t="s">
        <v>17</v>
      </c>
      <c r="H1562" s="2" t="s">
        <v>23</v>
      </c>
      <c r="I1562" s="6" t="s">
        <v>2954</v>
      </c>
      <c r="J1562" s="2" t="str">
        <f t="shared" si="24"/>
        <v>2023-01</v>
      </c>
    </row>
    <row r="1563" spans="1:10" x14ac:dyDescent="0.2">
      <c r="A1563" s="2" t="s">
        <v>613</v>
      </c>
      <c r="B1563" s="2" t="s">
        <v>34</v>
      </c>
      <c r="C1563" s="2" t="s">
        <v>29</v>
      </c>
      <c r="D1563" s="2">
        <v>115</v>
      </c>
      <c r="E1563" s="5">
        <v>44945</v>
      </c>
      <c r="F1563" s="2">
        <v>153</v>
      </c>
      <c r="G1563" s="2" t="s">
        <v>37</v>
      </c>
      <c r="H1563" s="2" t="s">
        <v>23</v>
      </c>
      <c r="I1563" s="7" t="s">
        <v>1402</v>
      </c>
      <c r="J1563" s="2" t="str">
        <f t="shared" si="24"/>
        <v>2023-01</v>
      </c>
    </row>
    <row r="1564" spans="1:10" x14ac:dyDescent="0.2">
      <c r="A1564" s="2" t="s">
        <v>1534</v>
      </c>
      <c r="B1564" s="2" t="s">
        <v>25</v>
      </c>
      <c r="C1564" s="2" t="s">
        <v>142</v>
      </c>
      <c r="D1564" s="2">
        <v>100</v>
      </c>
      <c r="E1564" s="5">
        <v>44945</v>
      </c>
      <c r="F1564" s="2">
        <v>965</v>
      </c>
      <c r="G1564" s="2" t="s">
        <v>12</v>
      </c>
      <c r="H1564" s="2" t="s">
        <v>23</v>
      </c>
      <c r="I1564" s="6">
        <v>0.05</v>
      </c>
      <c r="J1564" s="2" t="str">
        <f t="shared" si="24"/>
        <v>2023-01</v>
      </c>
    </row>
    <row r="1565" spans="1:10" x14ac:dyDescent="0.2">
      <c r="A1565" s="2" t="s">
        <v>1097</v>
      </c>
      <c r="B1565" s="2" t="s">
        <v>86</v>
      </c>
      <c r="C1565" s="2" t="s">
        <v>632</v>
      </c>
      <c r="D1565" s="2">
        <v>62</v>
      </c>
      <c r="E1565" s="5">
        <v>44945</v>
      </c>
      <c r="F1565" s="2">
        <v>233</v>
      </c>
      <c r="G1565" s="2" t="s">
        <v>17</v>
      </c>
      <c r="H1565" s="2" t="s">
        <v>23</v>
      </c>
      <c r="I1565" s="6">
        <v>0.09</v>
      </c>
      <c r="J1565" s="2" t="str">
        <f t="shared" si="24"/>
        <v>2023-01</v>
      </c>
    </row>
    <row r="1566" spans="1:10" x14ac:dyDescent="0.2">
      <c r="A1566" s="2" t="s">
        <v>396</v>
      </c>
      <c r="B1566" s="2" t="s">
        <v>47</v>
      </c>
      <c r="C1566" s="2" t="s">
        <v>35</v>
      </c>
      <c r="D1566" s="2">
        <v>46</v>
      </c>
      <c r="E1566" s="5">
        <v>44945</v>
      </c>
      <c r="F1566" s="2">
        <v>21</v>
      </c>
      <c r="G1566" s="2" t="s">
        <v>45</v>
      </c>
      <c r="H1566" s="2" t="s">
        <v>23</v>
      </c>
      <c r="I1566" s="6" t="s">
        <v>2954</v>
      </c>
      <c r="J1566" s="2" t="str">
        <f t="shared" si="24"/>
        <v>2023-01</v>
      </c>
    </row>
    <row r="1567" spans="1:10" x14ac:dyDescent="0.2">
      <c r="A1567" s="2" t="s">
        <v>1535</v>
      </c>
      <c r="B1567" s="2" t="s">
        <v>89</v>
      </c>
      <c r="C1567" s="2" t="s">
        <v>117</v>
      </c>
      <c r="D1567" s="2">
        <v>30</v>
      </c>
      <c r="E1567" s="5">
        <v>44945</v>
      </c>
      <c r="F1567" s="2">
        <v>269</v>
      </c>
      <c r="G1567" s="2" t="s">
        <v>75</v>
      </c>
      <c r="H1567" s="2" t="s">
        <v>23</v>
      </c>
      <c r="I1567" s="6" t="s">
        <v>2954</v>
      </c>
      <c r="J1567" s="2" t="str">
        <f t="shared" si="24"/>
        <v>2023-01</v>
      </c>
    </row>
    <row r="1568" spans="1:10" x14ac:dyDescent="0.2">
      <c r="A1568" s="2" t="s">
        <v>1536</v>
      </c>
      <c r="B1568" s="2" t="s">
        <v>515</v>
      </c>
      <c r="C1568" s="2" t="s">
        <v>52</v>
      </c>
      <c r="D1568" s="2" t="s">
        <v>2954</v>
      </c>
      <c r="E1568" s="5">
        <v>44945</v>
      </c>
      <c r="F1568" s="2">
        <v>2</v>
      </c>
      <c r="G1568" s="2" t="s">
        <v>12</v>
      </c>
      <c r="H1568" s="2" t="s">
        <v>23</v>
      </c>
      <c r="I1568" s="6">
        <v>1</v>
      </c>
      <c r="J1568" s="2" t="str">
        <f t="shared" si="24"/>
        <v>2023-01</v>
      </c>
    </row>
    <row r="1569" spans="1:10" x14ac:dyDescent="0.2">
      <c r="A1569" s="2" t="s">
        <v>1537</v>
      </c>
      <c r="B1569" s="2" t="s">
        <v>34</v>
      </c>
      <c r="C1569" s="2" t="s">
        <v>235</v>
      </c>
      <c r="D1569" s="2" t="s">
        <v>2954</v>
      </c>
      <c r="E1569" s="5">
        <v>44945</v>
      </c>
      <c r="F1569" s="2">
        <v>145</v>
      </c>
      <c r="G1569" s="2" t="s">
        <v>128</v>
      </c>
      <c r="H1569" s="2" t="s">
        <v>23</v>
      </c>
      <c r="I1569" s="6" t="s">
        <v>2954</v>
      </c>
      <c r="J1569" s="2" t="str">
        <f t="shared" si="24"/>
        <v>2023-01</v>
      </c>
    </row>
    <row r="1570" spans="1:10" x14ac:dyDescent="0.2">
      <c r="A1570" s="2" t="s">
        <v>1538</v>
      </c>
      <c r="B1570" s="2" t="s">
        <v>92</v>
      </c>
      <c r="C1570" s="2" t="s">
        <v>103</v>
      </c>
      <c r="D1570" s="2" t="s">
        <v>2954</v>
      </c>
      <c r="E1570" s="5">
        <v>44945</v>
      </c>
      <c r="F1570" s="2">
        <v>21</v>
      </c>
      <c r="G1570" s="2" t="s">
        <v>12</v>
      </c>
      <c r="H1570" s="2" t="s">
        <v>23</v>
      </c>
      <c r="I1570" s="6" t="s">
        <v>2954</v>
      </c>
      <c r="J1570" s="2" t="str">
        <f t="shared" si="24"/>
        <v>2023-01</v>
      </c>
    </row>
    <row r="1571" spans="1:10" x14ac:dyDescent="0.2">
      <c r="A1571" s="2" t="s">
        <v>1539</v>
      </c>
      <c r="B1571" s="2" t="s">
        <v>28</v>
      </c>
      <c r="C1571" s="2" t="s">
        <v>632</v>
      </c>
      <c r="D1571" s="2" t="s">
        <v>2954</v>
      </c>
      <c r="E1571" s="5">
        <v>44945</v>
      </c>
      <c r="F1571" s="2">
        <v>521</v>
      </c>
      <c r="G1571" s="2" t="s">
        <v>12</v>
      </c>
      <c r="H1571" s="2" t="s">
        <v>23</v>
      </c>
      <c r="I1571" s="6" t="s">
        <v>2954</v>
      </c>
      <c r="J1571" s="2" t="str">
        <f t="shared" si="24"/>
        <v>2023-01</v>
      </c>
    </row>
    <row r="1572" spans="1:10" x14ac:dyDescent="0.2">
      <c r="A1572" s="2" t="s">
        <v>1540</v>
      </c>
      <c r="B1572" s="2" t="s">
        <v>47</v>
      </c>
      <c r="C1572" s="2" t="s">
        <v>26</v>
      </c>
      <c r="D1572" s="2" t="s">
        <v>2954</v>
      </c>
      <c r="E1572" s="5">
        <v>44945</v>
      </c>
      <c r="F1572" s="2">
        <v>400</v>
      </c>
      <c r="G1572" s="2" t="s">
        <v>17</v>
      </c>
      <c r="H1572" s="2" t="s">
        <v>23</v>
      </c>
      <c r="I1572" s="6">
        <v>0.06</v>
      </c>
      <c r="J1572" s="2" t="str">
        <f t="shared" si="24"/>
        <v>2023-01</v>
      </c>
    </row>
    <row r="1573" spans="1:10" x14ac:dyDescent="0.2">
      <c r="A1573" s="2" t="s">
        <v>1541</v>
      </c>
      <c r="B1573" s="2" t="s">
        <v>955</v>
      </c>
      <c r="C1573" s="2" t="s">
        <v>148</v>
      </c>
      <c r="D1573" s="2" t="s">
        <v>2954</v>
      </c>
      <c r="E1573" s="5">
        <v>44945</v>
      </c>
      <c r="F1573" s="2">
        <v>13</v>
      </c>
      <c r="G1573" s="2" t="s">
        <v>41</v>
      </c>
      <c r="H1573" s="2" t="s">
        <v>23</v>
      </c>
      <c r="I1573" s="7" t="s">
        <v>1381</v>
      </c>
      <c r="J1573" s="2" t="str">
        <f t="shared" si="24"/>
        <v>2023-01</v>
      </c>
    </row>
    <row r="1574" spans="1:10" x14ac:dyDescent="0.2">
      <c r="A1574" s="2" t="s">
        <v>1542</v>
      </c>
      <c r="B1574" s="2" t="s">
        <v>34</v>
      </c>
      <c r="C1574" s="2" t="s">
        <v>32</v>
      </c>
      <c r="D1574" s="2" t="s">
        <v>2954</v>
      </c>
      <c r="E1574" s="5">
        <v>44945</v>
      </c>
      <c r="F1574" s="2">
        <v>225</v>
      </c>
      <c r="G1574" s="2" t="s">
        <v>17</v>
      </c>
      <c r="H1574" s="2" t="s">
        <v>23</v>
      </c>
      <c r="I1574" s="6">
        <v>0.3</v>
      </c>
      <c r="J1574" s="2" t="str">
        <f t="shared" si="24"/>
        <v>2023-01</v>
      </c>
    </row>
    <row r="1575" spans="1:10" x14ac:dyDescent="0.2">
      <c r="A1575" s="2" t="s">
        <v>1543</v>
      </c>
      <c r="B1575" s="2" t="s">
        <v>34</v>
      </c>
      <c r="C1575" s="2" t="s">
        <v>243</v>
      </c>
      <c r="D1575" s="2" t="s">
        <v>2954</v>
      </c>
      <c r="E1575" s="5">
        <v>44945</v>
      </c>
      <c r="F1575" s="2">
        <v>56</v>
      </c>
      <c r="G1575" s="2" t="s">
        <v>37</v>
      </c>
      <c r="H1575" s="2" t="s">
        <v>23</v>
      </c>
      <c r="I1575" s="6">
        <v>0.28000000000000003</v>
      </c>
      <c r="J1575" s="2" t="str">
        <f t="shared" si="24"/>
        <v>2023-01</v>
      </c>
    </row>
    <row r="1576" spans="1:10" x14ac:dyDescent="0.2">
      <c r="A1576" s="2" t="s">
        <v>1544</v>
      </c>
      <c r="B1576" s="2" t="s">
        <v>273</v>
      </c>
      <c r="C1576" s="2" t="s">
        <v>16</v>
      </c>
      <c r="D1576" s="2" t="s">
        <v>2954</v>
      </c>
      <c r="E1576" s="5">
        <v>44945</v>
      </c>
      <c r="F1576" s="2">
        <v>41</v>
      </c>
      <c r="G1576" s="2" t="s">
        <v>41</v>
      </c>
      <c r="H1576" s="2" t="s">
        <v>274</v>
      </c>
      <c r="I1576" s="6" t="s">
        <v>2954</v>
      </c>
      <c r="J1576" s="2" t="str">
        <f t="shared" si="24"/>
        <v>2023-01</v>
      </c>
    </row>
    <row r="1577" spans="1:10" x14ac:dyDescent="0.2">
      <c r="A1577" s="2" t="s">
        <v>1545</v>
      </c>
      <c r="B1577" s="2" t="s">
        <v>165</v>
      </c>
      <c r="C1577" s="2" t="s">
        <v>109</v>
      </c>
      <c r="D1577" s="2" t="s">
        <v>2954</v>
      </c>
      <c r="E1577" s="5">
        <v>44945</v>
      </c>
      <c r="F1577" s="2">
        <v>167</v>
      </c>
      <c r="G1577" s="2" t="s">
        <v>17</v>
      </c>
      <c r="H1577" s="2" t="s">
        <v>120</v>
      </c>
      <c r="I1577" s="6">
        <v>0.15</v>
      </c>
      <c r="J1577" s="2" t="str">
        <f t="shared" si="24"/>
        <v>2023-01</v>
      </c>
    </row>
    <row r="1578" spans="1:10" x14ac:dyDescent="0.2">
      <c r="A1578" s="2" t="s">
        <v>27</v>
      </c>
      <c r="B1578" s="2" t="s">
        <v>28</v>
      </c>
      <c r="C1578" s="2" t="s">
        <v>29</v>
      </c>
      <c r="D1578" s="2">
        <v>10000</v>
      </c>
      <c r="E1578" s="5">
        <v>44944</v>
      </c>
      <c r="F1578" s="2">
        <v>1</v>
      </c>
      <c r="G1578" s="2" t="s">
        <v>17</v>
      </c>
      <c r="H1578" s="2" t="s">
        <v>23</v>
      </c>
      <c r="I1578" s="6">
        <v>0.05</v>
      </c>
      <c r="J1578" s="2" t="str">
        <f t="shared" si="24"/>
        <v>2023-01</v>
      </c>
    </row>
    <row r="1579" spans="1:10" x14ac:dyDescent="0.2">
      <c r="A1579" s="2" t="s">
        <v>1546</v>
      </c>
      <c r="B1579" s="2" t="s">
        <v>1547</v>
      </c>
      <c r="C1579" s="2" t="s">
        <v>195</v>
      </c>
      <c r="D1579" s="2">
        <v>450</v>
      </c>
      <c r="E1579" s="5">
        <v>44944</v>
      </c>
      <c r="F1579" s="2">
        <v>125</v>
      </c>
      <c r="G1579" s="2" t="s">
        <v>45</v>
      </c>
      <c r="H1579" s="2" t="s">
        <v>23</v>
      </c>
      <c r="I1579" s="6">
        <v>0.1</v>
      </c>
      <c r="J1579" s="2" t="str">
        <f t="shared" si="24"/>
        <v>2023-01</v>
      </c>
    </row>
    <row r="1580" spans="1:10" x14ac:dyDescent="0.2">
      <c r="A1580" s="2" t="s">
        <v>1548</v>
      </c>
      <c r="B1580" s="2" t="s">
        <v>25</v>
      </c>
      <c r="C1580" s="2" t="s">
        <v>32</v>
      </c>
      <c r="D1580" s="2">
        <v>300</v>
      </c>
      <c r="E1580" s="5">
        <v>44944</v>
      </c>
      <c r="F1580" s="2">
        <v>172</v>
      </c>
      <c r="G1580" s="2" t="s">
        <v>17</v>
      </c>
      <c r="H1580" s="2" t="s">
        <v>23</v>
      </c>
      <c r="I1580" s="6">
        <v>0.06</v>
      </c>
      <c r="J1580" s="2" t="str">
        <f t="shared" si="24"/>
        <v>2023-01</v>
      </c>
    </row>
    <row r="1581" spans="1:10" x14ac:dyDescent="0.2">
      <c r="A1581" s="2" t="s">
        <v>388</v>
      </c>
      <c r="B1581" s="2" t="s">
        <v>25</v>
      </c>
      <c r="C1581" s="2" t="s">
        <v>52</v>
      </c>
      <c r="D1581" s="2">
        <v>275</v>
      </c>
      <c r="E1581" s="5">
        <v>44944</v>
      </c>
      <c r="F1581" s="2">
        <v>1300</v>
      </c>
      <c r="G1581" s="2" t="s">
        <v>17</v>
      </c>
      <c r="H1581" s="2" t="s">
        <v>23</v>
      </c>
      <c r="I1581" s="6">
        <v>0.2</v>
      </c>
      <c r="J1581" s="2" t="str">
        <f t="shared" si="24"/>
        <v>2023-01</v>
      </c>
    </row>
    <row r="1582" spans="1:10" x14ac:dyDescent="0.2">
      <c r="A1582" s="2" t="s">
        <v>1549</v>
      </c>
      <c r="B1582" s="2" t="s">
        <v>34</v>
      </c>
      <c r="C1582" s="2" t="s">
        <v>113</v>
      </c>
      <c r="D1582" s="2">
        <v>155</v>
      </c>
      <c r="E1582" s="5">
        <v>44944</v>
      </c>
      <c r="F1582" s="2">
        <v>253</v>
      </c>
      <c r="G1582" s="2" t="s">
        <v>17</v>
      </c>
      <c r="H1582" s="2" t="s">
        <v>23</v>
      </c>
      <c r="I1582" s="6">
        <v>7.0000000000000007E-2</v>
      </c>
      <c r="J1582" s="2" t="str">
        <f t="shared" si="24"/>
        <v>2023-01</v>
      </c>
    </row>
    <row r="1583" spans="1:10" x14ac:dyDescent="0.2">
      <c r="A1583" s="2" t="s">
        <v>14</v>
      </c>
      <c r="B1583" s="2" t="s">
        <v>15</v>
      </c>
      <c r="C1583" s="2" t="s">
        <v>16</v>
      </c>
      <c r="D1583" s="2">
        <v>140</v>
      </c>
      <c r="E1583" s="5">
        <v>44944</v>
      </c>
      <c r="F1583" s="2">
        <v>571</v>
      </c>
      <c r="G1583" s="2" t="s">
        <v>17</v>
      </c>
      <c r="H1583" s="2" t="s">
        <v>18</v>
      </c>
      <c r="I1583" s="6">
        <v>0.2</v>
      </c>
      <c r="J1583" s="2" t="str">
        <f t="shared" si="24"/>
        <v>2023-01</v>
      </c>
    </row>
    <row r="1584" spans="1:10" x14ac:dyDescent="0.2">
      <c r="A1584" s="2" t="s">
        <v>1550</v>
      </c>
      <c r="B1584" s="2" t="s">
        <v>634</v>
      </c>
      <c r="C1584" s="2" t="s">
        <v>29</v>
      </c>
      <c r="D1584" s="2">
        <v>137</v>
      </c>
      <c r="E1584" s="5">
        <v>44944</v>
      </c>
      <c r="F1584" s="2">
        <v>69</v>
      </c>
      <c r="G1584" s="2" t="s">
        <v>12</v>
      </c>
      <c r="H1584" s="2" t="s">
        <v>106</v>
      </c>
      <c r="I1584" s="6">
        <v>0.14000000000000001</v>
      </c>
      <c r="J1584" s="2" t="str">
        <f t="shared" si="24"/>
        <v>2023-01</v>
      </c>
    </row>
    <row r="1585" spans="1:10" x14ac:dyDescent="0.2">
      <c r="A1585" s="2" t="s">
        <v>889</v>
      </c>
      <c r="B1585" s="2" t="s">
        <v>60</v>
      </c>
      <c r="C1585" s="2" t="s">
        <v>44</v>
      </c>
      <c r="D1585" s="2">
        <v>109</v>
      </c>
      <c r="E1585" s="5">
        <v>44944</v>
      </c>
      <c r="F1585" s="2">
        <v>179</v>
      </c>
      <c r="G1585" s="2" t="s">
        <v>17</v>
      </c>
      <c r="H1585" s="2" t="s">
        <v>23</v>
      </c>
      <c r="I1585" s="6">
        <v>0.12</v>
      </c>
      <c r="J1585" s="2" t="str">
        <f t="shared" si="24"/>
        <v>2023-01</v>
      </c>
    </row>
    <row r="1586" spans="1:10" x14ac:dyDescent="0.2">
      <c r="A1586" s="2" t="s">
        <v>1551</v>
      </c>
      <c r="B1586" s="2" t="s">
        <v>284</v>
      </c>
      <c r="C1586" s="2" t="s">
        <v>195</v>
      </c>
      <c r="D1586" s="2">
        <v>100</v>
      </c>
      <c r="E1586" s="5">
        <v>44944</v>
      </c>
      <c r="F1586" s="2">
        <v>416</v>
      </c>
      <c r="G1586" s="2" t="s">
        <v>62</v>
      </c>
      <c r="H1586" s="2" t="s">
        <v>23</v>
      </c>
      <c r="I1586" s="6">
        <v>0.12</v>
      </c>
      <c r="J1586" s="2" t="str">
        <f t="shared" si="24"/>
        <v>2023-01</v>
      </c>
    </row>
    <row r="1587" spans="1:10" x14ac:dyDescent="0.2">
      <c r="A1587" s="2" t="s">
        <v>1552</v>
      </c>
      <c r="B1587" s="2" t="s">
        <v>1553</v>
      </c>
      <c r="C1587" s="2" t="s">
        <v>16</v>
      </c>
      <c r="D1587" s="2">
        <v>100</v>
      </c>
      <c r="E1587" s="5">
        <v>44944</v>
      </c>
      <c r="F1587" s="2">
        <v>1100</v>
      </c>
      <c r="G1587" s="2" t="s">
        <v>17</v>
      </c>
      <c r="H1587" s="2" t="s">
        <v>23</v>
      </c>
      <c r="I1587" s="6">
        <v>7.0000000000000007E-2</v>
      </c>
      <c r="J1587" s="2" t="str">
        <f t="shared" si="24"/>
        <v>2023-01</v>
      </c>
    </row>
    <row r="1588" spans="1:10" x14ac:dyDescent="0.2">
      <c r="A1588" s="2" t="s">
        <v>1554</v>
      </c>
      <c r="B1588" s="2" t="s">
        <v>89</v>
      </c>
      <c r="C1588" s="2" t="s">
        <v>29</v>
      </c>
      <c r="D1588" s="2">
        <v>100</v>
      </c>
      <c r="E1588" s="5">
        <v>44944</v>
      </c>
      <c r="F1588" s="2">
        <v>260</v>
      </c>
      <c r="G1588" s="2" t="s">
        <v>17</v>
      </c>
      <c r="H1588" s="2" t="s">
        <v>23</v>
      </c>
      <c r="I1588" s="6">
        <v>0.24</v>
      </c>
      <c r="J1588" s="2" t="str">
        <f t="shared" si="24"/>
        <v>2023-01</v>
      </c>
    </row>
    <row r="1589" spans="1:10" x14ac:dyDescent="0.2">
      <c r="A1589" s="2" t="s">
        <v>1555</v>
      </c>
      <c r="B1589" s="2" t="s">
        <v>183</v>
      </c>
      <c r="C1589" s="2" t="s">
        <v>26</v>
      </c>
      <c r="D1589" s="2">
        <v>70</v>
      </c>
      <c r="E1589" s="5">
        <v>44944</v>
      </c>
      <c r="F1589" s="2">
        <v>300</v>
      </c>
      <c r="G1589" s="2" t="s">
        <v>66</v>
      </c>
      <c r="H1589" s="2" t="s">
        <v>106</v>
      </c>
      <c r="I1589" s="6">
        <v>7.0000000000000007E-2</v>
      </c>
      <c r="J1589" s="2" t="str">
        <f t="shared" si="24"/>
        <v>2023-01</v>
      </c>
    </row>
    <row r="1590" spans="1:10" x14ac:dyDescent="0.2">
      <c r="A1590" s="2" t="s">
        <v>1556</v>
      </c>
      <c r="B1590" s="2" t="s">
        <v>74</v>
      </c>
      <c r="C1590" s="2" t="s">
        <v>32</v>
      </c>
      <c r="D1590" s="2">
        <v>31</v>
      </c>
      <c r="E1590" s="5">
        <v>44944</v>
      </c>
      <c r="F1590" s="2">
        <v>47</v>
      </c>
      <c r="G1590" s="2" t="s">
        <v>12</v>
      </c>
      <c r="H1590" s="2" t="s">
        <v>76</v>
      </c>
      <c r="I1590" s="6">
        <v>0.31</v>
      </c>
      <c r="J1590" s="2" t="str">
        <f t="shared" si="24"/>
        <v>2023-01</v>
      </c>
    </row>
    <row r="1591" spans="1:10" x14ac:dyDescent="0.2">
      <c r="A1591" s="2" t="s">
        <v>1557</v>
      </c>
      <c r="B1591" s="2" t="s">
        <v>34</v>
      </c>
      <c r="C1591" s="2" t="s">
        <v>16</v>
      </c>
      <c r="D1591" s="2">
        <v>20</v>
      </c>
      <c r="E1591" s="5">
        <v>44944</v>
      </c>
      <c r="F1591" s="2">
        <v>491</v>
      </c>
      <c r="G1591" s="2" t="s">
        <v>62</v>
      </c>
      <c r="H1591" s="2" t="s">
        <v>23</v>
      </c>
      <c r="I1591" s="6">
        <v>0.03</v>
      </c>
      <c r="J1591" s="2" t="str">
        <f t="shared" si="24"/>
        <v>2023-01</v>
      </c>
    </row>
    <row r="1592" spans="1:10" x14ac:dyDescent="0.2">
      <c r="A1592" s="2" t="s">
        <v>1558</v>
      </c>
      <c r="B1592" s="2" t="s">
        <v>1183</v>
      </c>
      <c r="C1592" s="2" t="s">
        <v>11</v>
      </c>
      <c r="D1592" s="2" t="s">
        <v>2954</v>
      </c>
      <c r="E1592" s="5">
        <v>44944</v>
      </c>
      <c r="F1592" s="2">
        <v>275</v>
      </c>
      <c r="G1592" s="2" t="s">
        <v>12</v>
      </c>
      <c r="H1592" s="2" t="s">
        <v>23</v>
      </c>
      <c r="I1592" s="6">
        <v>0.1</v>
      </c>
      <c r="J1592" s="2" t="str">
        <f t="shared" si="24"/>
        <v>2023-01</v>
      </c>
    </row>
    <row r="1593" spans="1:10" x14ac:dyDescent="0.2">
      <c r="A1593" s="2" t="s">
        <v>1559</v>
      </c>
      <c r="B1593" s="2" t="s">
        <v>619</v>
      </c>
      <c r="C1593" s="2" t="s">
        <v>48</v>
      </c>
      <c r="D1593" s="2" t="s">
        <v>2954</v>
      </c>
      <c r="E1593" s="5">
        <v>44944</v>
      </c>
      <c r="F1593" s="2">
        <v>420</v>
      </c>
      <c r="G1593" s="2" t="s">
        <v>75</v>
      </c>
      <c r="H1593" s="2" t="s">
        <v>321</v>
      </c>
      <c r="I1593" s="6">
        <v>0.2</v>
      </c>
      <c r="J1593" s="2" t="str">
        <f t="shared" si="24"/>
        <v>2023-01</v>
      </c>
    </row>
    <row r="1594" spans="1:10" x14ac:dyDescent="0.2">
      <c r="A1594" s="2" t="s">
        <v>1560</v>
      </c>
      <c r="B1594" s="2" t="s">
        <v>1561</v>
      </c>
      <c r="C1594" s="2" t="s">
        <v>35</v>
      </c>
      <c r="D1594" s="2" t="s">
        <v>2954</v>
      </c>
      <c r="E1594" s="5">
        <v>44944</v>
      </c>
      <c r="F1594" s="2">
        <v>946</v>
      </c>
      <c r="G1594" s="2" t="s">
        <v>17</v>
      </c>
      <c r="H1594" s="2" t="s">
        <v>23</v>
      </c>
      <c r="I1594" s="6">
        <v>0.15</v>
      </c>
      <c r="J1594" s="2" t="str">
        <f t="shared" si="24"/>
        <v>2023-01</v>
      </c>
    </row>
    <row r="1595" spans="1:10" x14ac:dyDescent="0.2">
      <c r="A1595" s="2" t="s">
        <v>1562</v>
      </c>
      <c r="B1595" s="2" t="s">
        <v>174</v>
      </c>
      <c r="C1595" s="2" t="s">
        <v>32</v>
      </c>
      <c r="D1595" s="2" t="s">
        <v>2954</v>
      </c>
      <c r="E1595" s="5">
        <v>44944</v>
      </c>
      <c r="F1595" s="2">
        <v>204</v>
      </c>
      <c r="G1595" s="2" t="s">
        <v>66</v>
      </c>
      <c r="H1595" s="2" t="s">
        <v>175</v>
      </c>
      <c r="I1595" s="6">
        <v>0.3</v>
      </c>
      <c r="J1595" s="2" t="str">
        <f t="shared" si="24"/>
        <v>2023-01</v>
      </c>
    </row>
    <row r="1596" spans="1:10" x14ac:dyDescent="0.2">
      <c r="A1596" s="2" t="s">
        <v>1563</v>
      </c>
      <c r="B1596" s="2" t="s">
        <v>54</v>
      </c>
      <c r="C1596" s="2" t="s">
        <v>52</v>
      </c>
      <c r="D1596" s="2" t="s">
        <v>2954</v>
      </c>
      <c r="E1596" s="5">
        <v>44944</v>
      </c>
      <c r="F1596" s="2">
        <v>2000</v>
      </c>
      <c r="G1596" s="2" t="s">
        <v>17</v>
      </c>
      <c r="H1596" s="2" t="s">
        <v>55</v>
      </c>
      <c r="I1596" s="6" t="s">
        <v>2954</v>
      </c>
      <c r="J1596" s="2" t="str">
        <f t="shared" si="24"/>
        <v>2023-01</v>
      </c>
    </row>
    <row r="1597" spans="1:10" x14ac:dyDescent="0.2">
      <c r="A1597" s="2" t="s">
        <v>1564</v>
      </c>
      <c r="B1597" s="2" t="s">
        <v>34</v>
      </c>
      <c r="C1597" s="2" t="s">
        <v>29</v>
      </c>
      <c r="D1597" s="2" t="s">
        <v>2954</v>
      </c>
      <c r="E1597" s="5">
        <v>44944</v>
      </c>
      <c r="F1597" s="2">
        <v>240</v>
      </c>
      <c r="G1597" s="2" t="s">
        <v>75</v>
      </c>
      <c r="H1597" s="2" t="s">
        <v>23</v>
      </c>
      <c r="I1597" s="6" t="s">
        <v>2954</v>
      </c>
      <c r="J1597" s="2" t="str">
        <f t="shared" si="24"/>
        <v>2023-01</v>
      </c>
    </row>
    <row r="1598" spans="1:10" x14ac:dyDescent="0.2">
      <c r="A1598" s="2" t="s">
        <v>1565</v>
      </c>
      <c r="B1598" s="2" t="s">
        <v>115</v>
      </c>
      <c r="C1598" s="2" t="s">
        <v>78</v>
      </c>
      <c r="D1598" s="2" t="s">
        <v>2954</v>
      </c>
      <c r="E1598" s="5">
        <v>44944</v>
      </c>
      <c r="F1598" s="2">
        <v>54</v>
      </c>
      <c r="G1598" s="2" t="s">
        <v>37</v>
      </c>
      <c r="H1598" s="2" t="s">
        <v>23</v>
      </c>
      <c r="I1598" s="6" t="s">
        <v>2954</v>
      </c>
      <c r="J1598" s="2" t="str">
        <f t="shared" si="24"/>
        <v>2023-01</v>
      </c>
    </row>
    <row r="1599" spans="1:10" x14ac:dyDescent="0.2">
      <c r="A1599" s="2" t="s">
        <v>1566</v>
      </c>
      <c r="B1599" s="2" t="s">
        <v>25</v>
      </c>
      <c r="C1599" s="2" t="s">
        <v>32</v>
      </c>
      <c r="D1599" s="2" t="s">
        <v>2954</v>
      </c>
      <c r="E1599" s="5">
        <v>44944</v>
      </c>
      <c r="F1599" s="2" t="s">
        <v>2954</v>
      </c>
      <c r="G1599" s="2" t="s">
        <v>17</v>
      </c>
      <c r="H1599" s="2" t="s">
        <v>23</v>
      </c>
      <c r="I1599" s="6">
        <v>0.2</v>
      </c>
      <c r="J1599" s="2" t="str">
        <f t="shared" si="24"/>
        <v>2023-01</v>
      </c>
    </row>
    <row r="1600" spans="1:10" x14ac:dyDescent="0.2">
      <c r="A1600" s="2" t="s">
        <v>1567</v>
      </c>
      <c r="B1600" s="2" t="s">
        <v>406</v>
      </c>
      <c r="C1600" s="2" t="s">
        <v>48</v>
      </c>
      <c r="D1600" s="2" t="s">
        <v>2954</v>
      </c>
      <c r="E1600" s="5">
        <v>44944</v>
      </c>
      <c r="F1600" s="2">
        <v>854</v>
      </c>
      <c r="G1600" s="2" t="s">
        <v>45</v>
      </c>
      <c r="H1600" s="2" t="s">
        <v>23</v>
      </c>
      <c r="I1600" s="6" t="s">
        <v>2954</v>
      </c>
      <c r="J1600" s="2" t="str">
        <f t="shared" si="24"/>
        <v>2023-01</v>
      </c>
    </row>
    <row r="1601" spans="1:10" x14ac:dyDescent="0.2">
      <c r="A1601" s="2" t="s">
        <v>1098</v>
      </c>
      <c r="B1601" s="2" t="s">
        <v>831</v>
      </c>
      <c r="C1601" s="2" t="s">
        <v>142</v>
      </c>
      <c r="D1601" s="2" t="s">
        <v>2954</v>
      </c>
      <c r="E1601" s="5">
        <v>44944</v>
      </c>
      <c r="F1601" s="2">
        <v>55</v>
      </c>
      <c r="G1601" s="2" t="s">
        <v>17</v>
      </c>
      <c r="H1601" s="2" t="s">
        <v>274</v>
      </c>
      <c r="I1601" s="6">
        <v>0.14000000000000001</v>
      </c>
      <c r="J1601" s="2" t="str">
        <f t="shared" si="24"/>
        <v>2023-01</v>
      </c>
    </row>
    <row r="1602" spans="1:10" x14ac:dyDescent="0.2">
      <c r="A1602" s="2" t="s">
        <v>187</v>
      </c>
      <c r="B1602" s="2" t="s">
        <v>188</v>
      </c>
      <c r="C1602" s="2" t="s">
        <v>142</v>
      </c>
      <c r="D1602" s="2">
        <v>300</v>
      </c>
      <c r="E1602" s="5">
        <v>44943</v>
      </c>
      <c r="F1602" s="2">
        <v>1200</v>
      </c>
      <c r="G1602" s="2" t="s">
        <v>17</v>
      </c>
      <c r="H1602" s="2" t="s">
        <v>106</v>
      </c>
      <c r="I1602" s="6">
        <v>0.1</v>
      </c>
      <c r="J1602" s="2" t="str">
        <f t="shared" si="24"/>
        <v>2023-01</v>
      </c>
    </row>
    <row r="1603" spans="1:10" x14ac:dyDescent="0.2">
      <c r="A1603" s="2" t="s">
        <v>456</v>
      </c>
      <c r="B1603" s="2" t="s">
        <v>34</v>
      </c>
      <c r="C1603" s="2" t="s">
        <v>29</v>
      </c>
      <c r="D1603" s="2">
        <v>284</v>
      </c>
      <c r="E1603" s="5">
        <v>44943</v>
      </c>
      <c r="F1603" s="2">
        <v>1300</v>
      </c>
      <c r="G1603" s="2" t="s">
        <v>17</v>
      </c>
      <c r="H1603" s="2" t="s">
        <v>23</v>
      </c>
      <c r="I1603" s="6">
        <v>0.03</v>
      </c>
      <c r="J1603" s="2" t="str">
        <f t="shared" ref="J1603:J1666" si="25">TEXT(E1603,"YYYY-MM")</f>
        <v>2023-01</v>
      </c>
    </row>
    <row r="1604" spans="1:10" x14ac:dyDescent="0.2">
      <c r="A1604" s="2" t="s">
        <v>1568</v>
      </c>
      <c r="B1604" s="2" t="s">
        <v>54</v>
      </c>
      <c r="C1604" s="2" t="s">
        <v>52</v>
      </c>
      <c r="D1604" s="2">
        <v>206</v>
      </c>
      <c r="E1604" s="5">
        <v>44943</v>
      </c>
      <c r="F1604" s="2">
        <v>2400</v>
      </c>
      <c r="G1604" s="2" t="s">
        <v>12</v>
      </c>
      <c r="H1604" s="2" t="s">
        <v>55</v>
      </c>
      <c r="I1604" s="6">
        <v>1</v>
      </c>
      <c r="J1604" s="2" t="str">
        <f t="shared" si="25"/>
        <v>2023-01</v>
      </c>
    </row>
    <row r="1605" spans="1:10" x14ac:dyDescent="0.2">
      <c r="A1605" s="2" t="s">
        <v>1569</v>
      </c>
      <c r="B1605" s="2" t="s">
        <v>335</v>
      </c>
      <c r="C1605" s="2" t="s">
        <v>52</v>
      </c>
      <c r="D1605" s="2">
        <v>150</v>
      </c>
      <c r="E1605" s="5">
        <v>44943</v>
      </c>
      <c r="F1605" s="2">
        <v>253</v>
      </c>
      <c r="G1605" s="2" t="s">
        <v>12</v>
      </c>
      <c r="H1605" s="2" t="s">
        <v>106</v>
      </c>
      <c r="I1605" s="6" t="s">
        <v>2954</v>
      </c>
      <c r="J1605" s="2" t="str">
        <f t="shared" si="25"/>
        <v>2023-01</v>
      </c>
    </row>
    <row r="1606" spans="1:10" x14ac:dyDescent="0.2">
      <c r="A1606" s="2" t="s">
        <v>1570</v>
      </c>
      <c r="B1606" s="2" t="s">
        <v>100</v>
      </c>
      <c r="C1606" s="2" t="s">
        <v>113</v>
      </c>
      <c r="D1606" s="2">
        <v>142</v>
      </c>
      <c r="E1606" s="5">
        <v>44943</v>
      </c>
      <c r="F1606" s="2">
        <v>87</v>
      </c>
      <c r="G1606" s="2" t="s">
        <v>75</v>
      </c>
      <c r="H1606" s="2" t="s">
        <v>98</v>
      </c>
      <c r="I1606" s="6">
        <v>0.15</v>
      </c>
      <c r="J1606" s="2" t="str">
        <f t="shared" si="25"/>
        <v>2023-01</v>
      </c>
    </row>
    <row r="1607" spans="1:10" x14ac:dyDescent="0.2">
      <c r="A1607" s="2" t="s">
        <v>1571</v>
      </c>
      <c r="B1607" s="2" t="s">
        <v>661</v>
      </c>
      <c r="C1607" s="2" t="s">
        <v>29</v>
      </c>
      <c r="D1607" s="2">
        <v>110</v>
      </c>
      <c r="E1607" s="5">
        <v>44943</v>
      </c>
      <c r="F1607" s="2">
        <v>336</v>
      </c>
      <c r="G1607" s="2" t="s">
        <v>75</v>
      </c>
      <c r="H1607" s="2" t="s">
        <v>662</v>
      </c>
      <c r="I1607" s="6">
        <v>0.1</v>
      </c>
      <c r="J1607" s="2" t="str">
        <f t="shared" si="25"/>
        <v>2023-01</v>
      </c>
    </row>
    <row r="1608" spans="1:10" x14ac:dyDescent="0.2">
      <c r="A1608" s="2" t="s">
        <v>1572</v>
      </c>
      <c r="B1608" s="2" t="s">
        <v>1573</v>
      </c>
      <c r="C1608" s="2" t="s">
        <v>363</v>
      </c>
      <c r="D1608" s="2">
        <v>100</v>
      </c>
      <c r="E1608" s="5">
        <v>44943</v>
      </c>
      <c r="F1608" s="2">
        <v>218</v>
      </c>
      <c r="G1608" s="2" t="s">
        <v>37</v>
      </c>
      <c r="H1608" s="2" t="s">
        <v>1574</v>
      </c>
      <c r="I1608" s="6" t="s">
        <v>2954</v>
      </c>
      <c r="J1608" s="2" t="str">
        <f t="shared" si="25"/>
        <v>2023-01</v>
      </c>
    </row>
    <row r="1609" spans="1:10" x14ac:dyDescent="0.2">
      <c r="A1609" s="2" t="s">
        <v>1575</v>
      </c>
      <c r="B1609" s="2" t="s">
        <v>89</v>
      </c>
      <c r="C1609" s="2" t="s">
        <v>29</v>
      </c>
      <c r="D1609" s="2">
        <v>50</v>
      </c>
      <c r="E1609" s="5">
        <v>44943</v>
      </c>
      <c r="F1609" s="2">
        <v>92</v>
      </c>
      <c r="G1609" s="2" t="s">
        <v>45</v>
      </c>
      <c r="H1609" s="2" t="s">
        <v>23</v>
      </c>
      <c r="I1609" s="6">
        <v>0.65</v>
      </c>
      <c r="J1609" s="2" t="str">
        <f t="shared" si="25"/>
        <v>2023-01</v>
      </c>
    </row>
    <row r="1610" spans="1:10" x14ac:dyDescent="0.2">
      <c r="A1610" s="2" t="s">
        <v>1576</v>
      </c>
      <c r="B1610" s="2" t="s">
        <v>47</v>
      </c>
      <c r="C1610" s="2" t="s">
        <v>148</v>
      </c>
      <c r="D1610" s="2">
        <v>44</v>
      </c>
      <c r="E1610" s="5">
        <v>44943</v>
      </c>
      <c r="F1610" s="2">
        <v>31</v>
      </c>
      <c r="G1610" s="2" t="s">
        <v>37</v>
      </c>
      <c r="H1610" s="2" t="s">
        <v>23</v>
      </c>
      <c r="I1610" s="6" t="s">
        <v>2954</v>
      </c>
      <c r="J1610" s="2" t="str">
        <f t="shared" si="25"/>
        <v>2023-01</v>
      </c>
    </row>
    <row r="1611" spans="1:10" x14ac:dyDescent="0.2">
      <c r="A1611" s="2" t="s">
        <v>1577</v>
      </c>
      <c r="B1611" s="2" t="s">
        <v>34</v>
      </c>
      <c r="C1611" s="2" t="s">
        <v>29</v>
      </c>
      <c r="D1611" s="2">
        <v>30</v>
      </c>
      <c r="E1611" s="5">
        <v>44943</v>
      </c>
      <c r="F1611" s="2">
        <v>44</v>
      </c>
      <c r="G1611" s="2" t="s">
        <v>17</v>
      </c>
      <c r="H1611" s="2" t="s">
        <v>23</v>
      </c>
      <c r="I1611" s="6" t="s">
        <v>2954</v>
      </c>
      <c r="J1611" s="2" t="str">
        <f t="shared" si="25"/>
        <v>2023-01</v>
      </c>
    </row>
    <row r="1612" spans="1:10" x14ac:dyDescent="0.2">
      <c r="A1612" s="2" t="s">
        <v>1578</v>
      </c>
      <c r="B1612" s="2" t="s">
        <v>1579</v>
      </c>
      <c r="C1612" s="2" t="s">
        <v>29</v>
      </c>
      <c r="D1612" s="2" t="s">
        <v>2954</v>
      </c>
      <c r="E1612" s="5">
        <v>44943</v>
      </c>
      <c r="F1612" s="2">
        <v>700</v>
      </c>
      <c r="G1612" s="2" t="s">
        <v>17</v>
      </c>
      <c r="H1612" s="2" t="s">
        <v>23</v>
      </c>
      <c r="I1612" s="6" t="s">
        <v>2954</v>
      </c>
      <c r="J1612" s="2" t="str">
        <f t="shared" si="25"/>
        <v>2023-01</v>
      </c>
    </row>
    <row r="1613" spans="1:10" x14ac:dyDescent="0.2">
      <c r="A1613" s="2" t="s">
        <v>1580</v>
      </c>
      <c r="B1613" s="2" t="s">
        <v>287</v>
      </c>
      <c r="C1613" s="2" t="s">
        <v>35</v>
      </c>
      <c r="D1613" s="2" t="s">
        <v>2954</v>
      </c>
      <c r="E1613" s="5">
        <v>44943</v>
      </c>
      <c r="F1613" s="2">
        <v>59</v>
      </c>
      <c r="G1613" s="2" t="s">
        <v>12</v>
      </c>
      <c r="H1613" s="2" t="s">
        <v>23</v>
      </c>
      <c r="I1613" s="6" t="s">
        <v>2954</v>
      </c>
      <c r="J1613" s="2" t="str">
        <f t="shared" si="25"/>
        <v>2023-01</v>
      </c>
    </row>
    <row r="1614" spans="1:10" x14ac:dyDescent="0.2">
      <c r="A1614" s="2" t="s">
        <v>1581</v>
      </c>
      <c r="B1614" s="2" t="s">
        <v>255</v>
      </c>
      <c r="C1614" s="2" t="s">
        <v>52</v>
      </c>
      <c r="D1614" s="2" t="s">
        <v>2954</v>
      </c>
      <c r="E1614" s="5">
        <v>44943</v>
      </c>
      <c r="F1614" s="2">
        <v>54</v>
      </c>
      <c r="G1614" s="2" t="s">
        <v>66</v>
      </c>
      <c r="H1614" s="2" t="s">
        <v>98</v>
      </c>
      <c r="I1614" s="7" t="s">
        <v>1381</v>
      </c>
      <c r="J1614" s="2" t="str">
        <f t="shared" si="25"/>
        <v>2023-01</v>
      </c>
    </row>
    <row r="1615" spans="1:10" x14ac:dyDescent="0.2">
      <c r="A1615" s="2" t="s">
        <v>467</v>
      </c>
      <c r="B1615" s="2" t="s">
        <v>34</v>
      </c>
      <c r="C1615" s="2" t="s">
        <v>113</v>
      </c>
      <c r="D1615" s="2" t="s">
        <v>2954</v>
      </c>
      <c r="E1615" s="5">
        <v>44943</v>
      </c>
      <c r="F1615" s="2">
        <v>12</v>
      </c>
      <c r="G1615" s="2" t="s">
        <v>17</v>
      </c>
      <c r="H1615" s="2" t="s">
        <v>23</v>
      </c>
      <c r="I1615" s="6">
        <v>0.16</v>
      </c>
      <c r="J1615" s="2" t="str">
        <f t="shared" si="25"/>
        <v>2023-01</v>
      </c>
    </row>
    <row r="1616" spans="1:10" x14ac:dyDescent="0.2">
      <c r="A1616" s="2" t="s">
        <v>1582</v>
      </c>
      <c r="B1616" s="2" t="s">
        <v>34</v>
      </c>
      <c r="C1616" s="2" t="s">
        <v>29</v>
      </c>
      <c r="D1616" s="2" t="s">
        <v>2954</v>
      </c>
      <c r="E1616" s="5">
        <v>44943</v>
      </c>
      <c r="F1616" s="2" t="s">
        <v>2954</v>
      </c>
      <c r="G1616" s="2" t="s">
        <v>17</v>
      </c>
      <c r="H1616" s="2" t="s">
        <v>23</v>
      </c>
      <c r="I1616" s="6" t="s">
        <v>2954</v>
      </c>
      <c r="J1616" s="2" t="str">
        <f t="shared" si="25"/>
        <v>2023-01</v>
      </c>
    </row>
    <row r="1617" spans="1:10" x14ac:dyDescent="0.2">
      <c r="A1617" s="2" t="s">
        <v>1583</v>
      </c>
      <c r="B1617" s="2" t="s">
        <v>1584</v>
      </c>
      <c r="C1617" s="2" t="s">
        <v>11</v>
      </c>
      <c r="D1617" s="2" t="s">
        <v>2954</v>
      </c>
      <c r="E1617" s="5">
        <v>44943</v>
      </c>
      <c r="F1617" s="2">
        <v>2300</v>
      </c>
      <c r="G1617" s="2" t="s">
        <v>12</v>
      </c>
      <c r="H1617" s="2" t="s">
        <v>1585</v>
      </c>
      <c r="I1617" s="6" t="s">
        <v>2954</v>
      </c>
      <c r="J1617" s="2" t="str">
        <f t="shared" si="25"/>
        <v>2023-01</v>
      </c>
    </row>
    <row r="1618" spans="1:10" x14ac:dyDescent="0.2">
      <c r="A1618" s="2" t="s">
        <v>1586</v>
      </c>
      <c r="B1618" s="2" t="s">
        <v>86</v>
      </c>
      <c r="C1618" s="2" t="s">
        <v>16</v>
      </c>
      <c r="D1618" s="2" t="s">
        <v>2954</v>
      </c>
      <c r="E1618" s="5">
        <v>44943</v>
      </c>
      <c r="F1618" s="2">
        <v>2</v>
      </c>
      <c r="G1618" s="2" t="s">
        <v>45</v>
      </c>
      <c r="H1618" s="2" t="s">
        <v>23</v>
      </c>
      <c r="I1618" s="6" t="s">
        <v>2954</v>
      </c>
      <c r="J1618" s="2" t="str">
        <f t="shared" si="25"/>
        <v>2023-01</v>
      </c>
    </row>
    <row r="1619" spans="1:10" x14ac:dyDescent="0.2">
      <c r="A1619" s="2" t="s">
        <v>1587</v>
      </c>
      <c r="B1619" s="2" t="s">
        <v>661</v>
      </c>
      <c r="C1619" s="2" t="s">
        <v>16</v>
      </c>
      <c r="D1619" s="2" t="s">
        <v>2954</v>
      </c>
      <c r="E1619" s="5">
        <v>44943</v>
      </c>
      <c r="F1619" s="2" t="s">
        <v>2954</v>
      </c>
      <c r="G1619" s="2" t="s">
        <v>17</v>
      </c>
      <c r="H1619" s="2" t="s">
        <v>662</v>
      </c>
      <c r="I1619" s="6" t="s">
        <v>2954</v>
      </c>
      <c r="J1619" s="2" t="str">
        <f t="shared" si="25"/>
        <v>2023-01</v>
      </c>
    </row>
    <row r="1620" spans="1:10" x14ac:dyDescent="0.2">
      <c r="A1620" s="2" t="s">
        <v>1588</v>
      </c>
      <c r="B1620" s="2" t="s">
        <v>661</v>
      </c>
      <c r="C1620" s="2" t="s">
        <v>16</v>
      </c>
      <c r="D1620" s="2">
        <v>500</v>
      </c>
      <c r="E1620" s="5">
        <v>44942</v>
      </c>
      <c r="F1620" s="2" t="s">
        <v>2954</v>
      </c>
      <c r="G1620" s="2" t="s">
        <v>17</v>
      </c>
      <c r="H1620" s="2" t="s">
        <v>662</v>
      </c>
      <c r="I1620" s="6">
        <v>7.0000000000000007E-2</v>
      </c>
      <c r="J1620" s="2" t="str">
        <f t="shared" si="25"/>
        <v>2023-01</v>
      </c>
    </row>
    <row r="1621" spans="1:10" x14ac:dyDescent="0.2">
      <c r="A1621" s="2" t="s">
        <v>485</v>
      </c>
      <c r="B1621" s="2" t="s">
        <v>100</v>
      </c>
      <c r="C1621" s="2" t="s">
        <v>35</v>
      </c>
      <c r="D1621" s="2">
        <v>500</v>
      </c>
      <c r="E1621" s="5">
        <v>44942</v>
      </c>
      <c r="F1621" s="2">
        <v>1700</v>
      </c>
      <c r="G1621" s="2" t="s">
        <v>81</v>
      </c>
      <c r="H1621" s="2" t="s">
        <v>98</v>
      </c>
      <c r="I1621" s="6">
        <v>0.2</v>
      </c>
      <c r="J1621" s="2" t="str">
        <f t="shared" si="25"/>
        <v>2023-01</v>
      </c>
    </row>
    <row r="1622" spans="1:10" x14ac:dyDescent="0.2">
      <c r="A1622" s="2" t="s">
        <v>1589</v>
      </c>
      <c r="B1622" s="2" t="s">
        <v>1590</v>
      </c>
      <c r="C1622" s="2" t="s">
        <v>11</v>
      </c>
      <c r="D1622" s="2">
        <v>75</v>
      </c>
      <c r="E1622" s="5">
        <v>44942</v>
      </c>
      <c r="F1622" s="2">
        <v>17</v>
      </c>
      <c r="G1622" s="2" t="s">
        <v>37</v>
      </c>
      <c r="H1622" s="2" t="s">
        <v>98</v>
      </c>
      <c r="I1622" s="6" t="s">
        <v>2954</v>
      </c>
      <c r="J1622" s="2" t="str">
        <f t="shared" si="25"/>
        <v>2023-01</v>
      </c>
    </row>
    <row r="1623" spans="1:10" x14ac:dyDescent="0.2">
      <c r="A1623" s="2" t="s">
        <v>1591</v>
      </c>
      <c r="B1623" s="2" t="s">
        <v>335</v>
      </c>
      <c r="C1623" s="2" t="s">
        <v>16</v>
      </c>
      <c r="D1623" s="2">
        <v>50</v>
      </c>
      <c r="E1623" s="5">
        <v>44942</v>
      </c>
      <c r="F1623" s="2">
        <v>698</v>
      </c>
      <c r="G1623" s="2" t="s">
        <v>66</v>
      </c>
      <c r="H1623" s="2" t="s">
        <v>106</v>
      </c>
      <c r="I1623" s="6">
        <v>0.3</v>
      </c>
      <c r="J1623" s="2" t="str">
        <f t="shared" si="25"/>
        <v>2023-01</v>
      </c>
    </row>
    <row r="1624" spans="1:10" x14ac:dyDescent="0.2">
      <c r="A1624" s="2" t="s">
        <v>697</v>
      </c>
      <c r="B1624" s="2" t="s">
        <v>100</v>
      </c>
      <c r="C1624" s="2" t="s">
        <v>11</v>
      </c>
      <c r="D1624" s="2" t="s">
        <v>2954</v>
      </c>
      <c r="E1624" s="5">
        <v>44942</v>
      </c>
      <c r="F1624" s="2">
        <v>382</v>
      </c>
      <c r="G1624" s="2" t="s">
        <v>12</v>
      </c>
      <c r="H1624" s="2" t="s">
        <v>98</v>
      </c>
      <c r="I1624" s="6">
        <v>0.03</v>
      </c>
      <c r="J1624" s="2" t="str">
        <f t="shared" si="25"/>
        <v>2023-01</v>
      </c>
    </row>
    <row r="1625" spans="1:10" x14ac:dyDescent="0.2">
      <c r="A1625" s="2" t="s">
        <v>1592</v>
      </c>
      <c r="B1625" s="2" t="s">
        <v>273</v>
      </c>
      <c r="C1625" s="2" t="s">
        <v>16</v>
      </c>
      <c r="D1625" s="2" t="s">
        <v>2954</v>
      </c>
      <c r="E1625" s="5">
        <v>44942</v>
      </c>
      <c r="F1625" s="2">
        <v>74</v>
      </c>
      <c r="G1625" s="2" t="s">
        <v>66</v>
      </c>
      <c r="H1625" s="2" t="s">
        <v>274</v>
      </c>
      <c r="I1625" s="6">
        <v>0.1</v>
      </c>
      <c r="J1625" s="2" t="str">
        <f t="shared" si="25"/>
        <v>2023-01</v>
      </c>
    </row>
    <row r="1626" spans="1:10" x14ac:dyDescent="0.2">
      <c r="A1626" s="2" t="s">
        <v>1593</v>
      </c>
      <c r="B1626" s="2" t="s">
        <v>538</v>
      </c>
      <c r="C1626" s="2" t="s">
        <v>11</v>
      </c>
      <c r="D1626" s="2" t="s">
        <v>2954</v>
      </c>
      <c r="E1626" s="5">
        <v>44942</v>
      </c>
      <c r="F1626" s="2">
        <v>548</v>
      </c>
      <c r="G1626" s="2" t="s">
        <v>12</v>
      </c>
      <c r="H1626" s="2" t="s">
        <v>98</v>
      </c>
      <c r="I1626" s="6">
        <v>0.02</v>
      </c>
      <c r="J1626" s="2" t="str">
        <f t="shared" si="25"/>
        <v>2023-01</v>
      </c>
    </row>
    <row r="1627" spans="1:10" x14ac:dyDescent="0.2">
      <c r="A1627" s="2" t="s">
        <v>1594</v>
      </c>
      <c r="B1627" s="2" t="s">
        <v>100</v>
      </c>
      <c r="C1627" s="2" t="s">
        <v>11</v>
      </c>
      <c r="D1627" s="2">
        <v>120</v>
      </c>
      <c r="E1627" s="5">
        <v>44941</v>
      </c>
      <c r="F1627" s="2">
        <v>126</v>
      </c>
      <c r="G1627" s="2" t="s">
        <v>66</v>
      </c>
      <c r="H1627" s="2" t="s">
        <v>98</v>
      </c>
      <c r="I1627" s="6" t="s">
        <v>2954</v>
      </c>
      <c r="J1627" s="2" t="str">
        <f t="shared" si="25"/>
        <v>2023-01</v>
      </c>
    </row>
    <row r="1628" spans="1:10" x14ac:dyDescent="0.2">
      <c r="A1628" s="2" t="s">
        <v>1595</v>
      </c>
      <c r="B1628" s="2" t="s">
        <v>25</v>
      </c>
      <c r="C1628" s="2" t="s">
        <v>26</v>
      </c>
      <c r="D1628" s="2">
        <v>100</v>
      </c>
      <c r="E1628" s="5">
        <v>44941</v>
      </c>
      <c r="F1628" s="2">
        <v>104</v>
      </c>
      <c r="G1628" s="2" t="s">
        <v>66</v>
      </c>
      <c r="H1628" s="2" t="s">
        <v>23</v>
      </c>
      <c r="I1628" s="6">
        <v>0.3</v>
      </c>
      <c r="J1628" s="2" t="str">
        <f t="shared" si="25"/>
        <v>2023-01</v>
      </c>
    </row>
    <row r="1629" spans="1:10" x14ac:dyDescent="0.2">
      <c r="A1629" s="2" t="s">
        <v>1596</v>
      </c>
      <c r="B1629" s="2" t="s">
        <v>538</v>
      </c>
      <c r="C1629" s="2" t="s">
        <v>11</v>
      </c>
      <c r="D1629" s="2">
        <v>40</v>
      </c>
      <c r="E1629" s="5">
        <v>44941</v>
      </c>
      <c r="F1629" s="2">
        <v>21</v>
      </c>
      <c r="G1629" s="2" t="s">
        <v>41</v>
      </c>
      <c r="H1629" s="2" t="s">
        <v>98</v>
      </c>
      <c r="I1629" s="6">
        <v>0.43</v>
      </c>
      <c r="J1629" s="2" t="str">
        <f t="shared" si="25"/>
        <v>2023-01</v>
      </c>
    </row>
    <row r="1630" spans="1:10" x14ac:dyDescent="0.2">
      <c r="A1630" s="2" t="s">
        <v>1597</v>
      </c>
      <c r="B1630" s="2" t="s">
        <v>1598</v>
      </c>
      <c r="C1630" s="2" t="s">
        <v>11</v>
      </c>
      <c r="D1630" s="2" t="s">
        <v>2954</v>
      </c>
      <c r="E1630" s="5">
        <v>44941</v>
      </c>
      <c r="F1630" s="2">
        <v>254</v>
      </c>
      <c r="G1630" s="2" t="s">
        <v>128</v>
      </c>
      <c r="H1630" s="2" t="s">
        <v>98</v>
      </c>
      <c r="I1630" s="6">
        <v>0.05</v>
      </c>
      <c r="J1630" s="2" t="str">
        <f t="shared" si="25"/>
        <v>2023-01</v>
      </c>
    </row>
    <row r="1631" spans="1:10" x14ac:dyDescent="0.2">
      <c r="A1631" s="2" t="s">
        <v>1599</v>
      </c>
      <c r="B1631" s="2" t="s">
        <v>628</v>
      </c>
      <c r="C1631" s="2" t="s">
        <v>103</v>
      </c>
      <c r="D1631" s="2">
        <v>900</v>
      </c>
      <c r="E1631" s="5">
        <v>44939</v>
      </c>
      <c r="F1631" s="2" t="s">
        <v>2954</v>
      </c>
      <c r="G1631" s="2" t="s">
        <v>12</v>
      </c>
      <c r="H1631" s="2" t="s">
        <v>224</v>
      </c>
      <c r="I1631" s="6" t="s">
        <v>2954</v>
      </c>
      <c r="J1631" s="2" t="str">
        <f t="shared" si="25"/>
        <v>2023-01</v>
      </c>
    </row>
    <row r="1632" spans="1:10" x14ac:dyDescent="0.2">
      <c r="A1632" s="2" t="s">
        <v>129</v>
      </c>
      <c r="B1632" s="2" t="s">
        <v>100</v>
      </c>
      <c r="C1632" s="2" t="s">
        <v>52</v>
      </c>
      <c r="D1632" s="2">
        <v>200</v>
      </c>
      <c r="E1632" s="5">
        <v>44939</v>
      </c>
      <c r="F1632" s="2">
        <v>5000</v>
      </c>
      <c r="G1632" s="2" t="s">
        <v>130</v>
      </c>
      <c r="H1632" s="2" t="s">
        <v>98</v>
      </c>
      <c r="I1632" s="6" t="s">
        <v>2954</v>
      </c>
      <c r="J1632" s="2" t="str">
        <f t="shared" si="25"/>
        <v>2023-01</v>
      </c>
    </row>
    <row r="1633" spans="1:10" x14ac:dyDescent="0.2">
      <c r="A1633" s="2" t="s">
        <v>730</v>
      </c>
      <c r="B1633" s="2" t="s">
        <v>86</v>
      </c>
      <c r="C1633" s="2" t="s">
        <v>29</v>
      </c>
      <c r="D1633" s="2">
        <v>140</v>
      </c>
      <c r="E1633" s="5">
        <v>44939</v>
      </c>
      <c r="F1633" s="2" t="s">
        <v>2954</v>
      </c>
      <c r="G1633" s="2" t="s">
        <v>12</v>
      </c>
      <c r="H1633" s="2" t="s">
        <v>23</v>
      </c>
      <c r="I1633" s="6">
        <v>0.1</v>
      </c>
      <c r="J1633" s="2" t="str">
        <f t="shared" si="25"/>
        <v>2023-01</v>
      </c>
    </row>
    <row r="1634" spans="1:10" x14ac:dyDescent="0.2">
      <c r="A1634" s="2" t="s">
        <v>1600</v>
      </c>
      <c r="B1634" s="2" t="s">
        <v>34</v>
      </c>
      <c r="C1634" s="2" t="s">
        <v>32</v>
      </c>
      <c r="D1634" s="2">
        <v>40</v>
      </c>
      <c r="E1634" s="5">
        <v>44939</v>
      </c>
      <c r="F1634" s="2">
        <v>101</v>
      </c>
      <c r="G1634" s="2" t="s">
        <v>37</v>
      </c>
      <c r="H1634" s="2" t="s">
        <v>23</v>
      </c>
      <c r="I1634" s="6" t="s">
        <v>2954</v>
      </c>
      <c r="J1634" s="2" t="str">
        <f t="shared" si="25"/>
        <v>2023-01</v>
      </c>
    </row>
    <row r="1635" spans="1:10" x14ac:dyDescent="0.2">
      <c r="A1635" s="2" t="s">
        <v>1347</v>
      </c>
      <c r="B1635" s="2" t="s">
        <v>1106</v>
      </c>
      <c r="C1635" s="2" t="s">
        <v>32</v>
      </c>
      <c r="D1635" s="2" t="s">
        <v>2954</v>
      </c>
      <c r="E1635" s="5">
        <v>44939</v>
      </c>
      <c r="F1635" s="2">
        <v>155</v>
      </c>
      <c r="G1635" s="2" t="s">
        <v>66</v>
      </c>
      <c r="H1635" s="2" t="s">
        <v>23</v>
      </c>
      <c r="I1635" s="6">
        <v>1</v>
      </c>
      <c r="J1635" s="2" t="str">
        <f t="shared" si="25"/>
        <v>2023-01</v>
      </c>
    </row>
    <row r="1636" spans="1:10" x14ac:dyDescent="0.2">
      <c r="A1636" s="2" t="s">
        <v>1601</v>
      </c>
      <c r="B1636" s="2" t="s">
        <v>250</v>
      </c>
      <c r="C1636" s="2" t="s">
        <v>52</v>
      </c>
      <c r="D1636" s="2" t="s">
        <v>2954</v>
      </c>
      <c r="E1636" s="5">
        <v>44939</v>
      </c>
      <c r="F1636" s="2">
        <v>1600</v>
      </c>
      <c r="G1636" s="2" t="s">
        <v>17</v>
      </c>
      <c r="H1636" s="2" t="s">
        <v>23</v>
      </c>
      <c r="I1636" s="6" t="s">
        <v>2954</v>
      </c>
      <c r="J1636" s="2" t="str">
        <f t="shared" si="25"/>
        <v>2023-01</v>
      </c>
    </row>
    <row r="1637" spans="1:10" x14ac:dyDescent="0.2">
      <c r="A1637" s="2" t="s">
        <v>1602</v>
      </c>
      <c r="B1637" s="2" t="s">
        <v>1603</v>
      </c>
      <c r="C1637" s="2" t="s">
        <v>26</v>
      </c>
      <c r="D1637" s="2" t="s">
        <v>2954</v>
      </c>
      <c r="E1637" s="5">
        <v>44939</v>
      </c>
      <c r="F1637" s="2">
        <v>2</v>
      </c>
      <c r="G1637" s="2" t="s">
        <v>12</v>
      </c>
      <c r="H1637" s="2" t="s">
        <v>23</v>
      </c>
      <c r="I1637" s="6" t="s">
        <v>2954</v>
      </c>
      <c r="J1637" s="2" t="str">
        <f t="shared" si="25"/>
        <v>2023-01</v>
      </c>
    </row>
    <row r="1638" spans="1:10" x14ac:dyDescent="0.2">
      <c r="A1638" s="2" t="s">
        <v>1604</v>
      </c>
      <c r="B1638" s="2" t="s">
        <v>401</v>
      </c>
      <c r="C1638" s="2" t="s">
        <v>29</v>
      </c>
      <c r="D1638" s="2" t="s">
        <v>2954</v>
      </c>
      <c r="E1638" s="5">
        <v>44939</v>
      </c>
      <c r="F1638" s="2">
        <v>21</v>
      </c>
      <c r="G1638" s="2" t="s">
        <v>45</v>
      </c>
      <c r="H1638" s="2" t="s">
        <v>23</v>
      </c>
      <c r="I1638" s="6" t="s">
        <v>2954</v>
      </c>
      <c r="J1638" s="2" t="str">
        <f t="shared" si="25"/>
        <v>2023-01</v>
      </c>
    </row>
    <row r="1639" spans="1:10" x14ac:dyDescent="0.2">
      <c r="A1639" s="2" t="s">
        <v>1605</v>
      </c>
      <c r="B1639" s="2" t="s">
        <v>89</v>
      </c>
      <c r="C1639" s="2" t="s">
        <v>78</v>
      </c>
      <c r="D1639" s="2" t="s">
        <v>2954</v>
      </c>
      <c r="E1639" s="5">
        <v>44939</v>
      </c>
      <c r="F1639" s="2">
        <v>114</v>
      </c>
      <c r="G1639" s="2" t="s">
        <v>66</v>
      </c>
      <c r="H1639" s="2" t="s">
        <v>23</v>
      </c>
      <c r="I1639" s="6">
        <v>0.09</v>
      </c>
      <c r="J1639" s="2" t="str">
        <f t="shared" si="25"/>
        <v>2023-01</v>
      </c>
    </row>
    <row r="1640" spans="1:10" x14ac:dyDescent="0.2">
      <c r="A1640" s="2" t="s">
        <v>655</v>
      </c>
      <c r="B1640" s="2" t="s">
        <v>34</v>
      </c>
      <c r="C1640" s="2" t="s">
        <v>16</v>
      </c>
      <c r="D1640" s="2">
        <v>225</v>
      </c>
      <c r="E1640" s="5">
        <v>44938</v>
      </c>
      <c r="F1640" s="2">
        <v>392</v>
      </c>
      <c r="G1640" s="2" t="s">
        <v>17</v>
      </c>
      <c r="H1640" s="2" t="s">
        <v>23</v>
      </c>
      <c r="I1640" s="6">
        <v>0.14000000000000001</v>
      </c>
      <c r="J1640" s="2" t="str">
        <f t="shared" si="25"/>
        <v>2023-01</v>
      </c>
    </row>
    <row r="1641" spans="1:10" x14ac:dyDescent="0.2">
      <c r="A1641" s="2" t="s">
        <v>1606</v>
      </c>
      <c r="B1641" s="2" t="s">
        <v>70</v>
      </c>
      <c r="C1641" s="2" t="s">
        <v>235</v>
      </c>
      <c r="D1641" s="2">
        <v>120</v>
      </c>
      <c r="E1641" s="5">
        <v>44938</v>
      </c>
      <c r="F1641" s="2">
        <v>410</v>
      </c>
      <c r="G1641" s="2" t="s">
        <v>62</v>
      </c>
      <c r="H1641" s="2" t="s">
        <v>23</v>
      </c>
      <c r="I1641" s="6">
        <v>0.4</v>
      </c>
      <c r="J1641" s="2" t="str">
        <f t="shared" si="25"/>
        <v>2023-01</v>
      </c>
    </row>
    <row r="1642" spans="1:10" x14ac:dyDescent="0.2">
      <c r="A1642" s="2" t="s">
        <v>1607</v>
      </c>
      <c r="B1642" s="2" t="s">
        <v>100</v>
      </c>
      <c r="C1642" s="2" t="s">
        <v>113</v>
      </c>
      <c r="D1642" s="2">
        <v>115</v>
      </c>
      <c r="E1642" s="5">
        <v>44938</v>
      </c>
      <c r="F1642" s="2">
        <v>28</v>
      </c>
      <c r="G1642" s="2" t="s">
        <v>37</v>
      </c>
      <c r="H1642" s="2" t="s">
        <v>98</v>
      </c>
      <c r="I1642" s="6" t="s">
        <v>2954</v>
      </c>
      <c r="J1642" s="2" t="str">
        <f t="shared" si="25"/>
        <v>2023-01</v>
      </c>
    </row>
    <row r="1643" spans="1:10" x14ac:dyDescent="0.2">
      <c r="A1643" s="2" t="s">
        <v>1608</v>
      </c>
      <c r="B1643" s="2" t="s">
        <v>661</v>
      </c>
      <c r="C1643" s="2" t="s">
        <v>16</v>
      </c>
      <c r="D1643" s="2">
        <v>111</v>
      </c>
      <c r="E1643" s="5">
        <v>44938</v>
      </c>
      <c r="F1643" s="2">
        <v>42</v>
      </c>
      <c r="G1643" s="2" t="s">
        <v>37</v>
      </c>
      <c r="H1643" s="2" t="s">
        <v>662</v>
      </c>
      <c r="I1643" s="6">
        <v>0.39</v>
      </c>
      <c r="J1643" s="2" t="str">
        <f t="shared" si="25"/>
        <v>2023-01</v>
      </c>
    </row>
    <row r="1644" spans="1:10" x14ac:dyDescent="0.2">
      <c r="A1644" s="2" t="s">
        <v>1609</v>
      </c>
      <c r="B1644" s="2" t="s">
        <v>54</v>
      </c>
      <c r="C1644" s="2" t="s">
        <v>22</v>
      </c>
      <c r="D1644" s="2">
        <v>110</v>
      </c>
      <c r="E1644" s="5">
        <v>44938</v>
      </c>
      <c r="F1644" s="2">
        <v>490</v>
      </c>
      <c r="G1644" s="2" t="s">
        <v>75</v>
      </c>
      <c r="H1644" s="2" t="s">
        <v>55</v>
      </c>
      <c r="I1644" s="6">
        <v>0.28000000000000003</v>
      </c>
      <c r="J1644" s="2" t="str">
        <f t="shared" si="25"/>
        <v>2023-01</v>
      </c>
    </row>
    <row r="1645" spans="1:10" x14ac:dyDescent="0.2">
      <c r="A1645" s="2" t="s">
        <v>1610</v>
      </c>
      <c r="B1645" s="2" t="s">
        <v>34</v>
      </c>
      <c r="C1645" s="2" t="s">
        <v>68</v>
      </c>
      <c r="D1645" s="2">
        <v>105</v>
      </c>
      <c r="E1645" s="5">
        <v>44938</v>
      </c>
      <c r="F1645" s="2">
        <v>328</v>
      </c>
      <c r="G1645" s="2" t="s">
        <v>62</v>
      </c>
      <c r="H1645" s="2" t="s">
        <v>23</v>
      </c>
      <c r="I1645" s="6">
        <v>0.15</v>
      </c>
      <c r="J1645" s="2" t="str">
        <f t="shared" si="25"/>
        <v>2023-01</v>
      </c>
    </row>
    <row r="1646" spans="1:10" x14ac:dyDescent="0.2">
      <c r="A1646" s="2" t="s">
        <v>1611</v>
      </c>
      <c r="B1646" s="2" t="s">
        <v>115</v>
      </c>
      <c r="C1646" s="2" t="s">
        <v>16</v>
      </c>
      <c r="D1646" s="2">
        <v>104</v>
      </c>
      <c r="E1646" s="5">
        <v>44938</v>
      </c>
      <c r="F1646" s="2">
        <v>556</v>
      </c>
      <c r="G1646" s="2" t="s">
        <v>75</v>
      </c>
      <c r="H1646" s="2" t="s">
        <v>23</v>
      </c>
      <c r="I1646" s="6">
        <v>0.21</v>
      </c>
      <c r="J1646" s="2" t="str">
        <f t="shared" si="25"/>
        <v>2023-01</v>
      </c>
    </row>
    <row r="1647" spans="1:10" x14ac:dyDescent="0.2">
      <c r="A1647" s="2" t="s">
        <v>1612</v>
      </c>
      <c r="B1647" s="2" t="s">
        <v>100</v>
      </c>
      <c r="C1647" s="2" t="s">
        <v>16</v>
      </c>
      <c r="D1647" s="2">
        <v>100</v>
      </c>
      <c r="E1647" s="5">
        <v>44938</v>
      </c>
      <c r="F1647" s="2">
        <v>41</v>
      </c>
      <c r="G1647" s="2" t="s">
        <v>37</v>
      </c>
      <c r="H1647" s="2" t="s">
        <v>98</v>
      </c>
      <c r="I1647" s="6" t="s">
        <v>2954</v>
      </c>
      <c r="J1647" s="2" t="str">
        <f t="shared" si="25"/>
        <v>2023-01</v>
      </c>
    </row>
    <row r="1648" spans="1:10" x14ac:dyDescent="0.2">
      <c r="A1648" s="2" t="s">
        <v>1613</v>
      </c>
      <c r="B1648" s="2" t="s">
        <v>401</v>
      </c>
      <c r="C1648" s="2" t="s">
        <v>243</v>
      </c>
      <c r="D1648" s="2">
        <v>64</v>
      </c>
      <c r="E1648" s="5">
        <v>44938</v>
      </c>
      <c r="F1648" s="2">
        <v>334</v>
      </c>
      <c r="G1648" s="2" t="s">
        <v>12</v>
      </c>
      <c r="H1648" s="2" t="s">
        <v>23</v>
      </c>
      <c r="I1648" s="6" t="s">
        <v>2954</v>
      </c>
      <c r="J1648" s="2" t="str">
        <f t="shared" si="25"/>
        <v>2023-01</v>
      </c>
    </row>
    <row r="1649" spans="1:10" x14ac:dyDescent="0.2">
      <c r="A1649" s="2" t="s">
        <v>1614</v>
      </c>
      <c r="B1649" s="2" t="s">
        <v>89</v>
      </c>
      <c r="C1649" s="2" t="s">
        <v>32</v>
      </c>
      <c r="D1649" s="2">
        <v>55</v>
      </c>
      <c r="E1649" s="5">
        <v>44938</v>
      </c>
      <c r="F1649" s="2" t="s">
        <v>2954</v>
      </c>
      <c r="G1649" s="2" t="s">
        <v>17</v>
      </c>
      <c r="H1649" s="2" t="s">
        <v>23</v>
      </c>
      <c r="I1649" s="6">
        <v>0.06</v>
      </c>
      <c r="J1649" s="2" t="str">
        <f t="shared" si="25"/>
        <v>2023-01</v>
      </c>
    </row>
    <row r="1650" spans="1:10" x14ac:dyDescent="0.2">
      <c r="A1650" s="2" t="s">
        <v>720</v>
      </c>
      <c r="B1650" s="2" t="s">
        <v>89</v>
      </c>
      <c r="C1650" s="2" t="s">
        <v>32</v>
      </c>
      <c r="D1650" s="2">
        <v>46</v>
      </c>
      <c r="E1650" s="5">
        <v>44938</v>
      </c>
      <c r="F1650" s="2">
        <v>301</v>
      </c>
      <c r="G1650" s="2" t="s">
        <v>17</v>
      </c>
      <c r="H1650" s="2" t="s">
        <v>23</v>
      </c>
      <c r="I1650" s="6">
        <v>0.3</v>
      </c>
      <c r="J1650" s="2" t="str">
        <f t="shared" si="25"/>
        <v>2023-01</v>
      </c>
    </row>
    <row r="1651" spans="1:10" x14ac:dyDescent="0.2">
      <c r="A1651" s="2" t="s">
        <v>1615</v>
      </c>
      <c r="B1651" s="2" t="s">
        <v>34</v>
      </c>
      <c r="C1651" s="2" t="s">
        <v>61</v>
      </c>
      <c r="D1651" s="2">
        <v>22</v>
      </c>
      <c r="E1651" s="5">
        <v>44938</v>
      </c>
      <c r="F1651" s="2">
        <v>51</v>
      </c>
      <c r="G1651" s="2" t="s">
        <v>37</v>
      </c>
      <c r="H1651" s="2" t="s">
        <v>23</v>
      </c>
      <c r="I1651" s="6" t="s">
        <v>2954</v>
      </c>
      <c r="J1651" s="2" t="str">
        <f t="shared" si="25"/>
        <v>2023-01</v>
      </c>
    </row>
    <row r="1652" spans="1:10" x14ac:dyDescent="0.2">
      <c r="A1652" s="2" t="s">
        <v>1616</v>
      </c>
      <c r="B1652" s="2" t="s">
        <v>217</v>
      </c>
      <c r="C1652" s="2" t="s">
        <v>22</v>
      </c>
      <c r="D1652" s="2" t="s">
        <v>2954</v>
      </c>
      <c r="E1652" s="5">
        <v>44938</v>
      </c>
      <c r="F1652" s="2" t="s">
        <v>2954</v>
      </c>
      <c r="G1652" s="2" t="s">
        <v>12</v>
      </c>
      <c r="H1652" s="2" t="s">
        <v>23</v>
      </c>
      <c r="I1652" s="6">
        <v>0.2</v>
      </c>
      <c r="J1652" s="2" t="str">
        <f t="shared" si="25"/>
        <v>2023-01</v>
      </c>
    </row>
    <row r="1653" spans="1:10" x14ac:dyDescent="0.2">
      <c r="A1653" s="2" t="s">
        <v>1617</v>
      </c>
      <c r="B1653" s="2" t="s">
        <v>34</v>
      </c>
      <c r="C1653" s="2" t="s">
        <v>35</v>
      </c>
      <c r="D1653" s="2" t="s">
        <v>2954</v>
      </c>
      <c r="E1653" s="5">
        <v>44938</v>
      </c>
      <c r="F1653" s="2">
        <v>158</v>
      </c>
      <c r="G1653" s="2" t="s">
        <v>17</v>
      </c>
      <c r="H1653" s="2" t="s">
        <v>23</v>
      </c>
      <c r="I1653" s="6">
        <v>0.14000000000000001</v>
      </c>
      <c r="J1653" s="2" t="str">
        <f t="shared" si="25"/>
        <v>2023-01</v>
      </c>
    </row>
    <row r="1654" spans="1:10" x14ac:dyDescent="0.2">
      <c r="A1654" s="2" t="s">
        <v>1618</v>
      </c>
      <c r="B1654" s="2" t="s">
        <v>194</v>
      </c>
      <c r="C1654" s="2" t="s">
        <v>26</v>
      </c>
      <c r="D1654" s="2" t="s">
        <v>2954</v>
      </c>
      <c r="E1654" s="5">
        <v>44938</v>
      </c>
      <c r="F1654" s="2">
        <v>34</v>
      </c>
      <c r="G1654" s="2" t="s">
        <v>37</v>
      </c>
      <c r="H1654" s="2" t="s">
        <v>23</v>
      </c>
      <c r="I1654" s="6">
        <v>0.15</v>
      </c>
      <c r="J1654" s="2" t="str">
        <f t="shared" si="25"/>
        <v>2023-01</v>
      </c>
    </row>
    <row r="1655" spans="1:10" x14ac:dyDescent="0.2">
      <c r="A1655" s="2" t="s">
        <v>369</v>
      </c>
      <c r="B1655" s="2" t="s">
        <v>34</v>
      </c>
      <c r="C1655" s="2" t="s">
        <v>170</v>
      </c>
      <c r="D1655" s="2">
        <v>640</v>
      </c>
      <c r="E1655" s="5">
        <v>44937</v>
      </c>
      <c r="F1655" s="2">
        <v>2400</v>
      </c>
      <c r="G1655" s="2" t="s">
        <v>128</v>
      </c>
      <c r="H1655" s="2" t="s">
        <v>23</v>
      </c>
      <c r="I1655" s="6">
        <v>0.2</v>
      </c>
      <c r="J1655" s="2" t="str">
        <f t="shared" si="25"/>
        <v>2023-01</v>
      </c>
    </row>
    <row r="1656" spans="1:10" x14ac:dyDescent="0.2">
      <c r="A1656" s="2" t="s">
        <v>678</v>
      </c>
      <c r="B1656" s="2" t="s">
        <v>147</v>
      </c>
      <c r="C1656" s="2" t="s">
        <v>29</v>
      </c>
      <c r="D1656" s="2">
        <v>270</v>
      </c>
      <c r="E1656" s="5">
        <v>44937</v>
      </c>
      <c r="F1656" s="2">
        <v>400</v>
      </c>
      <c r="G1656" s="2" t="s">
        <v>17</v>
      </c>
      <c r="H1656" s="2" t="s">
        <v>23</v>
      </c>
      <c r="I1656" s="6">
        <v>0.05</v>
      </c>
      <c r="J1656" s="2" t="str">
        <f t="shared" si="25"/>
        <v>2023-01</v>
      </c>
    </row>
    <row r="1657" spans="1:10" x14ac:dyDescent="0.2">
      <c r="A1657" s="2" t="s">
        <v>213</v>
      </c>
      <c r="B1657" s="2" t="s">
        <v>34</v>
      </c>
      <c r="C1657" s="2" t="s">
        <v>32</v>
      </c>
      <c r="D1657" s="2">
        <v>250</v>
      </c>
      <c r="E1657" s="5">
        <v>44937</v>
      </c>
      <c r="F1657" s="2">
        <v>3500</v>
      </c>
      <c r="G1657" s="2" t="s">
        <v>12</v>
      </c>
      <c r="H1657" s="2" t="s">
        <v>23</v>
      </c>
      <c r="I1657" s="6">
        <v>0.15</v>
      </c>
      <c r="J1657" s="2" t="str">
        <f t="shared" si="25"/>
        <v>2023-01</v>
      </c>
    </row>
    <row r="1658" spans="1:10" x14ac:dyDescent="0.2">
      <c r="A1658" s="2" t="s">
        <v>1619</v>
      </c>
      <c r="B1658" s="2" t="s">
        <v>34</v>
      </c>
      <c r="C1658" s="2" t="s">
        <v>16</v>
      </c>
      <c r="D1658" s="2">
        <v>123</v>
      </c>
      <c r="E1658" s="5">
        <v>44937</v>
      </c>
      <c r="F1658" s="2">
        <v>565</v>
      </c>
      <c r="G1658" s="2" t="s">
        <v>62</v>
      </c>
      <c r="H1658" s="2" t="s">
        <v>23</v>
      </c>
      <c r="I1658" s="6">
        <v>0.11</v>
      </c>
      <c r="J1658" s="2" t="str">
        <f t="shared" si="25"/>
        <v>2023-01</v>
      </c>
    </row>
    <row r="1659" spans="1:10" x14ac:dyDescent="0.2">
      <c r="A1659" s="2" t="s">
        <v>1620</v>
      </c>
      <c r="B1659" s="2" t="s">
        <v>34</v>
      </c>
      <c r="C1659" s="2" t="s">
        <v>195</v>
      </c>
      <c r="D1659" s="2">
        <v>100</v>
      </c>
      <c r="E1659" s="5">
        <v>44937</v>
      </c>
      <c r="F1659" s="2">
        <v>205</v>
      </c>
      <c r="G1659" s="2" t="s">
        <v>199</v>
      </c>
      <c r="H1659" s="2" t="s">
        <v>23</v>
      </c>
      <c r="I1659" s="6">
        <v>0.06</v>
      </c>
      <c r="J1659" s="2" t="str">
        <f t="shared" si="25"/>
        <v>2023-01</v>
      </c>
    </row>
    <row r="1660" spans="1:10" x14ac:dyDescent="0.2">
      <c r="A1660" s="2" t="s">
        <v>782</v>
      </c>
      <c r="B1660" s="2" t="s">
        <v>538</v>
      </c>
      <c r="C1660" s="2" t="s">
        <v>22</v>
      </c>
      <c r="D1660" s="2">
        <v>80</v>
      </c>
      <c r="E1660" s="5">
        <v>44937</v>
      </c>
      <c r="F1660" s="2">
        <v>244</v>
      </c>
      <c r="G1660" s="2" t="s">
        <v>75</v>
      </c>
      <c r="H1660" s="2" t="s">
        <v>98</v>
      </c>
      <c r="I1660" s="6" t="s">
        <v>2954</v>
      </c>
      <c r="J1660" s="2" t="str">
        <f t="shared" si="25"/>
        <v>2023-01</v>
      </c>
    </row>
    <row r="1661" spans="1:10" x14ac:dyDescent="0.2">
      <c r="A1661" s="2" t="s">
        <v>1024</v>
      </c>
      <c r="B1661" s="2" t="s">
        <v>34</v>
      </c>
      <c r="C1661" s="2" t="s">
        <v>195</v>
      </c>
      <c r="D1661" s="2">
        <v>69</v>
      </c>
      <c r="E1661" s="5">
        <v>44937</v>
      </c>
      <c r="F1661" s="2">
        <v>349</v>
      </c>
      <c r="G1661" s="2" t="s">
        <v>17</v>
      </c>
      <c r="H1661" s="2" t="s">
        <v>23</v>
      </c>
      <c r="I1661" s="6" t="s">
        <v>2954</v>
      </c>
      <c r="J1661" s="2" t="str">
        <f t="shared" si="25"/>
        <v>2023-01</v>
      </c>
    </row>
    <row r="1662" spans="1:10" x14ac:dyDescent="0.2">
      <c r="A1662" s="2" t="s">
        <v>1132</v>
      </c>
      <c r="B1662" s="2" t="s">
        <v>89</v>
      </c>
      <c r="C1662" s="2" t="s">
        <v>32</v>
      </c>
      <c r="D1662" s="2">
        <v>41</v>
      </c>
      <c r="E1662" s="5">
        <v>44937</v>
      </c>
      <c r="F1662" s="2">
        <v>94</v>
      </c>
      <c r="G1662" s="2" t="s">
        <v>37</v>
      </c>
      <c r="H1662" s="2" t="s">
        <v>23</v>
      </c>
      <c r="I1662" s="6" t="s">
        <v>2954</v>
      </c>
      <c r="J1662" s="2" t="str">
        <f t="shared" si="25"/>
        <v>2023-01</v>
      </c>
    </row>
    <row r="1663" spans="1:10" x14ac:dyDescent="0.2">
      <c r="A1663" s="2" t="s">
        <v>1621</v>
      </c>
      <c r="B1663" s="2" t="s">
        <v>34</v>
      </c>
      <c r="C1663" s="2" t="s">
        <v>29</v>
      </c>
      <c r="D1663" s="2">
        <v>40</v>
      </c>
      <c r="E1663" s="5">
        <v>44937</v>
      </c>
      <c r="F1663" s="2" t="s">
        <v>2954</v>
      </c>
      <c r="G1663" s="2" t="s">
        <v>45</v>
      </c>
      <c r="H1663" s="2" t="s">
        <v>23</v>
      </c>
      <c r="I1663" s="6">
        <v>0.2</v>
      </c>
      <c r="J1663" s="2" t="str">
        <f t="shared" si="25"/>
        <v>2023-01</v>
      </c>
    </row>
    <row r="1664" spans="1:10" x14ac:dyDescent="0.2">
      <c r="A1664" s="2" t="s">
        <v>1622</v>
      </c>
      <c r="B1664" s="2" t="s">
        <v>25</v>
      </c>
      <c r="C1664" s="2" t="s">
        <v>35</v>
      </c>
      <c r="D1664" s="2">
        <v>33</v>
      </c>
      <c r="E1664" s="5">
        <v>44937</v>
      </c>
      <c r="F1664" s="2">
        <v>133</v>
      </c>
      <c r="G1664" s="2" t="s">
        <v>66</v>
      </c>
      <c r="H1664" s="2" t="s">
        <v>23</v>
      </c>
      <c r="I1664" s="6" t="s">
        <v>2954</v>
      </c>
      <c r="J1664" s="2" t="str">
        <f t="shared" si="25"/>
        <v>2023-01</v>
      </c>
    </row>
    <row r="1665" spans="1:10" x14ac:dyDescent="0.2">
      <c r="A1665" s="2" t="s">
        <v>584</v>
      </c>
      <c r="B1665" s="2" t="s">
        <v>34</v>
      </c>
      <c r="C1665" s="2" t="s">
        <v>68</v>
      </c>
      <c r="D1665" s="2" t="s">
        <v>2954</v>
      </c>
      <c r="E1665" s="5">
        <v>44937</v>
      </c>
      <c r="F1665" s="2">
        <v>1100</v>
      </c>
      <c r="G1665" s="2" t="s">
        <v>58</v>
      </c>
      <c r="H1665" s="2" t="s">
        <v>23</v>
      </c>
      <c r="I1665" s="6">
        <v>0.1</v>
      </c>
      <c r="J1665" s="2" t="str">
        <f t="shared" si="25"/>
        <v>2023-01</v>
      </c>
    </row>
    <row r="1666" spans="1:10" x14ac:dyDescent="0.2">
      <c r="A1666" s="2" t="s">
        <v>1623</v>
      </c>
      <c r="B1666" s="2" t="s">
        <v>28</v>
      </c>
      <c r="C1666" s="2" t="s">
        <v>68</v>
      </c>
      <c r="D1666" s="2" t="s">
        <v>2954</v>
      </c>
      <c r="E1666" s="5">
        <v>44937</v>
      </c>
      <c r="F1666" s="2">
        <v>33</v>
      </c>
      <c r="G1666" s="2" t="s">
        <v>66</v>
      </c>
      <c r="H1666" s="2" t="s">
        <v>23</v>
      </c>
      <c r="I1666" s="6">
        <v>0.15</v>
      </c>
      <c r="J1666" s="2" t="str">
        <f t="shared" si="25"/>
        <v>2023-01</v>
      </c>
    </row>
    <row r="1667" spans="1:10" x14ac:dyDescent="0.2">
      <c r="A1667" s="2" t="s">
        <v>732</v>
      </c>
      <c r="B1667" s="2" t="s">
        <v>733</v>
      </c>
      <c r="C1667" s="2" t="s">
        <v>68</v>
      </c>
      <c r="D1667" s="2" t="s">
        <v>2954</v>
      </c>
      <c r="E1667" s="5">
        <v>44937</v>
      </c>
      <c r="F1667" s="2">
        <v>224</v>
      </c>
      <c r="G1667" s="2" t="s">
        <v>66</v>
      </c>
      <c r="H1667" s="2" t="s">
        <v>23</v>
      </c>
      <c r="I1667" s="6" t="s">
        <v>2954</v>
      </c>
      <c r="J1667" s="2" t="str">
        <f t="shared" ref="J1667:J1730" si="26">TEXT(E1667,"YYYY-MM")</f>
        <v>2023-01</v>
      </c>
    </row>
    <row r="1668" spans="1:10" x14ac:dyDescent="0.2">
      <c r="A1668" s="2" t="s">
        <v>1624</v>
      </c>
      <c r="B1668" s="2" t="s">
        <v>54</v>
      </c>
      <c r="C1668" s="2" t="s">
        <v>16</v>
      </c>
      <c r="D1668" s="2" t="s">
        <v>2954</v>
      </c>
      <c r="E1668" s="5">
        <v>44937</v>
      </c>
      <c r="F1668" s="2">
        <v>293</v>
      </c>
      <c r="G1668" s="2" t="s">
        <v>75</v>
      </c>
      <c r="H1668" s="2" t="s">
        <v>55</v>
      </c>
      <c r="I1668" s="6">
        <v>0.08</v>
      </c>
      <c r="J1668" s="2" t="str">
        <f t="shared" si="26"/>
        <v>2023-01</v>
      </c>
    </row>
    <row r="1669" spans="1:10" x14ac:dyDescent="0.2">
      <c r="A1669" s="2" t="s">
        <v>1625</v>
      </c>
      <c r="B1669" s="2" t="s">
        <v>34</v>
      </c>
      <c r="C1669" s="2" t="s">
        <v>22</v>
      </c>
      <c r="D1669" s="2">
        <v>950</v>
      </c>
      <c r="E1669" s="5">
        <v>44936</v>
      </c>
      <c r="F1669" s="2">
        <v>549</v>
      </c>
      <c r="G1669" s="2" t="s">
        <v>17</v>
      </c>
      <c r="H1669" s="2" t="s">
        <v>23</v>
      </c>
      <c r="I1669" s="6">
        <v>0.2</v>
      </c>
      <c r="J1669" s="2" t="str">
        <f t="shared" si="26"/>
        <v>2023-01</v>
      </c>
    </row>
    <row r="1670" spans="1:10" x14ac:dyDescent="0.2">
      <c r="A1670" s="2" t="s">
        <v>607</v>
      </c>
      <c r="B1670" s="2" t="s">
        <v>34</v>
      </c>
      <c r="C1670" s="2" t="s">
        <v>243</v>
      </c>
      <c r="D1670" s="2">
        <v>450</v>
      </c>
      <c r="E1670" s="5">
        <v>44936</v>
      </c>
      <c r="F1670" s="2" t="s">
        <v>2954</v>
      </c>
      <c r="G1670" s="2" t="s">
        <v>17</v>
      </c>
      <c r="H1670" s="2" t="s">
        <v>23</v>
      </c>
      <c r="I1670" s="6">
        <v>7.0000000000000007E-2</v>
      </c>
      <c r="J1670" s="2" t="str">
        <f t="shared" si="26"/>
        <v>2023-01</v>
      </c>
    </row>
    <row r="1671" spans="1:10" x14ac:dyDescent="0.2">
      <c r="A1671" s="2" t="s">
        <v>810</v>
      </c>
      <c r="B1671" s="2" t="s">
        <v>34</v>
      </c>
      <c r="C1671" s="2" t="s">
        <v>16</v>
      </c>
      <c r="D1671" s="2">
        <v>340</v>
      </c>
      <c r="E1671" s="5">
        <v>44936</v>
      </c>
      <c r="F1671" s="2">
        <v>665</v>
      </c>
      <c r="G1671" s="2" t="s">
        <v>17</v>
      </c>
      <c r="H1671" s="2" t="s">
        <v>23</v>
      </c>
      <c r="I1671" s="6">
        <v>0.28000000000000003</v>
      </c>
      <c r="J1671" s="2" t="str">
        <f t="shared" si="26"/>
        <v>2023-01</v>
      </c>
    </row>
    <row r="1672" spans="1:10" x14ac:dyDescent="0.2">
      <c r="A1672" s="2" t="s">
        <v>1626</v>
      </c>
      <c r="B1672" s="2" t="s">
        <v>273</v>
      </c>
      <c r="C1672" s="2" t="s">
        <v>16</v>
      </c>
      <c r="D1672" s="2">
        <v>120</v>
      </c>
      <c r="E1672" s="5">
        <v>44936</v>
      </c>
      <c r="F1672" s="2">
        <v>95</v>
      </c>
      <c r="G1672" s="2" t="s">
        <v>66</v>
      </c>
      <c r="H1672" s="2" t="s">
        <v>274</v>
      </c>
      <c r="I1672" s="6" t="s">
        <v>2954</v>
      </c>
      <c r="J1672" s="2" t="str">
        <f t="shared" si="26"/>
        <v>2023-01</v>
      </c>
    </row>
    <row r="1673" spans="1:10" x14ac:dyDescent="0.2">
      <c r="A1673" s="2" t="s">
        <v>1627</v>
      </c>
      <c r="B1673" s="2" t="s">
        <v>25</v>
      </c>
      <c r="C1673" s="2" t="s">
        <v>22</v>
      </c>
      <c r="D1673" s="2">
        <v>100</v>
      </c>
      <c r="E1673" s="5">
        <v>44936</v>
      </c>
      <c r="F1673" s="2">
        <v>726</v>
      </c>
      <c r="G1673" s="2" t="s">
        <v>75</v>
      </c>
      <c r="H1673" s="2" t="s">
        <v>23</v>
      </c>
      <c r="I1673" s="6">
        <v>0.11</v>
      </c>
      <c r="J1673" s="2" t="str">
        <f t="shared" si="26"/>
        <v>2023-01</v>
      </c>
    </row>
    <row r="1674" spans="1:10" x14ac:dyDescent="0.2">
      <c r="A1674" s="2" t="s">
        <v>738</v>
      </c>
      <c r="B1674" s="2" t="s">
        <v>15</v>
      </c>
      <c r="C1674" s="2" t="s">
        <v>195</v>
      </c>
      <c r="D1674" s="2">
        <v>100</v>
      </c>
      <c r="E1674" s="5">
        <v>44936</v>
      </c>
      <c r="F1674" s="2">
        <v>125</v>
      </c>
      <c r="G1674" s="2" t="s">
        <v>45</v>
      </c>
      <c r="H1674" s="2" t="s">
        <v>23</v>
      </c>
      <c r="I1674" s="6">
        <v>0.1</v>
      </c>
      <c r="J1674" s="2" t="str">
        <f t="shared" si="26"/>
        <v>2023-01</v>
      </c>
    </row>
    <row r="1675" spans="1:10" x14ac:dyDescent="0.2">
      <c r="A1675" s="2" t="s">
        <v>1628</v>
      </c>
      <c r="B1675" s="2" t="s">
        <v>183</v>
      </c>
      <c r="C1675" s="2" t="s">
        <v>61</v>
      </c>
      <c r="D1675" s="2">
        <v>76</v>
      </c>
      <c r="E1675" s="5">
        <v>44936</v>
      </c>
      <c r="F1675" s="2">
        <v>22</v>
      </c>
      <c r="G1675" s="2" t="s">
        <v>17</v>
      </c>
      <c r="H1675" s="2" t="s">
        <v>106</v>
      </c>
      <c r="I1675" s="6">
        <v>0.19</v>
      </c>
      <c r="J1675" s="2" t="str">
        <f t="shared" si="26"/>
        <v>2023-01</v>
      </c>
    </row>
    <row r="1676" spans="1:10" x14ac:dyDescent="0.2">
      <c r="A1676" s="2" t="s">
        <v>1629</v>
      </c>
      <c r="B1676" s="2" t="s">
        <v>538</v>
      </c>
      <c r="C1676" s="2" t="s">
        <v>61</v>
      </c>
      <c r="D1676" s="2">
        <v>60</v>
      </c>
      <c r="E1676" s="5">
        <v>44936</v>
      </c>
      <c r="F1676" s="2">
        <v>190</v>
      </c>
      <c r="G1676" s="2" t="s">
        <v>128</v>
      </c>
      <c r="H1676" s="2" t="s">
        <v>98</v>
      </c>
      <c r="I1676" s="6" t="s">
        <v>2954</v>
      </c>
      <c r="J1676" s="2" t="str">
        <f t="shared" si="26"/>
        <v>2023-01</v>
      </c>
    </row>
    <row r="1677" spans="1:10" x14ac:dyDescent="0.2">
      <c r="A1677" s="2" t="s">
        <v>1630</v>
      </c>
      <c r="B1677" s="2" t="s">
        <v>515</v>
      </c>
      <c r="C1677" s="2" t="s">
        <v>35</v>
      </c>
      <c r="D1677" s="2">
        <v>60</v>
      </c>
      <c r="E1677" s="5">
        <v>44936</v>
      </c>
      <c r="F1677" s="2">
        <v>36</v>
      </c>
      <c r="G1677" s="2" t="s">
        <v>37</v>
      </c>
      <c r="H1677" s="2" t="s">
        <v>23</v>
      </c>
      <c r="I1677" s="6">
        <v>0.75</v>
      </c>
      <c r="J1677" s="2" t="str">
        <f t="shared" si="26"/>
        <v>2023-01</v>
      </c>
    </row>
    <row r="1678" spans="1:10" x14ac:dyDescent="0.2">
      <c r="A1678" s="2" t="s">
        <v>1631</v>
      </c>
      <c r="B1678" s="2" t="s">
        <v>335</v>
      </c>
      <c r="C1678" s="2" t="s">
        <v>170</v>
      </c>
      <c r="D1678" s="2">
        <v>55</v>
      </c>
      <c r="E1678" s="5">
        <v>44936</v>
      </c>
      <c r="F1678" s="2">
        <v>178</v>
      </c>
      <c r="G1678" s="2" t="s">
        <v>66</v>
      </c>
      <c r="H1678" s="2" t="s">
        <v>106</v>
      </c>
      <c r="I1678" s="6">
        <v>0.05</v>
      </c>
      <c r="J1678" s="2" t="str">
        <f t="shared" si="26"/>
        <v>2023-01</v>
      </c>
    </row>
    <row r="1679" spans="1:10" x14ac:dyDescent="0.2">
      <c r="A1679" s="2" t="s">
        <v>1632</v>
      </c>
      <c r="B1679" s="2" t="s">
        <v>100</v>
      </c>
      <c r="C1679" s="2" t="s">
        <v>68</v>
      </c>
      <c r="D1679" s="2">
        <v>40</v>
      </c>
      <c r="E1679" s="5">
        <v>44936</v>
      </c>
      <c r="F1679" s="2" t="s">
        <v>2954</v>
      </c>
      <c r="G1679" s="2" t="s">
        <v>12</v>
      </c>
      <c r="H1679" s="2" t="s">
        <v>98</v>
      </c>
      <c r="I1679" s="6">
        <v>0.2</v>
      </c>
      <c r="J1679" s="2" t="str">
        <f t="shared" si="26"/>
        <v>2023-01</v>
      </c>
    </row>
    <row r="1680" spans="1:10" x14ac:dyDescent="0.2">
      <c r="A1680" s="2" t="s">
        <v>797</v>
      </c>
      <c r="B1680" s="2" t="s">
        <v>15</v>
      </c>
      <c r="C1680" s="2" t="s">
        <v>235</v>
      </c>
      <c r="D1680" s="2">
        <v>40</v>
      </c>
      <c r="E1680" s="5">
        <v>44936</v>
      </c>
      <c r="F1680" s="2">
        <v>111</v>
      </c>
      <c r="G1680" s="2" t="s">
        <v>37</v>
      </c>
      <c r="H1680" s="2" t="s">
        <v>18</v>
      </c>
      <c r="I1680" s="6">
        <v>0.2</v>
      </c>
      <c r="J1680" s="2" t="str">
        <f t="shared" si="26"/>
        <v>2023-01</v>
      </c>
    </row>
    <row r="1681" spans="1:10" x14ac:dyDescent="0.2">
      <c r="A1681" s="2" t="s">
        <v>1633</v>
      </c>
      <c r="B1681" s="2" t="s">
        <v>86</v>
      </c>
      <c r="C1681" s="2" t="s">
        <v>142</v>
      </c>
      <c r="D1681" s="2">
        <v>25</v>
      </c>
      <c r="E1681" s="5">
        <v>44936</v>
      </c>
      <c r="F1681" s="2">
        <v>383</v>
      </c>
      <c r="G1681" s="2" t="s">
        <v>12</v>
      </c>
      <c r="H1681" s="2" t="s">
        <v>23</v>
      </c>
      <c r="I1681" s="6">
        <v>0.04</v>
      </c>
      <c r="J1681" s="2" t="str">
        <f t="shared" si="26"/>
        <v>2023-01</v>
      </c>
    </row>
    <row r="1682" spans="1:10" x14ac:dyDescent="0.2">
      <c r="A1682" s="2" t="s">
        <v>1634</v>
      </c>
      <c r="B1682" s="2" t="s">
        <v>47</v>
      </c>
      <c r="C1682" s="2" t="s">
        <v>142</v>
      </c>
      <c r="D1682" s="2" t="s">
        <v>2954</v>
      </c>
      <c r="E1682" s="5">
        <v>44936</v>
      </c>
      <c r="F1682" s="2">
        <v>120</v>
      </c>
      <c r="G1682" s="2" t="s">
        <v>66</v>
      </c>
      <c r="H1682" s="2" t="s">
        <v>23</v>
      </c>
      <c r="I1682" s="6" t="s">
        <v>2954</v>
      </c>
      <c r="J1682" s="2" t="str">
        <f t="shared" si="26"/>
        <v>2023-01</v>
      </c>
    </row>
    <row r="1683" spans="1:10" x14ac:dyDescent="0.2">
      <c r="A1683" s="2" t="s">
        <v>567</v>
      </c>
      <c r="B1683" s="2" t="s">
        <v>54</v>
      </c>
      <c r="C1683" s="2" t="s">
        <v>68</v>
      </c>
      <c r="D1683" s="2" t="s">
        <v>2954</v>
      </c>
      <c r="E1683" s="5">
        <v>44936</v>
      </c>
      <c r="F1683" s="2">
        <v>223</v>
      </c>
      <c r="G1683" s="2" t="s">
        <v>75</v>
      </c>
      <c r="H1683" s="2" t="s">
        <v>23</v>
      </c>
      <c r="I1683" s="6">
        <v>0.12</v>
      </c>
      <c r="J1683" s="2" t="str">
        <f t="shared" si="26"/>
        <v>2023-01</v>
      </c>
    </row>
    <row r="1684" spans="1:10" x14ac:dyDescent="0.2">
      <c r="A1684" s="2" t="s">
        <v>1633</v>
      </c>
      <c r="B1684" s="2" t="s">
        <v>86</v>
      </c>
      <c r="C1684" s="2" t="s">
        <v>142</v>
      </c>
      <c r="D1684" s="2" t="s">
        <v>2954</v>
      </c>
      <c r="E1684" s="5">
        <v>44936</v>
      </c>
      <c r="F1684" s="2">
        <v>383</v>
      </c>
      <c r="G1684" s="2" t="s">
        <v>12</v>
      </c>
      <c r="H1684" s="2" t="s">
        <v>23</v>
      </c>
      <c r="I1684" s="6" t="s">
        <v>2954</v>
      </c>
      <c r="J1684" s="2" t="str">
        <f t="shared" si="26"/>
        <v>2023-01</v>
      </c>
    </row>
    <row r="1685" spans="1:10" x14ac:dyDescent="0.2">
      <c r="A1685" s="2" t="s">
        <v>438</v>
      </c>
      <c r="B1685" s="2" t="s">
        <v>194</v>
      </c>
      <c r="C1685" s="2" t="s">
        <v>48</v>
      </c>
      <c r="D1685" s="2" t="s">
        <v>2954</v>
      </c>
      <c r="E1685" s="5">
        <v>44936</v>
      </c>
      <c r="F1685" s="2">
        <v>20</v>
      </c>
      <c r="G1685" s="2" t="s">
        <v>45</v>
      </c>
      <c r="H1685" s="2" t="s">
        <v>23</v>
      </c>
      <c r="I1685" s="6">
        <v>0.15</v>
      </c>
      <c r="J1685" s="2" t="str">
        <f t="shared" si="26"/>
        <v>2023-01</v>
      </c>
    </row>
    <row r="1686" spans="1:10" x14ac:dyDescent="0.2">
      <c r="A1686" s="2" t="s">
        <v>1635</v>
      </c>
      <c r="B1686" s="2" t="s">
        <v>28</v>
      </c>
      <c r="C1686" s="2" t="s">
        <v>29</v>
      </c>
      <c r="D1686" s="2" t="s">
        <v>2954</v>
      </c>
      <c r="E1686" s="5">
        <v>44936</v>
      </c>
      <c r="F1686" s="2">
        <v>10</v>
      </c>
      <c r="G1686" s="2" t="s">
        <v>41</v>
      </c>
      <c r="H1686" s="2" t="s">
        <v>23</v>
      </c>
      <c r="I1686" s="6">
        <v>0.21</v>
      </c>
      <c r="J1686" s="2" t="str">
        <f t="shared" si="26"/>
        <v>2023-01</v>
      </c>
    </row>
    <row r="1687" spans="1:10" x14ac:dyDescent="0.2">
      <c r="A1687" s="2" t="s">
        <v>1636</v>
      </c>
      <c r="B1687" s="2" t="s">
        <v>89</v>
      </c>
      <c r="C1687" s="2" t="s">
        <v>117</v>
      </c>
      <c r="D1687" s="2" t="s">
        <v>2954</v>
      </c>
      <c r="E1687" s="5">
        <v>44936</v>
      </c>
      <c r="F1687" s="2">
        <v>404</v>
      </c>
      <c r="G1687" s="2" t="s">
        <v>62</v>
      </c>
      <c r="H1687" s="2" t="s">
        <v>23</v>
      </c>
      <c r="I1687" s="6">
        <v>0.04</v>
      </c>
      <c r="J1687" s="2" t="str">
        <f t="shared" si="26"/>
        <v>2023-01</v>
      </c>
    </row>
    <row r="1688" spans="1:10" x14ac:dyDescent="0.2">
      <c r="A1688" s="2" t="s">
        <v>1637</v>
      </c>
      <c r="B1688" s="2" t="s">
        <v>64</v>
      </c>
      <c r="C1688" s="2" t="s">
        <v>32</v>
      </c>
      <c r="D1688" s="2">
        <v>315</v>
      </c>
      <c r="E1688" s="5">
        <v>44935</v>
      </c>
      <c r="F1688" s="2">
        <v>1200</v>
      </c>
      <c r="G1688" s="2" t="s">
        <v>17</v>
      </c>
      <c r="H1688" s="2" t="s">
        <v>23</v>
      </c>
      <c r="I1688" s="7" t="s">
        <v>1638</v>
      </c>
      <c r="J1688" s="2" t="str">
        <f t="shared" si="26"/>
        <v>2023-01</v>
      </c>
    </row>
    <row r="1689" spans="1:10" x14ac:dyDescent="0.2">
      <c r="A1689" s="2" t="s">
        <v>1639</v>
      </c>
      <c r="B1689" s="2" t="s">
        <v>80</v>
      </c>
      <c r="C1689" s="2" t="s">
        <v>32</v>
      </c>
      <c r="D1689" s="2" t="s">
        <v>2954</v>
      </c>
      <c r="E1689" s="5">
        <v>44935</v>
      </c>
      <c r="F1689" s="2">
        <v>560</v>
      </c>
      <c r="G1689" s="2" t="s">
        <v>17</v>
      </c>
      <c r="H1689" s="2" t="s">
        <v>23</v>
      </c>
      <c r="I1689" s="6" t="s">
        <v>2954</v>
      </c>
      <c r="J1689" s="2" t="str">
        <f t="shared" si="26"/>
        <v>2023-01</v>
      </c>
    </row>
    <row r="1690" spans="1:10" x14ac:dyDescent="0.2">
      <c r="A1690" s="2" t="s">
        <v>1640</v>
      </c>
      <c r="B1690" s="2" t="s">
        <v>89</v>
      </c>
      <c r="C1690" s="2" t="s">
        <v>32</v>
      </c>
      <c r="D1690" s="2" t="s">
        <v>2954</v>
      </c>
      <c r="E1690" s="5">
        <v>44935</v>
      </c>
      <c r="F1690" s="2">
        <v>656</v>
      </c>
      <c r="G1690" s="2" t="s">
        <v>17</v>
      </c>
      <c r="H1690" s="2" t="s">
        <v>23</v>
      </c>
      <c r="I1690" s="6">
        <v>0.2</v>
      </c>
      <c r="J1690" s="2" t="str">
        <f t="shared" si="26"/>
        <v>2023-01</v>
      </c>
    </row>
    <row r="1691" spans="1:10" x14ac:dyDescent="0.2">
      <c r="A1691" s="2" t="s">
        <v>1641</v>
      </c>
      <c r="B1691" s="2" t="s">
        <v>34</v>
      </c>
      <c r="C1691" s="2" t="s">
        <v>243</v>
      </c>
      <c r="D1691" s="2" t="s">
        <v>2954</v>
      </c>
      <c r="E1691" s="5">
        <v>44935</v>
      </c>
      <c r="F1691" s="2">
        <v>602</v>
      </c>
      <c r="G1691" s="2" t="s">
        <v>128</v>
      </c>
      <c r="H1691" s="2" t="s">
        <v>23</v>
      </c>
      <c r="I1691" s="6">
        <v>0.2</v>
      </c>
      <c r="J1691" s="2" t="str">
        <f t="shared" si="26"/>
        <v>2023-01</v>
      </c>
    </row>
    <row r="1692" spans="1:10" x14ac:dyDescent="0.2">
      <c r="A1692" s="2" t="s">
        <v>1642</v>
      </c>
      <c r="B1692" s="2" t="s">
        <v>54</v>
      </c>
      <c r="C1692" s="2" t="s">
        <v>235</v>
      </c>
      <c r="D1692" s="2">
        <v>50</v>
      </c>
      <c r="E1692" s="5">
        <v>44934</v>
      </c>
      <c r="F1692" s="2">
        <v>160</v>
      </c>
      <c r="G1692" s="2" t="s">
        <v>959</v>
      </c>
      <c r="H1692" s="2" t="s">
        <v>55</v>
      </c>
      <c r="I1692" s="6">
        <v>0.1</v>
      </c>
      <c r="J1692" s="2" t="str">
        <f t="shared" si="26"/>
        <v>2023-01</v>
      </c>
    </row>
    <row r="1693" spans="1:10" x14ac:dyDescent="0.2">
      <c r="A1693" s="2" t="s">
        <v>1159</v>
      </c>
      <c r="B1693" s="2" t="s">
        <v>34</v>
      </c>
      <c r="C1693" s="2" t="s">
        <v>29</v>
      </c>
      <c r="D1693" s="2">
        <v>43</v>
      </c>
      <c r="E1693" s="5">
        <v>44934</v>
      </c>
      <c r="F1693" s="2">
        <v>307</v>
      </c>
      <c r="G1693" s="2" t="s">
        <v>17</v>
      </c>
      <c r="H1693" s="2" t="s">
        <v>23</v>
      </c>
      <c r="I1693" s="6">
        <v>0.03</v>
      </c>
      <c r="J1693" s="2" t="str">
        <f t="shared" si="26"/>
        <v>2023-01</v>
      </c>
    </row>
    <row r="1694" spans="1:10" x14ac:dyDescent="0.2">
      <c r="A1694" s="2" t="s">
        <v>1643</v>
      </c>
      <c r="B1694" s="2" t="s">
        <v>250</v>
      </c>
      <c r="C1694" s="2" t="s">
        <v>26</v>
      </c>
      <c r="D1694" s="2" t="s">
        <v>2954</v>
      </c>
      <c r="E1694" s="5">
        <v>44933</v>
      </c>
      <c r="F1694" s="2">
        <v>80</v>
      </c>
      <c r="G1694" s="2" t="s">
        <v>45</v>
      </c>
      <c r="H1694" s="2" t="s">
        <v>23</v>
      </c>
      <c r="I1694" s="6" t="s">
        <v>2954</v>
      </c>
      <c r="J1694" s="2" t="str">
        <f t="shared" si="26"/>
        <v>2023-01</v>
      </c>
    </row>
    <row r="1695" spans="1:10" x14ac:dyDescent="0.2">
      <c r="A1695" s="2" t="s">
        <v>1644</v>
      </c>
      <c r="B1695" s="2" t="s">
        <v>595</v>
      </c>
      <c r="C1695" s="2" t="s">
        <v>22</v>
      </c>
      <c r="D1695" s="2">
        <v>275</v>
      </c>
      <c r="E1695" s="5">
        <v>44932</v>
      </c>
      <c r="F1695" s="2">
        <v>2</v>
      </c>
      <c r="G1695" s="2" t="s">
        <v>12</v>
      </c>
      <c r="H1695" s="2" t="s">
        <v>224</v>
      </c>
      <c r="I1695" s="6">
        <v>0.2</v>
      </c>
      <c r="J1695" s="2" t="str">
        <f t="shared" si="26"/>
        <v>2023-01</v>
      </c>
    </row>
    <row r="1696" spans="1:10" x14ac:dyDescent="0.2">
      <c r="A1696" s="2" t="s">
        <v>269</v>
      </c>
      <c r="B1696" s="2" t="s">
        <v>34</v>
      </c>
      <c r="C1696" s="2" t="s">
        <v>32</v>
      </c>
      <c r="D1696" s="2">
        <v>200</v>
      </c>
      <c r="E1696" s="5">
        <v>44932</v>
      </c>
      <c r="F1696" s="2">
        <v>522</v>
      </c>
      <c r="G1696" s="2" t="s">
        <v>75</v>
      </c>
      <c r="H1696" s="2" t="s">
        <v>23</v>
      </c>
      <c r="I1696" s="6" t="s">
        <v>2954</v>
      </c>
      <c r="J1696" s="2" t="str">
        <f t="shared" si="26"/>
        <v>2023-01</v>
      </c>
    </row>
    <row r="1697" spans="1:10" x14ac:dyDescent="0.2">
      <c r="A1697" s="2" t="s">
        <v>1645</v>
      </c>
      <c r="B1697" s="2" t="s">
        <v>100</v>
      </c>
      <c r="C1697" s="2" t="s">
        <v>52</v>
      </c>
      <c r="D1697" s="2">
        <v>40</v>
      </c>
      <c r="E1697" s="5">
        <v>44932</v>
      </c>
      <c r="F1697" s="2">
        <v>214</v>
      </c>
      <c r="G1697" s="2" t="s">
        <v>75</v>
      </c>
      <c r="H1697" s="2" t="s">
        <v>98</v>
      </c>
      <c r="I1697" s="6">
        <v>0.05</v>
      </c>
      <c r="J1697" s="2" t="str">
        <f t="shared" si="26"/>
        <v>2023-01</v>
      </c>
    </row>
    <row r="1698" spans="1:10" x14ac:dyDescent="0.2">
      <c r="A1698" s="2" t="s">
        <v>832</v>
      </c>
      <c r="B1698" s="2" t="s">
        <v>414</v>
      </c>
      <c r="C1698" s="2" t="s">
        <v>195</v>
      </c>
      <c r="D1698" s="2" t="s">
        <v>2954</v>
      </c>
      <c r="E1698" s="5">
        <v>44932</v>
      </c>
      <c r="F1698" s="2">
        <v>88</v>
      </c>
      <c r="G1698" s="2" t="s">
        <v>66</v>
      </c>
      <c r="H1698" s="2" t="s">
        <v>23</v>
      </c>
      <c r="I1698" s="6" t="s">
        <v>2954</v>
      </c>
      <c r="J1698" s="2" t="str">
        <f t="shared" si="26"/>
        <v>2023-01</v>
      </c>
    </row>
    <row r="1699" spans="1:10" x14ac:dyDescent="0.2">
      <c r="A1699" s="2" t="s">
        <v>1646</v>
      </c>
      <c r="B1699" s="2" t="s">
        <v>47</v>
      </c>
      <c r="C1699" s="2" t="s">
        <v>68</v>
      </c>
      <c r="D1699" s="2" t="s">
        <v>2954</v>
      </c>
      <c r="E1699" s="5">
        <v>44932</v>
      </c>
      <c r="F1699" s="2">
        <v>30</v>
      </c>
      <c r="G1699" s="2" t="s">
        <v>199</v>
      </c>
      <c r="H1699" s="2" t="s">
        <v>23</v>
      </c>
      <c r="I1699" s="6" t="s">
        <v>2954</v>
      </c>
      <c r="J1699" s="2" t="str">
        <f t="shared" si="26"/>
        <v>2023-01</v>
      </c>
    </row>
    <row r="1700" spans="1:10" x14ac:dyDescent="0.2">
      <c r="A1700" s="2" t="s">
        <v>1647</v>
      </c>
      <c r="B1700" s="2" t="s">
        <v>34</v>
      </c>
      <c r="C1700" s="2" t="s">
        <v>71</v>
      </c>
      <c r="D1700" s="2" t="s">
        <v>2954</v>
      </c>
      <c r="E1700" s="5">
        <v>44932</v>
      </c>
      <c r="F1700" s="2" t="s">
        <v>2954</v>
      </c>
      <c r="G1700" s="2" t="s">
        <v>12</v>
      </c>
      <c r="H1700" s="2" t="s">
        <v>23</v>
      </c>
      <c r="I1700" s="6" t="s">
        <v>2954</v>
      </c>
      <c r="J1700" s="2" t="str">
        <f t="shared" si="26"/>
        <v>2023-01</v>
      </c>
    </row>
    <row r="1701" spans="1:10" x14ac:dyDescent="0.2">
      <c r="A1701" s="2" t="s">
        <v>1648</v>
      </c>
      <c r="B1701" s="2" t="s">
        <v>1649</v>
      </c>
      <c r="C1701" s="2" t="s">
        <v>142</v>
      </c>
      <c r="D1701" s="2" t="s">
        <v>2954</v>
      </c>
      <c r="E1701" s="5">
        <v>44932</v>
      </c>
      <c r="F1701" s="2">
        <v>40</v>
      </c>
      <c r="G1701" s="2" t="s">
        <v>132</v>
      </c>
      <c r="H1701" s="2" t="s">
        <v>23</v>
      </c>
      <c r="I1701" s="6">
        <v>1</v>
      </c>
      <c r="J1701" s="2" t="str">
        <f t="shared" si="26"/>
        <v>2023-01</v>
      </c>
    </row>
    <row r="1702" spans="1:10" x14ac:dyDescent="0.2">
      <c r="A1702" s="2" t="s">
        <v>1650</v>
      </c>
      <c r="B1702" s="2" t="s">
        <v>34</v>
      </c>
      <c r="C1702" s="2" t="s">
        <v>103</v>
      </c>
      <c r="D1702" s="2" t="s">
        <v>2954</v>
      </c>
      <c r="E1702" s="5">
        <v>44932</v>
      </c>
      <c r="F1702" s="2">
        <v>204</v>
      </c>
      <c r="G1702" s="2" t="s">
        <v>37</v>
      </c>
      <c r="H1702" s="2" t="s">
        <v>23</v>
      </c>
      <c r="I1702" s="6">
        <v>0.75</v>
      </c>
      <c r="J1702" s="2" t="str">
        <f t="shared" si="26"/>
        <v>2023-01</v>
      </c>
    </row>
    <row r="1703" spans="1:10" x14ac:dyDescent="0.2">
      <c r="A1703" s="2" t="s">
        <v>1651</v>
      </c>
      <c r="B1703" s="2" t="s">
        <v>1553</v>
      </c>
      <c r="C1703" s="2" t="s">
        <v>22</v>
      </c>
      <c r="D1703" s="2" t="s">
        <v>2954</v>
      </c>
      <c r="E1703" s="5">
        <v>44932</v>
      </c>
      <c r="F1703" s="2">
        <v>9</v>
      </c>
      <c r="G1703" s="2" t="s">
        <v>41</v>
      </c>
      <c r="H1703" s="2" t="s">
        <v>23</v>
      </c>
      <c r="I1703" s="6">
        <v>0.3</v>
      </c>
      <c r="J1703" s="2" t="str">
        <f t="shared" si="26"/>
        <v>2023-01</v>
      </c>
    </row>
    <row r="1704" spans="1:10" x14ac:dyDescent="0.2">
      <c r="A1704" s="2" t="s">
        <v>1652</v>
      </c>
      <c r="B1704" s="2" t="s">
        <v>64</v>
      </c>
      <c r="C1704" s="2" t="s">
        <v>32</v>
      </c>
      <c r="D1704" s="2">
        <v>388</v>
      </c>
      <c r="E1704" s="5">
        <v>44931</v>
      </c>
      <c r="F1704" s="2">
        <v>999</v>
      </c>
      <c r="G1704" s="2" t="s">
        <v>17</v>
      </c>
      <c r="H1704" s="2" t="s">
        <v>23</v>
      </c>
      <c r="I1704" s="6" t="s">
        <v>2954</v>
      </c>
      <c r="J1704" s="2" t="str">
        <f t="shared" si="26"/>
        <v>2023-01</v>
      </c>
    </row>
    <row r="1705" spans="1:10" x14ac:dyDescent="0.2">
      <c r="A1705" s="2" t="s">
        <v>1653</v>
      </c>
      <c r="B1705" s="2" t="s">
        <v>34</v>
      </c>
      <c r="C1705" s="2" t="s">
        <v>29</v>
      </c>
      <c r="D1705" s="2">
        <v>200</v>
      </c>
      <c r="E1705" s="5">
        <v>44931</v>
      </c>
      <c r="F1705" s="2">
        <v>326</v>
      </c>
      <c r="G1705" s="2" t="s">
        <v>17</v>
      </c>
      <c r="H1705" s="2" t="s">
        <v>23</v>
      </c>
      <c r="I1705" s="6">
        <v>0.5</v>
      </c>
      <c r="J1705" s="2" t="str">
        <f t="shared" si="26"/>
        <v>2023-01</v>
      </c>
    </row>
    <row r="1706" spans="1:10" x14ac:dyDescent="0.2">
      <c r="A1706" s="2" t="s">
        <v>1654</v>
      </c>
      <c r="B1706" s="2" t="s">
        <v>1033</v>
      </c>
      <c r="C1706" s="2" t="s">
        <v>16</v>
      </c>
      <c r="D1706" s="2">
        <v>104</v>
      </c>
      <c r="E1706" s="5">
        <v>44931</v>
      </c>
      <c r="F1706" s="2">
        <v>646</v>
      </c>
      <c r="G1706" s="2" t="s">
        <v>128</v>
      </c>
      <c r="H1706" s="2" t="s">
        <v>23</v>
      </c>
      <c r="I1706" s="6">
        <v>0.19</v>
      </c>
      <c r="J1706" s="2" t="str">
        <f t="shared" si="26"/>
        <v>2023-01</v>
      </c>
    </row>
    <row r="1707" spans="1:10" x14ac:dyDescent="0.2">
      <c r="A1707" s="2" t="s">
        <v>1655</v>
      </c>
      <c r="B1707" s="2" t="s">
        <v>25</v>
      </c>
      <c r="C1707" s="2" t="s">
        <v>22</v>
      </c>
      <c r="D1707" s="2">
        <v>60</v>
      </c>
      <c r="E1707" s="5">
        <v>44931</v>
      </c>
      <c r="F1707" s="2" t="s">
        <v>2954</v>
      </c>
      <c r="G1707" s="2" t="s">
        <v>41</v>
      </c>
      <c r="H1707" s="2" t="s">
        <v>23</v>
      </c>
      <c r="I1707" s="6">
        <v>0.3</v>
      </c>
      <c r="J1707" s="2" t="str">
        <f t="shared" si="26"/>
        <v>2023-01</v>
      </c>
    </row>
    <row r="1708" spans="1:10" x14ac:dyDescent="0.2">
      <c r="A1708" s="2" t="s">
        <v>1656</v>
      </c>
      <c r="B1708" s="2" t="s">
        <v>217</v>
      </c>
      <c r="C1708" s="2" t="s">
        <v>142</v>
      </c>
      <c r="D1708" s="2">
        <v>40</v>
      </c>
      <c r="E1708" s="5">
        <v>44931</v>
      </c>
      <c r="F1708" s="2">
        <v>472</v>
      </c>
      <c r="G1708" s="2" t="s">
        <v>62</v>
      </c>
      <c r="H1708" s="2" t="s">
        <v>217</v>
      </c>
      <c r="I1708" s="6">
        <v>0.02</v>
      </c>
      <c r="J1708" s="2" t="str">
        <f t="shared" si="26"/>
        <v>2023-01</v>
      </c>
    </row>
    <row r="1709" spans="1:10" x14ac:dyDescent="0.2">
      <c r="A1709" s="2" t="s">
        <v>1330</v>
      </c>
      <c r="B1709" s="2" t="s">
        <v>34</v>
      </c>
      <c r="C1709" s="2" t="s">
        <v>35</v>
      </c>
      <c r="D1709" s="2">
        <v>40</v>
      </c>
      <c r="E1709" s="5">
        <v>44931</v>
      </c>
      <c r="F1709" s="2">
        <v>12900</v>
      </c>
      <c r="G1709" s="2" t="s">
        <v>17</v>
      </c>
      <c r="H1709" s="2" t="s">
        <v>23</v>
      </c>
      <c r="I1709" s="6" t="s">
        <v>2954</v>
      </c>
      <c r="J1709" s="2" t="str">
        <f t="shared" si="26"/>
        <v>2023-01</v>
      </c>
    </row>
    <row r="1710" spans="1:10" x14ac:dyDescent="0.2">
      <c r="A1710" s="2" t="s">
        <v>1657</v>
      </c>
      <c r="B1710" s="2" t="s">
        <v>34</v>
      </c>
      <c r="C1710" s="2" t="s">
        <v>142</v>
      </c>
      <c r="D1710" s="2">
        <v>30</v>
      </c>
      <c r="E1710" s="5">
        <v>44931</v>
      </c>
      <c r="F1710" s="2">
        <v>176</v>
      </c>
      <c r="G1710" s="2" t="s">
        <v>12</v>
      </c>
      <c r="H1710" s="2" t="s">
        <v>23</v>
      </c>
      <c r="I1710" s="6">
        <v>0.17</v>
      </c>
      <c r="J1710" s="2" t="str">
        <f t="shared" si="26"/>
        <v>2023-01</v>
      </c>
    </row>
    <row r="1711" spans="1:10" x14ac:dyDescent="0.2">
      <c r="A1711" s="2" t="s">
        <v>1658</v>
      </c>
      <c r="B1711" s="2" t="s">
        <v>15</v>
      </c>
      <c r="C1711" s="2" t="s">
        <v>243</v>
      </c>
      <c r="D1711" s="2">
        <v>30</v>
      </c>
      <c r="E1711" s="5">
        <v>44931</v>
      </c>
      <c r="F1711" s="2">
        <v>116</v>
      </c>
      <c r="G1711" s="2" t="s">
        <v>66</v>
      </c>
      <c r="H1711" s="2" t="s">
        <v>18</v>
      </c>
      <c r="I1711" s="6">
        <v>0.25</v>
      </c>
      <c r="J1711" s="2" t="str">
        <f t="shared" si="26"/>
        <v>2023-01</v>
      </c>
    </row>
    <row r="1712" spans="1:10" x14ac:dyDescent="0.2">
      <c r="A1712" s="2" t="s">
        <v>1659</v>
      </c>
      <c r="B1712" s="2" t="s">
        <v>25</v>
      </c>
      <c r="C1712" s="2" t="s">
        <v>113</v>
      </c>
      <c r="D1712" s="2">
        <v>30</v>
      </c>
      <c r="E1712" s="5">
        <v>44931</v>
      </c>
      <c r="F1712" s="2">
        <v>178</v>
      </c>
      <c r="G1712" s="2" t="s">
        <v>199</v>
      </c>
      <c r="H1712" s="2" t="s">
        <v>23</v>
      </c>
      <c r="I1712" s="6">
        <v>0.08</v>
      </c>
      <c r="J1712" s="2" t="str">
        <f t="shared" si="26"/>
        <v>2023-01</v>
      </c>
    </row>
    <row r="1713" spans="1:10" x14ac:dyDescent="0.2">
      <c r="A1713" s="2" t="s">
        <v>1660</v>
      </c>
      <c r="B1713" s="2" t="s">
        <v>15</v>
      </c>
      <c r="C1713" s="2" t="s">
        <v>103</v>
      </c>
      <c r="D1713" s="2">
        <v>30</v>
      </c>
      <c r="E1713" s="5">
        <v>44931</v>
      </c>
      <c r="F1713" s="2">
        <v>50</v>
      </c>
      <c r="G1713" s="2" t="s">
        <v>12</v>
      </c>
      <c r="H1713" s="2" t="s">
        <v>18</v>
      </c>
      <c r="I1713" s="6">
        <v>0.33</v>
      </c>
      <c r="J1713" s="2" t="str">
        <f t="shared" si="26"/>
        <v>2023-01</v>
      </c>
    </row>
    <row r="1714" spans="1:10" x14ac:dyDescent="0.2">
      <c r="A1714" s="2" t="s">
        <v>1661</v>
      </c>
      <c r="B1714" s="2" t="s">
        <v>255</v>
      </c>
      <c r="C1714" s="2" t="s">
        <v>142</v>
      </c>
      <c r="D1714" s="2">
        <v>25</v>
      </c>
      <c r="E1714" s="5">
        <v>44931</v>
      </c>
      <c r="F1714" s="2">
        <v>62</v>
      </c>
      <c r="G1714" s="2" t="s">
        <v>37</v>
      </c>
      <c r="H1714" s="2" t="s">
        <v>98</v>
      </c>
      <c r="I1714" s="6">
        <v>0.15</v>
      </c>
      <c r="J1714" s="2" t="str">
        <f t="shared" si="26"/>
        <v>2023-01</v>
      </c>
    </row>
    <row r="1715" spans="1:10" x14ac:dyDescent="0.2">
      <c r="A1715" s="2" t="s">
        <v>1662</v>
      </c>
      <c r="B1715" s="2" t="s">
        <v>25</v>
      </c>
      <c r="C1715" s="2" t="s">
        <v>26</v>
      </c>
      <c r="D1715" s="2" t="s">
        <v>2954</v>
      </c>
      <c r="E1715" s="5">
        <v>44931</v>
      </c>
      <c r="F1715" s="2">
        <v>863</v>
      </c>
      <c r="G1715" s="2" t="s">
        <v>128</v>
      </c>
      <c r="H1715" s="2" t="s">
        <v>23</v>
      </c>
      <c r="I1715" s="6">
        <v>0.15</v>
      </c>
      <c r="J1715" s="2" t="str">
        <f t="shared" si="26"/>
        <v>2023-01</v>
      </c>
    </row>
    <row r="1716" spans="1:10" x14ac:dyDescent="0.2">
      <c r="A1716" s="2" t="s">
        <v>1663</v>
      </c>
      <c r="B1716" s="2" t="s">
        <v>25</v>
      </c>
      <c r="C1716" s="2" t="s">
        <v>148</v>
      </c>
      <c r="D1716" s="2" t="s">
        <v>2954</v>
      </c>
      <c r="E1716" s="5">
        <v>44931</v>
      </c>
      <c r="F1716" s="2">
        <v>1600</v>
      </c>
      <c r="G1716" s="2" t="s">
        <v>17</v>
      </c>
      <c r="H1716" s="2" t="s">
        <v>23</v>
      </c>
      <c r="I1716" s="6" t="s">
        <v>2954</v>
      </c>
      <c r="J1716" s="2" t="str">
        <f t="shared" si="26"/>
        <v>2023-01</v>
      </c>
    </row>
    <row r="1717" spans="1:10" x14ac:dyDescent="0.2">
      <c r="A1717" s="2" t="s">
        <v>1140</v>
      </c>
      <c r="B1717" s="2" t="s">
        <v>1106</v>
      </c>
      <c r="C1717" s="2" t="s">
        <v>48</v>
      </c>
      <c r="D1717" s="2" t="s">
        <v>2954</v>
      </c>
      <c r="E1717" s="5">
        <v>44931</v>
      </c>
      <c r="F1717" s="2">
        <v>98</v>
      </c>
      <c r="G1717" s="2" t="s">
        <v>17</v>
      </c>
      <c r="H1717" s="2" t="s">
        <v>274</v>
      </c>
      <c r="I1717" s="6" t="s">
        <v>2954</v>
      </c>
      <c r="J1717" s="2" t="str">
        <f t="shared" si="26"/>
        <v>2023-01</v>
      </c>
    </row>
    <row r="1718" spans="1:10" x14ac:dyDescent="0.2">
      <c r="A1718" s="2" t="s">
        <v>405</v>
      </c>
      <c r="B1718" s="2" t="s">
        <v>34</v>
      </c>
      <c r="C1718" s="2" t="s">
        <v>142</v>
      </c>
      <c r="D1718" s="2" t="s">
        <v>2954</v>
      </c>
      <c r="E1718" s="5">
        <v>44931</v>
      </c>
      <c r="F1718" s="2">
        <v>79</v>
      </c>
      <c r="G1718" s="2" t="s">
        <v>17</v>
      </c>
      <c r="H1718" s="2" t="s">
        <v>23</v>
      </c>
      <c r="I1718" s="6">
        <v>0.2</v>
      </c>
      <c r="J1718" s="2" t="str">
        <f t="shared" si="26"/>
        <v>2023-01</v>
      </c>
    </row>
    <row r="1719" spans="1:10" x14ac:dyDescent="0.2">
      <c r="A1719" s="2" t="s">
        <v>1664</v>
      </c>
      <c r="B1719" s="2" t="s">
        <v>89</v>
      </c>
      <c r="C1719" s="2" t="s">
        <v>32</v>
      </c>
      <c r="D1719" s="2" t="s">
        <v>2954</v>
      </c>
      <c r="E1719" s="5">
        <v>44931</v>
      </c>
      <c r="F1719" s="2">
        <v>173</v>
      </c>
      <c r="G1719" s="2" t="s">
        <v>17</v>
      </c>
      <c r="H1719" s="2" t="s">
        <v>23</v>
      </c>
      <c r="I1719" s="6">
        <v>0.4</v>
      </c>
      <c r="J1719" s="2" t="str">
        <f t="shared" si="26"/>
        <v>2023-01</v>
      </c>
    </row>
    <row r="1720" spans="1:10" x14ac:dyDescent="0.2">
      <c r="A1720" s="2" t="s">
        <v>191</v>
      </c>
      <c r="B1720" s="2" t="s">
        <v>28</v>
      </c>
      <c r="C1720" s="2" t="s">
        <v>142</v>
      </c>
      <c r="D1720" s="2">
        <v>8000</v>
      </c>
      <c r="E1720" s="5">
        <v>44930</v>
      </c>
      <c r="F1720" s="2">
        <v>108</v>
      </c>
      <c r="G1720" s="2" t="s">
        <v>17</v>
      </c>
      <c r="H1720" s="2" t="s">
        <v>23</v>
      </c>
      <c r="I1720" s="6">
        <v>0.02</v>
      </c>
      <c r="J1720" s="2" t="str">
        <f t="shared" si="26"/>
        <v>2023-01</v>
      </c>
    </row>
    <row r="1721" spans="1:10" x14ac:dyDescent="0.2">
      <c r="A1721" s="2" t="s">
        <v>368</v>
      </c>
      <c r="B1721" s="2" t="s">
        <v>34</v>
      </c>
      <c r="C1721" s="2" t="s">
        <v>50</v>
      </c>
      <c r="D1721" s="2">
        <v>8000</v>
      </c>
      <c r="E1721" s="5">
        <v>44930</v>
      </c>
      <c r="F1721" s="2">
        <v>65</v>
      </c>
      <c r="G1721" s="2" t="s">
        <v>17</v>
      </c>
      <c r="H1721" s="2" t="s">
        <v>23</v>
      </c>
      <c r="I1721" s="6">
        <v>0.1</v>
      </c>
      <c r="J1721" s="2" t="str">
        <f t="shared" si="26"/>
        <v>2023-01</v>
      </c>
    </row>
    <row r="1722" spans="1:10" x14ac:dyDescent="0.2">
      <c r="A1722" s="2" t="s">
        <v>1182</v>
      </c>
      <c r="B1722" s="2" t="s">
        <v>1183</v>
      </c>
      <c r="C1722" s="2" t="s">
        <v>243</v>
      </c>
      <c r="D1722" s="2">
        <v>76</v>
      </c>
      <c r="E1722" s="5">
        <v>44930</v>
      </c>
      <c r="F1722" s="2">
        <v>282</v>
      </c>
      <c r="G1722" s="2" t="s">
        <v>66</v>
      </c>
      <c r="H1722" s="2" t="s">
        <v>23</v>
      </c>
      <c r="I1722" s="6">
        <v>0.2</v>
      </c>
      <c r="J1722" s="2" t="str">
        <f t="shared" si="26"/>
        <v>2023-01</v>
      </c>
    </row>
    <row r="1723" spans="1:10" x14ac:dyDescent="0.2">
      <c r="A1723" s="2" t="s">
        <v>1665</v>
      </c>
      <c r="B1723" s="2" t="s">
        <v>25</v>
      </c>
      <c r="C1723" s="2" t="s">
        <v>235</v>
      </c>
      <c r="D1723" s="2">
        <v>75</v>
      </c>
      <c r="E1723" s="5">
        <v>44930</v>
      </c>
      <c r="F1723" s="2">
        <v>166</v>
      </c>
      <c r="G1723" s="2" t="s">
        <v>17</v>
      </c>
      <c r="H1723" s="2" t="s">
        <v>23</v>
      </c>
      <c r="I1723" s="6">
        <v>0.11</v>
      </c>
      <c r="J1723" s="2" t="str">
        <f t="shared" si="26"/>
        <v>2023-01</v>
      </c>
    </row>
    <row r="1724" spans="1:10" x14ac:dyDescent="0.2">
      <c r="A1724" s="2" t="s">
        <v>838</v>
      </c>
      <c r="B1724" s="2" t="s">
        <v>25</v>
      </c>
      <c r="C1724" s="2" t="s">
        <v>71</v>
      </c>
      <c r="D1724" s="2">
        <v>20</v>
      </c>
      <c r="E1724" s="5">
        <v>44930</v>
      </c>
      <c r="F1724" s="2">
        <v>274</v>
      </c>
      <c r="G1724" s="2" t="s">
        <v>128</v>
      </c>
      <c r="H1724" s="2" t="s">
        <v>23</v>
      </c>
      <c r="I1724" s="6">
        <v>0.05</v>
      </c>
      <c r="J1724" s="2" t="str">
        <f t="shared" si="26"/>
        <v>2023-01</v>
      </c>
    </row>
    <row r="1725" spans="1:10" x14ac:dyDescent="0.2">
      <c r="A1725" s="2" t="s">
        <v>1666</v>
      </c>
      <c r="B1725" s="2" t="s">
        <v>89</v>
      </c>
      <c r="C1725" s="2" t="s">
        <v>32</v>
      </c>
      <c r="D1725" s="2" t="s">
        <v>2954</v>
      </c>
      <c r="E1725" s="5">
        <v>44930</v>
      </c>
      <c r="F1725" s="2">
        <v>530</v>
      </c>
      <c r="G1725" s="2" t="s">
        <v>17</v>
      </c>
      <c r="H1725" s="2" t="s">
        <v>23</v>
      </c>
      <c r="I1725" s="6">
        <v>0.25</v>
      </c>
      <c r="J1725" s="2" t="str">
        <f t="shared" si="26"/>
        <v>2023-01</v>
      </c>
    </row>
    <row r="1726" spans="1:10" x14ac:dyDescent="0.2">
      <c r="A1726" s="2" t="s">
        <v>1667</v>
      </c>
      <c r="B1726" s="2" t="s">
        <v>25</v>
      </c>
      <c r="C1726" s="2" t="s">
        <v>35</v>
      </c>
      <c r="D1726" s="2" t="s">
        <v>2954</v>
      </c>
      <c r="E1726" s="5">
        <v>44930</v>
      </c>
      <c r="F1726" s="2">
        <v>450</v>
      </c>
      <c r="G1726" s="2" t="s">
        <v>17</v>
      </c>
      <c r="H1726" s="2" t="s">
        <v>23</v>
      </c>
      <c r="I1726" s="6">
        <v>0.11</v>
      </c>
      <c r="J1726" s="2" t="str">
        <f t="shared" si="26"/>
        <v>2023-01</v>
      </c>
    </row>
    <row r="1727" spans="1:10" x14ac:dyDescent="0.2">
      <c r="A1727" s="2" t="s">
        <v>1668</v>
      </c>
      <c r="B1727" s="2" t="s">
        <v>34</v>
      </c>
      <c r="C1727" s="2" t="s">
        <v>22</v>
      </c>
      <c r="D1727" s="2" t="s">
        <v>2954</v>
      </c>
      <c r="E1727" s="5">
        <v>44930</v>
      </c>
      <c r="F1727" s="2">
        <v>29</v>
      </c>
      <c r="G1727" s="2" t="s">
        <v>12</v>
      </c>
      <c r="H1727" s="2" t="s">
        <v>23</v>
      </c>
      <c r="I1727" s="6">
        <v>1</v>
      </c>
      <c r="J1727" s="2" t="str">
        <f t="shared" si="26"/>
        <v>2023-01</v>
      </c>
    </row>
    <row r="1728" spans="1:10" x14ac:dyDescent="0.2">
      <c r="A1728" s="2" t="s">
        <v>755</v>
      </c>
      <c r="B1728" s="2" t="s">
        <v>89</v>
      </c>
      <c r="C1728" s="2" t="s">
        <v>68</v>
      </c>
      <c r="D1728" s="2">
        <v>245</v>
      </c>
      <c r="E1728" s="5">
        <v>44929</v>
      </c>
      <c r="F1728" s="2" t="s">
        <v>2954</v>
      </c>
      <c r="G1728" s="2" t="s">
        <v>17</v>
      </c>
      <c r="H1728" s="2" t="s">
        <v>23</v>
      </c>
      <c r="I1728" s="6">
        <v>0.04</v>
      </c>
      <c r="J1728" s="2" t="str">
        <f t="shared" si="26"/>
        <v>2023-01</v>
      </c>
    </row>
    <row r="1729" spans="1:10" x14ac:dyDescent="0.2">
      <c r="A1729" s="2" t="s">
        <v>1669</v>
      </c>
      <c r="B1729" s="2" t="s">
        <v>34</v>
      </c>
      <c r="C1729" s="2" t="s">
        <v>113</v>
      </c>
      <c r="D1729" s="2">
        <v>76</v>
      </c>
      <c r="E1729" s="5">
        <v>44929</v>
      </c>
      <c r="F1729" s="2">
        <v>620</v>
      </c>
      <c r="G1729" s="2" t="s">
        <v>128</v>
      </c>
      <c r="H1729" s="2" t="s">
        <v>23</v>
      </c>
      <c r="I1729" s="6">
        <v>0.1</v>
      </c>
      <c r="J1729" s="2" t="str">
        <f t="shared" si="26"/>
        <v>2023-01</v>
      </c>
    </row>
    <row r="1730" spans="1:10" x14ac:dyDescent="0.2">
      <c r="A1730" s="2" t="s">
        <v>1670</v>
      </c>
      <c r="B1730" s="2" t="s">
        <v>97</v>
      </c>
      <c r="C1730" s="2" t="s">
        <v>61</v>
      </c>
      <c r="D1730" s="2">
        <v>60</v>
      </c>
      <c r="E1730" s="5">
        <v>44929</v>
      </c>
      <c r="F1730" s="2" t="s">
        <v>2954</v>
      </c>
      <c r="G1730" s="2" t="s">
        <v>45</v>
      </c>
      <c r="H1730" s="2" t="s">
        <v>98</v>
      </c>
      <c r="I1730" s="6">
        <v>0.3</v>
      </c>
      <c r="J1730" s="2" t="str">
        <f t="shared" si="26"/>
        <v>2023-01</v>
      </c>
    </row>
    <row r="1731" spans="1:10" x14ac:dyDescent="0.2">
      <c r="A1731" s="2" t="s">
        <v>548</v>
      </c>
      <c r="B1731" s="2" t="s">
        <v>493</v>
      </c>
      <c r="C1731" s="2" t="s">
        <v>35</v>
      </c>
      <c r="D1731" s="2" t="s">
        <v>2954</v>
      </c>
      <c r="E1731" s="5">
        <v>44929</v>
      </c>
      <c r="F1731" s="2">
        <v>9400</v>
      </c>
      <c r="G1731" s="2" t="s">
        <v>12</v>
      </c>
      <c r="H1731" s="2" t="s">
        <v>224</v>
      </c>
      <c r="I1731" s="6">
        <v>0.1</v>
      </c>
      <c r="J1731" s="2" t="str">
        <f t="shared" ref="J1731:J1794" si="27">TEXT(E1731,"YYYY-MM")</f>
        <v>2023-01</v>
      </c>
    </row>
    <row r="1732" spans="1:10" x14ac:dyDescent="0.2">
      <c r="A1732" s="2" t="s">
        <v>930</v>
      </c>
      <c r="B1732" s="2" t="s">
        <v>560</v>
      </c>
      <c r="C1732" s="2" t="s">
        <v>113</v>
      </c>
      <c r="D1732" s="2">
        <v>700</v>
      </c>
      <c r="E1732" s="5">
        <v>44928</v>
      </c>
      <c r="F1732" s="2" t="s">
        <v>2954</v>
      </c>
      <c r="G1732" s="2" t="s">
        <v>17</v>
      </c>
      <c r="H1732" s="2" t="s">
        <v>23</v>
      </c>
      <c r="I1732" s="6">
        <v>0.03</v>
      </c>
      <c r="J1732" s="2" t="str">
        <f t="shared" si="27"/>
        <v>2023-01</v>
      </c>
    </row>
    <row r="1733" spans="1:10" x14ac:dyDescent="0.2">
      <c r="A1733" s="2" t="s">
        <v>1360</v>
      </c>
      <c r="B1733" s="2" t="s">
        <v>40</v>
      </c>
      <c r="C1733" s="2" t="s">
        <v>103</v>
      </c>
      <c r="D1733" s="2">
        <v>4800</v>
      </c>
      <c r="E1733" s="5">
        <v>44927</v>
      </c>
      <c r="F1733" s="2">
        <v>50</v>
      </c>
      <c r="G1733" s="2" t="s">
        <v>17</v>
      </c>
      <c r="H1733" s="2" t="s">
        <v>23</v>
      </c>
      <c r="I1733" s="6">
        <v>0.1</v>
      </c>
      <c r="J1733" s="2" t="str">
        <f t="shared" si="27"/>
        <v>2023-01</v>
      </c>
    </row>
    <row r="1734" spans="1:10" x14ac:dyDescent="0.2">
      <c r="A1734" s="2" t="s">
        <v>1671</v>
      </c>
      <c r="B1734" s="2" t="s">
        <v>595</v>
      </c>
      <c r="C1734" s="2" t="s">
        <v>103</v>
      </c>
      <c r="D1734" s="2" t="s">
        <v>2954</v>
      </c>
      <c r="E1734" s="5">
        <v>44927</v>
      </c>
      <c r="F1734" s="2">
        <v>682</v>
      </c>
      <c r="G1734" s="2" t="s">
        <v>128</v>
      </c>
      <c r="H1734" s="2" t="s">
        <v>224</v>
      </c>
      <c r="I1734" s="6" t="s">
        <v>2954</v>
      </c>
      <c r="J1734" s="2" t="str">
        <f t="shared" si="27"/>
        <v>2023-01</v>
      </c>
    </row>
    <row r="1735" spans="1:10" x14ac:dyDescent="0.2">
      <c r="A1735" s="2" t="s">
        <v>895</v>
      </c>
      <c r="B1735" s="2" t="s">
        <v>64</v>
      </c>
      <c r="C1735" s="2" t="s">
        <v>48</v>
      </c>
      <c r="D1735" s="2">
        <v>35</v>
      </c>
      <c r="E1735" s="5">
        <v>44926</v>
      </c>
      <c r="F1735" s="2">
        <v>39</v>
      </c>
      <c r="G1735" s="2" t="s">
        <v>41</v>
      </c>
      <c r="H1735" s="2" t="s">
        <v>23</v>
      </c>
      <c r="I1735" s="6" t="s">
        <v>2954</v>
      </c>
      <c r="J1735" s="2" t="str">
        <f t="shared" si="27"/>
        <v>2022-12</v>
      </c>
    </row>
    <row r="1736" spans="1:10" x14ac:dyDescent="0.2">
      <c r="A1736" s="2" t="s">
        <v>1672</v>
      </c>
      <c r="B1736" s="2" t="s">
        <v>54</v>
      </c>
      <c r="C1736" s="2" t="s">
        <v>11</v>
      </c>
      <c r="D1736" s="2" t="s">
        <v>2954</v>
      </c>
      <c r="E1736" s="5">
        <v>44926</v>
      </c>
      <c r="F1736" s="2">
        <v>675</v>
      </c>
      <c r="G1736" s="2" t="s">
        <v>12</v>
      </c>
      <c r="H1736" s="2" t="s">
        <v>55</v>
      </c>
      <c r="I1736" s="6">
        <v>0.14000000000000001</v>
      </c>
      <c r="J1736" s="2" t="str">
        <f t="shared" si="27"/>
        <v>2022-12</v>
      </c>
    </row>
    <row r="1737" spans="1:10" x14ac:dyDescent="0.2">
      <c r="A1737" s="2" t="s">
        <v>1030</v>
      </c>
      <c r="B1737" s="2" t="s">
        <v>779</v>
      </c>
      <c r="C1737" s="2" t="s">
        <v>22</v>
      </c>
      <c r="D1737" s="2" t="s">
        <v>2954</v>
      </c>
      <c r="E1737" s="5">
        <v>44926</v>
      </c>
      <c r="F1737" s="2">
        <v>23</v>
      </c>
      <c r="G1737" s="2" t="s">
        <v>132</v>
      </c>
      <c r="H1737" s="2" t="s">
        <v>780</v>
      </c>
      <c r="I1737" s="6" t="s">
        <v>2954</v>
      </c>
      <c r="J1737" s="2" t="str">
        <f t="shared" si="27"/>
        <v>2022-12</v>
      </c>
    </row>
    <row r="1738" spans="1:10" x14ac:dyDescent="0.2">
      <c r="A1738" s="2" t="s">
        <v>1673</v>
      </c>
      <c r="B1738" s="2" t="s">
        <v>493</v>
      </c>
      <c r="C1738" s="2" t="s">
        <v>235</v>
      </c>
      <c r="D1738" s="2" t="s">
        <v>2954</v>
      </c>
      <c r="E1738" s="5">
        <v>44922</v>
      </c>
      <c r="F1738" s="2">
        <v>3700</v>
      </c>
      <c r="G1738" s="2" t="s">
        <v>17</v>
      </c>
      <c r="H1738" s="2" t="s">
        <v>224</v>
      </c>
      <c r="I1738" s="6">
        <v>0.3</v>
      </c>
      <c r="J1738" s="2" t="str">
        <f t="shared" si="27"/>
        <v>2022-12</v>
      </c>
    </row>
    <row r="1739" spans="1:10" x14ac:dyDescent="0.2">
      <c r="A1739" s="2" t="s">
        <v>1674</v>
      </c>
      <c r="B1739" s="2" t="s">
        <v>1675</v>
      </c>
      <c r="C1739" s="2" t="s">
        <v>22</v>
      </c>
      <c r="D1739" s="2" t="s">
        <v>2954</v>
      </c>
      <c r="E1739" s="5">
        <v>44922</v>
      </c>
      <c r="F1739" s="2">
        <v>8</v>
      </c>
      <c r="G1739" s="2" t="s">
        <v>41</v>
      </c>
      <c r="H1739" s="2" t="s">
        <v>1676</v>
      </c>
      <c r="I1739" s="6">
        <v>0.4</v>
      </c>
      <c r="J1739" s="2" t="str">
        <f t="shared" si="27"/>
        <v>2022-12</v>
      </c>
    </row>
    <row r="1740" spans="1:10" x14ac:dyDescent="0.2">
      <c r="A1740" s="2" t="s">
        <v>1677</v>
      </c>
      <c r="B1740" s="2" t="s">
        <v>245</v>
      </c>
      <c r="C1740" s="2" t="s">
        <v>16</v>
      </c>
      <c r="D1740" s="2">
        <v>150</v>
      </c>
      <c r="E1740" s="5">
        <v>44921</v>
      </c>
      <c r="F1740" s="2" t="s">
        <v>2954</v>
      </c>
      <c r="G1740" s="2" t="s">
        <v>45</v>
      </c>
      <c r="H1740" s="2" t="s">
        <v>246</v>
      </c>
      <c r="I1740" s="6">
        <v>0.06</v>
      </c>
      <c r="J1740" s="2" t="str">
        <f t="shared" si="27"/>
        <v>2022-12</v>
      </c>
    </row>
    <row r="1741" spans="1:10" x14ac:dyDescent="0.2">
      <c r="A1741" s="2" t="s">
        <v>1678</v>
      </c>
      <c r="B1741" s="2" t="s">
        <v>54</v>
      </c>
      <c r="C1741" s="2" t="s">
        <v>29</v>
      </c>
      <c r="D1741" s="2" t="s">
        <v>2954</v>
      </c>
      <c r="E1741" s="5">
        <v>44920</v>
      </c>
      <c r="F1741" s="2">
        <v>96</v>
      </c>
      <c r="G1741" s="2" t="s">
        <v>37</v>
      </c>
      <c r="H1741" s="2" t="s">
        <v>55</v>
      </c>
      <c r="I1741" s="6">
        <v>0.15</v>
      </c>
      <c r="J1741" s="2" t="str">
        <f t="shared" si="27"/>
        <v>2022-12</v>
      </c>
    </row>
    <row r="1742" spans="1:10" x14ac:dyDescent="0.2">
      <c r="A1742" s="2" t="s">
        <v>1679</v>
      </c>
      <c r="B1742" s="2" t="s">
        <v>273</v>
      </c>
      <c r="C1742" s="2" t="s">
        <v>148</v>
      </c>
      <c r="D1742" s="2">
        <v>99</v>
      </c>
      <c r="E1742" s="5">
        <v>44918</v>
      </c>
      <c r="F1742" s="2" t="s">
        <v>2954</v>
      </c>
      <c r="G1742" s="2" t="s">
        <v>12</v>
      </c>
      <c r="H1742" s="2" t="s">
        <v>274</v>
      </c>
      <c r="I1742" s="6">
        <v>0.22</v>
      </c>
      <c r="J1742" s="2" t="str">
        <f t="shared" si="27"/>
        <v>2022-12</v>
      </c>
    </row>
    <row r="1743" spans="1:10" x14ac:dyDescent="0.2">
      <c r="A1743" s="2" t="s">
        <v>1680</v>
      </c>
      <c r="B1743" s="2" t="s">
        <v>162</v>
      </c>
      <c r="C1743" s="2" t="s">
        <v>142</v>
      </c>
      <c r="D1743" s="2">
        <v>93</v>
      </c>
      <c r="E1743" s="5">
        <v>44918</v>
      </c>
      <c r="F1743" s="2">
        <v>1000</v>
      </c>
      <c r="G1743" s="2" t="s">
        <v>128</v>
      </c>
      <c r="H1743" s="2" t="s">
        <v>163</v>
      </c>
      <c r="I1743" s="6">
        <v>0.13</v>
      </c>
      <c r="J1743" s="2" t="str">
        <f t="shared" si="27"/>
        <v>2022-12</v>
      </c>
    </row>
    <row r="1744" spans="1:10" x14ac:dyDescent="0.2">
      <c r="A1744" s="2" t="s">
        <v>1681</v>
      </c>
      <c r="B1744" s="2" t="s">
        <v>54</v>
      </c>
      <c r="C1744" s="2" t="s">
        <v>148</v>
      </c>
      <c r="D1744" s="2">
        <v>50</v>
      </c>
      <c r="E1744" s="5">
        <v>44918</v>
      </c>
      <c r="F1744" s="2">
        <v>25</v>
      </c>
      <c r="G1744" s="2" t="s">
        <v>66</v>
      </c>
      <c r="H1744" s="2" t="s">
        <v>55</v>
      </c>
      <c r="I1744" s="6" t="s">
        <v>2954</v>
      </c>
      <c r="J1744" s="2" t="str">
        <f t="shared" si="27"/>
        <v>2022-12</v>
      </c>
    </row>
    <row r="1745" spans="1:10" x14ac:dyDescent="0.2">
      <c r="A1745" s="2" t="s">
        <v>654</v>
      </c>
      <c r="B1745" s="2" t="s">
        <v>64</v>
      </c>
      <c r="C1745" s="2" t="s">
        <v>103</v>
      </c>
      <c r="D1745" s="2">
        <v>153</v>
      </c>
      <c r="E1745" s="5">
        <v>44917</v>
      </c>
      <c r="F1745" s="2" t="s">
        <v>2954</v>
      </c>
      <c r="G1745" s="2" t="s">
        <v>17</v>
      </c>
      <c r="H1745" s="2" t="s">
        <v>23</v>
      </c>
      <c r="I1745" s="6" t="s">
        <v>2954</v>
      </c>
      <c r="J1745" s="2" t="str">
        <f t="shared" si="27"/>
        <v>2022-12</v>
      </c>
    </row>
    <row r="1746" spans="1:10" x14ac:dyDescent="0.2">
      <c r="A1746" s="2" t="s">
        <v>531</v>
      </c>
      <c r="B1746" s="2" t="s">
        <v>64</v>
      </c>
      <c r="C1746" s="2" t="s">
        <v>52</v>
      </c>
      <c r="D1746" s="2">
        <v>350</v>
      </c>
      <c r="E1746" s="5">
        <v>44916</v>
      </c>
      <c r="F1746" s="2">
        <v>648</v>
      </c>
      <c r="G1746" s="2" t="s">
        <v>17</v>
      </c>
      <c r="H1746" s="2" t="s">
        <v>23</v>
      </c>
      <c r="I1746" s="6">
        <v>0.25</v>
      </c>
      <c r="J1746" s="2" t="str">
        <f t="shared" si="27"/>
        <v>2022-12</v>
      </c>
    </row>
    <row r="1747" spans="1:10" x14ac:dyDescent="0.2">
      <c r="A1747" s="2" t="s">
        <v>1682</v>
      </c>
      <c r="B1747" s="2" t="s">
        <v>74</v>
      </c>
      <c r="C1747" s="2" t="s">
        <v>29</v>
      </c>
      <c r="D1747" s="2" t="s">
        <v>2954</v>
      </c>
      <c r="E1747" s="5">
        <v>44916</v>
      </c>
      <c r="F1747" s="2">
        <v>90</v>
      </c>
      <c r="G1747" s="2" t="s">
        <v>41</v>
      </c>
      <c r="H1747" s="2" t="s">
        <v>76</v>
      </c>
      <c r="I1747" s="6">
        <v>0.5</v>
      </c>
      <c r="J1747" s="2" t="str">
        <f t="shared" si="27"/>
        <v>2022-12</v>
      </c>
    </row>
    <row r="1748" spans="1:10" x14ac:dyDescent="0.2">
      <c r="A1748" s="2" t="s">
        <v>1683</v>
      </c>
      <c r="B1748" s="2" t="s">
        <v>217</v>
      </c>
      <c r="C1748" s="2" t="s">
        <v>11</v>
      </c>
      <c r="D1748" s="2">
        <v>65</v>
      </c>
      <c r="E1748" s="5">
        <v>44915</v>
      </c>
      <c r="F1748" s="2">
        <v>50</v>
      </c>
      <c r="G1748" s="2" t="s">
        <v>128</v>
      </c>
      <c r="H1748" s="2" t="s">
        <v>217</v>
      </c>
      <c r="I1748" s="6">
        <v>0.24</v>
      </c>
      <c r="J1748" s="2" t="str">
        <f t="shared" si="27"/>
        <v>2022-12</v>
      </c>
    </row>
    <row r="1749" spans="1:10" x14ac:dyDescent="0.2">
      <c r="A1749" s="2" t="s">
        <v>1684</v>
      </c>
      <c r="B1749" s="2" t="s">
        <v>335</v>
      </c>
      <c r="C1749" s="2" t="s">
        <v>16</v>
      </c>
      <c r="D1749" s="2">
        <v>26</v>
      </c>
      <c r="E1749" s="5">
        <v>44915</v>
      </c>
      <c r="F1749" s="2">
        <v>10</v>
      </c>
      <c r="G1749" s="2" t="s">
        <v>41</v>
      </c>
      <c r="H1749" s="2" t="s">
        <v>106</v>
      </c>
      <c r="I1749" s="6">
        <v>0.4</v>
      </c>
      <c r="J1749" s="2" t="str">
        <f t="shared" si="27"/>
        <v>2022-12</v>
      </c>
    </row>
    <row r="1750" spans="1:10" x14ac:dyDescent="0.2">
      <c r="A1750" s="2" t="s">
        <v>1685</v>
      </c>
      <c r="B1750" s="2" t="s">
        <v>54</v>
      </c>
      <c r="C1750" s="2" t="s">
        <v>243</v>
      </c>
      <c r="D1750" s="2" t="s">
        <v>2954</v>
      </c>
      <c r="E1750" s="5">
        <v>44915</v>
      </c>
      <c r="F1750" s="2">
        <v>63</v>
      </c>
      <c r="G1750" s="2" t="s">
        <v>12</v>
      </c>
      <c r="H1750" s="2" t="s">
        <v>55</v>
      </c>
      <c r="I1750" s="6" t="s">
        <v>2954</v>
      </c>
      <c r="J1750" s="2" t="str">
        <f t="shared" si="27"/>
        <v>2022-12</v>
      </c>
    </row>
    <row r="1751" spans="1:10" x14ac:dyDescent="0.2">
      <c r="A1751" s="2" t="s">
        <v>1686</v>
      </c>
      <c r="B1751" s="2" t="s">
        <v>595</v>
      </c>
      <c r="C1751" s="2" t="s">
        <v>35</v>
      </c>
      <c r="D1751" s="2" t="s">
        <v>2954</v>
      </c>
      <c r="E1751" s="5">
        <v>44915</v>
      </c>
      <c r="F1751" s="2">
        <v>892</v>
      </c>
      <c r="G1751" s="2" t="s">
        <v>62</v>
      </c>
      <c r="H1751" s="2" t="s">
        <v>224</v>
      </c>
      <c r="I1751" s="6">
        <v>0.1</v>
      </c>
      <c r="J1751" s="2" t="str">
        <f t="shared" si="27"/>
        <v>2022-12</v>
      </c>
    </row>
    <row r="1752" spans="1:10" x14ac:dyDescent="0.2">
      <c r="A1752" s="2" t="s">
        <v>1687</v>
      </c>
      <c r="B1752" s="2" t="s">
        <v>60</v>
      </c>
      <c r="C1752" s="2" t="s">
        <v>148</v>
      </c>
      <c r="D1752" s="2">
        <v>18</v>
      </c>
      <c r="E1752" s="5">
        <v>44914</v>
      </c>
      <c r="F1752" s="2">
        <v>4</v>
      </c>
      <c r="G1752" s="2" t="s">
        <v>45</v>
      </c>
      <c r="H1752" s="2" t="s">
        <v>23</v>
      </c>
      <c r="I1752" s="6">
        <v>0.13</v>
      </c>
      <c r="J1752" s="2" t="str">
        <f t="shared" si="27"/>
        <v>2022-12</v>
      </c>
    </row>
    <row r="1753" spans="1:10" x14ac:dyDescent="0.2">
      <c r="A1753" s="2" t="s">
        <v>1688</v>
      </c>
      <c r="B1753" s="2" t="s">
        <v>34</v>
      </c>
      <c r="C1753" s="2" t="s">
        <v>32</v>
      </c>
      <c r="D1753" s="2" t="s">
        <v>2954</v>
      </c>
      <c r="E1753" s="5">
        <v>44914</v>
      </c>
      <c r="F1753" s="2">
        <v>136</v>
      </c>
      <c r="G1753" s="2" t="s">
        <v>75</v>
      </c>
      <c r="H1753" s="2" t="s">
        <v>23</v>
      </c>
      <c r="I1753" s="6" t="s">
        <v>2954</v>
      </c>
      <c r="J1753" s="2" t="str">
        <f t="shared" si="27"/>
        <v>2022-12</v>
      </c>
    </row>
    <row r="1754" spans="1:10" x14ac:dyDescent="0.2">
      <c r="A1754" s="2" t="s">
        <v>1689</v>
      </c>
      <c r="B1754" s="2" t="s">
        <v>595</v>
      </c>
      <c r="C1754" s="2" t="s">
        <v>35</v>
      </c>
      <c r="D1754" s="2" t="s">
        <v>2954</v>
      </c>
      <c r="E1754" s="5">
        <v>44914</v>
      </c>
      <c r="F1754" s="2">
        <v>7400</v>
      </c>
      <c r="G1754" s="2" t="s">
        <v>17</v>
      </c>
      <c r="H1754" s="2" t="s">
        <v>23</v>
      </c>
      <c r="I1754" s="6" t="s">
        <v>2954</v>
      </c>
      <c r="J1754" s="2" t="str">
        <f t="shared" si="27"/>
        <v>2022-12</v>
      </c>
    </row>
    <row r="1755" spans="1:10" x14ac:dyDescent="0.2">
      <c r="A1755" s="2" t="s">
        <v>1690</v>
      </c>
      <c r="B1755" s="2" t="s">
        <v>831</v>
      </c>
      <c r="C1755" s="2" t="s">
        <v>11</v>
      </c>
      <c r="D1755" s="2" t="s">
        <v>2954</v>
      </c>
      <c r="E1755" s="5">
        <v>44914</v>
      </c>
      <c r="F1755" s="2">
        <v>2</v>
      </c>
      <c r="G1755" s="2" t="s">
        <v>12</v>
      </c>
      <c r="H1755" s="2" t="s">
        <v>274</v>
      </c>
      <c r="I1755" s="6">
        <v>1</v>
      </c>
      <c r="J1755" s="2" t="str">
        <f t="shared" si="27"/>
        <v>2022-12</v>
      </c>
    </row>
    <row r="1756" spans="1:10" x14ac:dyDescent="0.2">
      <c r="A1756" s="2" t="s">
        <v>1691</v>
      </c>
      <c r="B1756" s="2" t="s">
        <v>425</v>
      </c>
      <c r="C1756" s="2" t="s">
        <v>16</v>
      </c>
      <c r="D1756" s="2">
        <v>30</v>
      </c>
      <c r="E1756" s="5">
        <v>44911</v>
      </c>
      <c r="F1756" s="2">
        <v>29</v>
      </c>
      <c r="G1756" s="2" t="s">
        <v>12</v>
      </c>
      <c r="H1756" s="2" t="s">
        <v>76</v>
      </c>
      <c r="I1756" s="6">
        <v>0.25</v>
      </c>
      <c r="J1756" s="2" t="str">
        <f t="shared" si="27"/>
        <v>2022-12</v>
      </c>
    </row>
    <row r="1757" spans="1:10" x14ac:dyDescent="0.2">
      <c r="A1757" s="2" t="s">
        <v>1692</v>
      </c>
      <c r="B1757" s="2" t="s">
        <v>188</v>
      </c>
      <c r="C1757" s="2" t="s">
        <v>243</v>
      </c>
      <c r="D1757" s="2">
        <v>24</v>
      </c>
      <c r="E1757" s="5">
        <v>44911</v>
      </c>
      <c r="F1757" s="2">
        <v>26</v>
      </c>
      <c r="G1757" s="2" t="s">
        <v>41</v>
      </c>
      <c r="H1757" s="2" t="s">
        <v>106</v>
      </c>
      <c r="I1757" s="6">
        <v>0.3</v>
      </c>
      <c r="J1757" s="2" t="str">
        <f t="shared" si="27"/>
        <v>2022-12</v>
      </c>
    </row>
    <row r="1758" spans="1:10" x14ac:dyDescent="0.2">
      <c r="A1758" s="2" t="s">
        <v>1693</v>
      </c>
      <c r="B1758" s="2" t="s">
        <v>335</v>
      </c>
      <c r="C1758" s="2" t="s">
        <v>52</v>
      </c>
      <c r="D1758" s="2" t="s">
        <v>2954</v>
      </c>
      <c r="E1758" s="5">
        <v>44911</v>
      </c>
      <c r="F1758" s="2" t="s">
        <v>2954</v>
      </c>
      <c r="G1758" s="2" t="s">
        <v>17</v>
      </c>
      <c r="H1758" s="2" t="s">
        <v>106</v>
      </c>
      <c r="I1758" s="6" t="s">
        <v>2954</v>
      </c>
      <c r="J1758" s="2" t="str">
        <f t="shared" si="27"/>
        <v>2022-12</v>
      </c>
    </row>
    <row r="1759" spans="1:10" x14ac:dyDescent="0.2">
      <c r="A1759" s="2" t="s">
        <v>1114</v>
      </c>
      <c r="B1759" s="2" t="s">
        <v>47</v>
      </c>
      <c r="C1759" s="2" t="s">
        <v>22</v>
      </c>
      <c r="D1759" s="2" t="s">
        <v>2954</v>
      </c>
      <c r="E1759" s="5">
        <v>44911</v>
      </c>
      <c r="F1759" s="2">
        <v>205</v>
      </c>
      <c r="G1759" s="2" t="s">
        <v>37</v>
      </c>
      <c r="H1759" s="2" t="s">
        <v>23</v>
      </c>
      <c r="I1759" s="6" t="s">
        <v>2954</v>
      </c>
      <c r="J1759" s="2" t="str">
        <f t="shared" si="27"/>
        <v>2022-12</v>
      </c>
    </row>
    <row r="1760" spans="1:10" x14ac:dyDescent="0.2">
      <c r="A1760" s="2" t="s">
        <v>572</v>
      </c>
      <c r="B1760" s="2" t="s">
        <v>335</v>
      </c>
      <c r="C1760" s="2" t="s">
        <v>16</v>
      </c>
      <c r="D1760" s="2" t="s">
        <v>2954</v>
      </c>
      <c r="E1760" s="5">
        <v>44911</v>
      </c>
      <c r="F1760" s="2">
        <v>331</v>
      </c>
      <c r="G1760" s="2" t="s">
        <v>12</v>
      </c>
      <c r="H1760" s="2" t="s">
        <v>106</v>
      </c>
      <c r="I1760" s="6" t="s">
        <v>2954</v>
      </c>
      <c r="J1760" s="2" t="str">
        <f t="shared" si="27"/>
        <v>2022-12</v>
      </c>
    </row>
    <row r="1761" spans="1:10" x14ac:dyDescent="0.2">
      <c r="A1761" s="2" t="s">
        <v>1694</v>
      </c>
      <c r="B1761" s="2" t="s">
        <v>54</v>
      </c>
      <c r="C1761" s="2" t="s">
        <v>29</v>
      </c>
      <c r="D1761" s="2" t="s">
        <v>2954</v>
      </c>
      <c r="E1761" s="5">
        <v>44911</v>
      </c>
      <c r="F1761" s="2">
        <v>704</v>
      </c>
      <c r="G1761" s="2" t="s">
        <v>12</v>
      </c>
      <c r="H1761" s="2" t="s">
        <v>55</v>
      </c>
      <c r="I1761" s="6">
        <v>0.1</v>
      </c>
      <c r="J1761" s="2" t="str">
        <f t="shared" si="27"/>
        <v>2022-12</v>
      </c>
    </row>
    <row r="1762" spans="1:10" x14ac:dyDescent="0.2">
      <c r="A1762" s="2" t="s">
        <v>1695</v>
      </c>
      <c r="B1762" s="2" t="s">
        <v>34</v>
      </c>
      <c r="C1762" s="2" t="s">
        <v>16</v>
      </c>
      <c r="D1762" s="2" t="s">
        <v>2954</v>
      </c>
      <c r="E1762" s="5">
        <v>44911</v>
      </c>
      <c r="F1762" s="2">
        <v>183</v>
      </c>
      <c r="G1762" s="2" t="s">
        <v>66</v>
      </c>
      <c r="H1762" s="2" t="s">
        <v>23</v>
      </c>
      <c r="I1762" s="6">
        <v>0.18</v>
      </c>
      <c r="J1762" s="2" t="str">
        <f t="shared" si="27"/>
        <v>2022-12</v>
      </c>
    </row>
    <row r="1763" spans="1:10" x14ac:dyDescent="0.2">
      <c r="A1763" s="2" t="s">
        <v>1696</v>
      </c>
      <c r="B1763" s="2" t="s">
        <v>634</v>
      </c>
      <c r="C1763" s="2" t="s">
        <v>142</v>
      </c>
      <c r="D1763" s="2" t="s">
        <v>2954</v>
      </c>
      <c r="E1763" s="5">
        <v>44911</v>
      </c>
      <c r="F1763" s="2">
        <v>30</v>
      </c>
      <c r="G1763" s="2" t="s">
        <v>41</v>
      </c>
      <c r="H1763" s="2" t="s">
        <v>106</v>
      </c>
      <c r="I1763" s="6">
        <v>0.12</v>
      </c>
      <c r="J1763" s="2" t="str">
        <f t="shared" si="27"/>
        <v>2022-12</v>
      </c>
    </row>
    <row r="1764" spans="1:10" x14ac:dyDescent="0.2">
      <c r="A1764" s="2" t="s">
        <v>409</v>
      </c>
      <c r="B1764" s="2" t="s">
        <v>60</v>
      </c>
      <c r="C1764" s="2" t="s">
        <v>32</v>
      </c>
      <c r="D1764" s="2" t="s">
        <v>2954</v>
      </c>
      <c r="E1764" s="5">
        <v>44911</v>
      </c>
      <c r="F1764" s="2">
        <v>183</v>
      </c>
      <c r="G1764" s="2" t="s">
        <v>66</v>
      </c>
      <c r="H1764" s="2" t="s">
        <v>23</v>
      </c>
      <c r="I1764" s="6">
        <v>0.15</v>
      </c>
      <c r="J1764" s="2" t="str">
        <f t="shared" si="27"/>
        <v>2022-12</v>
      </c>
    </row>
    <row r="1765" spans="1:10" x14ac:dyDescent="0.2">
      <c r="A1765" s="2" t="s">
        <v>587</v>
      </c>
      <c r="B1765" s="2" t="s">
        <v>86</v>
      </c>
      <c r="C1765" s="2" t="s">
        <v>142</v>
      </c>
      <c r="D1765" s="2">
        <v>180</v>
      </c>
      <c r="E1765" s="5">
        <v>44910</v>
      </c>
      <c r="F1765" s="2">
        <v>224</v>
      </c>
      <c r="G1765" s="2" t="s">
        <v>17</v>
      </c>
      <c r="H1765" s="2" t="s">
        <v>23</v>
      </c>
      <c r="I1765" s="6">
        <v>0.13</v>
      </c>
      <c r="J1765" s="2" t="str">
        <f t="shared" si="27"/>
        <v>2022-12</v>
      </c>
    </row>
    <row r="1766" spans="1:10" x14ac:dyDescent="0.2">
      <c r="A1766" s="2" t="s">
        <v>1019</v>
      </c>
      <c r="B1766" s="2" t="s">
        <v>34</v>
      </c>
      <c r="C1766" s="2" t="s">
        <v>113</v>
      </c>
      <c r="D1766" s="2">
        <v>90</v>
      </c>
      <c r="E1766" s="5">
        <v>44910</v>
      </c>
      <c r="F1766" s="2">
        <v>484</v>
      </c>
      <c r="G1766" s="2" t="s">
        <v>17</v>
      </c>
      <c r="H1766" s="2" t="s">
        <v>23</v>
      </c>
      <c r="I1766" s="6">
        <v>0.02</v>
      </c>
      <c r="J1766" s="2" t="str">
        <f t="shared" si="27"/>
        <v>2022-12</v>
      </c>
    </row>
    <row r="1767" spans="1:10" x14ac:dyDescent="0.2">
      <c r="A1767" s="2" t="s">
        <v>1697</v>
      </c>
      <c r="B1767" s="2" t="s">
        <v>25</v>
      </c>
      <c r="C1767" s="2" t="s">
        <v>29</v>
      </c>
      <c r="D1767" s="2">
        <v>80</v>
      </c>
      <c r="E1767" s="5">
        <v>44910</v>
      </c>
      <c r="F1767" s="2">
        <v>379</v>
      </c>
      <c r="G1767" s="2" t="s">
        <v>66</v>
      </c>
      <c r="H1767" s="2" t="s">
        <v>23</v>
      </c>
      <c r="I1767" s="6">
        <v>0.31</v>
      </c>
      <c r="J1767" s="2" t="str">
        <f t="shared" si="27"/>
        <v>2022-12</v>
      </c>
    </row>
    <row r="1768" spans="1:10" x14ac:dyDescent="0.2">
      <c r="A1768" s="2" t="s">
        <v>1698</v>
      </c>
      <c r="B1768" s="2" t="s">
        <v>74</v>
      </c>
      <c r="C1768" s="2" t="s">
        <v>68</v>
      </c>
      <c r="D1768" s="2">
        <v>60</v>
      </c>
      <c r="E1768" s="5">
        <v>44910</v>
      </c>
      <c r="F1768" s="2">
        <v>76</v>
      </c>
      <c r="G1768" s="2" t="s">
        <v>37</v>
      </c>
      <c r="H1768" s="2" t="s">
        <v>23</v>
      </c>
      <c r="I1768" s="6">
        <v>0.2</v>
      </c>
      <c r="J1768" s="2" t="str">
        <f t="shared" si="27"/>
        <v>2022-12</v>
      </c>
    </row>
    <row r="1769" spans="1:10" x14ac:dyDescent="0.2">
      <c r="A1769" s="2" t="s">
        <v>1699</v>
      </c>
      <c r="B1769" s="2" t="s">
        <v>34</v>
      </c>
      <c r="C1769" s="2" t="s">
        <v>78</v>
      </c>
      <c r="D1769" s="2" t="s">
        <v>2954</v>
      </c>
      <c r="E1769" s="5">
        <v>44910</v>
      </c>
      <c r="F1769" s="2">
        <v>183</v>
      </c>
      <c r="G1769" s="2" t="s">
        <v>75</v>
      </c>
      <c r="H1769" s="2" t="s">
        <v>23</v>
      </c>
      <c r="I1769" s="6">
        <v>0.15</v>
      </c>
      <c r="J1769" s="2" t="str">
        <f t="shared" si="27"/>
        <v>2022-12</v>
      </c>
    </row>
    <row r="1770" spans="1:10" x14ac:dyDescent="0.2">
      <c r="A1770" s="2" t="s">
        <v>1700</v>
      </c>
      <c r="B1770" s="2" t="s">
        <v>398</v>
      </c>
      <c r="C1770" s="2" t="s">
        <v>142</v>
      </c>
      <c r="D1770" s="2">
        <v>200</v>
      </c>
      <c r="E1770" s="5">
        <v>44909</v>
      </c>
      <c r="F1770" s="2">
        <v>5100</v>
      </c>
      <c r="G1770" s="2" t="s">
        <v>17</v>
      </c>
      <c r="H1770" s="2" t="s">
        <v>399</v>
      </c>
      <c r="I1770" s="6">
        <v>0.3</v>
      </c>
      <c r="J1770" s="2" t="str">
        <f t="shared" si="27"/>
        <v>2022-12</v>
      </c>
    </row>
    <row r="1771" spans="1:10" x14ac:dyDescent="0.2">
      <c r="A1771" s="2" t="s">
        <v>391</v>
      </c>
      <c r="B1771" s="2" t="s">
        <v>392</v>
      </c>
      <c r="C1771" s="2" t="s">
        <v>61</v>
      </c>
      <c r="D1771" s="2">
        <v>100</v>
      </c>
      <c r="E1771" s="5">
        <v>44909</v>
      </c>
      <c r="F1771" s="2">
        <v>686</v>
      </c>
      <c r="G1771" s="2" t="s">
        <v>75</v>
      </c>
      <c r="H1771" s="2" t="s">
        <v>393</v>
      </c>
      <c r="I1771" s="6" t="s">
        <v>2954</v>
      </c>
      <c r="J1771" s="2" t="str">
        <f t="shared" si="27"/>
        <v>2022-12</v>
      </c>
    </row>
    <row r="1772" spans="1:10" x14ac:dyDescent="0.2">
      <c r="A1772" s="2" t="s">
        <v>1701</v>
      </c>
      <c r="B1772" s="2" t="s">
        <v>34</v>
      </c>
      <c r="C1772" s="2" t="s">
        <v>52</v>
      </c>
      <c r="D1772" s="2">
        <v>72</v>
      </c>
      <c r="E1772" s="5">
        <v>44909</v>
      </c>
      <c r="F1772" s="2">
        <v>175</v>
      </c>
      <c r="G1772" s="2" t="s">
        <v>17</v>
      </c>
      <c r="H1772" s="2" t="s">
        <v>23</v>
      </c>
      <c r="I1772" s="6" t="s">
        <v>2954</v>
      </c>
      <c r="J1772" s="2" t="str">
        <f t="shared" si="27"/>
        <v>2022-12</v>
      </c>
    </row>
    <row r="1773" spans="1:10" x14ac:dyDescent="0.2">
      <c r="A1773" s="2" t="s">
        <v>947</v>
      </c>
      <c r="B1773" s="2" t="s">
        <v>47</v>
      </c>
      <c r="C1773" s="2" t="s">
        <v>32</v>
      </c>
      <c r="D1773" s="2">
        <v>50</v>
      </c>
      <c r="E1773" s="5">
        <v>44909</v>
      </c>
      <c r="F1773" s="2">
        <v>215</v>
      </c>
      <c r="G1773" s="2" t="s">
        <v>12</v>
      </c>
      <c r="H1773" s="2" t="s">
        <v>23</v>
      </c>
      <c r="I1773" s="6">
        <v>0.04</v>
      </c>
      <c r="J1773" s="2" t="str">
        <f t="shared" si="27"/>
        <v>2022-12</v>
      </c>
    </row>
    <row r="1774" spans="1:10" x14ac:dyDescent="0.2">
      <c r="A1774" s="2" t="s">
        <v>209</v>
      </c>
      <c r="B1774" s="2" t="s">
        <v>47</v>
      </c>
      <c r="C1774" s="2" t="s">
        <v>11</v>
      </c>
      <c r="D1774" s="2">
        <v>40</v>
      </c>
      <c r="E1774" s="5">
        <v>44909</v>
      </c>
      <c r="F1774" s="2">
        <v>64</v>
      </c>
      <c r="G1774" s="2" t="s">
        <v>66</v>
      </c>
      <c r="H1774" s="2" t="s">
        <v>23</v>
      </c>
      <c r="I1774" s="6">
        <v>0.1</v>
      </c>
      <c r="J1774" s="2" t="str">
        <f t="shared" si="27"/>
        <v>2022-12</v>
      </c>
    </row>
    <row r="1775" spans="1:10" x14ac:dyDescent="0.2">
      <c r="A1775" s="2" t="s">
        <v>573</v>
      </c>
      <c r="B1775" s="2" t="s">
        <v>574</v>
      </c>
      <c r="C1775" s="2" t="s">
        <v>148</v>
      </c>
      <c r="D1775" s="2" t="s">
        <v>2954</v>
      </c>
      <c r="E1775" s="5">
        <v>44909</v>
      </c>
      <c r="F1775" s="2">
        <v>347</v>
      </c>
      <c r="G1775" s="2" t="s">
        <v>66</v>
      </c>
      <c r="H1775" s="2" t="s">
        <v>23</v>
      </c>
      <c r="I1775" s="6" t="s">
        <v>2954</v>
      </c>
      <c r="J1775" s="2" t="str">
        <f t="shared" si="27"/>
        <v>2022-12</v>
      </c>
    </row>
    <row r="1776" spans="1:10" x14ac:dyDescent="0.2">
      <c r="A1776" s="2" t="s">
        <v>1702</v>
      </c>
      <c r="B1776" s="2" t="s">
        <v>34</v>
      </c>
      <c r="C1776" s="2" t="s">
        <v>35</v>
      </c>
      <c r="D1776" s="2">
        <v>160</v>
      </c>
      <c r="E1776" s="5">
        <v>44908</v>
      </c>
      <c r="F1776" s="2">
        <v>698</v>
      </c>
      <c r="G1776" s="2" t="s">
        <v>959</v>
      </c>
      <c r="H1776" s="2" t="s">
        <v>23</v>
      </c>
      <c r="I1776" s="6">
        <v>0.14000000000000001</v>
      </c>
      <c r="J1776" s="2" t="str">
        <f t="shared" si="27"/>
        <v>2022-12</v>
      </c>
    </row>
    <row r="1777" spans="1:10" x14ac:dyDescent="0.2">
      <c r="A1777" s="2" t="s">
        <v>249</v>
      </c>
      <c r="B1777" s="2" t="s">
        <v>250</v>
      </c>
      <c r="C1777" s="2" t="s">
        <v>48</v>
      </c>
      <c r="D1777" s="2">
        <v>95</v>
      </c>
      <c r="E1777" s="5">
        <v>44908</v>
      </c>
      <c r="F1777" s="2">
        <v>462</v>
      </c>
      <c r="G1777" s="2" t="s">
        <v>17</v>
      </c>
      <c r="H1777" s="2" t="s">
        <v>23</v>
      </c>
      <c r="I1777" s="6">
        <v>0.1</v>
      </c>
      <c r="J1777" s="2" t="str">
        <f t="shared" si="27"/>
        <v>2022-12</v>
      </c>
    </row>
    <row r="1778" spans="1:10" x14ac:dyDescent="0.2">
      <c r="A1778" s="2" t="s">
        <v>1703</v>
      </c>
      <c r="B1778" s="2" t="s">
        <v>34</v>
      </c>
      <c r="C1778" s="2" t="s">
        <v>32</v>
      </c>
      <c r="D1778" s="2">
        <v>78</v>
      </c>
      <c r="E1778" s="5">
        <v>44908</v>
      </c>
      <c r="F1778" s="2">
        <v>514</v>
      </c>
      <c r="G1778" s="2" t="s">
        <v>128</v>
      </c>
      <c r="H1778" s="2" t="s">
        <v>23</v>
      </c>
      <c r="I1778" s="6">
        <v>0.09</v>
      </c>
      <c r="J1778" s="2" t="str">
        <f t="shared" si="27"/>
        <v>2022-12</v>
      </c>
    </row>
    <row r="1779" spans="1:10" x14ac:dyDescent="0.2">
      <c r="A1779" s="2" t="s">
        <v>1704</v>
      </c>
      <c r="B1779" s="2" t="s">
        <v>47</v>
      </c>
      <c r="C1779" s="2" t="s">
        <v>26</v>
      </c>
      <c r="D1779" s="2">
        <v>46</v>
      </c>
      <c r="E1779" s="5">
        <v>44908</v>
      </c>
      <c r="F1779" s="2" t="s">
        <v>2954</v>
      </c>
      <c r="G1779" s="2" t="s">
        <v>17</v>
      </c>
      <c r="H1779" s="2" t="s">
        <v>23</v>
      </c>
      <c r="I1779" s="6">
        <v>0.13</v>
      </c>
      <c r="J1779" s="2" t="str">
        <f t="shared" si="27"/>
        <v>2022-12</v>
      </c>
    </row>
    <row r="1780" spans="1:10" x14ac:dyDescent="0.2">
      <c r="A1780" s="2" t="s">
        <v>1012</v>
      </c>
      <c r="B1780" s="2" t="s">
        <v>147</v>
      </c>
      <c r="C1780" s="2" t="s">
        <v>22</v>
      </c>
      <c r="D1780" s="2" t="s">
        <v>2954</v>
      </c>
      <c r="E1780" s="5">
        <v>44908</v>
      </c>
      <c r="F1780" s="2">
        <v>235</v>
      </c>
      <c r="G1780" s="2" t="s">
        <v>37</v>
      </c>
      <c r="H1780" s="2" t="s">
        <v>23</v>
      </c>
      <c r="I1780" s="6" t="s">
        <v>2954</v>
      </c>
      <c r="J1780" s="2" t="str">
        <f t="shared" si="27"/>
        <v>2022-12</v>
      </c>
    </row>
    <row r="1781" spans="1:10" x14ac:dyDescent="0.2">
      <c r="A1781" s="2" t="s">
        <v>876</v>
      </c>
      <c r="B1781" s="2" t="s">
        <v>147</v>
      </c>
      <c r="C1781" s="2" t="s">
        <v>61</v>
      </c>
      <c r="D1781" s="2">
        <v>400</v>
      </c>
      <c r="E1781" s="5">
        <v>44907</v>
      </c>
      <c r="F1781" s="2">
        <v>192</v>
      </c>
      <c r="G1781" s="2" t="s">
        <v>45</v>
      </c>
      <c r="H1781" s="2" t="s">
        <v>23</v>
      </c>
      <c r="I1781" s="6">
        <v>0.2</v>
      </c>
      <c r="J1781" s="2" t="str">
        <f t="shared" si="27"/>
        <v>2022-12</v>
      </c>
    </row>
    <row r="1782" spans="1:10" x14ac:dyDescent="0.2">
      <c r="A1782" s="2" t="s">
        <v>1705</v>
      </c>
      <c r="B1782" s="2" t="s">
        <v>250</v>
      </c>
      <c r="C1782" s="2" t="s">
        <v>11</v>
      </c>
      <c r="D1782" s="2">
        <v>329</v>
      </c>
      <c r="E1782" s="5">
        <v>44907</v>
      </c>
      <c r="F1782" s="2">
        <v>107</v>
      </c>
      <c r="G1782" s="2" t="s">
        <v>45</v>
      </c>
      <c r="H1782" s="2" t="s">
        <v>23</v>
      </c>
      <c r="I1782" s="6" t="s">
        <v>2954</v>
      </c>
      <c r="J1782" s="2" t="str">
        <f t="shared" si="27"/>
        <v>2022-12</v>
      </c>
    </row>
    <row r="1783" spans="1:10" x14ac:dyDescent="0.2">
      <c r="A1783" s="2" t="s">
        <v>1706</v>
      </c>
      <c r="B1783" s="2" t="s">
        <v>560</v>
      </c>
      <c r="C1783" s="2" t="s">
        <v>50</v>
      </c>
      <c r="D1783" s="2">
        <v>35</v>
      </c>
      <c r="E1783" s="5">
        <v>44907</v>
      </c>
      <c r="F1783" s="2">
        <v>51</v>
      </c>
      <c r="G1783" s="2" t="s">
        <v>37</v>
      </c>
      <c r="H1783" s="2" t="s">
        <v>23</v>
      </c>
      <c r="I1783" s="6" t="s">
        <v>2954</v>
      </c>
      <c r="J1783" s="2" t="str">
        <f t="shared" si="27"/>
        <v>2022-12</v>
      </c>
    </row>
    <row r="1784" spans="1:10" x14ac:dyDescent="0.2">
      <c r="A1784" s="2" t="s">
        <v>1707</v>
      </c>
      <c r="B1784" s="2" t="s">
        <v>401</v>
      </c>
      <c r="C1784" s="2" t="s">
        <v>16</v>
      </c>
      <c r="D1784" s="2" t="s">
        <v>2954</v>
      </c>
      <c r="E1784" s="5">
        <v>44907</v>
      </c>
      <c r="F1784" s="2">
        <v>189</v>
      </c>
      <c r="G1784" s="2" t="s">
        <v>66</v>
      </c>
      <c r="H1784" s="2" t="s">
        <v>23</v>
      </c>
      <c r="I1784" s="6" t="s">
        <v>2954</v>
      </c>
      <c r="J1784" s="2" t="str">
        <f t="shared" si="27"/>
        <v>2022-12</v>
      </c>
    </row>
    <row r="1785" spans="1:10" x14ac:dyDescent="0.2">
      <c r="A1785" s="2" t="s">
        <v>1708</v>
      </c>
      <c r="B1785" s="2" t="s">
        <v>34</v>
      </c>
      <c r="C1785" s="2" t="s">
        <v>61</v>
      </c>
      <c r="D1785" s="2">
        <v>43</v>
      </c>
      <c r="E1785" s="5">
        <v>44905</v>
      </c>
      <c r="F1785" s="2">
        <v>240</v>
      </c>
      <c r="G1785" s="2" t="s">
        <v>75</v>
      </c>
      <c r="H1785" s="2" t="s">
        <v>23</v>
      </c>
      <c r="I1785" s="6">
        <v>0.25</v>
      </c>
      <c r="J1785" s="2" t="str">
        <f t="shared" si="27"/>
        <v>2022-12</v>
      </c>
    </row>
    <row r="1786" spans="1:10" x14ac:dyDescent="0.2">
      <c r="A1786" s="2" t="s">
        <v>1709</v>
      </c>
      <c r="B1786" s="2" t="s">
        <v>381</v>
      </c>
      <c r="C1786" s="2" t="s">
        <v>78</v>
      </c>
      <c r="D1786" s="2">
        <v>20</v>
      </c>
      <c r="E1786" s="5">
        <v>44905</v>
      </c>
      <c r="F1786" s="2">
        <v>94</v>
      </c>
      <c r="G1786" s="2" t="s">
        <v>37</v>
      </c>
      <c r="H1786" s="2" t="s">
        <v>76</v>
      </c>
      <c r="I1786" s="6">
        <v>0.1</v>
      </c>
      <c r="J1786" s="2" t="str">
        <f t="shared" si="27"/>
        <v>2022-12</v>
      </c>
    </row>
    <row r="1787" spans="1:10" x14ac:dyDescent="0.2">
      <c r="A1787" s="2" t="s">
        <v>1710</v>
      </c>
      <c r="B1787" s="2" t="s">
        <v>158</v>
      </c>
      <c r="C1787" s="2" t="s">
        <v>16</v>
      </c>
      <c r="D1787" s="2" t="s">
        <v>2954</v>
      </c>
      <c r="E1787" s="5">
        <v>44905</v>
      </c>
      <c r="F1787" s="2">
        <v>97</v>
      </c>
      <c r="G1787" s="2" t="s">
        <v>66</v>
      </c>
      <c r="H1787" s="2" t="s">
        <v>23</v>
      </c>
      <c r="I1787" s="6" t="s">
        <v>2954</v>
      </c>
      <c r="J1787" s="2" t="str">
        <f t="shared" si="27"/>
        <v>2022-12</v>
      </c>
    </row>
    <row r="1788" spans="1:10" x14ac:dyDescent="0.2">
      <c r="A1788" s="2" t="s">
        <v>1711</v>
      </c>
      <c r="B1788" s="2" t="s">
        <v>25</v>
      </c>
      <c r="C1788" s="2" t="s">
        <v>148</v>
      </c>
      <c r="D1788" s="2" t="s">
        <v>2954</v>
      </c>
      <c r="E1788" s="5">
        <v>44905</v>
      </c>
      <c r="F1788" s="2">
        <v>281</v>
      </c>
      <c r="G1788" s="2" t="s">
        <v>12</v>
      </c>
      <c r="H1788" s="2" t="s">
        <v>23</v>
      </c>
      <c r="I1788" s="6" t="s">
        <v>2954</v>
      </c>
      <c r="J1788" s="2" t="str">
        <f t="shared" si="27"/>
        <v>2022-12</v>
      </c>
    </row>
    <row r="1789" spans="1:10" x14ac:dyDescent="0.2">
      <c r="A1789" s="2" t="s">
        <v>1129</v>
      </c>
      <c r="B1789" s="2" t="s">
        <v>538</v>
      </c>
      <c r="C1789" s="2" t="s">
        <v>32</v>
      </c>
      <c r="D1789" s="2" t="s">
        <v>2954</v>
      </c>
      <c r="E1789" s="5">
        <v>44905</v>
      </c>
      <c r="F1789" s="2">
        <v>1600</v>
      </c>
      <c r="G1789" s="2" t="s">
        <v>12</v>
      </c>
      <c r="H1789" s="2" t="s">
        <v>98</v>
      </c>
      <c r="I1789" s="6" t="s">
        <v>2954</v>
      </c>
      <c r="J1789" s="2" t="str">
        <f t="shared" si="27"/>
        <v>2022-12</v>
      </c>
    </row>
    <row r="1790" spans="1:10" x14ac:dyDescent="0.2">
      <c r="A1790" s="2" t="s">
        <v>426</v>
      </c>
      <c r="B1790" s="2" t="s">
        <v>15</v>
      </c>
      <c r="C1790" s="2" t="s">
        <v>35</v>
      </c>
      <c r="D1790" s="2">
        <v>600</v>
      </c>
      <c r="E1790" s="5">
        <v>44904</v>
      </c>
      <c r="F1790" s="2" t="s">
        <v>2954</v>
      </c>
      <c r="G1790" s="2" t="s">
        <v>17</v>
      </c>
      <c r="H1790" s="2" t="s">
        <v>18</v>
      </c>
      <c r="I1790" s="6">
        <v>0.15</v>
      </c>
      <c r="J1790" s="2" t="str">
        <f t="shared" si="27"/>
        <v>2022-12</v>
      </c>
    </row>
    <row r="1791" spans="1:10" x14ac:dyDescent="0.2">
      <c r="A1791" s="2" t="s">
        <v>1712</v>
      </c>
      <c r="B1791" s="2" t="s">
        <v>1713</v>
      </c>
      <c r="C1791" s="2" t="s">
        <v>142</v>
      </c>
      <c r="D1791" s="2">
        <v>300</v>
      </c>
      <c r="E1791" s="5">
        <v>44904</v>
      </c>
      <c r="F1791" s="2" t="s">
        <v>2954</v>
      </c>
      <c r="G1791" s="2" t="s">
        <v>45</v>
      </c>
      <c r="H1791" s="2" t="s">
        <v>246</v>
      </c>
      <c r="I1791" s="6">
        <v>0.1</v>
      </c>
      <c r="J1791" s="2" t="str">
        <f t="shared" si="27"/>
        <v>2022-12</v>
      </c>
    </row>
    <row r="1792" spans="1:10" x14ac:dyDescent="0.2">
      <c r="A1792" s="2" t="s">
        <v>1714</v>
      </c>
      <c r="B1792" s="2" t="s">
        <v>74</v>
      </c>
      <c r="C1792" s="2" t="s">
        <v>52</v>
      </c>
      <c r="D1792" s="2">
        <v>150</v>
      </c>
      <c r="E1792" s="5">
        <v>44904</v>
      </c>
      <c r="F1792" s="2" t="s">
        <v>2954</v>
      </c>
      <c r="G1792" s="2" t="s">
        <v>45</v>
      </c>
      <c r="H1792" s="2" t="s">
        <v>76</v>
      </c>
      <c r="I1792" s="6">
        <v>0.36</v>
      </c>
      <c r="J1792" s="2" t="str">
        <f t="shared" si="27"/>
        <v>2022-12</v>
      </c>
    </row>
    <row r="1793" spans="1:10" x14ac:dyDescent="0.2">
      <c r="A1793" s="2" t="s">
        <v>1715</v>
      </c>
      <c r="B1793" s="2" t="s">
        <v>661</v>
      </c>
      <c r="C1793" s="2" t="s">
        <v>32</v>
      </c>
      <c r="D1793" s="2">
        <v>113</v>
      </c>
      <c r="E1793" s="5">
        <v>44904</v>
      </c>
      <c r="F1793" s="2">
        <v>174</v>
      </c>
      <c r="G1793" s="2" t="s">
        <v>66</v>
      </c>
      <c r="H1793" s="2" t="s">
        <v>662</v>
      </c>
      <c r="I1793" s="6">
        <v>0.16</v>
      </c>
      <c r="J1793" s="2" t="str">
        <f t="shared" si="27"/>
        <v>2022-12</v>
      </c>
    </row>
    <row r="1794" spans="1:10" x14ac:dyDescent="0.2">
      <c r="A1794" s="2" t="s">
        <v>1716</v>
      </c>
      <c r="B1794" s="2" t="s">
        <v>54</v>
      </c>
      <c r="C1794" s="2" t="s">
        <v>16</v>
      </c>
      <c r="D1794" s="2">
        <v>85</v>
      </c>
      <c r="E1794" s="5">
        <v>44904</v>
      </c>
      <c r="F1794" s="2">
        <v>73</v>
      </c>
      <c r="G1794" s="2" t="s">
        <v>37</v>
      </c>
      <c r="H1794" s="2" t="s">
        <v>55</v>
      </c>
      <c r="I1794" s="6">
        <v>0.33</v>
      </c>
      <c r="J1794" s="2" t="str">
        <f t="shared" si="27"/>
        <v>2022-12</v>
      </c>
    </row>
    <row r="1795" spans="1:10" x14ac:dyDescent="0.2">
      <c r="A1795" s="2" t="s">
        <v>1339</v>
      </c>
      <c r="B1795" s="2" t="s">
        <v>74</v>
      </c>
      <c r="C1795" s="2" t="s">
        <v>26</v>
      </c>
      <c r="D1795" s="2">
        <v>62</v>
      </c>
      <c r="E1795" s="5">
        <v>44904</v>
      </c>
      <c r="F1795" s="2">
        <v>442</v>
      </c>
      <c r="G1795" s="2" t="s">
        <v>75</v>
      </c>
      <c r="H1795" s="2" t="s">
        <v>76</v>
      </c>
      <c r="I1795" s="6">
        <v>0.115</v>
      </c>
      <c r="J1795" s="2" t="str">
        <f t="shared" ref="J1795:J1858" si="28">TEXT(E1795,"YYYY-MM")</f>
        <v>2022-12</v>
      </c>
    </row>
    <row r="1796" spans="1:10" x14ac:dyDescent="0.2">
      <c r="A1796" s="2" t="s">
        <v>644</v>
      </c>
      <c r="B1796" s="2" t="s">
        <v>645</v>
      </c>
      <c r="C1796" s="2" t="s">
        <v>16</v>
      </c>
      <c r="D1796" s="2">
        <v>20</v>
      </c>
      <c r="E1796" s="5">
        <v>44904</v>
      </c>
      <c r="F1796" s="2">
        <v>537</v>
      </c>
      <c r="G1796" s="2" t="s">
        <v>81</v>
      </c>
      <c r="H1796" s="2" t="s">
        <v>23</v>
      </c>
      <c r="I1796" s="6">
        <v>0.02</v>
      </c>
      <c r="J1796" s="2" t="str">
        <f t="shared" si="28"/>
        <v>2022-12</v>
      </c>
    </row>
    <row r="1797" spans="1:10" x14ac:dyDescent="0.2">
      <c r="A1797" s="2" t="s">
        <v>1717</v>
      </c>
      <c r="B1797" s="2" t="s">
        <v>15</v>
      </c>
      <c r="C1797" s="2" t="s">
        <v>29</v>
      </c>
      <c r="D1797" s="2" t="s">
        <v>2954</v>
      </c>
      <c r="E1797" s="5">
        <v>44904</v>
      </c>
      <c r="F1797" s="2">
        <v>25</v>
      </c>
      <c r="G1797" s="2" t="s">
        <v>41</v>
      </c>
      <c r="H1797" s="2" t="s">
        <v>18</v>
      </c>
      <c r="I1797" s="6">
        <v>1</v>
      </c>
      <c r="J1797" s="2" t="str">
        <f t="shared" si="28"/>
        <v>2022-12</v>
      </c>
    </row>
    <row r="1798" spans="1:10" x14ac:dyDescent="0.2">
      <c r="A1798" s="2" t="s">
        <v>1718</v>
      </c>
      <c r="B1798" s="2" t="s">
        <v>1106</v>
      </c>
      <c r="C1798" s="2" t="s">
        <v>22</v>
      </c>
      <c r="D1798" s="2" t="s">
        <v>2954</v>
      </c>
      <c r="E1798" s="5">
        <v>44904</v>
      </c>
      <c r="F1798" s="2" t="s">
        <v>2954</v>
      </c>
      <c r="G1798" s="2" t="s">
        <v>12</v>
      </c>
      <c r="H1798" s="2" t="s">
        <v>274</v>
      </c>
      <c r="I1798" s="6">
        <v>1</v>
      </c>
      <c r="J1798" s="2" t="str">
        <f t="shared" si="28"/>
        <v>2022-12</v>
      </c>
    </row>
    <row r="1799" spans="1:10" x14ac:dyDescent="0.2">
      <c r="A1799" s="2" t="s">
        <v>1719</v>
      </c>
      <c r="B1799" s="2" t="s">
        <v>693</v>
      </c>
      <c r="C1799" s="2" t="s">
        <v>29</v>
      </c>
      <c r="D1799" s="2" t="s">
        <v>2954</v>
      </c>
      <c r="E1799" s="5">
        <v>44904</v>
      </c>
      <c r="F1799" s="2">
        <v>225</v>
      </c>
      <c r="G1799" s="2" t="s">
        <v>17</v>
      </c>
      <c r="H1799" s="2" t="s">
        <v>23</v>
      </c>
      <c r="I1799" s="6" t="s">
        <v>2954</v>
      </c>
      <c r="J1799" s="2" t="str">
        <f t="shared" si="28"/>
        <v>2022-12</v>
      </c>
    </row>
    <row r="1800" spans="1:10" x14ac:dyDescent="0.2">
      <c r="A1800" s="2" t="s">
        <v>1720</v>
      </c>
      <c r="B1800" s="2" t="s">
        <v>28</v>
      </c>
      <c r="C1800" s="2" t="s">
        <v>22</v>
      </c>
      <c r="D1800" s="2" t="s">
        <v>2954</v>
      </c>
      <c r="E1800" s="5">
        <v>44904</v>
      </c>
      <c r="F1800" s="2">
        <v>25</v>
      </c>
      <c r="G1800" s="2" t="s">
        <v>37</v>
      </c>
      <c r="H1800" s="2" t="s">
        <v>23</v>
      </c>
      <c r="I1800" s="6">
        <v>0.1</v>
      </c>
      <c r="J1800" s="2" t="str">
        <f t="shared" si="28"/>
        <v>2022-12</v>
      </c>
    </row>
    <row r="1801" spans="1:10" x14ac:dyDescent="0.2">
      <c r="A1801" s="2" t="s">
        <v>717</v>
      </c>
      <c r="B1801" s="2" t="s">
        <v>34</v>
      </c>
      <c r="C1801" s="2" t="s">
        <v>78</v>
      </c>
      <c r="D1801" s="2">
        <v>254</v>
      </c>
      <c r="E1801" s="5">
        <v>44903</v>
      </c>
      <c r="F1801" s="2">
        <v>1400</v>
      </c>
      <c r="G1801" s="2" t="s">
        <v>62</v>
      </c>
      <c r="H1801" s="2" t="s">
        <v>23</v>
      </c>
      <c r="I1801" s="6">
        <v>0.2</v>
      </c>
      <c r="J1801" s="2" t="str">
        <f t="shared" si="28"/>
        <v>2022-12</v>
      </c>
    </row>
    <row r="1802" spans="1:10" x14ac:dyDescent="0.2">
      <c r="A1802" s="2" t="s">
        <v>371</v>
      </c>
      <c r="B1802" s="2" t="s">
        <v>100</v>
      </c>
      <c r="C1802" s="2" t="s">
        <v>11</v>
      </c>
      <c r="D1802" s="2">
        <v>250</v>
      </c>
      <c r="E1802" s="5">
        <v>44903</v>
      </c>
      <c r="F1802" s="2">
        <v>3600</v>
      </c>
      <c r="G1802" s="2" t="s">
        <v>12</v>
      </c>
      <c r="H1802" s="2" t="s">
        <v>98</v>
      </c>
      <c r="I1802" s="6">
        <v>0.03</v>
      </c>
      <c r="J1802" s="2" t="str">
        <f t="shared" si="28"/>
        <v>2022-12</v>
      </c>
    </row>
    <row r="1803" spans="1:10" x14ac:dyDescent="0.2">
      <c r="A1803" s="2" t="s">
        <v>1721</v>
      </c>
      <c r="B1803" s="2" t="s">
        <v>217</v>
      </c>
      <c r="C1803" s="2" t="s">
        <v>68</v>
      </c>
      <c r="D1803" s="2">
        <v>198</v>
      </c>
      <c r="E1803" s="5">
        <v>44903</v>
      </c>
      <c r="F1803" s="2">
        <v>82</v>
      </c>
      <c r="G1803" s="2" t="s">
        <v>75</v>
      </c>
      <c r="H1803" s="2" t="s">
        <v>217</v>
      </c>
      <c r="I1803" s="6">
        <v>0.18</v>
      </c>
      <c r="J1803" s="2" t="str">
        <f t="shared" si="28"/>
        <v>2022-12</v>
      </c>
    </row>
    <row r="1804" spans="1:10" x14ac:dyDescent="0.2">
      <c r="A1804" s="2" t="s">
        <v>1722</v>
      </c>
      <c r="B1804" s="2" t="s">
        <v>661</v>
      </c>
      <c r="C1804" s="2" t="s">
        <v>52</v>
      </c>
      <c r="D1804" s="2">
        <v>160</v>
      </c>
      <c r="E1804" s="5">
        <v>44903</v>
      </c>
      <c r="F1804" s="2">
        <v>138</v>
      </c>
      <c r="G1804" s="2" t="s">
        <v>66</v>
      </c>
      <c r="H1804" s="2" t="s">
        <v>662</v>
      </c>
      <c r="I1804" s="6">
        <v>0.3</v>
      </c>
      <c r="J1804" s="2" t="str">
        <f t="shared" si="28"/>
        <v>2022-12</v>
      </c>
    </row>
    <row r="1805" spans="1:10" x14ac:dyDescent="0.2">
      <c r="A1805" s="2" t="s">
        <v>776</v>
      </c>
      <c r="B1805" s="2" t="s">
        <v>47</v>
      </c>
      <c r="C1805" s="2" t="s">
        <v>16</v>
      </c>
      <c r="D1805" s="2">
        <v>95</v>
      </c>
      <c r="E1805" s="5">
        <v>44903</v>
      </c>
      <c r="F1805" s="2">
        <v>220</v>
      </c>
      <c r="G1805" s="2" t="s">
        <v>199</v>
      </c>
      <c r="H1805" s="2" t="s">
        <v>23</v>
      </c>
      <c r="I1805" s="6">
        <v>0.05</v>
      </c>
      <c r="J1805" s="2" t="str">
        <f t="shared" si="28"/>
        <v>2022-12</v>
      </c>
    </row>
    <row r="1806" spans="1:10" x14ac:dyDescent="0.2">
      <c r="A1806" s="2" t="s">
        <v>1468</v>
      </c>
      <c r="B1806" s="2" t="s">
        <v>1469</v>
      </c>
      <c r="C1806" s="2" t="s">
        <v>142</v>
      </c>
      <c r="D1806" s="2">
        <v>80</v>
      </c>
      <c r="E1806" s="5">
        <v>44903</v>
      </c>
      <c r="F1806" s="2">
        <v>205</v>
      </c>
      <c r="G1806" s="2" t="s">
        <v>66</v>
      </c>
      <c r="H1806" s="2" t="s">
        <v>76</v>
      </c>
      <c r="I1806" s="6" t="s">
        <v>2954</v>
      </c>
      <c r="J1806" s="2" t="str">
        <f t="shared" si="28"/>
        <v>2022-12</v>
      </c>
    </row>
    <row r="1807" spans="1:10" x14ac:dyDescent="0.2">
      <c r="A1807" s="2" t="s">
        <v>1723</v>
      </c>
      <c r="B1807" s="2" t="s">
        <v>15</v>
      </c>
      <c r="C1807" s="2" t="s">
        <v>52</v>
      </c>
      <c r="D1807" s="2">
        <v>80</v>
      </c>
      <c r="E1807" s="5">
        <v>44903</v>
      </c>
      <c r="F1807" s="2">
        <v>231</v>
      </c>
      <c r="G1807" s="2" t="s">
        <v>17</v>
      </c>
      <c r="H1807" s="2" t="s">
        <v>18</v>
      </c>
      <c r="I1807" s="6">
        <v>0.5</v>
      </c>
      <c r="J1807" s="2" t="str">
        <f t="shared" si="28"/>
        <v>2022-12</v>
      </c>
    </row>
    <row r="1808" spans="1:10" x14ac:dyDescent="0.2">
      <c r="A1808" s="2" t="s">
        <v>1724</v>
      </c>
      <c r="B1808" s="2" t="s">
        <v>89</v>
      </c>
      <c r="C1808" s="2" t="s">
        <v>26</v>
      </c>
      <c r="D1808" s="2">
        <v>60</v>
      </c>
      <c r="E1808" s="5">
        <v>44903</v>
      </c>
      <c r="F1808" s="2">
        <v>115</v>
      </c>
      <c r="G1808" s="2" t="s">
        <v>17</v>
      </c>
      <c r="H1808" s="2" t="s">
        <v>23</v>
      </c>
      <c r="I1808" s="6">
        <v>0.05</v>
      </c>
      <c r="J1808" s="2" t="str">
        <f t="shared" si="28"/>
        <v>2022-12</v>
      </c>
    </row>
    <row r="1809" spans="1:10" x14ac:dyDescent="0.2">
      <c r="A1809" s="2" t="s">
        <v>1725</v>
      </c>
      <c r="B1809" s="2" t="s">
        <v>284</v>
      </c>
      <c r="C1809" s="2" t="s">
        <v>32</v>
      </c>
      <c r="D1809" s="2">
        <v>43</v>
      </c>
      <c r="E1809" s="5">
        <v>44903</v>
      </c>
      <c r="F1809" s="2">
        <v>459</v>
      </c>
      <c r="G1809" s="2" t="s">
        <v>128</v>
      </c>
      <c r="H1809" s="2" t="s">
        <v>23</v>
      </c>
      <c r="I1809" s="6" t="s">
        <v>2954</v>
      </c>
      <c r="J1809" s="2" t="str">
        <f t="shared" si="28"/>
        <v>2022-12</v>
      </c>
    </row>
    <row r="1810" spans="1:10" x14ac:dyDescent="0.2">
      <c r="A1810" s="2" t="s">
        <v>1726</v>
      </c>
      <c r="B1810" s="2" t="s">
        <v>34</v>
      </c>
      <c r="C1810" s="2" t="s">
        <v>195</v>
      </c>
      <c r="D1810" s="2">
        <v>30</v>
      </c>
      <c r="E1810" s="5">
        <v>44903</v>
      </c>
      <c r="F1810" s="2">
        <v>153</v>
      </c>
      <c r="G1810" s="2" t="s">
        <v>66</v>
      </c>
      <c r="H1810" s="2" t="s">
        <v>23</v>
      </c>
      <c r="I1810" s="6">
        <v>0.15</v>
      </c>
      <c r="J1810" s="2" t="str">
        <f t="shared" si="28"/>
        <v>2022-12</v>
      </c>
    </row>
    <row r="1811" spans="1:10" x14ac:dyDescent="0.2">
      <c r="A1811" s="2" t="s">
        <v>1727</v>
      </c>
      <c r="B1811" s="2" t="s">
        <v>34</v>
      </c>
      <c r="C1811" s="2" t="s">
        <v>195</v>
      </c>
      <c r="D1811" s="2">
        <v>25</v>
      </c>
      <c r="E1811" s="5">
        <v>44903</v>
      </c>
      <c r="F1811" s="2">
        <v>537</v>
      </c>
      <c r="G1811" s="2" t="s">
        <v>199</v>
      </c>
      <c r="H1811" s="2" t="s">
        <v>23</v>
      </c>
      <c r="I1811" s="6">
        <v>0.04</v>
      </c>
      <c r="J1811" s="2" t="str">
        <f t="shared" si="28"/>
        <v>2022-12</v>
      </c>
    </row>
    <row r="1812" spans="1:10" x14ac:dyDescent="0.2">
      <c r="A1812" s="2" t="s">
        <v>114</v>
      </c>
      <c r="B1812" s="2" t="s">
        <v>115</v>
      </c>
      <c r="C1812" s="2" t="s">
        <v>22</v>
      </c>
      <c r="D1812" s="2" t="s">
        <v>2954</v>
      </c>
      <c r="E1812" s="5">
        <v>44903</v>
      </c>
      <c r="F1812" s="2">
        <v>932</v>
      </c>
      <c r="G1812" s="2" t="s">
        <v>17</v>
      </c>
      <c r="H1812" s="2" t="s">
        <v>23</v>
      </c>
      <c r="I1812" s="6">
        <v>0.15</v>
      </c>
      <c r="J1812" s="2" t="str">
        <f t="shared" si="28"/>
        <v>2022-12</v>
      </c>
    </row>
    <row r="1813" spans="1:10" x14ac:dyDescent="0.2">
      <c r="A1813" s="2" t="s">
        <v>891</v>
      </c>
      <c r="B1813" s="2" t="s">
        <v>25</v>
      </c>
      <c r="C1813" s="2" t="s">
        <v>11</v>
      </c>
      <c r="D1813" s="2" t="s">
        <v>2954</v>
      </c>
      <c r="E1813" s="5">
        <v>44903</v>
      </c>
      <c r="F1813" s="2">
        <v>352</v>
      </c>
      <c r="G1813" s="2" t="s">
        <v>17</v>
      </c>
      <c r="H1813" s="2" t="s">
        <v>23</v>
      </c>
      <c r="I1813" s="6">
        <v>0.1</v>
      </c>
      <c r="J1813" s="2" t="str">
        <f t="shared" si="28"/>
        <v>2022-12</v>
      </c>
    </row>
    <row r="1814" spans="1:10" x14ac:dyDescent="0.2">
      <c r="A1814" s="2" t="s">
        <v>1728</v>
      </c>
      <c r="B1814" s="2" t="s">
        <v>25</v>
      </c>
      <c r="C1814" s="2" t="s">
        <v>48</v>
      </c>
      <c r="D1814" s="2" t="s">
        <v>2954</v>
      </c>
      <c r="E1814" s="5">
        <v>44903</v>
      </c>
      <c r="F1814" s="2">
        <v>32</v>
      </c>
      <c r="G1814" s="2" t="s">
        <v>37</v>
      </c>
      <c r="H1814" s="2" t="s">
        <v>23</v>
      </c>
      <c r="I1814" s="6" t="s">
        <v>2954</v>
      </c>
      <c r="J1814" s="2" t="str">
        <f t="shared" si="28"/>
        <v>2022-12</v>
      </c>
    </row>
    <row r="1815" spans="1:10" x14ac:dyDescent="0.2">
      <c r="A1815" s="2" t="s">
        <v>1158</v>
      </c>
      <c r="B1815" s="2" t="s">
        <v>693</v>
      </c>
      <c r="C1815" s="2" t="s">
        <v>103</v>
      </c>
      <c r="D1815" s="2" t="s">
        <v>2954</v>
      </c>
      <c r="E1815" s="5">
        <v>44903</v>
      </c>
      <c r="F1815" s="2">
        <v>850</v>
      </c>
      <c r="G1815" s="2" t="s">
        <v>17</v>
      </c>
      <c r="H1815" s="2" t="s">
        <v>23</v>
      </c>
      <c r="I1815" s="6" t="s">
        <v>2954</v>
      </c>
      <c r="J1815" s="2" t="str">
        <f t="shared" si="28"/>
        <v>2022-12</v>
      </c>
    </row>
    <row r="1816" spans="1:10" x14ac:dyDescent="0.2">
      <c r="A1816" s="2" t="s">
        <v>1729</v>
      </c>
      <c r="B1816" s="2" t="s">
        <v>560</v>
      </c>
      <c r="C1816" s="2" t="s">
        <v>61</v>
      </c>
      <c r="D1816" s="2" t="s">
        <v>2954</v>
      </c>
      <c r="E1816" s="5">
        <v>44903</v>
      </c>
      <c r="F1816" s="2">
        <v>150</v>
      </c>
      <c r="G1816" s="2" t="s">
        <v>17</v>
      </c>
      <c r="H1816" s="2" t="s">
        <v>23</v>
      </c>
      <c r="I1816" s="6">
        <v>0.17</v>
      </c>
      <c r="J1816" s="2" t="str">
        <f t="shared" si="28"/>
        <v>2022-12</v>
      </c>
    </row>
    <row r="1817" spans="1:10" x14ac:dyDescent="0.2">
      <c r="A1817" s="2" t="s">
        <v>1730</v>
      </c>
      <c r="B1817" s="2" t="s">
        <v>34</v>
      </c>
      <c r="C1817" s="2" t="s">
        <v>195</v>
      </c>
      <c r="D1817" s="2" t="s">
        <v>2954</v>
      </c>
      <c r="E1817" s="5">
        <v>44903</v>
      </c>
      <c r="F1817" s="2">
        <v>203</v>
      </c>
      <c r="G1817" s="2" t="s">
        <v>37</v>
      </c>
      <c r="H1817" s="2" t="s">
        <v>23</v>
      </c>
      <c r="I1817" s="6">
        <v>0.14000000000000001</v>
      </c>
      <c r="J1817" s="2" t="str">
        <f t="shared" si="28"/>
        <v>2022-12</v>
      </c>
    </row>
    <row r="1818" spans="1:10" x14ac:dyDescent="0.2">
      <c r="A1818" s="2" t="s">
        <v>1731</v>
      </c>
      <c r="B1818" s="2" t="s">
        <v>100</v>
      </c>
      <c r="C1818" s="2" t="s">
        <v>61</v>
      </c>
      <c r="D1818" s="2">
        <v>385</v>
      </c>
      <c r="E1818" s="5">
        <v>44902</v>
      </c>
      <c r="F1818" s="2">
        <v>292</v>
      </c>
      <c r="G1818" s="2" t="s">
        <v>128</v>
      </c>
      <c r="H1818" s="2" t="s">
        <v>98</v>
      </c>
      <c r="I1818" s="6" t="s">
        <v>2954</v>
      </c>
      <c r="J1818" s="2" t="str">
        <f t="shared" si="28"/>
        <v>2022-12</v>
      </c>
    </row>
    <row r="1819" spans="1:10" x14ac:dyDescent="0.2">
      <c r="A1819" s="2" t="s">
        <v>1302</v>
      </c>
      <c r="B1819" s="2" t="s">
        <v>661</v>
      </c>
      <c r="C1819" s="2" t="s">
        <v>148</v>
      </c>
      <c r="D1819" s="2">
        <v>312</v>
      </c>
      <c r="E1819" s="5">
        <v>44902</v>
      </c>
      <c r="F1819" s="2">
        <v>788</v>
      </c>
      <c r="G1819" s="2" t="s">
        <v>12</v>
      </c>
      <c r="H1819" s="2" t="s">
        <v>662</v>
      </c>
      <c r="I1819" s="6">
        <v>0.12</v>
      </c>
      <c r="J1819" s="2" t="str">
        <f t="shared" si="28"/>
        <v>2022-12</v>
      </c>
    </row>
    <row r="1820" spans="1:10" x14ac:dyDescent="0.2">
      <c r="A1820" s="2" t="s">
        <v>1732</v>
      </c>
      <c r="B1820" s="2" t="s">
        <v>34</v>
      </c>
      <c r="C1820" s="2" t="s">
        <v>16</v>
      </c>
      <c r="D1820" s="2">
        <v>260</v>
      </c>
      <c r="E1820" s="5">
        <v>44902</v>
      </c>
      <c r="F1820" s="2">
        <v>734</v>
      </c>
      <c r="G1820" s="2" t="s">
        <v>75</v>
      </c>
      <c r="H1820" s="2" t="s">
        <v>23</v>
      </c>
      <c r="I1820" s="6">
        <v>0.2</v>
      </c>
      <c r="J1820" s="2" t="str">
        <f t="shared" si="28"/>
        <v>2022-12</v>
      </c>
    </row>
    <row r="1821" spans="1:10" x14ac:dyDescent="0.2">
      <c r="A1821" s="2" t="s">
        <v>925</v>
      </c>
      <c r="B1821" s="2" t="s">
        <v>34</v>
      </c>
      <c r="C1821" s="2" t="s">
        <v>52</v>
      </c>
      <c r="D1821" s="2">
        <v>237</v>
      </c>
      <c r="E1821" s="5">
        <v>44902</v>
      </c>
      <c r="F1821" s="2">
        <v>567</v>
      </c>
      <c r="G1821" s="2" t="s">
        <v>62</v>
      </c>
      <c r="H1821" s="2" t="s">
        <v>23</v>
      </c>
      <c r="I1821" s="6">
        <v>0.06</v>
      </c>
      <c r="J1821" s="2" t="str">
        <f t="shared" si="28"/>
        <v>2022-12</v>
      </c>
    </row>
    <row r="1822" spans="1:10" x14ac:dyDescent="0.2">
      <c r="A1822" s="2" t="s">
        <v>1733</v>
      </c>
      <c r="B1822" s="2" t="s">
        <v>194</v>
      </c>
      <c r="C1822" s="2" t="s">
        <v>22</v>
      </c>
      <c r="D1822" s="2">
        <v>235</v>
      </c>
      <c r="E1822" s="5">
        <v>44902</v>
      </c>
      <c r="F1822" s="2">
        <v>55</v>
      </c>
      <c r="G1822" s="2" t="s">
        <v>41</v>
      </c>
      <c r="H1822" s="2" t="s">
        <v>23</v>
      </c>
      <c r="I1822" s="6" t="s">
        <v>2954</v>
      </c>
      <c r="J1822" s="2" t="str">
        <f t="shared" si="28"/>
        <v>2022-12</v>
      </c>
    </row>
    <row r="1823" spans="1:10" x14ac:dyDescent="0.2">
      <c r="A1823" s="2" t="s">
        <v>1734</v>
      </c>
      <c r="B1823" s="2" t="s">
        <v>314</v>
      </c>
      <c r="C1823" s="2" t="s">
        <v>632</v>
      </c>
      <c r="D1823" s="2">
        <v>150</v>
      </c>
      <c r="E1823" s="5">
        <v>44902</v>
      </c>
      <c r="F1823" s="2">
        <v>125</v>
      </c>
      <c r="G1823" s="2" t="s">
        <v>199</v>
      </c>
      <c r="H1823" s="2" t="s">
        <v>23</v>
      </c>
      <c r="I1823" s="6">
        <v>0.1</v>
      </c>
      <c r="J1823" s="2" t="str">
        <f t="shared" si="28"/>
        <v>2022-12</v>
      </c>
    </row>
    <row r="1824" spans="1:10" x14ac:dyDescent="0.2">
      <c r="A1824" s="2" t="s">
        <v>286</v>
      </c>
      <c r="B1824" s="2" t="s">
        <v>287</v>
      </c>
      <c r="C1824" s="2" t="s">
        <v>52</v>
      </c>
      <c r="D1824" s="2">
        <v>130</v>
      </c>
      <c r="E1824" s="5">
        <v>44902</v>
      </c>
      <c r="F1824" s="2">
        <v>515</v>
      </c>
      <c r="G1824" s="2" t="s">
        <v>75</v>
      </c>
      <c r="H1824" s="2" t="s">
        <v>23</v>
      </c>
      <c r="I1824" s="6">
        <v>0.13</v>
      </c>
      <c r="J1824" s="2" t="str">
        <f t="shared" si="28"/>
        <v>2022-12</v>
      </c>
    </row>
    <row r="1825" spans="1:10" x14ac:dyDescent="0.2">
      <c r="A1825" s="2" t="s">
        <v>1735</v>
      </c>
      <c r="B1825" s="2" t="s">
        <v>25</v>
      </c>
      <c r="C1825" s="2" t="s">
        <v>26</v>
      </c>
      <c r="D1825" s="2">
        <v>120</v>
      </c>
      <c r="E1825" s="5">
        <v>44902</v>
      </c>
      <c r="F1825" s="2">
        <v>116</v>
      </c>
      <c r="G1825" s="2" t="s">
        <v>45</v>
      </c>
      <c r="H1825" s="2" t="s">
        <v>23</v>
      </c>
      <c r="I1825" s="6">
        <v>0.13</v>
      </c>
      <c r="J1825" s="2" t="str">
        <f t="shared" si="28"/>
        <v>2022-12</v>
      </c>
    </row>
    <row r="1826" spans="1:10" x14ac:dyDescent="0.2">
      <c r="A1826" s="2" t="s">
        <v>1736</v>
      </c>
      <c r="B1826" s="2" t="s">
        <v>34</v>
      </c>
      <c r="C1826" s="2" t="s">
        <v>35</v>
      </c>
      <c r="D1826" s="2">
        <v>95</v>
      </c>
      <c r="E1826" s="5">
        <v>44902</v>
      </c>
      <c r="F1826" s="2">
        <v>613</v>
      </c>
      <c r="G1826" s="2" t="s">
        <v>128</v>
      </c>
      <c r="H1826" s="2" t="s">
        <v>23</v>
      </c>
      <c r="I1826" s="6">
        <v>0.08</v>
      </c>
      <c r="J1826" s="2" t="str">
        <f t="shared" si="28"/>
        <v>2022-12</v>
      </c>
    </row>
    <row r="1827" spans="1:10" x14ac:dyDescent="0.2">
      <c r="A1827" s="2" t="s">
        <v>1737</v>
      </c>
      <c r="B1827" s="2" t="s">
        <v>74</v>
      </c>
      <c r="C1827" s="2" t="s">
        <v>142</v>
      </c>
      <c r="D1827" s="2">
        <v>40</v>
      </c>
      <c r="E1827" s="5">
        <v>44902</v>
      </c>
      <c r="F1827" s="2">
        <v>2300</v>
      </c>
      <c r="G1827" s="2" t="s">
        <v>12</v>
      </c>
      <c r="H1827" s="2" t="s">
        <v>23</v>
      </c>
      <c r="I1827" s="6">
        <v>0.1</v>
      </c>
      <c r="J1827" s="2" t="str">
        <f t="shared" si="28"/>
        <v>2022-12</v>
      </c>
    </row>
    <row r="1828" spans="1:10" x14ac:dyDescent="0.2">
      <c r="A1828" s="2" t="s">
        <v>1128</v>
      </c>
      <c r="B1828" s="2" t="s">
        <v>25</v>
      </c>
      <c r="C1828" s="2" t="s">
        <v>148</v>
      </c>
      <c r="D1828" s="2">
        <v>30</v>
      </c>
      <c r="E1828" s="5">
        <v>44902</v>
      </c>
      <c r="F1828" s="2">
        <v>114</v>
      </c>
      <c r="G1828" s="2" t="s">
        <v>37</v>
      </c>
      <c r="H1828" s="2" t="s">
        <v>23</v>
      </c>
      <c r="I1828" s="6">
        <v>0.3</v>
      </c>
      <c r="J1828" s="2" t="str">
        <f t="shared" si="28"/>
        <v>2022-12</v>
      </c>
    </row>
    <row r="1829" spans="1:10" x14ac:dyDescent="0.2">
      <c r="A1829" s="2" t="s">
        <v>1738</v>
      </c>
      <c r="B1829" s="2" t="s">
        <v>25</v>
      </c>
      <c r="C1829" s="2" t="s">
        <v>16</v>
      </c>
      <c r="D1829" s="2">
        <v>27</v>
      </c>
      <c r="E1829" s="5">
        <v>44902</v>
      </c>
      <c r="F1829" s="2">
        <v>115</v>
      </c>
      <c r="G1829" s="2" t="s">
        <v>66</v>
      </c>
      <c r="H1829" s="2" t="s">
        <v>23</v>
      </c>
      <c r="I1829" s="6">
        <v>0.18</v>
      </c>
      <c r="J1829" s="2" t="str">
        <f t="shared" si="28"/>
        <v>2022-12</v>
      </c>
    </row>
    <row r="1830" spans="1:10" x14ac:dyDescent="0.2">
      <c r="A1830" s="2" t="s">
        <v>348</v>
      </c>
      <c r="B1830" s="2" t="s">
        <v>34</v>
      </c>
      <c r="C1830" s="2" t="s">
        <v>78</v>
      </c>
      <c r="D1830" s="2" t="s">
        <v>2954</v>
      </c>
      <c r="E1830" s="5">
        <v>44902</v>
      </c>
      <c r="F1830" s="2">
        <v>315</v>
      </c>
      <c r="G1830" s="2" t="s">
        <v>62</v>
      </c>
      <c r="H1830" s="2" t="s">
        <v>23</v>
      </c>
      <c r="I1830" s="6">
        <v>0.17</v>
      </c>
      <c r="J1830" s="2" t="str">
        <f t="shared" si="28"/>
        <v>2022-12</v>
      </c>
    </row>
    <row r="1831" spans="1:10" x14ac:dyDescent="0.2">
      <c r="A1831" s="2" t="s">
        <v>792</v>
      </c>
      <c r="B1831" s="2" t="s">
        <v>287</v>
      </c>
      <c r="C1831" s="2" t="s">
        <v>195</v>
      </c>
      <c r="D1831" s="2" t="s">
        <v>2954</v>
      </c>
      <c r="E1831" s="5">
        <v>44902</v>
      </c>
      <c r="F1831" s="2">
        <v>42</v>
      </c>
      <c r="G1831" s="2" t="s">
        <v>12</v>
      </c>
      <c r="H1831" s="2" t="s">
        <v>291</v>
      </c>
      <c r="I1831" s="6" t="s">
        <v>2954</v>
      </c>
      <c r="J1831" s="2" t="str">
        <f t="shared" si="28"/>
        <v>2022-12</v>
      </c>
    </row>
    <row r="1832" spans="1:10" x14ac:dyDescent="0.2">
      <c r="A1832" s="2" t="s">
        <v>1180</v>
      </c>
      <c r="B1832" s="2" t="s">
        <v>398</v>
      </c>
      <c r="C1832" s="2" t="s">
        <v>11</v>
      </c>
      <c r="D1832" s="2" t="s">
        <v>2954</v>
      </c>
      <c r="E1832" s="5">
        <v>44902</v>
      </c>
      <c r="F1832" s="2">
        <v>139</v>
      </c>
      <c r="G1832" s="2" t="s">
        <v>66</v>
      </c>
      <c r="H1832" s="2" t="s">
        <v>399</v>
      </c>
      <c r="I1832" s="6">
        <v>0.05</v>
      </c>
      <c r="J1832" s="2" t="str">
        <f t="shared" si="28"/>
        <v>2022-12</v>
      </c>
    </row>
    <row r="1833" spans="1:10" x14ac:dyDescent="0.2">
      <c r="A1833" s="2" t="s">
        <v>1739</v>
      </c>
      <c r="B1833" s="2" t="s">
        <v>478</v>
      </c>
      <c r="C1833" s="2" t="s">
        <v>16</v>
      </c>
      <c r="D1833" s="2" t="s">
        <v>2954</v>
      </c>
      <c r="E1833" s="5">
        <v>44902</v>
      </c>
      <c r="F1833" s="2" t="s">
        <v>2954</v>
      </c>
      <c r="G1833" s="2" t="s">
        <v>45</v>
      </c>
      <c r="H1833" s="2" t="s">
        <v>23</v>
      </c>
      <c r="I1833" s="6" t="s">
        <v>2954</v>
      </c>
      <c r="J1833" s="2" t="str">
        <f t="shared" si="28"/>
        <v>2022-12</v>
      </c>
    </row>
    <row r="1834" spans="1:10" x14ac:dyDescent="0.2">
      <c r="A1834" s="2" t="s">
        <v>1740</v>
      </c>
      <c r="B1834" s="2" t="s">
        <v>34</v>
      </c>
      <c r="C1834" s="2" t="s">
        <v>16</v>
      </c>
      <c r="D1834" s="2">
        <v>515</v>
      </c>
      <c r="E1834" s="5">
        <v>44901</v>
      </c>
      <c r="F1834" s="2">
        <v>679</v>
      </c>
      <c r="G1834" s="2" t="s">
        <v>17</v>
      </c>
      <c r="H1834" s="2" t="s">
        <v>23</v>
      </c>
      <c r="I1834" s="6">
        <v>0.4</v>
      </c>
      <c r="J1834" s="2" t="str">
        <f t="shared" si="28"/>
        <v>2022-12</v>
      </c>
    </row>
    <row r="1835" spans="1:10" x14ac:dyDescent="0.2">
      <c r="A1835" s="2" t="s">
        <v>178</v>
      </c>
      <c r="B1835" s="2" t="s">
        <v>34</v>
      </c>
      <c r="C1835" s="2" t="s">
        <v>103</v>
      </c>
      <c r="D1835" s="2">
        <v>201</v>
      </c>
      <c r="E1835" s="5">
        <v>44901</v>
      </c>
      <c r="F1835" s="2">
        <v>12</v>
      </c>
      <c r="G1835" s="2" t="s">
        <v>17</v>
      </c>
      <c r="H1835" s="2" t="s">
        <v>23</v>
      </c>
      <c r="I1835" s="6" t="s">
        <v>2954</v>
      </c>
      <c r="J1835" s="2" t="str">
        <f t="shared" si="28"/>
        <v>2022-12</v>
      </c>
    </row>
    <row r="1836" spans="1:10" x14ac:dyDescent="0.2">
      <c r="A1836" s="2" t="s">
        <v>275</v>
      </c>
      <c r="B1836" s="2" t="s">
        <v>25</v>
      </c>
      <c r="C1836" s="2" t="s">
        <v>235</v>
      </c>
      <c r="D1836" s="2">
        <v>180</v>
      </c>
      <c r="E1836" s="5">
        <v>44901</v>
      </c>
      <c r="F1836" s="2">
        <v>696</v>
      </c>
      <c r="G1836" s="2" t="s">
        <v>17</v>
      </c>
      <c r="H1836" s="2" t="s">
        <v>23</v>
      </c>
      <c r="I1836" s="6">
        <v>0.12</v>
      </c>
      <c r="J1836" s="2" t="str">
        <f t="shared" si="28"/>
        <v>2022-12</v>
      </c>
    </row>
    <row r="1837" spans="1:10" x14ac:dyDescent="0.2">
      <c r="A1837" s="2" t="s">
        <v>1741</v>
      </c>
      <c r="B1837" s="2" t="s">
        <v>47</v>
      </c>
      <c r="C1837" s="2" t="s">
        <v>29</v>
      </c>
      <c r="D1837" s="2">
        <v>175</v>
      </c>
      <c r="E1837" s="5">
        <v>44901</v>
      </c>
      <c r="F1837" s="2" t="s">
        <v>2954</v>
      </c>
      <c r="G1837" s="2" t="s">
        <v>45</v>
      </c>
      <c r="H1837" s="2" t="s">
        <v>23</v>
      </c>
      <c r="I1837" s="6">
        <v>0.25</v>
      </c>
      <c r="J1837" s="2" t="str">
        <f t="shared" si="28"/>
        <v>2022-12</v>
      </c>
    </row>
    <row r="1838" spans="1:10" x14ac:dyDescent="0.2">
      <c r="A1838" s="2" t="s">
        <v>1742</v>
      </c>
      <c r="B1838" s="2" t="s">
        <v>34</v>
      </c>
      <c r="C1838" s="2" t="s">
        <v>26</v>
      </c>
      <c r="D1838" s="2">
        <v>100</v>
      </c>
      <c r="E1838" s="5">
        <v>44901</v>
      </c>
      <c r="F1838" s="2">
        <v>2</v>
      </c>
      <c r="G1838" s="2" t="s">
        <v>17</v>
      </c>
      <c r="H1838" s="2" t="s">
        <v>23</v>
      </c>
      <c r="I1838" s="6" t="s">
        <v>2954</v>
      </c>
      <c r="J1838" s="2" t="str">
        <f t="shared" si="28"/>
        <v>2022-12</v>
      </c>
    </row>
    <row r="1839" spans="1:10" x14ac:dyDescent="0.2">
      <c r="A1839" s="2" t="s">
        <v>226</v>
      </c>
      <c r="B1839" s="2" t="s">
        <v>34</v>
      </c>
      <c r="C1839" s="2" t="s">
        <v>16</v>
      </c>
      <c r="D1839" s="2">
        <v>50</v>
      </c>
      <c r="E1839" s="5">
        <v>44901</v>
      </c>
      <c r="F1839" s="2">
        <v>302</v>
      </c>
      <c r="G1839" s="2" t="s">
        <v>66</v>
      </c>
      <c r="H1839" s="2" t="s">
        <v>23</v>
      </c>
      <c r="I1839" s="6">
        <v>0.125</v>
      </c>
      <c r="J1839" s="2" t="str">
        <f t="shared" si="28"/>
        <v>2022-12</v>
      </c>
    </row>
    <row r="1840" spans="1:10" x14ac:dyDescent="0.2">
      <c r="A1840" s="2" t="s">
        <v>231</v>
      </c>
      <c r="B1840" s="2" t="s">
        <v>25</v>
      </c>
      <c r="C1840" s="2" t="s">
        <v>16</v>
      </c>
      <c r="D1840" s="2">
        <v>32</v>
      </c>
      <c r="E1840" s="5">
        <v>44901</v>
      </c>
      <c r="F1840" s="2">
        <v>480</v>
      </c>
      <c r="G1840" s="2" t="s">
        <v>12</v>
      </c>
      <c r="H1840" s="2" t="s">
        <v>23</v>
      </c>
      <c r="I1840" s="6">
        <v>0.08</v>
      </c>
      <c r="J1840" s="2" t="str">
        <f t="shared" si="28"/>
        <v>2022-12</v>
      </c>
    </row>
    <row r="1841" spans="1:10" x14ac:dyDescent="0.2">
      <c r="A1841" s="2" t="s">
        <v>1743</v>
      </c>
      <c r="B1841" s="2" t="s">
        <v>15</v>
      </c>
      <c r="C1841" s="2" t="s">
        <v>195</v>
      </c>
      <c r="D1841" s="2">
        <v>20</v>
      </c>
      <c r="E1841" s="5">
        <v>44901</v>
      </c>
      <c r="F1841" s="2">
        <v>165</v>
      </c>
      <c r="G1841" s="2" t="s">
        <v>66</v>
      </c>
      <c r="H1841" s="2" t="s">
        <v>18</v>
      </c>
      <c r="I1841" s="6">
        <v>0.08</v>
      </c>
      <c r="J1841" s="2" t="str">
        <f t="shared" si="28"/>
        <v>2022-12</v>
      </c>
    </row>
    <row r="1842" spans="1:10" x14ac:dyDescent="0.2">
      <c r="A1842" s="2" t="s">
        <v>1744</v>
      </c>
      <c r="B1842" s="2" t="s">
        <v>54</v>
      </c>
      <c r="C1842" s="2" t="s">
        <v>22</v>
      </c>
      <c r="D1842" s="2">
        <v>16</v>
      </c>
      <c r="E1842" s="5">
        <v>44901</v>
      </c>
      <c r="F1842" s="2" t="s">
        <v>2954</v>
      </c>
      <c r="G1842" s="2" t="s">
        <v>12</v>
      </c>
      <c r="H1842" s="2" t="s">
        <v>55</v>
      </c>
      <c r="I1842" s="6">
        <v>0.14000000000000001</v>
      </c>
      <c r="J1842" s="2" t="str">
        <f t="shared" si="28"/>
        <v>2022-12</v>
      </c>
    </row>
    <row r="1843" spans="1:10" x14ac:dyDescent="0.2">
      <c r="A1843" s="2" t="s">
        <v>1745</v>
      </c>
      <c r="B1843" s="2" t="s">
        <v>1464</v>
      </c>
      <c r="C1843" s="2" t="s">
        <v>363</v>
      </c>
      <c r="D1843" s="2">
        <v>13</v>
      </c>
      <c r="E1843" s="5">
        <v>44901</v>
      </c>
      <c r="F1843" s="2">
        <v>36</v>
      </c>
      <c r="G1843" s="2" t="s">
        <v>37</v>
      </c>
      <c r="H1843" s="2" t="s">
        <v>106</v>
      </c>
      <c r="I1843" s="6">
        <v>0.13</v>
      </c>
      <c r="J1843" s="2" t="str">
        <f t="shared" si="28"/>
        <v>2022-12</v>
      </c>
    </row>
    <row r="1844" spans="1:10" x14ac:dyDescent="0.2">
      <c r="A1844" s="2" t="s">
        <v>1746</v>
      </c>
      <c r="B1844" s="2" t="s">
        <v>147</v>
      </c>
      <c r="C1844" s="2" t="s">
        <v>632</v>
      </c>
      <c r="D1844" s="2" t="s">
        <v>2954</v>
      </c>
      <c r="E1844" s="5">
        <v>44901</v>
      </c>
      <c r="F1844" s="2">
        <v>226</v>
      </c>
      <c r="G1844" s="2" t="s">
        <v>75</v>
      </c>
      <c r="H1844" s="2" t="s">
        <v>23</v>
      </c>
      <c r="I1844" s="6" t="s">
        <v>2954</v>
      </c>
      <c r="J1844" s="2" t="str">
        <f t="shared" si="28"/>
        <v>2022-12</v>
      </c>
    </row>
    <row r="1845" spans="1:10" x14ac:dyDescent="0.2">
      <c r="A1845" s="2" t="s">
        <v>1747</v>
      </c>
      <c r="B1845" s="2" t="s">
        <v>203</v>
      </c>
      <c r="C1845" s="2" t="s">
        <v>52</v>
      </c>
      <c r="D1845" s="2" t="s">
        <v>2954</v>
      </c>
      <c r="E1845" s="5">
        <v>44901</v>
      </c>
      <c r="F1845" s="2">
        <v>630</v>
      </c>
      <c r="G1845" s="2" t="s">
        <v>12</v>
      </c>
      <c r="H1845" s="2" t="s">
        <v>204</v>
      </c>
      <c r="I1845" s="6" t="s">
        <v>2954</v>
      </c>
      <c r="J1845" s="2" t="str">
        <f t="shared" si="28"/>
        <v>2022-12</v>
      </c>
    </row>
    <row r="1846" spans="1:10" x14ac:dyDescent="0.2">
      <c r="A1846" s="2" t="s">
        <v>1748</v>
      </c>
      <c r="B1846" s="2" t="s">
        <v>250</v>
      </c>
      <c r="C1846" s="2" t="s">
        <v>29</v>
      </c>
      <c r="D1846" s="2" t="s">
        <v>2954</v>
      </c>
      <c r="E1846" s="5">
        <v>44901</v>
      </c>
      <c r="F1846" s="2">
        <v>200</v>
      </c>
      <c r="G1846" s="2" t="s">
        <v>199</v>
      </c>
      <c r="H1846" s="2" t="s">
        <v>23</v>
      </c>
      <c r="I1846" s="6">
        <v>0.17</v>
      </c>
      <c r="J1846" s="2" t="str">
        <f t="shared" si="28"/>
        <v>2022-12</v>
      </c>
    </row>
    <row r="1847" spans="1:10" x14ac:dyDescent="0.2">
      <c r="A1847" s="2" t="s">
        <v>1749</v>
      </c>
      <c r="B1847" s="2" t="s">
        <v>89</v>
      </c>
      <c r="C1847" s="2" t="s">
        <v>32</v>
      </c>
      <c r="D1847" s="2" t="s">
        <v>2954</v>
      </c>
      <c r="E1847" s="5">
        <v>44901</v>
      </c>
      <c r="F1847" s="2">
        <v>479</v>
      </c>
      <c r="G1847" s="2" t="s">
        <v>75</v>
      </c>
      <c r="H1847" s="2" t="s">
        <v>23</v>
      </c>
      <c r="I1847" s="6">
        <v>0.25</v>
      </c>
      <c r="J1847" s="2" t="str">
        <f t="shared" si="28"/>
        <v>2022-12</v>
      </c>
    </row>
    <row r="1848" spans="1:10" x14ac:dyDescent="0.2">
      <c r="A1848" s="2" t="s">
        <v>352</v>
      </c>
      <c r="B1848" s="2" t="s">
        <v>34</v>
      </c>
      <c r="C1848" s="2" t="s">
        <v>16</v>
      </c>
      <c r="D1848" s="2" t="s">
        <v>2954</v>
      </c>
      <c r="E1848" s="5">
        <v>44901</v>
      </c>
      <c r="F1848" s="2">
        <v>647</v>
      </c>
      <c r="G1848" s="2" t="s">
        <v>17</v>
      </c>
      <c r="H1848" s="2" t="s">
        <v>23</v>
      </c>
      <c r="I1848" s="6">
        <v>0.11</v>
      </c>
      <c r="J1848" s="2" t="str">
        <f t="shared" si="28"/>
        <v>2022-12</v>
      </c>
    </row>
    <row r="1849" spans="1:10" x14ac:dyDescent="0.2">
      <c r="A1849" s="2" t="s">
        <v>1750</v>
      </c>
      <c r="B1849" s="2" t="s">
        <v>1106</v>
      </c>
      <c r="C1849" s="2" t="s">
        <v>22</v>
      </c>
      <c r="D1849" s="2">
        <v>90</v>
      </c>
      <c r="E1849" s="5">
        <v>44900</v>
      </c>
      <c r="F1849" s="2" t="s">
        <v>2954</v>
      </c>
      <c r="G1849" s="2" t="s">
        <v>12</v>
      </c>
      <c r="H1849" s="2" t="s">
        <v>274</v>
      </c>
      <c r="I1849" s="6">
        <v>0.4</v>
      </c>
      <c r="J1849" s="2" t="str">
        <f t="shared" si="28"/>
        <v>2022-12</v>
      </c>
    </row>
    <row r="1850" spans="1:10" x14ac:dyDescent="0.2">
      <c r="A1850" s="2" t="s">
        <v>1751</v>
      </c>
      <c r="B1850" s="2" t="s">
        <v>89</v>
      </c>
      <c r="C1850" s="2" t="s">
        <v>195</v>
      </c>
      <c r="D1850" s="2">
        <v>65</v>
      </c>
      <c r="E1850" s="5">
        <v>44900</v>
      </c>
      <c r="F1850" s="2">
        <v>265</v>
      </c>
      <c r="G1850" s="2" t="s">
        <v>128</v>
      </c>
      <c r="H1850" s="2" t="s">
        <v>23</v>
      </c>
      <c r="I1850" s="6">
        <v>0.1</v>
      </c>
      <c r="J1850" s="2" t="str">
        <f t="shared" si="28"/>
        <v>2022-12</v>
      </c>
    </row>
    <row r="1851" spans="1:10" x14ac:dyDescent="0.2">
      <c r="A1851" s="2" t="s">
        <v>1752</v>
      </c>
      <c r="B1851" s="2" t="s">
        <v>15</v>
      </c>
      <c r="C1851" s="2" t="s">
        <v>16</v>
      </c>
      <c r="D1851" s="2">
        <v>30</v>
      </c>
      <c r="E1851" s="5">
        <v>44900</v>
      </c>
      <c r="F1851" s="2">
        <v>103</v>
      </c>
      <c r="G1851" s="2" t="s">
        <v>37</v>
      </c>
      <c r="H1851" s="2" t="s">
        <v>18</v>
      </c>
      <c r="I1851" s="6">
        <v>0.18</v>
      </c>
      <c r="J1851" s="2" t="str">
        <f t="shared" si="28"/>
        <v>2022-12</v>
      </c>
    </row>
    <row r="1852" spans="1:10" x14ac:dyDescent="0.2">
      <c r="A1852" s="2" t="s">
        <v>1753</v>
      </c>
      <c r="B1852" s="2" t="s">
        <v>34</v>
      </c>
      <c r="C1852" s="2" t="s">
        <v>32</v>
      </c>
      <c r="D1852" s="2" t="s">
        <v>2954</v>
      </c>
      <c r="E1852" s="5">
        <v>44900</v>
      </c>
      <c r="F1852" s="2">
        <v>323</v>
      </c>
      <c r="G1852" s="2" t="s">
        <v>37</v>
      </c>
      <c r="H1852" s="2" t="s">
        <v>23</v>
      </c>
      <c r="I1852" s="6" t="s">
        <v>2954</v>
      </c>
      <c r="J1852" s="2" t="str">
        <f t="shared" si="28"/>
        <v>2022-12</v>
      </c>
    </row>
    <row r="1853" spans="1:10" x14ac:dyDescent="0.2">
      <c r="A1853" s="2" t="s">
        <v>1754</v>
      </c>
      <c r="B1853" s="2" t="s">
        <v>229</v>
      </c>
      <c r="C1853" s="2" t="s">
        <v>142</v>
      </c>
      <c r="D1853" s="2" t="s">
        <v>2954</v>
      </c>
      <c r="E1853" s="5">
        <v>44900</v>
      </c>
      <c r="F1853" s="2">
        <v>481</v>
      </c>
      <c r="G1853" s="2" t="s">
        <v>12</v>
      </c>
      <c r="H1853" s="2" t="s">
        <v>23</v>
      </c>
      <c r="I1853" s="6" t="s">
        <v>2954</v>
      </c>
      <c r="J1853" s="2" t="str">
        <f t="shared" si="28"/>
        <v>2022-12</v>
      </c>
    </row>
    <row r="1854" spans="1:10" x14ac:dyDescent="0.2">
      <c r="A1854" s="2" t="s">
        <v>1628</v>
      </c>
      <c r="B1854" s="2" t="s">
        <v>183</v>
      </c>
      <c r="C1854" s="2" t="s">
        <v>61</v>
      </c>
      <c r="D1854" s="2" t="s">
        <v>2954</v>
      </c>
      <c r="E1854" s="5">
        <v>44900</v>
      </c>
      <c r="F1854" s="2">
        <v>22</v>
      </c>
      <c r="G1854" s="2" t="s">
        <v>17</v>
      </c>
      <c r="H1854" s="2" t="s">
        <v>106</v>
      </c>
      <c r="I1854" s="6" t="s">
        <v>2954</v>
      </c>
      <c r="J1854" s="2" t="str">
        <f t="shared" si="28"/>
        <v>2022-12</v>
      </c>
    </row>
    <row r="1855" spans="1:10" x14ac:dyDescent="0.2">
      <c r="A1855" s="2" t="s">
        <v>1755</v>
      </c>
      <c r="B1855" s="2" t="s">
        <v>255</v>
      </c>
      <c r="C1855" s="2" t="s">
        <v>44</v>
      </c>
      <c r="D1855" s="2">
        <v>600</v>
      </c>
      <c r="E1855" s="5">
        <v>44898</v>
      </c>
      <c r="F1855" s="2">
        <v>4000</v>
      </c>
      <c r="G1855" s="2" t="s">
        <v>62</v>
      </c>
      <c r="H1855" s="2" t="s">
        <v>98</v>
      </c>
      <c r="I1855" s="6" t="s">
        <v>2954</v>
      </c>
      <c r="J1855" s="2" t="str">
        <f t="shared" si="28"/>
        <v>2022-12</v>
      </c>
    </row>
    <row r="1856" spans="1:10" x14ac:dyDescent="0.2">
      <c r="A1856" s="2" t="s">
        <v>133</v>
      </c>
      <c r="B1856" s="2" t="s">
        <v>100</v>
      </c>
      <c r="C1856" s="2" t="s">
        <v>117</v>
      </c>
      <c r="D1856" s="2">
        <v>150</v>
      </c>
      <c r="E1856" s="5">
        <v>44898</v>
      </c>
      <c r="F1856" s="2">
        <v>100</v>
      </c>
      <c r="G1856" s="2" t="s">
        <v>66</v>
      </c>
      <c r="H1856" s="2" t="s">
        <v>98</v>
      </c>
      <c r="I1856" s="6" t="s">
        <v>2954</v>
      </c>
      <c r="J1856" s="2" t="str">
        <f t="shared" si="28"/>
        <v>2022-12</v>
      </c>
    </row>
    <row r="1857" spans="1:10" x14ac:dyDescent="0.2">
      <c r="A1857" s="2" t="s">
        <v>1756</v>
      </c>
      <c r="B1857" s="2" t="s">
        <v>217</v>
      </c>
      <c r="C1857" s="2" t="s">
        <v>22</v>
      </c>
      <c r="D1857" s="2" t="s">
        <v>2954</v>
      </c>
      <c r="E1857" s="5">
        <v>44898</v>
      </c>
      <c r="F1857" s="2" t="s">
        <v>2954</v>
      </c>
      <c r="G1857" s="2" t="s">
        <v>12</v>
      </c>
      <c r="H1857" s="2" t="s">
        <v>217</v>
      </c>
      <c r="I1857" s="6">
        <v>0.3</v>
      </c>
      <c r="J1857" s="2" t="str">
        <f t="shared" si="28"/>
        <v>2022-12</v>
      </c>
    </row>
    <row r="1858" spans="1:10" x14ac:dyDescent="0.2">
      <c r="A1858" s="2" t="s">
        <v>1757</v>
      </c>
      <c r="B1858" s="2" t="s">
        <v>15</v>
      </c>
      <c r="C1858" s="2" t="s">
        <v>195</v>
      </c>
      <c r="D1858" s="2">
        <v>100</v>
      </c>
      <c r="E1858" s="5">
        <v>44897</v>
      </c>
      <c r="F1858" s="2" t="s">
        <v>2954</v>
      </c>
      <c r="G1858" s="2" t="s">
        <v>12</v>
      </c>
      <c r="H1858" s="2" t="s">
        <v>18</v>
      </c>
      <c r="I1858" s="6">
        <v>0.05</v>
      </c>
      <c r="J1858" s="2" t="str">
        <f t="shared" si="28"/>
        <v>2022-12</v>
      </c>
    </row>
    <row r="1859" spans="1:10" x14ac:dyDescent="0.2">
      <c r="A1859" s="2" t="s">
        <v>485</v>
      </c>
      <c r="B1859" s="2" t="s">
        <v>100</v>
      </c>
      <c r="C1859" s="2" t="s">
        <v>35</v>
      </c>
      <c r="D1859" s="2">
        <v>100</v>
      </c>
      <c r="E1859" s="5">
        <v>44897</v>
      </c>
      <c r="F1859" s="2">
        <v>1700</v>
      </c>
      <c r="G1859" s="2" t="s">
        <v>12</v>
      </c>
      <c r="H1859" s="2" t="s">
        <v>98</v>
      </c>
      <c r="I1859" s="6" t="s">
        <v>2954</v>
      </c>
      <c r="J1859" s="2" t="str">
        <f t="shared" ref="J1859:J1922" si="29">TEXT(E1859,"YYYY-MM")</f>
        <v>2022-12</v>
      </c>
    </row>
    <row r="1860" spans="1:10" x14ac:dyDescent="0.2">
      <c r="A1860" s="2" t="s">
        <v>1758</v>
      </c>
      <c r="B1860" s="2" t="s">
        <v>1759</v>
      </c>
      <c r="C1860" s="2" t="s">
        <v>16</v>
      </c>
      <c r="D1860" s="2">
        <v>47</v>
      </c>
      <c r="E1860" s="5">
        <v>44897</v>
      </c>
      <c r="F1860" s="2">
        <v>184</v>
      </c>
      <c r="G1860" s="2" t="s">
        <v>66</v>
      </c>
      <c r="H1860" s="2" t="s">
        <v>23</v>
      </c>
      <c r="I1860" s="6">
        <v>0.15</v>
      </c>
      <c r="J1860" s="2" t="str">
        <f t="shared" si="29"/>
        <v>2022-12</v>
      </c>
    </row>
    <row r="1861" spans="1:10" x14ac:dyDescent="0.2">
      <c r="A1861" s="2" t="s">
        <v>1760</v>
      </c>
      <c r="B1861" s="2" t="s">
        <v>34</v>
      </c>
      <c r="C1861" s="2" t="s">
        <v>148</v>
      </c>
      <c r="D1861" s="2" t="s">
        <v>2954</v>
      </c>
      <c r="E1861" s="5">
        <v>44897</v>
      </c>
      <c r="F1861" s="2">
        <v>128</v>
      </c>
      <c r="G1861" s="2" t="s">
        <v>12</v>
      </c>
      <c r="H1861" s="2" t="s">
        <v>23</v>
      </c>
      <c r="I1861" s="6" t="s">
        <v>2954</v>
      </c>
      <c r="J1861" s="2" t="str">
        <f t="shared" si="29"/>
        <v>2022-12</v>
      </c>
    </row>
    <row r="1862" spans="1:10" x14ac:dyDescent="0.2">
      <c r="A1862" s="2" t="s">
        <v>1761</v>
      </c>
      <c r="B1862" s="2" t="s">
        <v>1762</v>
      </c>
      <c r="C1862" s="2" t="s">
        <v>35</v>
      </c>
      <c r="D1862" s="2" t="s">
        <v>2954</v>
      </c>
      <c r="E1862" s="5">
        <v>44897</v>
      </c>
      <c r="F1862" s="2">
        <v>9</v>
      </c>
      <c r="G1862" s="2" t="s">
        <v>12</v>
      </c>
      <c r="H1862" s="2" t="s">
        <v>23</v>
      </c>
      <c r="I1862" s="6">
        <v>1</v>
      </c>
      <c r="J1862" s="2" t="str">
        <f t="shared" si="29"/>
        <v>2022-12</v>
      </c>
    </row>
    <row r="1863" spans="1:10" x14ac:dyDescent="0.2">
      <c r="A1863" s="2" t="s">
        <v>1763</v>
      </c>
      <c r="B1863" s="2" t="s">
        <v>217</v>
      </c>
      <c r="C1863" s="2" t="s">
        <v>142</v>
      </c>
      <c r="D1863" s="2">
        <v>110</v>
      </c>
      <c r="E1863" s="5">
        <v>44896</v>
      </c>
      <c r="F1863" s="2">
        <v>372</v>
      </c>
      <c r="G1863" s="2" t="s">
        <v>199</v>
      </c>
      <c r="H1863" s="2" t="s">
        <v>217</v>
      </c>
      <c r="I1863" s="6">
        <v>0.1</v>
      </c>
      <c r="J1863" s="2" t="str">
        <f t="shared" si="29"/>
        <v>2022-12</v>
      </c>
    </row>
    <row r="1864" spans="1:10" x14ac:dyDescent="0.2">
      <c r="A1864" s="2" t="s">
        <v>1764</v>
      </c>
      <c r="B1864" s="2" t="s">
        <v>25</v>
      </c>
      <c r="C1864" s="2" t="s">
        <v>26</v>
      </c>
      <c r="D1864" s="2">
        <v>100</v>
      </c>
      <c r="E1864" s="5">
        <v>44896</v>
      </c>
      <c r="F1864" s="2">
        <v>194</v>
      </c>
      <c r="G1864" s="2" t="s">
        <v>128</v>
      </c>
      <c r="H1864" s="2" t="s">
        <v>23</v>
      </c>
      <c r="I1864" s="6">
        <v>0.37</v>
      </c>
      <c r="J1864" s="2" t="str">
        <f t="shared" si="29"/>
        <v>2022-12</v>
      </c>
    </row>
    <row r="1865" spans="1:10" x14ac:dyDescent="0.2">
      <c r="A1865" s="2" t="s">
        <v>1765</v>
      </c>
      <c r="B1865" s="2" t="s">
        <v>34</v>
      </c>
      <c r="C1865" s="2" t="s">
        <v>61</v>
      </c>
      <c r="D1865" s="2">
        <v>88</v>
      </c>
      <c r="E1865" s="5">
        <v>44896</v>
      </c>
      <c r="F1865" s="2" t="s">
        <v>2954</v>
      </c>
      <c r="G1865" s="2" t="s">
        <v>12</v>
      </c>
      <c r="H1865" s="2" t="s">
        <v>23</v>
      </c>
      <c r="I1865" s="6">
        <v>0.5</v>
      </c>
      <c r="J1865" s="2" t="str">
        <f t="shared" si="29"/>
        <v>2022-12</v>
      </c>
    </row>
    <row r="1866" spans="1:10" x14ac:dyDescent="0.2">
      <c r="A1866" s="2" t="s">
        <v>907</v>
      </c>
      <c r="B1866" s="2" t="s">
        <v>34</v>
      </c>
      <c r="C1866" s="2" t="s">
        <v>78</v>
      </c>
      <c r="D1866" s="2">
        <v>48</v>
      </c>
      <c r="E1866" s="5">
        <v>44896</v>
      </c>
      <c r="F1866" s="2">
        <v>212</v>
      </c>
      <c r="G1866" s="2" t="s">
        <v>75</v>
      </c>
      <c r="H1866" s="2" t="s">
        <v>23</v>
      </c>
      <c r="I1866" s="6">
        <v>0.16</v>
      </c>
      <c r="J1866" s="2" t="str">
        <f t="shared" si="29"/>
        <v>2022-12</v>
      </c>
    </row>
    <row r="1867" spans="1:10" x14ac:dyDescent="0.2">
      <c r="A1867" s="2" t="s">
        <v>1766</v>
      </c>
      <c r="B1867" s="2" t="s">
        <v>194</v>
      </c>
      <c r="C1867" s="2" t="s">
        <v>50</v>
      </c>
      <c r="D1867" s="2">
        <v>37</v>
      </c>
      <c r="E1867" s="5">
        <v>44896</v>
      </c>
      <c r="F1867" s="2">
        <v>32</v>
      </c>
      <c r="G1867" s="2" t="s">
        <v>17</v>
      </c>
      <c r="H1867" s="2" t="s">
        <v>23</v>
      </c>
      <c r="I1867" s="6">
        <v>0.23</v>
      </c>
      <c r="J1867" s="2" t="str">
        <f t="shared" si="29"/>
        <v>2022-12</v>
      </c>
    </row>
    <row r="1868" spans="1:10" x14ac:dyDescent="0.2">
      <c r="A1868" s="2" t="s">
        <v>815</v>
      </c>
      <c r="B1868" s="2" t="s">
        <v>229</v>
      </c>
      <c r="C1868" s="2" t="s">
        <v>113</v>
      </c>
      <c r="D1868" s="2" t="s">
        <v>2954</v>
      </c>
      <c r="E1868" s="5">
        <v>44896</v>
      </c>
      <c r="F1868" s="2">
        <v>419</v>
      </c>
      <c r="G1868" s="2" t="s">
        <v>75</v>
      </c>
      <c r="H1868" s="2" t="s">
        <v>23</v>
      </c>
      <c r="I1868" s="6">
        <v>0.12</v>
      </c>
      <c r="J1868" s="2" t="str">
        <f t="shared" si="29"/>
        <v>2022-12</v>
      </c>
    </row>
    <row r="1869" spans="1:10" x14ac:dyDescent="0.2">
      <c r="A1869" s="2" t="s">
        <v>1767</v>
      </c>
      <c r="B1869" s="2" t="s">
        <v>89</v>
      </c>
      <c r="C1869" s="2" t="s">
        <v>32</v>
      </c>
      <c r="D1869" s="2" t="s">
        <v>2954</v>
      </c>
      <c r="E1869" s="5">
        <v>44896</v>
      </c>
      <c r="F1869" s="2">
        <v>229</v>
      </c>
      <c r="G1869" s="2" t="s">
        <v>17</v>
      </c>
      <c r="H1869" s="2" t="s">
        <v>23</v>
      </c>
      <c r="I1869" s="6">
        <v>0.6</v>
      </c>
      <c r="J1869" s="2" t="str">
        <f t="shared" si="29"/>
        <v>2022-12</v>
      </c>
    </row>
    <row r="1870" spans="1:10" x14ac:dyDescent="0.2">
      <c r="A1870" s="2" t="s">
        <v>1768</v>
      </c>
      <c r="B1870" s="2" t="s">
        <v>34</v>
      </c>
      <c r="C1870" s="2" t="s">
        <v>117</v>
      </c>
      <c r="D1870" s="2" t="s">
        <v>2954</v>
      </c>
      <c r="E1870" s="5">
        <v>44896</v>
      </c>
      <c r="F1870" s="2">
        <v>151</v>
      </c>
      <c r="G1870" s="2" t="s">
        <v>62</v>
      </c>
      <c r="H1870" s="2" t="s">
        <v>23</v>
      </c>
      <c r="I1870" s="6">
        <v>0.14000000000000001</v>
      </c>
      <c r="J1870" s="2" t="str">
        <f t="shared" si="29"/>
        <v>2022-12</v>
      </c>
    </row>
    <row r="1871" spans="1:10" x14ac:dyDescent="0.2">
      <c r="A1871" s="2" t="s">
        <v>1769</v>
      </c>
      <c r="B1871" s="2" t="s">
        <v>89</v>
      </c>
      <c r="C1871" s="2" t="s">
        <v>32</v>
      </c>
      <c r="D1871" s="2" t="s">
        <v>2954</v>
      </c>
      <c r="E1871" s="5">
        <v>44896</v>
      </c>
      <c r="F1871" s="2">
        <v>321</v>
      </c>
      <c r="G1871" s="2" t="s">
        <v>17</v>
      </c>
      <c r="H1871" s="2" t="s">
        <v>23</v>
      </c>
      <c r="I1871" s="6">
        <v>0.25</v>
      </c>
      <c r="J1871" s="2" t="str">
        <f t="shared" si="29"/>
        <v>2022-12</v>
      </c>
    </row>
    <row r="1872" spans="1:10" x14ac:dyDescent="0.2">
      <c r="A1872" s="2" t="s">
        <v>1770</v>
      </c>
      <c r="B1872" s="2" t="s">
        <v>54</v>
      </c>
      <c r="C1872" s="2" t="s">
        <v>16</v>
      </c>
      <c r="D1872" s="2" t="s">
        <v>2954</v>
      </c>
      <c r="E1872" s="5">
        <v>44896</v>
      </c>
      <c r="F1872" s="2">
        <v>69</v>
      </c>
      <c r="G1872" s="2" t="s">
        <v>41</v>
      </c>
      <c r="H1872" s="2" t="s">
        <v>55</v>
      </c>
      <c r="I1872" s="6" t="s">
        <v>2954</v>
      </c>
      <c r="J1872" s="2" t="str">
        <f t="shared" si="29"/>
        <v>2022-12</v>
      </c>
    </row>
    <row r="1873" spans="1:10" x14ac:dyDescent="0.2">
      <c r="A1873" s="2" t="s">
        <v>1771</v>
      </c>
      <c r="B1873" s="2" t="s">
        <v>34</v>
      </c>
      <c r="C1873" s="2" t="s">
        <v>11</v>
      </c>
      <c r="D1873" s="2">
        <v>1250</v>
      </c>
      <c r="E1873" s="5">
        <v>44895</v>
      </c>
      <c r="F1873" s="2">
        <v>2500</v>
      </c>
      <c r="G1873" s="2" t="s">
        <v>17</v>
      </c>
      <c r="H1873" s="2" t="s">
        <v>23</v>
      </c>
      <c r="I1873" s="6">
        <v>0.06</v>
      </c>
      <c r="J1873" s="2" t="str">
        <f t="shared" si="29"/>
        <v>2022-11</v>
      </c>
    </row>
    <row r="1874" spans="1:10" x14ac:dyDescent="0.2">
      <c r="A1874" s="2" t="s">
        <v>1772</v>
      </c>
      <c r="B1874" s="2" t="s">
        <v>34</v>
      </c>
      <c r="C1874" s="2" t="s">
        <v>22</v>
      </c>
      <c r="D1874" s="2">
        <v>1100</v>
      </c>
      <c r="E1874" s="5">
        <v>44895</v>
      </c>
      <c r="F1874" s="2">
        <v>134</v>
      </c>
      <c r="G1874" s="2" t="s">
        <v>12</v>
      </c>
      <c r="H1874" s="2" t="s">
        <v>23</v>
      </c>
      <c r="I1874" s="6">
        <v>0.3</v>
      </c>
      <c r="J1874" s="2" t="str">
        <f t="shared" si="29"/>
        <v>2022-11</v>
      </c>
    </row>
    <row r="1875" spans="1:10" x14ac:dyDescent="0.2">
      <c r="A1875" s="2" t="s">
        <v>1773</v>
      </c>
      <c r="B1875" s="2" t="s">
        <v>47</v>
      </c>
      <c r="C1875" s="2" t="s">
        <v>16</v>
      </c>
      <c r="D1875" s="2">
        <v>158</v>
      </c>
      <c r="E1875" s="5">
        <v>44895</v>
      </c>
      <c r="F1875" s="2">
        <v>191</v>
      </c>
      <c r="G1875" s="2" t="s">
        <v>75</v>
      </c>
      <c r="H1875" s="2" t="s">
        <v>23</v>
      </c>
      <c r="I1875" s="6">
        <v>0.34</v>
      </c>
      <c r="J1875" s="2" t="str">
        <f t="shared" si="29"/>
        <v>2022-11</v>
      </c>
    </row>
    <row r="1876" spans="1:10" x14ac:dyDescent="0.2">
      <c r="A1876" s="2" t="s">
        <v>1774</v>
      </c>
      <c r="B1876" s="2" t="s">
        <v>398</v>
      </c>
      <c r="C1876" s="2" t="s">
        <v>142</v>
      </c>
      <c r="D1876" s="2">
        <v>134</v>
      </c>
      <c r="E1876" s="5">
        <v>44895</v>
      </c>
      <c r="F1876" s="2">
        <v>140</v>
      </c>
      <c r="G1876" s="2" t="s">
        <v>37</v>
      </c>
      <c r="H1876" s="2" t="s">
        <v>399</v>
      </c>
      <c r="I1876" s="6">
        <v>0.23</v>
      </c>
      <c r="J1876" s="2" t="str">
        <f t="shared" si="29"/>
        <v>2022-11</v>
      </c>
    </row>
    <row r="1877" spans="1:10" x14ac:dyDescent="0.2">
      <c r="A1877" s="2" t="s">
        <v>1775</v>
      </c>
      <c r="B1877" s="2" t="s">
        <v>25</v>
      </c>
      <c r="C1877" s="2" t="s">
        <v>11</v>
      </c>
      <c r="D1877" s="2">
        <v>130</v>
      </c>
      <c r="E1877" s="5">
        <v>44895</v>
      </c>
      <c r="F1877" s="2">
        <v>850</v>
      </c>
      <c r="G1877" s="2" t="s">
        <v>37</v>
      </c>
      <c r="H1877" s="2" t="s">
        <v>23</v>
      </c>
      <c r="I1877" s="6">
        <v>7.0000000000000007E-2</v>
      </c>
      <c r="J1877" s="2" t="str">
        <f t="shared" si="29"/>
        <v>2022-11</v>
      </c>
    </row>
    <row r="1878" spans="1:10" x14ac:dyDescent="0.2">
      <c r="A1878" s="2" t="s">
        <v>1776</v>
      </c>
      <c r="B1878" s="2" t="s">
        <v>74</v>
      </c>
      <c r="C1878" s="2" t="s">
        <v>61</v>
      </c>
      <c r="D1878" s="2">
        <v>70</v>
      </c>
      <c r="E1878" s="5">
        <v>44895</v>
      </c>
      <c r="F1878" s="2">
        <v>64</v>
      </c>
      <c r="G1878" s="2" t="s">
        <v>41</v>
      </c>
      <c r="H1878" s="2" t="s">
        <v>76</v>
      </c>
      <c r="I1878" s="6" t="s">
        <v>2954</v>
      </c>
      <c r="J1878" s="2" t="str">
        <f t="shared" si="29"/>
        <v>2022-11</v>
      </c>
    </row>
    <row r="1879" spans="1:10" x14ac:dyDescent="0.2">
      <c r="A1879" s="2" t="s">
        <v>136</v>
      </c>
      <c r="B1879" s="2" t="s">
        <v>137</v>
      </c>
      <c r="C1879" s="2" t="s">
        <v>26</v>
      </c>
      <c r="D1879" s="2">
        <v>60</v>
      </c>
      <c r="E1879" s="5">
        <v>44895</v>
      </c>
      <c r="F1879" s="2">
        <v>145</v>
      </c>
      <c r="G1879" s="2" t="s">
        <v>37</v>
      </c>
      <c r="H1879" s="2" t="s">
        <v>23</v>
      </c>
      <c r="I1879" s="6">
        <v>0.13</v>
      </c>
      <c r="J1879" s="2" t="str">
        <f t="shared" si="29"/>
        <v>2022-11</v>
      </c>
    </row>
    <row r="1880" spans="1:10" x14ac:dyDescent="0.2">
      <c r="A1880" s="2" t="s">
        <v>1777</v>
      </c>
      <c r="B1880" s="2" t="s">
        <v>1584</v>
      </c>
      <c r="C1880" s="2" t="s">
        <v>16</v>
      </c>
      <c r="D1880" s="2">
        <v>53</v>
      </c>
      <c r="E1880" s="5">
        <v>44895</v>
      </c>
      <c r="F1880" s="2">
        <v>544</v>
      </c>
      <c r="G1880" s="2" t="s">
        <v>75</v>
      </c>
      <c r="H1880" s="2" t="s">
        <v>1585</v>
      </c>
      <c r="I1880" s="6">
        <v>0.03</v>
      </c>
      <c r="J1880" s="2" t="str">
        <f t="shared" si="29"/>
        <v>2022-11</v>
      </c>
    </row>
    <row r="1881" spans="1:10" x14ac:dyDescent="0.2">
      <c r="A1881" s="2" t="s">
        <v>1109</v>
      </c>
      <c r="B1881" s="2" t="s">
        <v>100</v>
      </c>
      <c r="C1881" s="2" t="s">
        <v>61</v>
      </c>
      <c r="D1881" s="2">
        <v>45</v>
      </c>
      <c r="E1881" s="5">
        <v>44895</v>
      </c>
      <c r="F1881" s="2">
        <v>118</v>
      </c>
      <c r="G1881" s="2" t="s">
        <v>37</v>
      </c>
      <c r="H1881" s="2" t="s">
        <v>98</v>
      </c>
      <c r="I1881" s="6">
        <v>0.05</v>
      </c>
      <c r="J1881" s="2" t="str">
        <f t="shared" si="29"/>
        <v>2022-11</v>
      </c>
    </row>
    <row r="1882" spans="1:10" x14ac:dyDescent="0.2">
      <c r="A1882" s="2" t="s">
        <v>1778</v>
      </c>
      <c r="B1882" s="2" t="s">
        <v>1584</v>
      </c>
      <c r="C1882" s="2" t="s">
        <v>29</v>
      </c>
      <c r="D1882" s="2">
        <v>40</v>
      </c>
      <c r="E1882" s="5">
        <v>44895</v>
      </c>
      <c r="F1882" s="2" t="s">
        <v>2954</v>
      </c>
      <c r="G1882" s="2" t="s">
        <v>12</v>
      </c>
      <c r="H1882" s="2" t="s">
        <v>1585</v>
      </c>
      <c r="I1882" s="6" t="s">
        <v>2954</v>
      </c>
      <c r="J1882" s="2" t="str">
        <f t="shared" si="29"/>
        <v>2022-11</v>
      </c>
    </row>
    <row r="1883" spans="1:10" x14ac:dyDescent="0.2">
      <c r="A1883" s="2" t="s">
        <v>1779</v>
      </c>
      <c r="B1883" s="2" t="s">
        <v>54</v>
      </c>
      <c r="C1883" s="2" t="s">
        <v>142</v>
      </c>
      <c r="D1883" s="2">
        <v>30</v>
      </c>
      <c r="E1883" s="5">
        <v>44895</v>
      </c>
      <c r="F1883" s="2">
        <v>40</v>
      </c>
      <c r="G1883" s="2" t="s">
        <v>45</v>
      </c>
      <c r="H1883" s="2" t="s">
        <v>55</v>
      </c>
      <c r="I1883" s="6">
        <v>0.5</v>
      </c>
      <c r="J1883" s="2" t="str">
        <f t="shared" si="29"/>
        <v>2022-11</v>
      </c>
    </row>
    <row r="1884" spans="1:10" x14ac:dyDescent="0.2">
      <c r="A1884" s="2" t="s">
        <v>750</v>
      </c>
      <c r="B1884" s="2" t="s">
        <v>25</v>
      </c>
      <c r="C1884" s="2" t="s">
        <v>52</v>
      </c>
      <c r="D1884" s="2">
        <v>25</v>
      </c>
      <c r="E1884" s="5">
        <v>44895</v>
      </c>
      <c r="F1884" s="2">
        <v>149</v>
      </c>
      <c r="G1884" s="2" t="s">
        <v>75</v>
      </c>
      <c r="H1884" s="2" t="s">
        <v>23</v>
      </c>
      <c r="I1884" s="6" t="s">
        <v>2954</v>
      </c>
      <c r="J1884" s="2" t="str">
        <f t="shared" si="29"/>
        <v>2022-11</v>
      </c>
    </row>
    <row r="1885" spans="1:10" x14ac:dyDescent="0.2">
      <c r="A1885" s="2" t="s">
        <v>1780</v>
      </c>
      <c r="B1885" s="2" t="s">
        <v>34</v>
      </c>
      <c r="C1885" s="2" t="s">
        <v>243</v>
      </c>
      <c r="D1885" s="2" t="s">
        <v>2954</v>
      </c>
      <c r="E1885" s="5">
        <v>44895</v>
      </c>
      <c r="F1885" s="2">
        <v>162</v>
      </c>
      <c r="G1885" s="2" t="s">
        <v>17</v>
      </c>
      <c r="H1885" s="2" t="s">
        <v>23</v>
      </c>
      <c r="I1885" s="6">
        <v>0.13</v>
      </c>
      <c r="J1885" s="2" t="str">
        <f t="shared" si="29"/>
        <v>2022-11</v>
      </c>
    </row>
    <row r="1886" spans="1:10" x14ac:dyDescent="0.2">
      <c r="A1886" s="2" t="s">
        <v>91</v>
      </c>
      <c r="B1886" s="2" t="s">
        <v>89</v>
      </c>
      <c r="C1886" s="2" t="s">
        <v>52</v>
      </c>
      <c r="D1886" s="2" t="s">
        <v>2954</v>
      </c>
      <c r="E1886" s="5">
        <v>44895</v>
      </c>
      <c r="F1886" s="2" t="s">
        <v>2954</v>
      </c>
      <c r="G1886" s="2" t="s">
        <v>12</v>
      </c>
      <c r="H1886" s="2" t="s">
        <v>23</v>
      </c>
      <c r="I1886" s="6" t="s">
        <v>2954</v>
      </c>
      <c r="J1886" s="2" t="str">
        <f t="shared" si="29"/>
        <v>2022-11</v>
      </c>
    </row>
    <row r="1887" spans="1:10" x14ac:dyDescent="0.2">
      <c r="A1887" s="2" t="s">
        <v>1440</v>
      </c>
      <c r="B1887" s="2" t="s">
        <v>34</v>
      </c>
      <c r="C1887" s="2" t="s">
        <v>35</v>
      </c>
      <c r="D1887" s="2" t="s">
        <v>2954</v>
      </c>
      <c r="E1887" s="5">
        <v>44895</v>
      </c>
      <c r="F1887" s="2">
        <v>1500</v>
      </c>
      <c r="G1887" s="2" t="s">
        <v>17</v>
      </c>
      <c r="H1887" s="2" t="s">
        <v>23</v>
      </c>
      <c r="I1887" s="6" t="s">
        <v>2954</v>
      </c>
      <c r="J1887" s="2" t="str">
        <f t="shared" si="29"/>
        <v>2022-11</v>
      </c>
    </row>
    <row r="1888" spans="1:10" x14ac:dyDescent="0.2">
      <c r="A1888" s="2" t="s">
        <v>1781</v>
      </c>
      <c r="B1888" s="2" t="s">
        <v>28</v>
      </c>
      <c r="C1888" s="2" t="s">
        <v>32</v>
      </c>
      <c r="D1888" s="2" t="s">
        <v>2954</v>
      </c>
      <c r="E1888" s="5">
        <v>44895</v>
      </c>
      <c r="F1888" s="2">
        <v>700</v>
      </c>
      <c r="G1888" s="2" t="s">
        <v>41</v>
      </c>
      <c r="H1888" s="2" t="s">
        <v>23</v>
      </c>
      <c r="I1888" s="6">
        <v>0.15</v>
      </c>
      <c r="J1888" s="2" t="str">
        <f t="shared" si="29"/>
        <v>2022-11</v>
      </c>
    </row>
    <row r="1889" spans="1:10" x14ac:dyDescent="0.2">
      <c r="A1889" s="2" t="s">
        <v>1782</v>
      </c>
      <c r="B1889" s="2" t="s">
        <v>147</v>
      </c>
      <c r="C1889" s="2" t="s">
        <v>195</v>
      </c>
      <c r="D1889" s="2" t="s">
        <v>2954</v>
      </c>
      <c r="E1889" s="5">
        <v>44895</v>
      </c>
      <c r="F1889" s="2">
        <v>167</v>
      </c>
      <c r="G1889" s="2" t="s">
        <v>45</v>
      </c>
      <c r="H1889" s="2" t="s">
        <v>23</v>
      </c>
      <c r="I1889" s="6" t="s">
        <v>2954</v>
      </c>
      <c r="J1889" s="2" t="str">
        <f t="shared" si="29"/>
        <v>2022-11</v>
      </c>
    </row>
    <row r="1890" spans="1:10" x14ac:dyDescent="0.2">
      <c r="A1890" s="2" t="s">
        <v>1783</v>
      </c>
      <c r="B1890" s="2" t="s">
        <v>955</v>
      </c>
      <c r="C1890" s="2" t="s">
        <v>22</v>
      </c>
      <c r="D1890" s="2">
        <v>100</v>
      </c>
      <c r="E1890" s="5">
        <v>44894</v>
      </c>
      <c r="F1890" s="2">
        <v>378</v>
      </c>
      <c r="G1890" s="2" t="s">
        <v>66</v>
      </c>
      <c r="H1890" s="2" t="s">
        <v>956</v>
      </c>
      <c r="I1890" s="6" t="s">
        <v>2954</v>
      </c>
      <c r="J1890" s="2" t="str">
        <f t="shared" si="29"/>
        <v>2022-11</v>
      </c>
    </row>
    <row r="1891" spans="1:10" x14ac:dyDescent="0.2">
      <c r="A1891" s="2" t="s">
        <v>1784</v>
      </c>
      <c r="B1891" s="2" t="s">
        <v>54</v>
      </c>
      <c r="C1891" s="2" t="s">
        <v>142</v>
      </c>
      <c r="D1891" s="2">
        <v>50</v>
      </c>
      <c r="E1891" s="5">
        <v>44894</v>
      </c>
      <c r="F1891" s="2">
        <v>144</v>
      </c>
      <c r="G1891" s="2" t="s">
        <v>12</v>
      </c>
      <c r="H1891" s="2" t="s">
        <v>55</v>
      </c>
      <c r="I1891" s="6">
        <v>0.25</v>
      </c>
      <c r="J1891" s="2" t="str">
        <f t="shared" si="29"/>
        <v>2022-11</v>
      </c>
    </row>
    <row r="1892" spans="1:10" x14ac:dyDescent="0.2">
      <c r="A1892" s="2" t="s">
        <v>1785</v>
      </c>
      <c r="B1892" s="2" t="s">
        <v>831</v>
      </c>
      <c r="C1892" s="2" t="s">
        <v>22</v>
      </c>
      <c r="D1892" s="2">
        <v>10</v>
      </c>
      <c r="E1892" s="5">
        <v>44894</v>
      </c>
      <c r="F1892" s="2">
        <v>1</v>
      </c>
      <c r="G1892" s="2" t="s">
        <v>12</v>
      </c>
      <c r="H1892" s="2" t="s">
        <v>274</v>
      </c>
      <c r="I1892" s="6">
        <v>0.2</v>
      </c>
      <c r="J1892" s="2" t="str">
        <f t="shared" si="29"/>
        <v>2022-11</v>
      </c>
    </row>
    <row r="1893" spans="1:10" x14ac:dyDescent="0.2">
      <c r="A1893" s="2" t="s">
        <v>1786</v>
      </c>
      <c r="B1893" s="2" t="s">
        <v>34</v>
      </c>
      <c r="C1893" s="2" t="s">
        <v>22</v>
      </c>
      <c r="D1893" s="2" t="s">
        <v>2954</v>
      </c>
      <c r="E1893" s="5">
        <v>44894</v>
      </c>
      <c r="F1893" s="2" t="s">
        <v>2954</v>
      </c>
      <c r="G1893" s="2" t="s">
        <v>12</v>
      </c>
      <c r="H1893" s="2" t="s">
        <v>23</v>
      </c>
      <c r="I1893" s="6">
        <v>1</v>
      </c>
      <c r="J1893" s="2" t="str">
        <f t="shared" si="29"/>
        <v>2022-11</v>
      </c>
    </row>
    <row r="1894" spans="1:10" x14ac:dyDescent="0.2">
      <c r="A1894" s="2" t="s">
        <v>1787</v>
      </c>
      <c r="B1894" s="2" t="s">
        <v>34</v>
      </c>
      <c r="C1894" s="2" t="s">
        <v>32</v>
      </c>
      <c r="D1894" s="2" t="s">
        <v>2954</v>
      </c>
      <c r="E1894" s="5">
        <v>44894</v>
      </c>
      <c r="F1894" s="2">
        <v>162</v>
      </c>
      <c r="G1894" s="2" t="s">
        <v>17</v>
      </c>
      <c r="H1894" s="2" t="s">
        <v>23</v>
      </c>
      <c r="I1894" s="6">
        <v>0.18</v>
      </c>
      <c r="J1894" s="2" t="str">
        <f t="shared" si="29"/>
        <v>2022-11</v>
      </c>
    </row>
    <row r="1895" spans="1:10" x14ac:dyDescent="0.2">
      <c r="A1895" s="2" t="s">
        <v>1788</v>
      </c>
      <c r="B1895" s="2" t="s">
        <v>34</v>
      </c>
      <c r="C1895" s="2" t="s">
        <v>142</v>
      </c>
      <c r="D1895" s="2" t="s">
        <v>2954</v>
      </c>
      <c r="E1895" s="5">
        <v>44894</v>
      </c>
      <c r="F1895" s="2">
        <v>269</v>
      </c>
      <c r="G1895" s="2" t="s">
        <v>37</v>
      </c>
      <c r="H1895" s="2" t="s">
        <v>23</v>
      </c>
      <c r="I1895" s="6">
        <v>0.1</v>
      </c>
      <c r="J1895" s="2" t="str">
        <f t="shared" si="29"/>
        <v>2022-11</v>
      </c>
    </row>
    <row r="1896" spans="1:10" x14ac:dyDescent="0.2">
      <c r="A1896" s="2" t="s">
        <v>1186</v>
      </c>
      <c r="B1896" s="2" t="s">
        <v>203</v>
      </c>
      <c r="C1896" s="2" t="s">
        <v>22</v>
      </c>
      <c r="D1896" s="2" t="s">
        <v>2954</v>
      </c>
      <c r="E1896" s="5">
        <v>44894</v>
      </c>
      <c r="F1896" s="2" t="s">
        <v>2954</v>
      </c>
      <c r="G1896" s="2" t="s">
        <v>12</v>
      </c>
      <c r="H1896" s="2" t="s">
        <v>204</v>
      </c>
      <c r="I1896" s="6" t="s">
        <v>2954</v>
      </c>
      <c r="J1896" s="2" t="str">
        <f t="shared" si="29"/>
        <v>2022-11</v>
      </c>
    </row>
    <row r="1897" spans="1:10" x14ac:dyDescent="0.2">
      <c r="A1897" s="2" t="s">
        <v>244</v>
      </c>
      <c r="B1897" s="2" t="s">
        <v>245</v>
      </c>
      <c r="C1897" s="2" t="s">
        <v>29</v>
      </c>
      <c r="D1897" s="2" t="s">
        <v>2954</v>
      </c>
      <c r="E1897" s="5">
        <v>44894</v>
      </c>
      <c r="F1897" s="2">
        <v>1100</v>
      </c>
      <c r="G1897" s="2" t="s">
        <v>66</v>
      </c>
      <c r="H1897" s="2" t="s">
        <v>246</v>
      </c>
      <c r="I1897" s="6">
        <v>0.31</v>
      </c>
      <c r="J1897" s="2" t="str">
        <f t="shared" si="29"/>
        <v>2022-11</v>
      </c>
    </row>
    <row r="1898" spans="1:10" x14ac:dyDescent="0.2">
      <c r="A1898" s="2" t="s">
        <v>1789</v>
      </c>
      <c r="B1898" s="2" t="s">
        <v>1790</v>
      </c>
      <c r="C1898" s="2" t="s">
        <v>16</v>
      </c>
      <c r="D1898" s="2" t="s">
        <v>2954</v>
      </c>
      <c r="E1898" s="5">
        <v>44894</v>
      </c>
      <c r="F1898" s="2">
        <v>13</v>
      </c>
      <c r="G1898" s="2" t="s">
        <v>41</v>
      </c>
      <c r="H1898" s="2" t="s">
        <v>956</v>
      </c>
      <c r="I1898" s="6">
        <v>0.4</v>
      </c>
      <c r="J1898" s="2" t="str">
        <f t="shared" si="29"/>
        <v>2022-11</v>
      </c>
    </row>
    <row r="1899" spans="1:10" x14ac:dyDescent="0.2">
      <c r="A1899" s="2" t="s">
        <v>1791</v>
      </c>
      <c r="B1899" s="2" t="s">
        <v>89</v>
      </c>
      <c r="C1899" s="2" t="s">
        <v>50</v>
      </c>
      <c r="D1899" s="2" t="s">
        <v>2954</v>
      </c>
      <c r="E1899" s="5">
        <v>44894</v>
      </c>
      <c r="F1899" s="2">
        <v>20</v>
      </c>
      <c r="G1899" s="2" t="s">
        <v>41</v>
      </c>
      <c r="H1899" s="2" t="s">
        <v>23</v>
      </c>
      <c r="I1899" s="6" t="s">
        <v>2954</v>
      </c>
      <c r="J1899" s="2" t="str">
        <f t="shared" si="29"/>
        <v>2022-11</v>
      </c>
    </row>
    <row r="1900" spans="1:10" x14ac:dyDescent="0.2">
      <c r="A1900" s="2" t="s">
        <v>1792</v>
      </c>
      <c r="B1900" s="2" t="s">
        <v>74</v>
      </c>
      <c r="C1900" s="2" t="s">
        <v>29</v>
      </c>
      <c r="D1900" s="2">
        <v>500</v>
      </c>
      <c r="E1900" s="5">
        <v>44893</v>
      </c>
      <c r="F1900" s="2">
        <v>604</v>
      </c>
      <c r="G1900" s="2" t="s">
        <v>75</v>
      </c>
      <c r="H1900" s="2" t="s">
        <v>76</v>
      </c>
      <c r="I1900" s="6">
        <v>0.5</v>
      </c>
      <c r="J1900" s="2" t="str">
        <f t="shared" si="29"/>
        <v>2022-11</v>
      </c>
    </row>
    <row r="1901" spans="1:10" x14ac:dyDescent="0.2">
      <c r="A1901" s="2" t="s">
        <v>1793</v>
      </c>
      <c r="B1901" s="2" t="s">
        <v>661</v>
      </c>
      <c r="C1901" s="2" t="s">
        <v>35</v>
      </c>
      <c r="D1901" s="2">
        <v>300</v>
      </c>
      <c r="E1901" s="5">
        <v>44893</v>
      </c>
      <c r="F1901" s="2">
        <v>260</v>
      </c>
      <c r="G1901" s="2" t="s">
        <v>12</v>
      </c>
      <c r="H1901" s="2" t="s">
        <v>662</v>
      </c>
      <c r="I1901" s="6">
        <v>0.2</v>
      </c>
      <c r="J1901" s="2" t="str">
        <f t="shared" si="29"/>
        <v>2022-11</v>
      </c>
    </row>
    <row r="1902" spans="1:10" x14ac:dyDescent="0.2">
      <c r="A1902" s="2" t="s">
        <v>1794</v>
      </c>
      <c r="B1902" s="2" t="s">
        <v>100</v>
      </c>
      <c r="C1902" s="2" t="s">
        <v>84</v>
      </c>
      <c r="D1902" s="2">
        <v>200</v>
      </c>
      <c r="E1902" s="5">
        <v>44893</v>
      </c>
      <c r="F1902" s="2" t="s">
        <v>2954</v>
      </c>
      <c r="G1902" s="2" t="s">
        <v>41</v>
      </c>
      <c r="H1902" s="2" t="s">
        <v>98</v>
      </c>
      <c r="I1902" s="6">
        <v>0.4</v>
      </c>
      <c r="J1902" s="2" t="str">
        <f t="shared" si="29"/>
        <v>2022-11</v>
      </c>
    </row>
    <row r="1903" spans="1:10" x14ac:dyDescent="0.2">
      <c r="A1903" s="2" t="s">
        <v>1795</v>
      </c>
      <c r="B1903" s="2" t="s">
        <v>1464</v>
      </c>
      <c r="C1903" s="2" t="s">
        <v>61</v>
      </c>
      <c r="D1903" s="2">
        <v>90</v>
      </c>
      <c r="E1903" s="5">
        <v>44893</v>
      </c>
      <c r="F1903" s="2">
        <v>483</v>
      </c>
      <c r="G1903" s="2" t="s">
        <v>75</v>
      </c>
      <c r="H1903" s="2" t="s">
        <v>106</v>
      </c>
      <c r="I1903" s="6">
        <v>0.06</v>
      </c>
      <c r="J1903" s="2" t="str">
        <f t="shared" si="29"/>
        <v>2022-11</v>
      </c>
    </row>
    <row r="1904" spans="1:10" x14ac:dyDescent="0.2">
      <c r="A1904" s="2" t="s">
        <v>1796</v>
      </c>
      <c r="B1904" s="2" t="s">
        <v>398</v>
      </c>
      <c r="C1904" s="2" t="s">
        <v>16</v>
      </c>
      <c r="D1904" s="2">
        <v>67</v>
      </c>
      <c r="E1904" s="5">
        <v>44893</v>
      </c>
      <c r="F1904" s="2">
        <v>245</v>
      </c>
      <c r="G1904" s="2" t="s">
        <v>12</v>
      </c>
      <c r="H1904" s="2" t="s">
        <v>399</v>
      </c>
      <c r="I1904" s="6">
        <v>0.08</v>
      </c>
      <c r="J1904" s="2" t="str">
        <f t="shared" si="29"/>
        <v>2022-11</v>
      </c>
    </row>
    <row r="1905" spans="1:10" x14ac:dyDescent="0.2">
      <c r="A1905" s="2" t="s">
        <v>949</v>
      </c>
      <c r="B1905" s="2" t="s">
        <v>25</v>
      </c>
      <c r="C1905" s="2" t="s">
        <v>22</v>
      </c>
      <c r="D1905" s="2">
        <v>33</v>
      </c>
      <c r="E1905" s="5">
        <v>44893</v>
      </c>
      <c r="F1905" s="2">
        <v>100</v>
      </c>
      <c r="G1905" s="2" t="s">
        <v>41</v>
      </c>
      <c r="H1905" s="2" t="s">
        <v>23</v>
      </c>
      <c r="I1905" s="6">
        <v>0.33</v>
      </c>
      <c r="J1905" s="2" t="str">
        <f t="shared" si="29"/>
        <v>2022-11</v>
      </c>
    </row>
    <row r="1906" spans="1:10" x14ac:dyDescent="0.2">
      <c r="A1906" s="2" t="s">
        <v>1797</v>
      </c>
      <c r="B1906" s="2" t="s">
        <v>74</v>
      </c>
      <c r="C1906" s="2" t="s">
        <v>29</v>
      </c>
      <c r="D1906" s="2">
        <v>25</v>
      </c>
      <c r="E1906" s="5">
        <v>44893</v>
      </c>
      <c r="F1906" s="2">
        <v>87</v>
      </c>
      <c r="G1906" s="2" t="s">
        <v>75</v>
      </c>
      <c r="H1906" s="2" t="s">
        <v>76</v>
      </c>
      <c r="I1906" s="6">
        <v>0.1</v>
      </c>
      <c r="J1906" s="2" t="str">
        <f t="shared" si="29"/>
        <v>2022-11</v>
      </c>
    </row>
    <row r="1907" spans="1:10" x14ac:dyDescent="0.2">
      <c r="A1907" s="2" t="s">
        <v>1798</v>
      </c>
      <c r="B1907" s="2" t="s">
        <v>25</v>
      </c>
      <c r="C1907" s="2" t="s">
        <v>22</v>
      </c>
      <c r="D1907" s="2" t="s">
        <v>2954</v>
      </c>
      <c r="E1907" s="5">
        <v>44893</v>
      </c>
      <c r="F1907" s="2">
        <v>1000</v>
      </c>
      <c r="G1907" s="2" t="s">
        <v>128</v>
      </c>
      <c r="H1907" s="2" t="s">
        <v>23</v>
      </c>
      <c r="I1907" s="6">
        <v>1</v>
      </c>
      <c r="J1907" s="2" t="str">
        <f t="shared" si="29"/>
        <v>2022-11</v>
      </c>
    </row>
    <row r="1908" spans="1:10" x14ac:dyDescent="0.2">
      <c r="A1908" s="2" t="s">
        <v>1799</v>
      </c>
      <c r="B1908" s="2" t="s">
        <v>54</v>
      </c>
      <c r="C1908" s="2" t="s">
        <v>61</v>
      </c>
      <c r="D1908" s="2" t="s">
        <v>2954</v>
      </c>
      <c r="E1908" s="5">
        <v>44893</v>
      </c>
      <c r="F1908" s="2">
        <v>50</v>
      </c>
      <c r="G1908" s="2" t="s">
        <v>12</v>
      </c>
      <c r="H1908" s="2" t="s">
        <v>55</v>
      </c>
      <c r="I1908" s="6" t="s">
        <v>2954</v>
      </c>
      <c r="J1908" s="2" t="str">
        <f t="shared" si="29"/>
        <v>2022-11</v>
      </c>
    </row>
    <row r="1909" spans="1:10" x14ac:dyDescent="0.2">
      <c r="A1909" s="2" t="s">
        <v>1800</v>
      </c>
      <c r="B1909" s="2" t="s">
        <v>28</v>
      </c>
      <c r="C1909" s="2" t="s">
        <v>148</v>
      </c>
      <c r="D1909" s="2" t="s">
        <v>2954</v>
      </c>
      <c r="E1909" s="5">
        <v>44893</v>
      </c>
      <c r="F1909" s="2">
        <v>11</v>
      </c>
      <c r="G1909" s="2" t="s">
        <v>41</v>
      </c>
      <c r="H1909" s="2" t="s">
        <v>23</v>
      </c>
      <c r="I1909" s="6" t="s">
        <v>2954</v>
      </c>
      <c r="J1909" s="2" t="str">
        <f t="shared" si="29"/>
        <v>2022-11</v>
      </c>
    </row>
    <row r="1910" spans="1:10" x14ac:dyDescent="0.2">
      <c r="A1910" s="2" t="s">
        <v>1801</v>
      </c>
      <c r="B1910" s="2" t="s">
        <v>335</v>
      </c>
      <c r="C1910" s="2" t="s">
        <v>22</v>
      </c>
      <c r="D1910" s="2" t="s">
        <v>2954</v>
      </c>
      <c r="E1910" s="5">
        <v>44893</v>
      </c>
      <c r="F1910" s="2">
        <v>103</v>
      </c>
      <c r="G1910" s="2" t="s">
        <v>37</v>
      </c>
      <c r="H1910" s="2" t="s">
        <v>106</v>
      </c>
      <c r="I1910" s="6" t="s">
        <v>2954</v>
      </c>
      <c r="J1910" s="2" t="str">
        <f t="shared" si="29"/>
        <v>2022-11</v>
      </c>
    </row>
    <row r="1911" spans="1:10" x14ac:dyDescent="0.2">
      <c r="A1911" s="2" t="s">
        <v>1802</v>
      </c>
      <c r="B1911" s="2" t="s">
        <v>34</v>
      </c>
      <c r="C1911" s="2" t="s">
        <v>109</v>
      </c>
      <c r="D1911" s="2" t="s">
        <v>2954</v>
      </c>
      <c r="E1911" s="5">
        <v>44893</v>
      </c>
      <c r="F1911" s="2">
        <v>78</v>
      </c>
      <c r="G1911" s="2" t="s">
        <v>37</v>
      </c>
      <c r="H1911" s="2" t="s">
        <v>23</v>
      </c>
      <c r="I1911" s="6">
        <v>0.4</v>
      </c>
      <c r="J1911" s="2" t="str">
        <f t="shared" si="29"/>
        <v>2022-11</v>
      </c>
    </row>
    <row r="1912" spans="1:10" x14ac:dyDescent="0.2">
      <c r="A1912" s="2" t="s">
        <v>1803</v>
      </c>
      <c r="B1912" s="2" t="s">
        <v>34</v>
      </c>
      <c r="C1912" s="2" t="s">
        <v>32</v>
      </c>
      <c r="D1912" s="2" t="s">
        <v>2954</v>
      </c>
      <c r="E1912" s="5">
        <v>44893</v>
      </c>
      <c r="F1912" s="2">
        <v>4</v>
      </c>
      <c r="G1912" s="2" t="s">
        <v>132</v>
      </c>
      <c r="H1912" s="2" t="s">
        <v>23</v>
      </c>
      <c r="I1912" s="6">
        <v>1</v>
      </c>
      <c r="J1912" s="2" t="str">
        <f t="shared" si="29"/>
        <v>2022-11</v>
      </c>
    </row>
    <row r="1913" spans="1:10" x14ac:dyDescent="0.2">
      <c r="A1913" s="2" t="s">
        <v>1804</v>
      </c>
      <c r="B1913" s="2" t="s">
        <v>245</v>
      </c>
      <c r="C1913" s="2" t="s">
        <v>16</v>
      </c>
      <c r="D1913" s="2" t="s">
        <v>2954</v>
      </c>
      <c r="E1913" s="5">
        <v>44892</v>
      </c>
      <c r="F1913" s="2">
        <v>22</v>
      </c>
      <c r="G1913" s="2" t="s">
        <v>12</v>
      </c>
      <c r="H1913" s="2" t="s">
        <v>246</v>
      </c>
      <c r="I1913" s="6">
        <v>0.24</v>
      </c>
      <c r="J1913" s="2" t="str">
        <f t="shared" si="29"/>
        <v>2022-11</v>
      </c>
    </row>
    <row r="1914" spans="1:10" x14ac:dyDescent="0.2">
      <c r="A1914" s="2" t="s">
        <v>1805</v>
      </c>
      <c r="B1914" s="2" t="s">
        <v>54</v>
      </c>
      <c r="C1914" s="2" t="s">
        <v>16</v>
      </c>
      <c r="D1914" s="2" t="s">
        <v>2954</v>
      </c>
      <c r="E1914" s="5">
        <v>44891</v>
      </c>
      <c r="F1914" s="2">
        <v>389</v>
      </c>
      <c r="G1914" s="2" t="s">
        <v>12</v>
      </c>
      <c r="H1914" s="2" t="s">
        <v>55</v>
      </c>
      <c r="I1914" s="6" t="s">
        <v>2954</v>
      </c>
      <c r="J1914" s="2" t="str">
        <f t="shared" si="29"/>
        <v>2022-11</v>
      </c>
    </row>
    <row r="1915" spans="1:10" x14ac:dyDescent="0.2">
      <c r="A1915" s="2" t="s">
        <v>1806</v>
      </c>
      <c r="B1915" s="2" t="s">
        <v>100</v>
      </c>
      <c r="C1915" s="2" t="s">
        <v>235</v>
      </c>
      <c r="D1915" s="2">
        <v>150</v>
      </c>
      <c r="E1915" s="5">
        <v>44890</v>
      </c>
      <c r="F1915" s="2">
        <v>1700</v>
      </c>
      <c r="G1915" s="2" t="s">
        <v>130</v>
      </c>
      <c r="H1915" s="2" t="s">
        <v>98</v>
      </c>
      <c r="I1915" s="6">
        <v>0.05</v>
      </c>
      <c r="J1915" s="2" t="str">
        <f t="shared" si="29"/>
        <v>2022-11</v>
      </c>
    </row>
    <row r="1916" spans="1:10" x14ac:dyDescent="0.2">
      <c r="A1916" s="2" t="s">
        <v>1807</v>
      </c>
      <c r="B1916" s="2" t="s">
        <v>54</v>
      </c>
      <c r="C1916" s="2" t="s">
        <v>52</v>
      </c>
      <c r="D1916" s="2">
        <v>70</v>
      </c>
      <c r="E1916" s="5">
        <v>44890</v>
      </c>
      <c r="F1916" s="2">
        <v>157</v>
      </c>
      <c r="G1916" s="2" t="s">
        <v>12</v>
      </c>
      <c r="H1916" s="2" t="s">
        <v>55</v>
      </c>
      <c r="I1916" s="6">
        <v>0.2</v>
      </c>
      <c r="J1916" s="2" t="str">
        <f t="shared" si="29"/>
        <v>2022-11</v>
      </c>
    </row>
    <row r="1917" spans="1:10" x14ac:dyDescent="0.2">
      <c r="A1917" s="2" t="s">
        <v>1808</v>
      </c>
      <c r="B1917" s="2" t="s">
        <v>203</v>
      </c>
      <c r="C1917" s="2" t="s">
        <v>11</v>
      </c>
      <c r="D1917" s="2">
        <v>27</v>
      </c>
      <c r="E1917" s="5">
        <v>44890</v>
      </c>
      <c r="F1917" s="2">
        <v>43</v>
      </c>
      <c r="G1917" s="2" t="s">
        <v>41</v>
      </c>
      <c r="H1917" s="2" t="s">
        <v>204</v>
      </c>
      <c r="I1917" s="6">
        <v>0.09</v>
      </c>
      <c r="J1917" s="2" t="str">
        <f t="shared" si="29"/>
        <v>2022-11</v>
      </c>
    </row>
    <row r="1918" spans="1:10" x14ac:dyDescent="0.2">
      <c r="A1918" s="2" t="s">
        <v>1809</v>
      </c>
      <c r="B1918" s="2" t="s">
        <v>1584</v>
      </c>
      <c r="C1918" s="2" t="s">
        <v>22</v>
      </c>
      <c r="D1918" s="2">
        <v>100</v>
      </c>
      <c r="E1918" s="5">
        <v>44889</v>
      </c>
      <c r="F1918" s="2">
        <v>17</v>
      </c>
      <c r="G1918" s="2" t="s">
        <v>41</v>
      </c>
      <c r="H1918" s="2" t="s">
        <v>1585</v>
      </c>
      <c r="I1918" s="6">
        <v>0.38</v>
      </c>
      <c r="J1918" s="2" t="str">
        <f t="shared" si="29"/>
        <v>2022-11</v>
      </c>
    </row>
    <row r="1919" spans="1:10" x14ac:dyDescent="0.2">
      <c r="A1919" s="2" t="s">
        <v>1810</v>
      </c>
      <c r="B1919" s="2" t="s">
        <v>203</v>
      </c>
      <c r="C1919" s="2" t="s">
        <v>22</v>
      </c>
      <c r="D1919" s="2">
        <v>20</v>
      </c>
      <c r="E1919" s="5">
        <v>44889</v>
      </c>
      <c r="F1919" s="2">
        <v>3</v>
      </c>
      <c r="G1919" s="2" t="s">
        <v>12</v>
      </c>
      <c r="H1919" s="2" t="s">
        <v>204</v>
      </c>
      <c r="I1919" s="6">
        <v>0.2</v>
      </c>
      <c r="J1919" s="2" t="str">
        <f t="shared" si="29"/>
        <v>2022-11</v>
      </c>
    </row>
    <row r="1920" spans="1:10" x14ac:dyDescent="0.2">
      <c r="A1920" s="2" t="s">
        <v>1811</v>
      </c>
      <c r="B1920" s="2" t="s">
        <v>273</v>
      </c>
      <c r="C1920" s="2" t="s">
        <v>11</v>
      </c>
      <c r="D1920" s="2" t="s">
        <v>2954</v>
      </c>
      <c r="E1920" s="5">
        <v>44889</v>
      </c>
      <c r="F1920" s="2" t="s">
        <v>2954</v>
      </c>
      <c r="G1920" s="2" t="s">
        <v>45</v>
      </c>
      <c r="H1920" s="2" t="s">
        <v>274</v>
      </c>
      <c r="I1920" s="6" t="s">
        <v>2954</v>
      </c>
      <c r="J1920" s="2" t="str">
        <f t="shared" si="29"/>
        <v>2022-11</v>
      </c>
    </row>
    <row r="1921" spans="1:10" x14ac:dyDescent="0.2">
      <c r="A1921" s="2" t="s">
        <v>1173</v>
      </c>
      <c r="B1921" s="2" t="s">
        <v>1174</v>
      </c>
      <c r="C1921" s="2" t="s">
        <v>235</v>
      </c>
      <c r="D1921" s="2" t="s">
        <v>2954</v>
      </c>
      <c r="E1921" s="5">
        <v>44889</v>
      </c>
      <c r="F1921" s="2" t="s">
        <v>2954</v>
      </c>
      <c r="G1921" s="2" t="s">
        <v>37</v>
      </c>
      <c r="H1921" s="2" t="s">
        <v>606</v>
      </c>
      <c r="I1921" s="6" t="s">
        <v>2954</v>
      </c>
      <c r="J1921" s="2" t="str">
        <f t="shared" si="29"/>
        <v>2022-11</v>
      </c>
    </row>
    <row r="1922" spans="1:10" x14ac:dyDescent="0.2">
      <c r="A1922" s="2" t="s">
        <v>1812</v>
      </c>
      <c r="B1922" s="2" t="s">
        <v>147</v>
      </c>
      <c r="C1922" s="2" t="s">
        <v>16</v>
      </c>
      <c r="D1922" s="2" t="s">
        <v>2954</v>
      </c>
      <c r="E1922" s="5">
        <v>44888</v>
      </c>
      <c r="F1922" s="2">
        <v>2</v>
      </c>
      <c r="G1922" s="2" t="s">
        <v>132</v>
      </c>
      <c r="H1922" s="2" t="s">
        <v>23</v>
      </c>
      <c r="I1922" s="6">
        <v>1</v>
      </c>
      <c r="J1922" s="2" t="str">
        <f t="shared" si="29"/>
        <v>2022-11</v>
      </c>
    </row>
    <row r="1923" spans="1:10" x14ac:dyDescent="0.2">
      <c r="A1923" s="2" t="s">
        <v>1813</v>
      </c>
      <c r="B1923" s="2" t="s">
        <v>335</v>
      </c>
      <c r="C1923" s="2" t="s">
        <v>142</v>
      </c>
      <c r="D1923" s="2" t="s">
        <v>2954</v>
      </c>
      <c r="E1923" s="5">
        <v>44888</v>
      </c>
      <c r="F1923" s="2">
        <v>6</v>
      </c>
      <c r="G1923" s="2" t="s">
        <v>132</v>
      </c>
      <c r="H1923" s="2" t="s">
        <v>106</v>
      </c>
      <c r="I1923" s="6">
        <v>1</v>
      </c>
      <c r="J1923" s="2" t="str">
        <f t="shared" ref="J1923:J1986" si="30">TEXT(E1923,"YYYY-MM")</f>
        <v>2022-11</v>
      </c>
    </row>
    <row r="1924" spans="1:10" x14ac:dyDescent="0.2">
      <c r="A1924" s="2" t="s">
        <v>1814</v>
      </c>
      <c r="B1924" s="2" t="s">
        <v>1573</v>
      </c>
      <c r="C1924" s="2" t="s">
        <v>29</v>
      </c>
      <c r="D1924" s="2" t="s">
        <v>2954</v>
      </c>
      <c r="E1924" s="5">
        <v>44888</v>
      </c>
      <c r="F1924" s="2">
        <v>20</v>
      </c>
      <c r="G1924" s="2" t="s">
        <v>41</v>
      </c>
      <c r="H1924" s="2" t="s">
        <v>1574</v>
      </c>
      <c r="I1924" s="6">
        <v>1</v>
      </c>
      <c r="J1924" s="2" t="str">
        <f t="shared" si="30"/>
        <v>2022-11</v>
      </c>
    </row>
    <row r="1925" spans="1:10" x14ac:dyDescent="0.2">
      <c r="A1925" s="2" t="s">
        <v>1815</v>
      </c>
      <c r="B1925" s="2" t="s">
        <v>1816</v>
      </c>
      <c r="C1925" s="2" t="s">
        <v>52</v>
      </c>
      <c r="D1925" s="2" t="s">
        <v>2954</v>
      </c>
      <c r="E1925" s="5">
        <v>44888</v>
      </c>
      <c r="F1925" s="2">
        <v>264</v>
      </c>
      <c r="G1925" s="2" t="s">
        <v>17</v>
      </c>
      <c r="H1925" s="2" t="s">
        <v>1817</v>
      </c>
      <c r="I1925" s="6">
        <v>0.5</v>
      </c>
      <c r="J1925" s="2" t="str">
        <f t="shared" si="30"/>
        <v>2022-11</v>
      </c>
    </row>
    <row r="1926" spans="1:10" x14ac:dyDescent="0.2">
      <c r="A1926" s="2" t="s">
        <v>1004</v>
      </c>
      <c r="B1926" s="2" t="s">
        <v>34</v>
      </c>
      <c r="C1926" s="2" t="s">
        <v>103</v>
      </c>
      <c r="D1926" s="2">
        <v>251</v>
      </c>
      <c r="E1926" s="5">
        <v>44887</v>
      </c>
      <c r="F1926" s="2">
        <v>900</v>
      </c>
      <c r="G1926" s="2" t="s">
        <v>17</v>
      </c>
      <c r="H1926" s="2" t="s">
        <v>23</v>
      </c>
      <c r="I1926" s="6" t="s">
        <v>2954</v>
      </c>
      <c r="J1926" s="2" t="str">
        <f t="shared" si="30"/>
        <v>2022-11</v>
      </c>
    </row>
    <row r="1927" spans="1:10" x14ac:dyDescent="0.2">
      <c r="A1927" s="2" t="s">
        <v>1818</v>
      </c>
      <c r="B1927" s="2" t="s">
        <v>398</v>
      </c>
      <c r="C1927" s="2" t="s">
        <v>142</v>
      </c>
      <c r="D1927" s="2">
        <v>160</v>
      </c>
      <c r="E1927" s="5">
        <v>44887</v>
      </c>
      <c r="F1927" s="2">
        <v>92</v>
      </c>
      <c r="G1927" s="2" t="s">
        <v>37</v>
      </c>
      <c r="H1927" s="2" t="s">
        <v>399</v>
      </c>
      <c r="I1927" s="6">
        <v>0.08</v>
      </c>
      <c r="J1927" s="2" t="str">
        <f t="shared" si="30"/>
        <v>2022-11</v>
      </c>
    </row>
    <row r="1928" spans="1:10" x14ac:dyDescent="0.2">
      <c r="A1928" s="2" t="s">
        <v>1819</v>
      </c>
      <c r="B1928" s="2" t="s">
        <v>1311</v>
      </c>
      <c r="C1928" s="2" t="s">
        <v>113</v>
      </c>
      <c r="D1928" s="2">
        <v>118</v>
      </c>
      <c r="E1928" s="5">
        <v>44887</v>
      </c>
      <c r="F1928" s="2">
        <v>11</v>
      </c>
      <c r="G1928" s="2" t="s">
        <v>45</v>
      </c>
      <c r="H1928" s="2" t="s">
        <v>662</v>
      </c>
      <c r="I1928" s="6" t="s">
        <v>2954</v>
      </c>
      <c r="J1928" s="2" t="str">
        <f t="shared" si="30"/>
        <v>2022-11</v>
      </c>
    </row>
    <row r="1929" spans="1:10" x14ac:dyDescent="0.2">
      <c r="A1929" s="2" t="s">
        <v>1820</v>
      </c>
      <c r="B1929" s="2" t="s">
        <v>217</v>
      </c>
      <c r="C1929" s="2" t="s">
        <v>142</v>
      </c>
      <c r="D1929" s="2">
        <v>80</v>
      </c>
      <c r="E1929" s="5">
        <v>44887</v>
      </c>
      <c r="F1929" s="2">
        <v>1000</v>
      </c>
      <c r="G1929" s="2" t="s">
        <v>128</v>
      </c>
      <c r="H1929" s="2" t="s">
        <v>217</v>
      </c>
      <c r="I1929" s="6">
        <v>0.08</v>
      </c>
      <c r="J1929" s="2" t="str">
        <f t="shared" si="30"/>
        <v>2022-11</v>
      </c>
    </row>
    <row r="1930" spans="1:10" x14ac:dyDescent="0.2">
      <c r="A1930" s="2" t="s">
        <v>1821</v>
      </c>
      <c r="B1930" s="2" t="s">
        <v>217</v>
      </c>
      <c r="C1930" s="2" t="s">
        <v>11</v>
      </c>
      <c r="D1930" s="2" t="s">
        <v>2954</v>
      </c>
      <c r="E1930" s="5">
        <v>44887</v>
      </c>
      <c r="F1930" s="2">
        <v>57</v>
      </c>
      <c r="G1930" s="2" t="s">
        <v>37</v>
      </c>
      <c r="H1930" s="2" t="s">
        <v>217</v>
      </c>
      <c r="I1930" s="6" t="s">
        <v>2954</v>
      </c>
      <c r="J1930" s="2" t="str">
        <f t="shared" si="30"/>
        <v>2022-11</v>
      </c>
    </row>
    <row r="1931" spans="1:10" x14ac:dyDescent="0.2">
      <c r="A1931" s="2" t="s">
        <v>1822</v>
      </c>
      <c r="B1931" s="2" t="s">
        <v>34</v>
      </c>
      <c r="C1931" s="2" t="s">
        <v>32</v>
      </c>
      <c r="D1931" s="2" t="s">
        <v>2954</v>
      </c>
      <c r="E1931" s="5">
        <v>44887</v>
      </c>
      <c r="F1931" s="2">
        <v>809</v>
      </c>
      <c r="G1931" s="2" t="s">
        <v>17</v>
      </c>
      <c r="H1931" s="2" t="s">
        <v>23</v>
      </c>
      <c r="I1931" s="6" t="s">
        <v>2954</v>
      </c>
      <c r="J1931" s="2" t="str">
        <f t="shared" si="30"/>
        <v>2022-11</v>
      </c>
    </row>
    <row r="1932" spans="1:10" x14ac:dyDescent="0.2">
      <c r="A1932" s="2" t="s">
        <v>1823</v>
      </c>
      <c r="B1932" s="2" t="s">
        <v>15</v>
      </c>
      <c r="C1932" s="2" t="s">
        <v>16</v>
      </c>
      <c r="D1932" s="2" t="s">
        <v>2954</v>
      </c>
      <c r="E1932" s="5">
        <v>44887</v>
      </c>
      <c r="F1932" s="2">
        <v>770</v>
      </c>
      <c r="G1932" s="2" t="s">
        <v>12</v>
      </c>
      <c r="H1932" s="2" t="s">
        <v>18</v>
      </c>
      <c r="I1932" s="6" t="s">
        <v>2954</v>
      </c>
      <c r="J1932" s="2" t="str">
        <f t="shared" si="30"/>
        <v>2022-11</v>
      </c>
    </row>
    <row r="1933" spans="1:10" x14ac:dyDescent="0.2">
      <c r="A1933" s="2" t="s">
        <v>1824</v>
      </c>
      <c r="B1933" s="2" t="s">
        <v>245</v>
      </c>
      <c r="C1933" s="2" t="s">
        <v>632</v>
      </c>
      <c r="D1933" s="2" t="s">
        <v>2954</v>
      </c>
      <c r="E1933" s="5">
        <v>44887</v>
      </c>
      <c r="F1933" s="2">
        <v>23</v>
      </c>
      <c r="G1933" s="2" t="s">
        <v>12</v>
      </c>
      <c r="H1933" s="2" t="s">
        <v>246</v>
      </c>
      <c r="I1933" s="6" t="s">
        <v>2954</v>
      </c>
      <c r="J1933" s="2" t="str">
        <f t="shared" si="30"/>
        <v>2022-11</v>
      </c>
    </row>
    <row r="1934" spans="1:10" x14ac:dyDescent="0.2">
      <c r="A1934" s="2" t="s">
        <v>1825</v>
      </c>
      <c r="B1934" s="2" t="s">
        <v>203</v>
      </c>
      <c r="C1934" s="2" t="s">
        <v>142</v>
      </c>
      <c r="D1934" s="2">
        <v>900</v>
      </c>
      <c r="E1934" s="5">
        <v>44886</v>
      </c>
      <c r="F1934" s="2">
        <v>1200</v>
      </c>
      <c r="G1934" s="2" t="s">
        <v>17</v>
      </c>
      <c r="H1934" s="2" t="s">
        <v>204</v>
      </c>
      <c r="I1934" s="6">
        <v>0.2</v>
      </c>
      <c r="J1934" s="2" t="str">
        <f t="shared" si="30"/>
        <v>2022-11</v>
      </c>
    </row>
    <row r="1935" spans="1:10" x14ac:dyDescent="0.2">
      <c r="A1935" s="2" t="s">
        <v>1826</v>
      </c>
      <c r="B1935" s="2" t="s">
        <v>1827</v>
      </c>
      <c r="C1935" s="2" t="s">
        <v>11</v>
      </c>
      <c r="D1935" s="2">
        <v>93</v>
      </c>
      <c r="E1935" s="5">
        <v>44886</v>
      </c>
      <c r="F1935" s="2">
        <v>804</v>
      </c>
      <c r="G1935" s="2" t="s">
        <v>66</v>
      </c>
      <c r="H1935" s="2" t="s">
        <v>23</v>
      </c>
      <c r="I1935" s="6">
        <v>0.1</v>
      </c>
      <c r="J1935" s="2" t="str">
        <f t="shared" si="30"/>
        <v>2022-11</v>
      </c>
    </row>
    <row r="1936" spans="1:10" x14ac:dyDescent="0.2">
      <c r="A1936" s="2" t="s">
        <v>1828</v>
      </c>
      <c r="B1936" s="2" t="s">
        <v>89</v>
      </c>
      <c r="C1936" s="2" t="s">
        <v>195</v>
      </c>
      <c r="D1936" s="2" t="s">
        <v>2954</v>
      </c>
      <c r="E1936" s="5">
        <v>44886</v>
      </c>
      <c r="F1936" s="2">
        <v>481</v>
      </c>
      <c r="G1936" s="2" t="s">
        <v>62</v>
      </c>
      <c r="H1936" s="2" t="s">
        <v>23</v>
      </c>
      <c r="I1936" s="6">
        <v>0.15</v>
      </c>
      <c r="J1936" s="2" t="str">
        <f t="shared" si="30"/>
        <v>2022-11</v>
      </c>
    </row>
    <row r="1937" spans="1:10" x14ac:dyDescent="0.2">
      <c r="A1937" s="2" t="s">
        <v>1829</v>
      </c>
      <c r="B1937" s="2" t="s">
        <v>406</v>
      </c>
      <c r="C1937" s="2" t="s">
        <v>16</v>
      </c>
      <c r="D1937" s="2" t="s">
        <v>2954</v>
      </c>
      <c r="E1937" s="5">
        <v>44886</v>
      </c>
      <c r="F1937" s="2" t="s">
        <v>2954</v>
      </c>
      <c r="G1937" s="2" t="s">
        <v>12</v>
      </c>
      <c r="H1937" s="2" t="s">
        <v>23</v>
      </c>
      <c r="I1937" s="6">
        <v>1</v>
      </c>
      <c r="J1937" s="2" t="str">
        <f t="shared" si="30"/>
        <v>2022-11</v>
      </c>
    </row>
    <row r="1938" spans="1:10" x14ac:dyDescent="0.2">
      <c r="A1938" s="2" t="s">
        <v>1830</v>
      </c>
      <c r="B1938" s="2" t="s">
        <v>255</v>
      </c>
      <c r="C1938" s="2" t="s">
        <v>11</v>
      </c>
      <c r="D1938" s="2">
        <v>100</v>
      </c>
      <c r="E1938" s="5">
        <v>44884</v>
      </c>
      <c r="F1938" s="2">
        <v>914</v>
      </c>
      <c r="G1938" s="2" t="s">
        <v>130</v>
      </c>
      <c r="H1938" s="2" t="s">
        <v>98</v>
      </c>
      <c r="I1938" s="6">
        <v>0.04</v>
      </c>
      <c r="J1938" s="2" t="str">
        <f t="shared" si="30"/>
        <v>2022-11</v>
      </c>
    </row>
    <row r="1939" spans="1:10" x14ac:dyDescent="0.2">
      <c r="A1939" s="2" t="s">
        <v>1601</v>
      </c>
      <c r="B1939" s="2" t="s">
        <v>250</v>
      </c>
      <c r="C1939" s="2" t="s">
        <v>52</v>
      </c>
      <c r="D1939" s="2">
        <v>1500</v>
      </c>
      <c r="E1939" s="5">
        <v>44883</v>
      </c>
      <c r="F1939" s="2">
        <v>1600</v>
      </c>
      <c r="G1939" s="2" t="s">
        <v>17</v>
      </c>
      <c r="H1939" s="2" t="s">
        <v>23</v>
      </c>
      <c r="I1939" s="6">
        <v>0.08</v>
      </c>
      <c r="J1939" s="2" t="str">
        <f t="shared" si="30"/>
        <v>2022-11</v>
      </c>
    </row>
    <row r="1940" spans="1:10" x14ac:dyDescent="0.2">
      <c r="A1940" s="2" t="s">
        <v>1087</v>
      </c>
      <c r="B1940" s="2" t="s">
        <v>34</v>
      </c>
      <c r="C1940" s="2" t="s">
        <v>52</v>
      </c>
      <c r="D1940" s="2">
        <v>300</v>
      </c>
      <c r="E1940" s="5">
        <v>44883</v>
      </c>
      <c r="F1940" s="2">
        <v>2100</v>
      </c>
      <c r="G1940" s="2" t="s">
        <v>75</v>
      </c>
      <c r="H1940" s="2" t="s">
        <v>23</v>
      </c>
      <c r="I1940" s="6">
        <v>0.2</v>
      </c>
      <c r="J1940" s="2" t="str">
        <f t="shared" si="30"/>
        <v>2022-11</v>
      </c>
    </row>
    <row r="1941" spans="1:10" x14ac:dyDescent="0.2">
      <c r="A1941" s="2" t="s">
        <v>1831</v>
      </c>
      <c r="B1941" s="2" t="s">
        <v>34</v>
      </c>
      <c r="C1941" s="2" t="s">
        <v>32</v>
      </c>
      <c r="D1941" s="2">
        <v>105</v>
      </c>
      <c r="E1941" s="5">
        <v>44883</v>
      </c>
      <c r="F1941" s="2">
        <v>459</v>
      </c>
      <c r="G1941" s="2" t="s">
        <v>128</v>
      </c>
      <c r="H1941" s="2" t="s">
        <v>23</v>
      </c>
      <c r="I1941" s="6">
        <v>0.2</v>
      </c>
      <c r="J1941" s="2" t="str">
        <f t="shared" si="30"/>
        <v>2022-11</v>
      </c>
    </row>
    <row r="1942" spans="1:10" x14ac:dyDescent="0.2">
      <c r="A1942" s="2" t="s">
        <v>1832</v>
      </c>
      <c r="B1942" s="2" t="s">
        <v>54</v>
      </c>
      <c r="C1942" s="2" t="s">
        <v>52</v>
      </c>
      <c r="D1942" s="2">
        <v>57</v>
      </c>
      <c r="E1942" s="5">
        <v>44883</v>
      </c>
      <c r="F1942" s="2">
        <v>34</v>
      </c>
      <c r="G1942" s="2" t="s">
        <v>37</v>
      </c>
      <c r="H1942" s="2" t="s">
        <v>55</v>
      </c>
      <c r="I1942" s="6" t="s">
        <v>2954</v>
      </c>
      <c r="J1942" s="2" t="str">
        <f t="shared" si="30"/>
        <v>2022-11</v>
      </c>
    </row>
    <row r="1943" spans="1:10" x14ac:dyDescent="0.2">
      <c r="A1943" s="2" t="s">
        <v>1833</v>
      </c>
      <c r="B1943" s="2" t="s">
        <v>25</v>
      </c>
      <c r="C1943" s="2" t="s">
        <v>16</v>
      </c>
      <c r="D1943" s="2" t="s">
        <v>2954</v>
      </c>
      <c r="E1943" s="5">
        <v>44883</v>
      </c>
      <c r="F1943" s="2">
        <v>281</v>
      </c>
      <c r="G1943" s="2" t="s">
        <v>75</v>
      </c>
      <c r="H1943" s="2" t="s">
        <v>23</v>
      </c>
      <c r="I1943" s="6">
        <v>0.25</v>
      </c>
      <c r="J1943" s="2" t="str">
        <f t="shared" si="30"/>
        <v>2022-11</v>
      </c>
    </row>
    <row r="1944" spans="1:10" x14ac:dyDescent="0.2">
      <c r="A1944" s="2" t="s">
        <v>1834</v>
      </c>
      <c r="B1944" s="2" t="s">
        <v>661</v>
      </c>
      <c r="C1944" s="2" t="s">
        <v>52</v>
      </c>
      <c r="D1944" s="2" t="s">
        <v>2954</v>
      </c>
      <c r="E1944" s="5">
        <v>44883</v>
      </c>
      <c r="F1944" s="2">
        <v>1600</v>
      </c>
      <c r="G1944" s="2" t="s">
        <v>128</v>
      </c>
      <c r="H1944" s="2" t="s">
        <v>662</v>
      </c>
      <c r="I1944" s="6" t="s">
        <v>2954</v>
      </c>
      <c r="J1944" s="2" t="str">
        <f t="shared" si="30"/>
        <v>2022-11</v>
      </c>
    </row>
    <row r="1945" spans="1:10" x14ac:dyDescent="0.2">
      <c r="A1945" s="2" t="s">
        <v>1835</v>
      </c>
      <c r="B1945" s="2" t="s">
        <v>314</v>
      </c>
      <c r="C1945" s="2" t="s">
        <v>22</v>
      </c>
      <c r="D1945" s="2" t="s">
        <v>2954</v>
      </c>
      <c r="E1945" s="5">
        <v>44883</v>
      </c>
      <c r="F1945" s="2" t="s">
        <v>2954</v>
      </c>
      <c r="G1945" s="2" t="s">
        <v>12</v>
      </c>
      <c r="H1945" s="2" t="s">
        <v>23</v>
      </c>
      <c r="I1945" s="6" t="s">
        <v>2954</v>
      </c>
      <c r="J1945" s="2" t="str">
        <f t="shared" si="30"/>
        <v>2022-11</v>
      </c>
    </row>
    <row r="1946" spans="1:10" x14ac:dyDescent="0.2">
      <c r="A1946" s="2" t="s">
        <v>1836</v>
      </c>
      <c r="B1946" s="2" t="s">
        <v>398</v>
      </c>
      <c r="C1946" s="2" t="s">
        <v>61</v>
      </c>
      <c r="D1946" s="2" t="s">
        <v>2954</v>
      </c>
      <c r="E1946" s="5">
        <v>44883</v>
      </c>
      <c r="F1946" s="2">
        <v>205</v>
      </c>
      <c r="G1946" s="2" t="s">
        <v>12</v>
      </c>
      <c r="H1946" s="2" t="s">
        <v>399</v>
      </c>
      <c r="I1946" s="6" t="s">
        <v>2954</v>
      </c>
      <c r="J1946" s="2" t="str">
        <f t="shared" si="30"/>
        <v>2022-11</v>
      </c>
    </row>
    <row r="1947" spans="1:10" x14ac:dyDescent="0.2">
      <c r="A1947" s="2" t="s">
        <v>1837</v>
      </c>
      <c r="B1947" s="2" t="s">
        <v>401</v>
      </c>
      <c r="C1947" s="2" t="s">
        <v>235</v>
      </c>
      <c r="D1947" s="2" t="s">
        <v>2954</v>
      </c>
      <c r="E1947" s="5">
        <v>44883</v>
      </c>
      <c r="F1947" s="2">
        <v>18</v>
      </c>
      <c r="G1947" s="2" t="s">
        <v>45</v>
      </c>
      <c r="H1947" s="2" t="s">
        <v>23</v>
      </c>
      <c r="I1947" s="6">
        <v>0.25</v>
      </c>
      <c r="J1947" s="2" t="str">
        <f t="shared" si="30"/>
        <v>2022-11</v>
      </c>
    </row>
    <row r="1948" spans="1:10" x14ac:dyDescent="0.2">
      <c r="A1948" s="2" t="s">
        <v>1838</v>
      </c>
      <c r="B1948" s="2" t="s">
        <v>86</v>
      </c>
      <c r="C1948" s="2" t="s">
        <v>22</v>
      </c>
      <c r="D1948" s="2" t="s">
        <v>2954</v>
      </c>
      <c r="E1948" s="5">
        <v>44883</v>
      </c>
      <c r="F1948" s="2">
        <v>33</v>
      </c>
      <c r="G1948" s="2" t="s">
        <v>41</v>
      </c>
      <c r="H1948" s="2" t="s">
        <v>23</v>
      </c>
      <c r="I1948" s="6">
        <v>0.15</v>
      </c>
      <c r="J1948" s="2" t="str">
        <f t="shared" si="30"/>
        <v>2022-11</v>
      </c>
    </row>
    <row r="1949" spans="1:10" x14ac:dyDescent="0.2">
      <c r="A1949" s="2" t="s">
        <v>737</v>
      </c>
      <c r="B1949" s="2" t="s">
        <v>34</v>
      </c>
      <c r="C1949" s="2" t="s">
        <v>235</v>
      </c>
      <c r="D1949" s="2">
        <v>200</v>
      </c>
      <c r="E1949" s="5">
        <v>44882</v>
      </c>
      <c r="F1949" s="2">
        <v>208</v>
      </c>
      <c r="G1949" s="2" t="s">
        <v>17</v>
      </c>
      <c r="H1949" s="2" t="s">
        <v>23</v>
      </c>
      <c r="I1949" s="6">
        <v>7.0000000000000007E-2</v>
      </c>
      <c r="J1949" s="2" t="str">
        <f t="shared" si="30"/>
        <v>2022-11</v>
      </c>
    </row>
    <row r="1950" spans="1:10" x14ac:dyDescent="0.2">
      <c r="A1950" s="2" t="s">
        <v>603</v>
      </c>
      <c r="B1950" s="2" t="s">
        <v>25</v>
      </c>
      <c r="C1950" s="2" t="s">
        <v>148</v>
      </c>
      <c r="D1950" s="2">
        <v>180</v>
      </c>
      <c r="E1950" s="5">
        <v>44882</v>
      </c>
      <c r="F1950" s="2">
        <v>472</v>
      </c>
      <c r="G1950" s="2" t="s">
        <v>75</v>
      </c>
      <c r="H1950" s="2" t="s">
        <v>23</v>
      </c>
      <c r="I1950" s="6" t="s">
        <v>2954</v>
      </c>
      <c r="J1950" s="2" t="str">
        <f t="shared" si="30"/>
        <v>2022-11</v>
      </c>
    </row>
    <row r="1951" spans="1:10" x14ac:dyDescent="0.2">
      <c r="A1951" s="2" t="s">
        <v>1839</v>
      </c>
      <c r="B1951" s="2" t="s">
        <v>250</v>
      </c>
      <c r="C1951" s="2" t="s">
        <v>148</v>
      </c>
      <c r="D1951" s="2">
        <v>113</v>
      </c>
      <c r="E1951" s="5">
        <v>44882</v>
      </c>
      <c r="F1951" s="2" t="s">
        <v>2954</v>
      </c>
      <c r="G1951" s="2" t="s">
        <v>17</v>
      </c>
      <c r="H1951" s="2" t="s">
        <v>23</v>
      </c>
      <c r="I1951" s="6" t="s">
        <v>2954</v>
      </c>
      <c r="J1951" s="2" t="str">
        <f t="shared" si="30"/>
        <v>2022-11</v>
      </c>
    </row>
    <row r="1952" spans="1:10" x14ac:dyDescent="0.2">
      <c r="A1952" s="2" t="s">
        <v>1840</v>
      </c>
      <c r="B1952" s="2" t="s">
        <v>1841</v>
      </c>
      <c r="C1952" s="2" t="s">
        <v>16</v>
      </c>
      <c r="D1952" s="2">
        <v>72</v>
      </c>
      <c r="E1952" s="5">
        <v>44882</v>
      </c>
      <c r="F1952" s="2">
        <v>281</v>
      </c>
      <c r="G1952" s="2" t="s">
        <v>12</v>
      </c>
      <c r="H1952" s="2" t="s">
        <v>291</v>
      </c>
      <c r="I1952" s="6">
        <v>0.33</v>
      </c>
      <c r="J1952" s="2" t="str">
        <f t="shared" si="30"/>
        <v>2022-11</v>
      </c>
    </row>
    <row r="1953" spans="1:10" x14ac:dyDescent="0.2">
      <c r="A1953" s="2" t="s">
        <v>1842</v>
      </c>
      <c r="B1953" s="2" t="s">
        <v>25</v>
      </c>
      <c r="C1953" s="2" t="s">
        <v>50</v>
      </c>
      <c r="D1953" s="2">
        <v>58</v>
      </c>
      <c r="E1953" s="5">
        <v>44882</v>
      </c>
      <c r="F1953" s="2">
        <v>54</v>
      </c>
      <c r="G1953" s="2" t="s">
        <v>37</v>
      </c>
      <c r="H1953" s="2" t="s">
        <v>23</v>
      </c>
      <c r="I1953" s="6" t="s">
        <v>2954</v>
      </c>
      <c r="J1953" s="2" t="str">
        <f t="shared" si="30"/>
        <v>2022-11</v>
      </c>
    </row>
    <row r="1954" spans="1:10" x14ac:dyDescent="0.2">
      <c r="A1954" s="2" t="s">
        <v>1833</v>
      </c>
      <c r="B1954" s="2" t="s">
        <v>25</v>
      </c>
      <c r="C1954" s="2" t="s">
        <v>16</v>
      </c>
      <c r="D1954" s="2">
        <v>37</v>
      </c>
      <c r="E1954" s="5">
        <v>44882</v>
      </c>
      <c r="F1954" s="2">
        <v>281</v>
      </c>
      <c r="G1954" s="2" t="s">
        <v>75</v>
      </c>
      <c r="H1954" s="2" t="s">
        <v>23</v>
      </c>
      <c r="I1954" s="6">
        <v>0.25</v>
      </c>
      <c r="J1954" s="2" t="str">
        <f t="shared" si="30"/>
        <v>2022-11</v>
      </c>
    </row>
    <row r="1955" spans="1:10" x14ac:dyDescent="0.2">
      <c r="A1955" s="2" t="s">
        <v>1843</v>
      </c>
      <c r="B1955" s="2" t="s">
        <v>335</v>
      </c>
      <c r="C1955" s="2" t="s">
        <v>29</v>
      </c>
      <c r="D1955" s="2">
        <v>34</v>
      </c>
      <c r="E1955" s="5">
        <v>44882</v>
      </c>
      <c r="F1955" s="2">
        <v>73</v>
      </c>
      <c r="G1955" s="2" t="s">
        <v>37</v>
      </c>
      <c r="H1955" s="2" t="s">
        <v>106</v>
      </c>
      <c r="I1955" s="6">
        <v>0.19</v>
      </c>
      <c r="J1955" s="2" t="str">
        <f t="shared" si="30"/>
        <v>2022-11</v>
      </c>
    </row>
    <row r="1956" spans="1:10" x14ac:dyDescent="0.2">
      <c r="A1956" s="2" t="s">
        <v>1413</v>
      </c>
      <c r="B1956" s="2" t="s">
        <v>335</v>
      </c>
      <c r="C1956" s="2" t="s">
        <v>16</v>
      </c>
      <c r="D1956" s="2">
        <v>15</v>
      </c>
      <c r="E1956" s="5">
        <v>44882</v>
      </c>
      <c r="F1956" s="2">
        <v>278</v>
      </c>
      <c r="G1956" s="2" t="s">
        <v>75</v>
      </c>
      <c r="H1956" s="2" t="s">
        <v>106</v>
      </c>
      <c r="I1956" s="6">
        <v>0.04</v>
      </c>
      <c r="J1956" s="2" t="str">
        <f t="shared" si="30"/>
        <v>2022-11</v>
      </c>
    </row>
    <row r="1957" spans="1:10" x14ac:dyDescent="0.2">
      <c r="A1957" s="2" t="s">
        <v>1844</v>
      </c>
      <c r="B1957" s="2" t="s">
        <v>167</v>
      </c>
      <c r="C1957" s="2" t="s">
        <v>26</v>
      </c>
      <c r="D1957" s="2">
        <v>9</v>
      </c>
      <c r="E1957" s="5">
        <v>44882</v>
      </c>
      <c r="F1957" s="2">
        <v>35</v>
      </c>
      <c r="G1957" s="2" t="s">
        <v>41</v>
      </c>
      <c r="H1957" s="2" t="s">
        <v>168</v>
      </c>
      <c r="I1957" s="6">
        <v>0.09</v>
      </c>
      <c r="J1957" s="2" t="str">
        <f t="shared" si="30"/>
        <v>2022-11</v>
      </c>
    </row>
    <row r="1958" spans="1:10" x14ac:dyDescent="0.2">
      <c r="A1958" s="2" t="s">
        <v>309</v>
      </c>
      <c r="B1958" s="2" t="s">
        <v>64</v>
      </c>
      <c r="C1958" s="2" t="s">
        <v>29</v>
      </c>
      <c r="D1958" s="2" t="s">
        <v>2954</v>
      </c>
      <c r="E1958" s="5">
        <v>44882</v>
      </c>
      <c r="F1958" s="2">
        <v>188</v>
      </c>
      <c r="G1958" s="2" t="s">
        <v>66</v>
      </c>
      <c r="H1958" s="2" t="s">
        <v>23</v>
      </c>
      <c r="I1958" s="6">
        <v>0.17</v>
      </c>
      <c r="J1958" s="2" t="str">
        <f t="shared" si="30"/>
        <v>2022-11</v>
      </c>
    </row>
    <row r="1959" spans="1:10" x14ac:dyDescent="0.2">
      <c r="A1959" s="2" t="s">
        <v>1288</v>
      </c>
      <c r="B1959" s="2" t="s">
        <v>25</v>
      </c>
      <c r="C1959" s="2" t="s">
        <v>235</v>
      </c>
      <c r="D1959" s="2" t="s">
        <v>2954</v>
      </c>
      <c r="E1959" s="5">
        <v>44882</v>
      </c>
      <c r="F1959" s="2" t="s">
        <v>2954</v>
      </c>
      <c r="G1959" s="2" t="s">
        <v>45</v>
      </c>
      <c r="H1959" s="2" t="s">
        <v>23</v>
      </c>
      <c r="I1959" s="6">
        <v>0.14000000000000001</v>
      </c>
      <c r="J1959" s="2" t="str">
        <f t="shared" si="30"/>
        <v>2022-11</v>
      </c>
    </row>
    <row r="1960" spans="1:10" x14ac:dyDescent="0.2">
      <c r="A1960" s="2" t="s">
        <v>1265</v>
      </c>
      <c r="B1960" s="2" t="s">
        <v>634</v>
      </c>
      <c r="C1960" s="2" t="s">
        <v>29</v>
      </c>
      <c r="D1960" s="2" t="s">
        <v>2954</v>
      </c>
      <c r="E1960" s="5">
        <v>44882</v>
      </c>
      <c r="F1960" s="2">
        <v>148</v>
      </c>
      <c r="G1960" s="2" t="s">
        <v>66</v>
      </c>
      <c r="H1960" s="2" t="s">
        <v>106</v>
      </c>
      <c r="I1960" s="6">
        <v>0.13</v>
      </c>
      <c r="J1960" s="2" t="str">
        <f t="shared" si="30"/>
        <v>2022-11</v>
      </c>
    </row>
    <row r="1961" spans="1:10" x14ac:dyDescent="0.2">
      <c r="A1961" s="2" t="s">
        <v>191</v>
      </c>
      <c r="B1961" s="2" t="s">
        <v>28</v>
      </c>
      <c r="C1961" s="2" t="s">
        <v>142</v>
      </c>
      <c r="D1961" s="2">
        <v>10000</v>
      </c>
      <c r="E1961" s="5">
        <v>44881</v>
      </c>
      <c r="F1961" s="2">
        <v>108</v>
      </c>
      <c r="G1961" s="2" t="s">
        <v>17</v>
      </c>
      <c r="H1961" s="2" t="s">
        <v>23</v>
      </c>
      <c r="I1961" s="6">
        <v>0.03</v>
      </c>
      <c r="J1961" s="2" t="str">
        <f t="shared" si="30"/>
        <v>2022-11</v>
      </c>
    </row>
    <row r="1962" spans="1:10" x14ac:dyDescent="0.2">
      <c r="A1962" s="2" t="s">
        <v>295</v>
      </c>
      <c r="B1962" s="2" t="s">
        <v>34</v>
      </c>
      <c r="C1962" s="2" t="s">
        <v>48</v>
      </c>
      <c r="D1962" s="2">
        <v>4100</v>
      </c>
      <c r="E1962" s="5">
        <v>44881</v>
      </c>
      <c r="F1962" s="2">
        <v>2</v>
      </c>
      <c r="G1962" s="2" t="s">
        <v>17</v>
      </c>
      <c r="H1962" s="2" t="s">
        <v>23</v>
      </c>
      <c r="I1962" s="6">
        <v>0.05</v>
      </c>
      <c r="J1962" s="2" t="str">
        <f t="shared" si="30"/>
        <v>2022-11</v>
      </c>
    </row>
    <row r="1963" spans="1:10" x14ac:dyDescent="0.2">
      <c r="A1963" s="2" t="s">
        <v>788</v>
      </c>
      <c r="B1963" s="2" t="s">
        <v>779</v>
      </c>
      <c r="C1963" s="2" t="s">
        <v>11</v>
      </c>
      <c r="D1963" s="2">
        <v>211</v>
      </c>
      <c r="E1963" s="5">
        <v>44881</v>
      </c>
      <c r="F1963" s="2">
        <v>157</v>
      </c>
      <c r="G1963" s="2" t="s">
        <v>66</v>
      </c>
      <c r="H1963" s="2" t="s">
        <v>780</v>
      </c>
      <c r="I1963" s="6">
        <v>0.21</v>
      </c>
      <c r="J1963" s="2" t="str">
        <f t="shared" si="30"/>
        <v>2022-11</v>
      </c>
    </row>
    <row r="1964" spans="1:10" x14ac:dyDescent="0.2">
      <c r="A1964" s="2" t="s">
        <v>1845</v>
      </c>
      <c r="B1964" s="2" t="s">
        <v>167</v>
      </c>
      <c r="C1964" s="2" t="s">
        <v>26</v>
      </c>
      <c r="D1964" s="2">
        <v>200</v>
      </c>
      <c r="E1964" s="5">
        <v>44881</v>
      </c>
      <c r="F1964" s="2">
        <v>889</v>
      </c>
      <c r="G1964" s="2" t="s">
        <v>12</v>
      </c>
      <c r="H1964" s="2" t="s">
        <v>168</v>
      </c>
      <c r="I1964" s="6">
        <v>0.4</v>
      </c>
      <c r="J1964" s="2" t="str">
        <f t="shared" si="30"/>
        <v>2022-11</v>
      </c>
    </row>
    <row r="1965" spans="1:10" x14ac:dyDescent="0.2">
      <c r="A1965" s="2" t="s">
        <v>1099</v>
      </c>
      <c r="B1965" s="2" t="s">
        <v>25</v>
      </c>
      <c r="C1965" s="2" t="s">
        <v>29</v>
      </c>
      <c r="D1965" s="2">
        <v>120</v>
      </c>
      <c r="E1965" s="5">
        <v>44881</v>
      </c>
      <c r="F1965" s="2">
        <v>235</v>
      </c>
      <c r="G1965" s="2" t="s">
        <v>17</v>
      </c>
      <c r="H1965" s="2" t="s">
        <v>23</v>
      </c>
      <c r="I1965" s="6">
        <v>0.1</v>
      </c>
      <c r="J1965" s="2" t="str">
        <f t="shared" si="30"/>
        <v>2022-11</v>
      </c>
    </row>
    <row r="1966" spans="1:10" x14ac:dyDescent="0.2">
      <c r="A1966" s="2" t="s">
        <v>617</v>
      </c>
      <c r="B1966" s="2" t="s">
        <v>89</v>
      </c>
      <c r="C1966" s="2" t="s">
        <v>142</v>
      </c>
      <c r="D1966" s="2">
        <v>90</v>
      </c>
      <c r="E1966" s="5">
        <v>44881</v>
      </c>
      <c r="F1966" s="2">
        <v>452</v>
      </c>
      <c r="G1966" s="2" t="s">
        <v>62</v>
      </c>
      <c r="H1966" s="2" t="s">
        <v>23</v>
      </c>
      <c r="I1966" s="6">
        <v>0.11</v>
      </c>
      <c r="J1966" s="2" t="str">
        <f t="shared" si="30"/>
        <v>2022-11</v>
      </c>
    </row>
    <row r="1967" spans="1:10" x14ac:dyDescent="0.2">
      <c r="A1967" s="2" t="s">
        <v>1846</v>
      </c>
      <c r="B1967" s="2" t="s">
        <v>21</v>
      </c>
      <c r="C1967" s="2" t="s">
        <v>29</v>
      </c>
      <c r="D1967" s="2">
        <v>76</v>
      </c>
      <c r="E1967" s="5">
        <v>44881</v>
      </c>
      <c r="F1967" s="2">
        <v>56</v>
      </c>
      <c r="G1967" s="2" t="s">
        <v>37</v>
      </c>
      <c r="H1967" s="2" t="s">
        <v>23</v>
      </c>
      <c r="I1967" s="6">
        <v>0.23</v>
      </c>
      <c r="J1967" s="2" t="str">
        <f t="shared" si="30"/>
        <v>2022-11</v>
      </c>
    </row>
    <row r="1968" spans="1:10" x14ac:dyDescent="0.2">
      <c r="A1968" s="2" t="s">
        <v>1847</v>
      </c>
      <c r="B1968" s="2" t="s">
        <v>25</v>
      </c>
      <c r="C1968" s="2" t="s">
        <v>26</v>
      </c>
      <c r="D1968" s="2">
        <v>70</v>
      </c>
      <c r="E1968" s="5">
        <v>44881</v>
      </c>
      <c r="F1968" s="2">
        <v>436</v>
      </c>
      <c r="G1968" s="2" t="s">
        <v>12</v>
      </c>
      <c r="H1968" s="2" t="s">
        <v>23</v>
      </c>
      <c r="I1968" s="6">
        <v>0.09</v>
      </c>
      <c r="J1968" s="2" t="str">
        <f t="shared" si="30"/>
        <v>2022-11</v>
      </c>
    </row>
    <row r="1969" spans="1:10" x14ac:dyDescent="0.2">
      <c r="A1969" s="2" t="s">
        <v>1200</v>
      </c>
      <c r="B1969" s="2" t="s">
        <v>89</v>
      </c>
      <c r="C1969" s="2" t="s">
        <v>32</v>
      </c>
      <c r="D1969" s="2">
        <v>59</v>
      </c>
      <c r="E1969" s="5">
        <v>44881</v>
      </c>
      <c r="F1969" s="2">
        <v>409</v>
      </c>
      <c r="G1969" s="2" t="s">
        <v>17</v>
      </c>
      <c r="H1969" s="2" t="s">
        <v>23</v>
      </c>
      <c r="I1969" s="6">
        <v>0.22</v>
      </c>
      <c r="J1969" s="2" t="str">
        <f t="shared" si="30"/>
        <v>2022-11</v>
      </c>
    </row>
    <row r="1970" spans="1:10" x14ac:dyDescent="0.2">
      <c r="A1970" s="2" t="s">
        <v>1848</v>
      </c>
      <c r="B1970" s="2" t="s">
        <v>1464</v>
      </c>
      <c r="C1970" s="2" t="s">
        <v>61</v>
      </c>
      <c r="D1970" s="2" t="s">
        <v>2954</v>
      </c>
      <c r="E1970" s="5">
        <v>44881</v>
      </c>
      <c r="F1970" s="2">
        <v>168</v>
      </c>
      <c r="G1970" s="2" t="s">
        <v>17</v>
      </c>
      <c r="H1970" s="2" t="s">
        <v>106</v>
      </c>
      <c r="I1970" s="6">
        <v>0.05</v>
      </c>
      <c r="J1970" s="2" t="str">
        <f t="shared" si="30"/>
        <v>2022-11</v>
      </c>
    </row>
    <row r="1971" spans="1:10" x14ac:dyDescent="0.2">
      <c r="A1971" s="2" t="s">
        <v>1849</v>
      </c>
      <c r="B1971" s="2" t="s">
        <v>74</v>
      </c>
      <c r="C1971" s="2" t="s">
        <v>52</v>
      </c>
      <c r="D1971" s="2" t="s">
        <v>2954</v>
      </c>
      <c r="E1971" s="5">
        <v>44881</v>
      </c>
      <c r="F1971" s="2">
        <v>63</v>
      </c>
      <c r="G1971" s="2" t="s">
        <v>12</v>
      </c>
      <c r="H1971" s="2" t="s">
        <v>76</v>
      </c>
      <c r="I1971" s="6">
        <v>0.16</v>
      </c>
      <c r="J1971" s="2" t="str">
        <f t="shared" si="30"/>
        <v>2022-11</v>
      </c>
    </row>
    <row r="1972" spans="1:10" x14ac:dyDescent="0.2">
      <c r="A1972" s="2" t="s">
        <v>1850</v>
      </c>
      <c r="B1972" s="2" t="s">
        <v>86</v>
      </c>
      <c r="C1972" s="2" t="s">
        <v>148</v>
      </c>
      <c r="D1972" s="2" t="s">
        <v>2954</v>
      </c>
      <c r="E1972" s="5">
        <v>44881</v>
      </c>
      <c r="F1972" s="2">
        <v>501</v>
      </c>
      <c r="G1972" s="2" t="s">
        <v>12</v>
      </c>
      <c r="H1972" s="2" t="s">
        <v>23</v>
      </c>
      <c r="I1972" s="6">
        <v>0.25</v>
      </c>
      <c r="J1972" s="2" t="str">
        <f t="shared" si="30"/>
        <v>2022-11</v>
      </c>
    </row>
    <row r="1973" spans="1:10" x14ac:dyDescent="0.2">
      <c r="A1973" s="2" t="s">
        <v>107</v>
      </c>
      <c r="B1973" s="2" t="s">
        <v>54</v>
      </c>
      <c r="C1973" s="2" t="s">
        <v>29</v>
      </c>
      <c r="D1973" s="2" t="s">
        <v>2954</v>
      </c>
      <c r="E1973" s="5">
        <v>44881</v>
      </c>
      <c r="F1973" s="2">
        <v>1000</v>
      </c>
      <c r="G1973" s="2" t="s">
        <v>75</v>
      </c>
      <c r="H1973" s="2" t="s">
        <v>55</v>
      </c>
      <c r="I1973" s="6">
        <v>0.17</v>
      </c>
      <c r="J1973" s="2" t="str">
        <f t="shared" si="30"/>
        <v>2022-11</v>
      </c>
    </row>
    <row r="1974" spans="1:10" x14ac:dyDescent="0.2">
      <c r="A1974" s="2" t="s">
        <v>1851</v>
      </c>
      <c r="B1974" s="2" t="s">
        <v>54</v>
      </c>
      <c r="C1974" s="2" t="s">
        <v>29</v>
      </c>
      <c r="D1974" s="2" t="s">
        <v>2954</v>
      </c>
      <c r="E1974" s="5">
        <v>44881</v>
      </c>
      <c r="F1974" s="2">
        <v>15</v>
      </c>
      <c r="G1974" s="2" t="s">
        <v>41</v>
      </c>
      <c r="H1974" s="2" t="s">
        <v>55</v>
      </c>
      <c r="I1974" s="6" t="s">
        <v>2954</v>
      </c>
      <c r="J1974" s="2" t="str">
        <f t="shared" si="30"/>
        <v>2022-11</v>
      </c>
    </row>
    <row r="1975" spans="1:10" x14ac:dyDescent="0.2">
      <c r="A1975" s="2" t="s">
        <v>1852</v>
      </c>
      <c r="B1975" s="2" t="s">
        <v>34</v>
      </c>
      <c r="C1975" s="2" t="s">
        <v>78</v>
      </c>
      <c r="D1975" s="2" t="s">
        <v>2954</v>
      </c>
      <c r="E1975" s="5">
        <v>44881</v>
      </c>
      <c r="F1975" s="2">
        <v>21</v>
      </c>
      <c r="G1975" s="2" t="s">
        <v>41</v>
      </c>
      <c r="H1975" s="2" t="s">
        <v>23</v>
      </c>
      <c r="I1975" s="6">
        <v>1</v>
      </c>
      <c r="J1975" s="2" t="str">
        <f t="shared" si="30"/>
        <v>2022-11</v>
      </c>
    </row>
    <row r="1976" spans="1:10" x14ac:dyDescent="0.2">
      <c r="A1976" s="2" t="s">
        <v>1853</v>
      </c>
      <c r="B1976" s="2" t="s">
        <v>25</v>
      </c>
      <c r="C1976" s="2" t="s">
        <v>243</v>
      </c>
      <c r="D1976" s="2">
        <v>241</v>
      </c>
      <c r="E1976" s="5">
        <v>44880</v>
      </c>
      <c r="F1976" s="2">
        <v>2000</v>
      </c>
      <c r="G1976" s="2" t="s">
        <v>17</v>
      </c>
      <c r="H1976" s="2" t="s">
        <v>23</v>
      </c>
      <c r="I1976" s="6">
        <v>0.06</v>
      </c>
      <c r="J1976" s="2" t="str">
        <f t="shared" si="30"/>
        <v>2022-11</v>
      </c>
    </row>
    <row r="1977" spans="1:10" x14ac:dyDescent="0.2">
      <c r="A1977" s="2" t="s">
        <v>1854</v>
      </c>
      <c r="B1977" s="2" t="s">
        <v>34</v>
      </c>
      <c r="C1977" s="2" t="s">
        <v>29</v>
      </c>
      <c r="D1977" s="2">
        <v>180</v>
      </c>
      <c r="E1977" s="5">
        <v>44880</v>
      </c>
      <c r="F1977" s="2">
        <v>453</v>
      </c>
      <c r="G1977" s="2" t="s">
        <v>17</v>
      </c>
      <c r="H1977" s="2" t="s">
        <v>23</v>
      </c>
      <c r="I1977" s="6">
        <v>0.09</v>
      </c>
      <c r="J1977" s="2" t="str">
        <f t="shared" si="30"/>
        <v>2022-11</v>
      </c>
    </row>
    <row r="1978" spans="1:10" x14ac:dyDescent="0.2">
      <c r="A1978" s="2" t="s">
        <v>1855</v>
      </c>
      <c r="B1978" s="2" t="s">
        <v>25</v>
      </c>
      <c r="C1978" s="2" t="s">
        <v>195</v>
      </c>
      <c r="D1978" s="2">
        <v>170</v>
      </c>
      <c r="E1978" s="5">
        <v>44880</v>
      </c>
      <c r="F1978" s="2">
        <v>507</v>
      </c>
      <c r="G1978" s="2" t="s">
        <v>128</v>
      </c>
      <c r="H1978" s="2" t="s">
        <v>23</v>
      </c>
      <c r="I1978" s="6">
        <v>0.17</v>
      </c>
      <c r="J1978" s="2" t="str">
        <f t="shared" si="30"/>
        <v>2022-11</v>
      </c>
    </row>
    <row r="1979" spans="1:10" x14ac:dyDescent="0.2">
      <c r="A1979" s="2" t="s">
        <v>1856</v>
      </c>
      <c r="B1979" s="2" t="s">
        <v>831</v>
      </c>
      <c r="C1979" s="2" t="s">
        <v>11</v>
      </c>
      <c r="D1979" s="2">
        <v>120</v>
      </c>
      <c r="E1979" s="5">
        <v>44880</v>
      </c>
      <c r="F1979" s="2">
        <v>1700</v>
      </c>
      <c r="G1979" s="2" t="s">
        <v>17</v>
      </c>
      <c r="H1979" s="2" t="s">
        <v>274</v>
      </c>
      <c r="I1979" s="6">
        <v>1</v>
      </c>
      <c r="J1979" s="2" t="str">
        <f t="shared" si="30"/>
        <v>2022-11</v>
      </c>
    </row>
    <row r="1980" spans="1:10" x14ac:dyDescent="0.2">
      <c r="A1980" s="2" t="s">
        <v>370</v>
      </c>
      <c r="B1980" s="2" t="s">
        <v>34</v>
      </c>
      <c r="C1980" s="2" t="s">
        <v>78</v>
      </c>
      <c r="D1980" s="2">
        <v>100</v>
      </c>
      <c r="E1980" s="5">
        <v>44880</v>
      </c>
      <c r="F1980" s="2" t="s">
        <v>2954</v>
      </c>
      <c r="G1980" s="2" t="s">
        <v>75</v>
      </c>
      <c r="H1980" s="2" t="s">
        <v>23</v>
      </c>
      <c r="I1980" s="6">
        <v>0.2</v>
      </c>
      <c r="J1980" s="2" t="str">
        <f t="shared" si="30"/>
        <v>2022-11</v>
      </c>
    </row>
    <row r="1981" spans="1:10" x14ac:dyDescent="0.2">
      <c r="A1981" s="2" t="s">
        <v>1857</v>
      </c>
      <c r="B1981" s="2" t="s">
        <v>335</v>
      </c>
      <c r="C1981" s="2" t="s">
        <v>148</v>
      </c>
      <c r="D1981" s="2">
        <v>71</v>
      </c>
      <c r="E1981" s="5">
        <v>44880</v>
      </c>
      <c r="F1981" s="2">
        <v>154</v>
      </c>
      <c r="G1981" s="2" t="s">
        <v>37</v>
      </c>
      <c r="H1981" s="2" t="s">
        <v>106</v>
      </c>
      <c r="I1981" s="6" t="s">
        <v>2954</v>
      </c>
      <c r="J1981" s="2" t="str">
        <f t="shared" si="30"/>
        <v>2022-11</v>
      </c>
    </row>
    <row r="1982" spans="1:10" x14ac:dyDescent="0.2">
      <c r="A1982" s="2" t="s">
        <v>1858</v>
      </c>
      <c r="B1982" s="2" t="s">
        <v>34</v>
      </c>
      <c r="C1982" s="2" t="s">
        <v>235</v>
      </c>
      <c r="D1982" s="2">
        <v>60</v>
      </c>
      <c r="E1982" s="5">
        <v>44880</v>
      </c>
      <c r="F1982" s="2" t="s">
        <v>2954</v>
      </c>
      <c r="G1982" s="2" t="s">
        <v>45</v>
      </c>
      <c r="H1982" s="2" t="s">
        <v>23</v>
      </c>
      <c r="I1982" s="6">
        <v>1</v>
      </c>
      <c r="J1982" s="2" t="str">
        <f t="shared" si="30"/>
        <v>2022-11</v>
      </c>
    </row>
    <row r="1983" spans="1:10" x14ac:dyDescent="0.2">
      <c r="A1983" s="2" t="s">
        <v>1859</v>
      </c>
      <c r="B1983" s="2" t="s">
        <v>425</v>
      </c>
      <c r="C1983" s="2" t="s">
        <v>29</v>
      </c>
      <c r="D1983" s="2">
        <v>50</v>
      </c>
      <c r="E1983" s="5">
        <v>44880</v>
      </c>
      <c r="F1983" s="2">
        <v>28</v>
      </c>
      <c r="G1983" s="2" t="s">
        <v>12</v>
      </c>
      <c r="H1983" s="2" t="s">
        <v>76</v>
      </c>
      <c r="I1983" s="6">
        <v>0.16</v>
      </c>
      <c r="J1983" s="2" t="str">
        <f t="shared" si="30"/>
        <v>2022-11</v>
      </c>
    </row>
    <row r="1984" spans="1:10" x14ac:dyDescent="0.2">
      <c r="A1984" s="2" t="s">
        <v>1860</v>
      </c>
      <c r="B1984" s="2" t="s">
        <v>86</v>
      </c>
      <c r="C1984" s="2" t="s">
        <v>16</v>
      </c>
      <c r="D1984" s="2">
        <v>50</v>
      </c>
      <c r="E1984" s="5">
        <v>44880</v>
      </c>
      <c r="F1984" s="2">
        <v>256</v>
      </c>
      <c r="G1984" s="2" t="s">
        <v>75</v>
      </c>
      <c r="H1984" s="2" t="s">
        <v>23</v>
      </c>
      <c r="I1984" s="6" t="s">
        <v>2954</v>
      </c>
      <c r="J1984" s="2" t="str">
        <f t="shared" si="30"/>
        <v>2022-11</v>
      </c>
    </row>
    <row r="1985" spans="1:10" x14ac:dyDescent="0.2">
      <c r="A1985" s="2" t="s">
        <v>1861</v>
      </c>
      <c r="B1985" s="2" t="s">
        <v>873</v>
      </c>
      <c r="C1985" s="2" t="s">
        <v>35</v>
      </c>
      <c r="D1985" s="2">
        <v>45</v>
      </c>
      <c r="E1985" s="5">
        <v>44880</v>
      </c>
      <c r="F1985" s="2" t="s">
        <v>2954</v>
      </c>
      <c r="G1985" s="2" t="s">
        <v>45</v>
      </c>
      <c r="H1985" s="2" t="s">
        <v>873</v>
      </c>
      <c r="I1985" s="6">
        <v>0.08</v>
      </c>
      <c r="J1985" s="2" t="str">
        <f t="shared" si="30"/>
        <v>2022-11</v>
      </c>
    </row>
    <row r="1986" spans="1:10" x14ac:dyDescent="0.2">
      <c r="A1986" s="2" t="s">
        <v>1862</v>
      </c>
      <c r="B1986" s="2" t="s">
        <v>34</v>
      </c>
      <c r="C1986" s="2" t="s">
        <v>50</v>
      </c>
      <c r="D1986" s="2">
        <v>31</v>
      </c>
      <c r="E1986" s="5">
        <v>44880</v>
      </c>
      <c r="F1986" s="2">
        <v>164</v>
      </c>
      <c r="G1986" s="2" t="s">
        <v>66</v>
      </c>
      <c r="H1986" s="2" t="s">
        <v>23</v>
      </c>
      <c r="I1986" s="6">
        <v>0.1</v>
      </c>
      <c r="J1986" s="2" t="str">
        <f t="shared" si="30"/>
        <v>2022-11</v>
      </c>
    </row>
    <row r="1987" spans="1:10" x14ac:dyDescent="0.2">
      <c r="A1987" s="2" t="s">
        <v>1863</v>
      </c>
      <c r="B1987" s="2" t="s">
        <v>183</v>
      </c>
      <c r="C1987" s="2" t="s">
        <v>16</v>
      </c>
      <c r="D1987" s="2" t="s">
        <v>2954</v>
      </c>
      <c r="E1987" s="5">
        <v>44880</v>
      </c>
      <c r="F1987" s="2">
        <v>11</v>
      </c>
      <c r="G1987" s="2" t="s">
        <v>37</v>
      </c>
      <c r="H1987" s="2" t="s">
        <v>106</v>
      </c>
      <c r="I1987" s="6">
        <v>0.25</v>
      </c>
      <c r="J1987" s="2" t="str">
        <f t="shared" ref="J1987:J2050" si="31">TEXT(E1987,"YYYY-MM")</f>
        <v>2022-11</v>
      </c>
    </row>
    <row r="1988" spans="1:10" x14ac:dyDescent="0.2">
      <c r="A1988" s="2" t="s">
        <v>1864</v>
      </c>
      <c r="B1988" s="2" t="s">
        <v>194</v>
      </c>
      <c r="C1988" s="2" t="s">
        <v>16</v>
      </c>
      <c r="D1988" s="2" t="s">
        <v>2954</v>
      </c>
      <c r="E1988" s="5">
        <v>44880</v>
      </c>
      <c r="F1988" s="2" t="s">
        <v>2954</v>
      </c>
      <c r="G1988" s="2" t="s">
        <v>12</v>
      </c>
      <c r="H1988" s="2" t="s">
        <v>23</v>
      </c>
      <c r="I1988" s="6">
        <v>1</v>
      </c>
      <c r="J1988" s="2" t="str">
        <f t="shared" si="31"/>
        <v>2022-11</v>
      </c>
    </row>
    <row r="1989" spans="1:10" x14ac:dyDescent="0.2">
      <c r="A1989" s="2" t="s">
        <v>1865</v>
      </c>
      <c r="B1989" s="2" t="s">
        <v>1866</v>
      </c>
      <c r="C1989" s="2" t="s">
        <v>11</v>
      </c>
      <c r="D1989" s="2" t="s">
        <v>2954</v>
      </c>
      <c r="E1989" s="5">
        <v>44880</v>
      </c>
      <c r="F1989" s="2">
        <v>441</v>
      </c>
      <c r="G1989" s="2" t="s">
        <v>17</v>
      </c>
      <c r="H1989" s="2" t="s">
        <v>291</v>
      </c>
      <c r="I1989" s="6" t="s">
        <v>2954</v>
      </c>
      <c r="J1989" s="2" t="str">
        <f t="shared" si="31"/>
        <v>2022-11</v>
      </c>
    </row>
    <row r="1990" spans="1:10" x14ac:dyDescent="0.2">
      <c r="A1990" s="2" t="s">
        <v>1867</v>
      </c>
      <c r="B1990" s="2" t="s">
        <v>28</v>
      </c>
      <c r="C1990" s="2" t="s">
        <v>142</v>
      </c>
      <c r="D1990" s="2" t="s">
        <v>2954</v>
      </c>
      <c r="E1990" s="5">
        <v>44880</v>
      </c>
      <c r="F1990" s="2">
        <v>381</v>
      </c>
      <c r="G1990" s="2" t="s">
        <v>12</v>
      </c>
      <c r="H1990" s="2" t="s">
        <v>23</v>
      </c>
      <c r="I1990" s="6">
        <v>0.19</v>
      </c>
      <c r="J1990" s="2" t="str">
        <f t="shared" si="31"/>
        <v>2022-11</v>
      </c>
    </row>
    <row r="1991" spans="1:10" x14ac:dyDescent="0.2">
      <c r="A1991" s="2" t="s">
        <v>1868</v>
      </c>
      <c r="B1991" s="2" t="s">
        <v>284</v>
      </c>
      <c r="C1991" s="2" t="s">
        <v>235</v>
      </c>
      <c r="D1991" s="2" t="s">
        <v>2954</v>
      </c>
      <c r="E1991" s="5">
        <v>44880</v>
      </c>
      <c r="F1991" s="2">
        <v>174</v>
      </c>
      <c r="G1991" s="2" t="s">
        <v>37</v>
      </c>
      <c r="H1991" s="2" t="s">
        <v>23</v>
      </c>
      <c r="I1991" s="6">
        <v>0.12</v>
      </c>
      <c r="J1991" s="2" t="str">
        <f t="shared" si="31"/>
        <v>2022-11</v>
      </c>
    </row>
    <row r="1992" spans="1:10" x14ac:dyDescent="0.2">
      <c r="A1992" s="2" t="s">
        <v>1869</v>
      </c>
      <c r="B1992" s="2" t="s">
        <v>878</v>
      </c>
      <c r="C1992" s="2" t="s">
        <v>29</v>
      </c>
      <c r="D1992" s="2" t="s">
        <v>2954</v>
      </c>
      <c r="E1992" s="5">
        <v>44880</v>
      </c>
      <c r="F1992" s="2">
        <v>382</v>
      </c>
      <c r="G1992" s="2" t="s">
        <v>17</v>
      </c>
      <c r="H1992" s="2" t="s">
        <v>23</v>
      </c>
      <c r="I1992" s="6">
        <v>0.11</v>
      </c>
      <c r="J1992" s="2" t="str">
        <f t="shared" si="31"/>
        <v>2022-11</v>
      </c>
    </row>
    <row r="1993" spans="1:10" x14ac:dyDescent="0.2">
      <c r="A1993" s="2" t="s">
        <v>1361</v>
      </c>
      <c r="B1993" s="2" t="s">
        <v>628</v>
      </c>
      <c r="C1993" s="2" t="s">
        <v>35</v>
      </c>
      <c r="D1993" s="2" t="s">
        <v>2954</v>
      </c>
      <c r="E1993" s="5">
        <v>44880</v>
      </c>
      <c r="F1993" s="2">
        <v>12600</v>
      </c>
      <c r="G1993" s="2" t="s">
        <v>17</v>
      </c>
      <c r="H1993" s="2" t="s">
        <v>224</v>
      </c>
      <c r="I1993" s="6" t="s">
        <v>2954</v>
      </c>
      <c r="J1993" s="2" t="str">
        <f t="shared" si="31"/>
        <v>2022-11</v>
      </c>
    </row>
    <row r="1994" spans="1:10" x14ac:dyDescent="0.2">
      <c r="A1994" s="2" t="s">
        <v>1870</v>
      </c>
      <c r="B1994" s="2" t="s">
        <v>165</v>
      </c>
      <c r="C1994" s="2" t="s">
        <v>26</v>
      </c>
      <c r="D1994" s="2" t="s">
        <v>2954</v>
      </c>
      <c r="E1994" s="5">
        <v>44880</v>
      </c>
      <c r="F1994" s="2">
        <v>187</v>
      </c>
      <c r="G1994" s="2" t="s">
        <v>66</v>
      </c>
      <c r="H1994" s="2" t="s">
        <v>120</v>
      </c>
      <c r="I1994" s="6" t="s">
        <v>2954</v>
      </c>
      <c r="J1994" s="2" t="str">
        <f t="shared" si="31"/>
        <v>2022-11</v>
      </c>
    </row>
    <row r="1995" spans="1:10" x14ac:dyDescent="0.2">
      <c r="A1995" s="2" t="s">
        <v>1871</v>
      </c>
      <c r="B1995" s="2" t="s">
        <v>831</v>
      </c>
      <c r="C1995" s="2" t="s">
        <v>29</v>
      </c>
      <c r="D1995" s="2" t="s">
        <v>2954</v>
      </c>
      <c r="E1995" s="5">
        <v>44880</v>
      </c>
      <c r="F1995" s="2">
        <v>68</v>
      </c>
      <c r="G1995" s="2" t="s">
        <v>17</v>
      </c>
      <c r="H1995" s="2" t="s">
        <v>274</v>
      </c>
      <c r="I1995" s="6">
        <v>0.3</v>
      </c>
      <c r="J1995" s="2" t="str">
        <f t="shared" si="31"/>
        <v>2022-11</v>
      </c>
    </row>
    <row r="1996" spans="1:10" x14ac:dyDescent="0.2">
      <c r="A1996" s="2" t="s">
        <v>342</v>
      </c>
      <c r="B1996" s="2" t="s">
        <v>64</v>
      </c>
      <c r="C1996" s="2" t="s">
        <v>32</v>
      </c>
      <c r="D1996" s="2">
        <v>500</v>
      </c>
      <c r="E1996" s="5">
        <v>44879</v>
      </c>
      <c r="F1996" s="2">
        <v>28</v>
      </c>
      <c r="G1996" s="2" t="s">
        <v>17</v>
      </c>
      <c r="H1996" s="2" t="s">
        <v>23</v>
      </c>
      <c r="I1996" s="6">
        <v>0.05</v>
      </c>
      <c r="J1996" s="2" t="str">
        <f t="shared" si="31"/>
        <v>2022-11</v>
      </c>
    </row>
    <row r="1997" spans="1:10" x14ac:dyDescent="0.2">
      <c r="A1997" s="2" t="s">
        <v>1872</v>
      </c>
      <c r="B1997" s="2" t="s">
        <v>647</v>
      </c>
      <c r="C1997" s="2" t="s">
        <v>32</v>
      </c>
      <c r="D1997" s="2">
        <v>500</v>
      </c>
      <c r="E1997" s="5">
        <v>44879</v>
      </c>
      <c r="F1997" s="2">
        <v>791</v>
      </c>
      <c r="G1997" s="2" t="s">
        <v>17</v>
      </c>
      <c r="H1997" s="2" t="s">
        <v>23</v>
      </c>
      <c r="I1997" s="6" t="s">
        <v>2954</v>
      </c>
      <c r="J1997" s="2" t="str">
        <f t="shared" si="31"/>
        <v>2022-11</v>
      </c>
    </row>
    <row r="1998" spans="1:10" x14ac:dyDescent="0.2">
      <c r="A1998" s="2" t="s">
        <v>1873</v>
      </c>
      <c r="B1998" s="2" t="s">
        <v>1874</v>
      </c>
      <c r="C1998" s="2" t="s">
        <v>117</v>
      </c>
      <c r="D1998" s="2">
        <v>300</v>
      </c>
      <c r="E1998" s="5">
        <v>44879</v>
      </c>
      <c r="F1998" s="2">
        <v>200</v>
      </c>
      <c r="G1998" s="2" t="s">
        <v>199</v>
      </c>
      <c r="H1998" s="2" t="s">
        <v>23</v>
      </c>
      <c r="I1998" s="6">
        <v>0.2</v>
      </c>
      <c r="J1998" s="2" t="str">
        <f t="shared" si="31"/>
        <v>2022-11</v>
      </c>
    </row>
    <row r="1999" spans="1:10" x14ac:dyDescent="0.2">
      <c r="A1999" s="2" t="s">
        <v>1875</v>
      </c>
      <c r="B1999" s="2" t="s">
        <v>25</v>
      </c>
      <c r="C1999" s="2" t="s">
        <v>148</v>
      </c>
      <c r="D1999" s="2">
        <v>170</v>
      </c>
      <c r="E1999" s="5">
        <v>44879</v>
      </c>
      <c r="F1999" s="2">
        <v>405</v>
      </c>
      <c r="G1999" s="2" t="s">
        <v>66</v>
      </c>
      <c r="H1999" s="2" t="s">
        <v>23</v>
      </c>
      <c r="I1999" s="6">
        <v>0.85</v>
      </c>
      <c r="J1999" s="2" t="str">
        <f t="shared" si="31"/>
        <v>2022-11</v>
      </c>
    </row>
    <row r="2000" spans="1:10" x14ac:dyDescent="0.2">
      <c r="A2000" s="2" t="s">
        <v>542</v>
      </c>
      <c r="B2000" s="2" t="s">
        <v>416</v>
      </c>
      <c r="C2000" s="2" t="s">
        <v>50</v>
      </c>
      <c r="D2000" s="2">
        <v>143</v>
      </c>
      <c r="E2000" s="5">
        <v>44879</v>
      </c>
      <c r="F2000" s="2">
        <v>90</v>
      </c>
      <c r="G2000" s="2" t="s">
        <v>199</v>
      </c>
      <c r="H2000" s="2" t="s">
        <v>417</v>
      </c>
      <c r="I2000" s="6">
        <v>0.15</v>
      </c>
      <c r="J2000" s="2" t="str">
        <f t="shared" si="31"/>
        <v>2022-11</v>
      </c>
    </row>
    <row r="2001" spans="1:10" x14ac:dyDescent="0.2">
      <c r="A2001" s="2" t="s">
        <v>1876</v>
      </c>
      <c r="B2001" s="2" t="s">
        <v>34</v>
      </c>
      <c r="C2001" s="2" t="s">
        <v>113</v>
      </c>
      <c r="D2001" s="2">
        <v>124</v>
      </c>
      <c r="E2001" s="5">
        <v>44879</v>
      </c>
      <c r="F2001" s="2">
        <v>240</v>
      </c>
      <c r="G2001" s="2" t="s">
        <v>75</v>
      </c>
      <c r="H2001" s="2" t="s">
        <v>23</v>
      </c>
      <c r="I2001" s="6">
        <v>0.13</v>
      </c>
      <c r="J2001" s="2" t="str">
        <f t="shared" si="31"/>
        <v>2022-11</v>
      </c>
    </row>
    <row r="2002" spans="1:10" x14ac:dyDescent="0.2">
      <c r="A2002" s="2" t="s">
        <v>1877</v>
      </c>
      <c r="B2002" s="2" t="s">
        <v>47</v>
      </c>
      <c r="C2002" s="2" t="s">
        <v>32</v>
      </c>
      <c r="D2002" s="2">
        <v>90</v>
      </c>
      <c r="E2002" s="5">
        <v>44879</v>
      </c>
      <c r="F2002" s="2">
        <v>347</v>
      </c>
      <c r="G2002" s="2" t="s">
        <v>17</v>
      </c>
      <c r="H2002" s="2" t="s">
        <v>23</v>
      </c>
      <c r="I2002" s="6" t="s">
        <v>2954</v>
      </c>
      <c r="J2002" s="2" t="str">
        <f t="shared" si="31"/>
        <v>2022-11</v>
      </c>
    </row>
    <row r="2003" spans="1:10" x14ac:dyDescent="0.2">
      <c r="A2003" s="2" t="s">
        <v>1200</v>
      </c>
      <c r="B2003" s="2" t="s">
        <v>89</v>
      </c>
      <c r="C2003" s="2" t="s">
        <v>32</v>
      </c>
      <c r="D2003" s="2">
        <v>59</v>
      </c>
      <c r="E2003" s="5">
        <v>44879</v>
      </c>
      <c r="F2003" s="2">
        <v>409</v>
      </c>
      <c r="G2003" s="2" t="s">
        <v>17</v>
      </c>
      <c r="H2003" s="2" t="s">
        <v>23</v>
      </c>
      <c r="I2003" s="6">
        <v>0.22</v>
      </c>
      <c r="J2003" s="2" t="str">
        <f t="shared" si="31"/>
        <v>2022-11</v>
      </c>
    </row>
    <row r="2004" spans="1:10" x14ac:dyDescent="0.2">
      <c r="A2004" s="2" t="s">
        <v>1878</v>
      </c>
      <c r="B2004" s="2" t="s">
        <v>115</v>
      </c>
      <c r="C2004" s="2" t="s">
        <v>26</v>
      </c>
      <c r="D2004" s="2">
        <v>51</v>
      </c>
      <c r="E2004" s="5">
        <v>44879</v>
      </c>
      <c r="F2004" s="2">
        <v>212</v>
      </c>
      <c r="G2004" s="2" t="s">
        <v>17</v>
      </c>
      <c r="H2004" s="2" t="s">
        <v>23</v>
      </c>
      <c r="I2004" s="6" t="s">
        <v>2954</v>
      </c>
      <c r="J2004" s="2" t="str">
        <f t="shared" si="31"/>
        <v>2022-11</v>
      </c>
    </row>
    <row r="2005" spans="1:10" x14ac:dyDescent="0.2">
      <c r="A2005" s="2" t="s">
        <v>1879</v>
      </c>
      <c r="B2005" s="2" t="s">
        <v>34</v>
      </c>
      <c r="C2005" s="2" t="s">
        <v>235</v>
      </c>
      <c r="D2005" s="2">
        <v>40</v>
      </c>
      <c r="E2005" s="5">
        <v>44879</v>
      </c>
      <c r="F2005" s="2">
        <v>100</v>
      </c>
      <c r="G2005" s="2" t="s">
        <v>12</v>
      </c>
      <c r="H2005" s="2" t="s">
        <v>23</v>
      </c>
      <c r="I2005" s="6">
        <v>0.08</v>
      </c>
      <c r="J2005" s="2" t="str">
        <f t="shared" si="31"/>
        <v>2022-11</v>
      </c>
    </row>
    <row r="2006" spans="1:10" x14ac:dyDescent="0.2">
      <c r="A2006" s="2" t="s">
        <v>1880</v>
      </c>
      <c r="B2006" s="2" t="s">
        <v>203</v>
      </c>
      <c r="C2006" s="2" t="s">
        <v>22</v>
      </c>
      <c r="D2006" s="2">
        <v>30</v>
      </c>
      <c r="E2006" s="5">
        <v>44879</v>
      </c>
      <c r="F2006" s="2">
        <v>6</v>
      </c>
      <c r="G2006" s="2" t="s">
        <v>132</v>
      </c>
      <c r="H2006" s="2" t="s">
        <v>204</v>
      </c>
      <c r="I2006" s="6" t="s">
        <v>2954</v>
      </c>
      <c r="J2006" s="2" t="str">
        <f t="shared" si="31"/>
        <v>2022-11</v>
      </c>
    </row>
    <row r="2007" spans="1:10" x14ac:dyDescent="0.2">
      <c r="A2007" s="2" t="s">
        <v>1460</v>
      </c>
      <c r="B2007" s="2" t="s">
        <v>203</v>
      </c>
      <c r="C2007" s="2" t="s">
        <v>52</v>
      </c>
      <c r="D2007" s="2">
        <v>20</v>
      </c>
      <c r="E2007" s="5">
        <v>44879</v>
      </c>
      <c r="F2007" s="2">
        <v>12</v>
      </c>
      <c r="G2007" s="2" t="s">
        <v>12</v>
      </c>
      <c r="H2007" s="2" t="s">
        <v>204</v>
      </c>
      <c r="I2007" s="6" t="s">
        <v>2954</v>
      </c>
      <c r="J2007" s="2" t="str">
        <f t="shared" si="31"/>
        <v>2022-11</v>
      </c>
    </row>
    <row r="2008" spans="1:10" x14ac:dyDescent="0.2">
      <c r="A2008" s="2" t="s">
        <v>1286</v>
      </c>
      <c r="B2008" s="2" t="s">
        <v>398</v>
      </c>
      <c r="C2008" s="2" t="s">
        <v>11</v>
      </c>
      <c r="D2008" s="2" t="s">
        <v>2954</v>
      </c>
      <c r="E2008" s="5">
        <v>44879</v>
      </c>
      <c r="F2008" s="2" t="s">
        <v>2954</v>
      </c>
      <c r="G2008" s="2" t="s">
        <v>12</v>
      </c>
      <c r="H2008" s="2" t="s">
        <v>399</v>
      </c>
      <c r="I2008" s="6" t="s">
        <v>2954</v>
      </c>
      <c r="J2008" s="2" t="str">
        <f t="shared" si="31"/>
        <v>2022-11</v>
      </c>
    </row>
    <row r="2009" spans="1:10" x14ac:dyDescent="0.2">
      <c r="A2009" s="2" t="s">
        <v>1881</v>
      </c>
      <c r="B2009" s="2" t="s">
        <v>34</v>
      </c>
      <c r="C2009" s="2" t="s">
        <v>32</v>
      </c>
      <c r="D2009" s="2" t="s">
        <v>2954</v>
      </c>
      <c r="E2009" s="5">
        <v>44879</v>
      </c>
      <c r="F2009" s="2">
        <v>624</v>
      </c>
      <c r="G2009" s="2" t="s">
        <v>17</v>
      </c>
      <c r="H2009" s="2" t="s">
        <v>23</v>
      </c>
      <c r="I2009" s="7" t="s">
        <v>1638</v>
      </c>
      <c r="J2009" s="2" t="str">
        <f t="shared" si="31"/>
        <v>2022-11</v>
      </c>
    </row>
    <row r="2010" spans="1:10" x14ac:dyDescent="0.2">
      <c r="A2010" s="2" t="s">
        <v>549</v>
      </c>
      <c r="B2010" s="2" t="s">
        <v>34</v>
      </c>
      <c r="C2010" s="2" t="s">
        <v>148</v>
      </c>
      <c r="D2010" s="2">
        <v>100</v>
      </c>
      <c r="E2010" s="5">
        <v>44876</v>
      </c>
      <c r="F2010" s="2">
        <v>597</v>
      </c>
      <c r="G2010" s="2" t="s">
        <v>75</v>
      </c>
      <c r="H2010" s="2" t="s">
        <v>23</v>
      </c>
      <c r="I2010" s="6">
        <v>0.3</v>
      </c>
      <c r="J2010" s="2" t="str">
        <f t="shared" si="31"/>
        <v>2022-11</v>
      </c>
    </row>
    <row r="2011" spans="1:10" x14ac:dyDescent="0.2">
      <c r="A2011" s="2" t="s">
        <v>1882</v>
      </c>
      <c r="B2011" s="2" t="s">
        <v>74</v>
      </c>
      <c r="C2011" s="2" t="s">
        <v>170</v>
      </c>
      <c r="D2011" s="2">
        <v>60</v>
      </c>
      <c r="E2011" s="5">
        <v>44876</v>
      </c>
      <c r="F2011" s="2">
        <v>593</v>
      </c>
      <c r="G2011" s="2" t="s">
        <v>75</v>
      </c>
      <c r="H2011" s="2" t="s">
        <v>23</v>
      </c>
      <c r="I2011" s="6">
        <v>0.08</v>
      </c>
      <c r="J2011" s="2" t="str">
        <f t="shared" si="31"/>
        <v>2022-11</v>
      </c>
    </row>
    <row r="2012" spans="1:10" x14ac:dyDescent="0.2">
      <c r="A2012" s="2" t="s">
        <v>1883</v>
      </c>
      <c r="B2012" s="2" t="s">
        <v>174</v>
      </c>
      <c r="C2012" s="2" t="s">
        <v>16</v>
      </c>
      <c r="D2012" s="2" t="s">
        <v>2954</v>
      </c>
      <c r="E2012" s="5">
        <v>44876</v>
      </c>
      <c r="F2012" s="2">
        <v>2</v>
      </c>
      <c r="G2012" s="2" t="s">
        <v>132</v>
      </c>
      <c r="H2012" s="2" t="s">
        <v>175</v>
      </c>
      <c r="I2012" s="6" t="s">
        <v>2954</v>
      </c>
      <c r="J2012" s="2" t="str">
        <f t="shared" si="31"/>
        <v>2022-11</v>
      </c>
    </row>
    <row r="2013" spans="1:10" x14ac:dyDescent="0.2">
      <c r="A2013" s="2" t="s">
        <v>1884</v>
      </c>
      <c r="B2013" s="2" t="s">
        <v>115</v>
      </c>
      <c r="C2013" s="2" t="s">
        <v>26</v>
      </c>
      <c r="D2013" s="2" t="s">
        <v>2954</v>
      </c>
      <c r="E2013" s="5">
        <v>44876</v>
      </c>
      <c r="F2013" s="2" t="s">
        <v>2954</v>
      </c>
      <c r="G2013" s="2" t="s">
        <v>45</v>
      </c>
      <c r="H2013" s="2" t="s">
        <v>23</v>
      </c>
      <c r="I2013" s="6" t="s">
        <v>2954</v>
      </c>
      <c r="J2013" s="2" t="str">
        <f t="shared" si="31"/>
        <v>2022-11</v>
      </c>
    </row>
    <row r="2014" spans="1:10" x14ac:dyDescent="0.2">
      <c r="A2014" s="2" t="s">
        <v>1885</v>
      </c>
      <c r="B2014" s="2" t="s">
        <v>250</v>
      </c>
      <c r="C2014" s="2" t="s">
        <v>148</v>
      </c>
      <c r="D2014" s="2" t="s">
        <v>2954</v>
      </c>
      <c r="E2014" s="5">
        <v>44876</v>
      </c>
      <c r="F2014" s="2">
        <v>355</v>
      </c>
      <c r="G2014" s="2" t="s">
        <v>17</v>
      </c>
      <c r="H2014" s="2" t="s">
        <v>23</v>
      </c>
      <c r="I2014" s="6">
        <v>7.0000000000000007E-2</v>
      </c>
      <c r="J2014" s="2" t="str">
        <f t="shared" si="31"/>
        <v>2022-11</v>
      </c>
    </row>
    <row r="2015" spans="1:10" x14ac:dyDescent="0.2">
      <c r="A2015" s="2" t="s">
        <v>1282</v>
      </c>
      <c r="B2015" s="2" t="s">
        <v>398</v>
      </c>
      <c r="C2015" s="2" t="s">
        <v>52</v>
      </c>
      <c r="D2015" s="2">
        <v>1300</v>
      </c>
      <c r="E2015" s="5">
        <v>44875</v>
      </c>
      <c r="F2015" s="2">
        <v>1300</v>
      </c>
      <c r="G2015" s="2" t="s">
        <v>17</v>
      </c>
      <c r="H2015" s="2" t="s">
        <v>399</v>
      </c>
      <c r="I2015" s="6">
        <v>0.12</v>
      </c>
      <c r="J2015" s="2" t="str">
        <f t="shared" si="31"/>
        <v>2022-11</v>
      </c>
    </row>
    <row r="2016" spans="1:10" x14ac:dyDescent="0.2">
      <c r="A2016" s="2" t="s">
        <v>1886</v>
      </c>
      <c r="B2016" s="2" t="s">
        <v>34</v>
      </c>
      <c r="C2016" s="2" t="s">
        <v>35</v>
      </c>
      <c r="D2016" s="2">
        <v>400</v>
      </c>
      <c r="E2016" s="5">
        <v>44875</v>
      </c>
      <c r="F2016" s="2">
        <v>1500</v>
      </c>
      <c r="G2016" s="2" t="s">
        <v>12</v>
      </c>
      <c r="H2016" s="2" t="s">
        <v>23</v>
      </c>
      <c r="I2016" s="6">
        <v>0.3</v>
      </c>
      <c r="J2016" s="2" t="str">
        <f t="shared" si="31"/>
        <v>2022-11</v>
      </c>
    </row>
    <row r="2017" spans="1:10" x14ac:dyDescent="0.2">
      <c r="A2017" s="2" t="s">
        <v>810</v>
      </c>
      <c r="B2017" s="2" t="s">
        <v>34</v>
      </c>
      <c r="C2017" s="2" t="s">
        <v>16</v>
      </c>
      <c r="D2017" s="2">
        <v>100</v>
      </c>
      <c r="E2017" s="5">
        <v>44875</v>
      </c>
      <c r="F2017" s="2">
        <v>665</v>
      </c>
      <c r="G2017" s="2" t="s">
        <v>17</v>
      </c>
      <c r="H2017" s="2" t="s">
        <v>23</v>
      </c>
      <c r="I2017" s="6">
        <v>0.06</v>
      </c>
      <c r="J2017" s="2" t="str">
        <f t="shared" si="31"/>
        <v>2022-11</v>
      </c>
    </row>
    <row r="2018" spans="1:10" x14ac:dyDescent="0.2">
      <c r="A2018" s="2" t="s">
        <v>1887</v>
      </c>
      <c r="B2018" s="2" t="s">
        <v>34</v>
      </c>
      <c r="C2018" s="2" t="s">
        <v>243</v>
      </c>
      <c r="D2018" s="2">
        <v>65</v>
      </c>
      <c r="E2018" s="5">
        <v>44875</v>
      </c>
      <c r="F2018" s="2">
        <v>119</v>
      </c>
      <c r="G2018" s="2" t="s">
        <v>75</v>
      </c>
      <c r="H2018" s="2" t="s">
        <v>23</v>
      </c>
      <c r="I2018" s="6">
        <v>0.27</v>
      </c>
      <c r="J2018" s="2" t="str">
        <f t="shared" si="31"/>
        <v>2022-11</v>
      </c>
    </row>
    <row r="2019" spans="1:10" x14ac:dyDescent="0.2">
      <c r="A2019" s="2" t="s">
        <v>1625</v>
      </c>
      <c r="B2019" s="2" t="s">
        <v>34</v>
      </c>
      <c r="C2019" s="2" t="s">
        <v>22</v>
      </c>
      <c r="D2019" s="2">
        <v>60</v>
      </c>
      <c r="E2019" s="5">
        <v>44875</v>
      </c>
      <c r="F2019" s="2">
        <v>549</v>
      </c>
      <c r="G2019" s="2" t="s">
        <v>17</v>
      </c>
      <c r="H2019" s="2" t="s">
        <v>23</v>
      </c>
      <c r="I2019" s="6" t="s">
        <v>2954</v>
      </c>
      <c r="J2019" s="2" t="str">
        <f t="shared" si="31"/>
        <v>2022-11</v>
      </c>
    </row>
    <row r="2020" spans="1:10" x14ac:dyDescent="0.2">
      <c r="A2020" s="2" t="s">
        <v>1653</v>
      </c>
      <c r="B2020" s="2" t="s">
        <v>34</v>
      </c>
      <c r="C2020" s="2" t="s">
        <v>29</v>
      </c>
      <c r="D2020" s="2">
        <v>45</v>
      </c>
      <c r="E2020" s="5">
        <v>44875</v>
      </c>
      <c r="F2020" s="2">
        <v>326</v>
      </c>
      <c r="G2020" s="2" t="s">
        <v>17</v>
      </c>
      <c r="H2020" s="2" t="s">
        <v>23</v>
      </c>
      <c r="I2020" s="6">
        <v>0.1</v>
      </c>
      <c r="J2020" s="2" t="str">
        <f t="shared" si="31"/>
        <v>2022-11</v>
      </c>
    </row>
    <row r="2021" spans="1:10" x14ac:dyDescent="0.2">
      <c r="A2021" s="2" t="s">
        <v>1888</v>
      </c>
      <c r="B2021" s="2" t="s">
        <v>89</v>
      </c>
      <c r="C2021" s="2" t="s">
        <v>26</v>
      </c>
      <c r="D2021" s="2">
        <v>40</v>
      </c>
      <c r="E2021" s="5">
        <v>44875</v>
      </c>
      <c r="F2021" s="2">
        <v>18</v>
      </c>
      <c r="G2021" s="2" t="s">
        <v>12</v>
      </c>
      <c r="H2021" s="2" t="s">
        <v>23</v>
      </c>
      <c r="I2021" s="6" t="s">
        <v>2954</v>
      </c>
      <c r="J2021" s="2" t="str">
        <f t="shared" si="31"/>
        <v>2022-11</v>
      </c>
    </row>
    <row r="2022" spans="1:10" x14ac:dyDescent="0.2">
      <c r="A2022" s="2" t="s">
        <v>1889</v>
      </c>
      <c r="B2022" s="2" t="s">
        <v>229</v>
      </c>
      <c r="C2022" s="2" t="s">
        <v>22</v>
      </c>
      <c r="D2022" s="2">
        <v>20</v>
      </c>
      <c r="E2022" s="5">
        <v>44875</v>
      </c>
      <c r="F2022" s="2">
        <v>11</v>
      </c>
      <c r="G2022" s="2" t="s">
        <v>41</v>
      </c>
      <c r="H2022" s="2" t="s">
        <v>23</v>
      </c>
      <c r="I2022" s="6">
        <v>0.48</v>
      </c>
      <c r="J2022" s="2" t="str">
        <f t="shared" si="31"/>
        <v>2022-11</v>
      </c>
    </row>
    <row r="2023" spans="1:10" x14ac:dyDescent="0.2">
      <c r="A2023" s="2" t="s">
        <v>1890</v>
      </c>
      <c r="B2023" s="2" t="s">
        <v>250</v>
      </c>
      <c r="C2023" s="2" t="s">
        <v>195</v>
      </c>
      <c r="D2023" s="2" t="s">
        <v>2954</v>
      </c>
      <c r="E2023" s="5">
        <v>44875</v>
      </c>
      <c r="F2023" s="2" t="s">
        <v>2954</v>
      </c>
      <c r="G2023" s="2" t="s">
        <v>12</v>
      </c>
      <c r="H2023" s="2" t="s">
        <v>23</v>
      </c>
      <c r="I2023" s="6">
        <v>0.25</v>
      </c>
      <c r="J2023" s="2" t="str">
        <f t="shared" si="31"/>
        <v>2022-11</v>
      </c>
    </row>
    <row r="2024" spans="1:10" x14ac:dyDescent="0.2">
      <c r="A2024" s="2" t="s">
        <v>1197</v>
      </c>
      <c r="B2024" s="2" t="s">
        <v>34</v>
      </c>
      <c r="C2024" s="2" t="s">
        <v>61</v>
      </c>
      <c r="D2024" s="2" t="s">
        <v>2954</v>
      </c>
      <c r="E2024" s="5">
        <v>44875</v>
      </c>
      <c r="F2024" s="2">
        <v>81</v>
      </c>
      <c r="G2024" s="2" t="s">
        <v>37</v>
      </c>
      <c r="H2024" s="2" t="s">
        <v>23</v>
      </c>
      <c r="I2024" s="6" t="s">
        <v>2954</v>
      </c>
      <c r="J2024" s="2" t="str">
        <f t="shared" si="31"/>
        <v>2022-11</v>
      </c>
    </row>
    <row r="2025" spans="1:10" x14ac:dyDescent="0.2">
      <c r="A2025" s="2" t="s">
        <v>1891</v>
      </c>
      <c r="B2025" s="2" t="s">
        <v>1892</v>
      </c>
      <c r="C2025" s="2" t="s">
        <v>170</v>
      </c>
      <c r="D2025" s="2" t="s">
        <v>2954</v>
      </c>
      <c r="E2025" s="5">
        <v>44875</v>
      </c>
      <c r="F2025" s="2">
        <v>200</v>
      </c>
      <c r="G2025" s="2" t="s">
        <v>66</v>
      </c>
      <c r="H2025" s="2" t="s">
        <v>23</v>
      </c>
      <c r="I2025" s="6">
        <v>0.1</v>
      </c>
      <c r="J2025" s="2" t="str">
        <f t="shared" si="31"/>
        <v>2022-11</v>
      </c>
    </row>
    <row r="2026" spans="1:10" x14ac:dyDescent="0.2">
      <c r="A2026" s="2" t="s">
        <v>1893</v>
      </c>
      <c r="B2026" s="2" t="s">
        <v>273</v>
      </c>
      <c r="C2026" s="2" t="s">
        <v>11</v>
      </c>
      <c r="D2026" s="2" t="s">
        <v>2954</v>
      </c>
      <c r="E2026" s="5">
        <v>44875</v>
      </c>
      <c r="F2026" s="2">
        <v>13</v>
      </c>
      <c r="G2026" s="2" t="s">
        <v>132</v>
      </c>
      <c r="H2026" s="2" t="s">
        <v>274</v>
      </c>
      <c r="I2026" s="6" t="s">
        <v>2954</v>
      </c>
      <c r="J2026" s="2" t="str">
        <f t="shared" si="31"/>
        <v>2022-11</v>
      </c>
    </row>
    <row r="2027" spans="1:10" x14ac:dyDescent="0.2">
      <c r="A2027" s="2" t="s">
        <v>1894</v>
      </c>
      <c r="B2027" s="2" t="s">
        <v>34</v>
      </c>
      <c r="C2027" s="2" t="s">
        <v>68</v>
      </c>
      <c r="D2027" s="2" t="s">
        <v>2954</v>
      </c>
      <c r="E2027" s="5">
        <v>44875</v>
      </c>
      <c r="F2027" s="2" t="s">
        <v>2954</v>
      </c>
      <c r="G2027" s="2" t="s">
        <v>12</v>
      </c>
      <c r="H2027" s="2" t="s">
        <v>23</v>
      </c>
      <c r="I2027" s="6">
        <v>1</v>
      </c>
      <c r="J2027" s="2" t="str">
        <f t="shared" si="31"/>
        <v>2022-11</v>
      </c>
    </row>
    <row r="2028" spans="1:10" x14ac:dyDescent="0.2">
      <c r="A2028" s="2" t="s">
        <v>1895</v>
      </c>
      <c r="B2028" s="2" t="s">
        <v>86</v>
      </c>
      <c r="C2028" s="2" t="s">
        <v>29</v>
      </c>
      <c r="D2028" s="2" t="s">
        <v>2954</v>
      </c>
      <c r="E2028" s="5">
        <v>44875</v>
      </c>
      <c r="F2028" s="2">
        <v>277</v>
      </c>
      <c r="G2028" s="2" t="s">
        <v>66</v>
      </c>
      <c r="H2028" s="2" t="s">
        <v>23</v>
      </c>
      <c r="I2028" s="6" t="s">
        <v>2954</v>
      </c>
      <c r="J2028" s="2" t="str">
        <f t="shared" si="31"/>
        <v>2022-11</v>
      </c>
    </row>
    <row r="2029" spans="1:10" x14ac:dyDescent="0.2">
      <c r="A2029" s="2" t="s">
        <v>241</v>
      </c>
      <c r="B2029" s="2" t="s">
        <v>34</v>
      </c>
      <c r="C2029" s="2" t="s">
        <v>35</v>
      </c>
      <c r="D2029" s="2">
        <v>11000</v>
      </c>
      <c r="E2029" s="5">
        <v>44874</v>
      </c>
      <c r="F2029" s="2">
        <v>26000</v>
      </c>
      <c r="G2029" s="2" t="s">
        <v>17</v>
      </c>
      <c r="H2029" s="2" t="s">
        <v>23</v>
      </c>
      <c r="I2029" s="6">
        <v>0.13</v>
      </c>
      <c r="J2029" s="2" t="str">
        <f t="shared" si="31"/>
        <v>2022-11</v>
      </c>
    </row>
    <row r="2030" spans="1:10" x14ac:dyDescent="0.2">
      <c r="A2030" s="2" t="s">
        <v>1191</v>
      </c>
      <c r="B2030" s="2" t="s">
        <v>28</v>
      </c>
      <c r="C2030" s="2" t="s">
        <v>148</v>
      </c>
      <c r="D2030" s="2">
        <v>862</v>
      </c>
      <c r="E2030" s="5">
        <v>44874</v>
      </c>
      <c r="F2030" s="2">
        <v>320</v>
      </c>
      <c r="G2030" s="2" t="s">
        <v>17</v>
      </c>
      <c r="H2030" s="2" t="s">
        <v>23</v>
      </c>
      <c r="I2030" s="6">
        <v>0.13</v>
      </c>
      <c r="J2030" s="2" t="str">
        <f t="shared" si="31"/>
        <v>2022-11</v>
      </c>
    </row>
    <row r="2031" spans="1:10" x14ac:dyDescent="0.2">
      <c r="A2031" s="2" t="s">
        <v>502</v>
      </c>
      <c r="B2031" s="2" t="s">
        <v>28</v>
      </c>
      <c r="C2031" s="2" t="s">
        <v>148</v>
      </c>
      <c r="D2031" s="2">
        <v>300</v>
      </c>
      <c r="E2031" s="5">
        <v>44874</v>
      </c>
      <c r="F2031" s="2">
        <v>310</v>
      </c>
      <c r="G2031" s="2" t="s">
        <v>66</v>
      </c>
      <c r="H2031" s="2" t="s">
        <v>23</v>
      </c>
      <c r="I2031" s="6">
        <v>0.4</v>
      </c>
      <c r="J2031" s="2" t="str">
        <f t="shared" si="31"/>
        <v>2022-11</v>
      </c>
    </row>
    <row r="2032" spans="1:10" x14ac:dyDescent="0.2">
      <c r="A2032" s="2" t="s">
        <v>987</v>
      </c>
      <c r="B2032" s="2" t="s">
        <v>47</v>
      </c>
      <c r="C2032" s="2" t="s">
        <v>44</v>
      </c>
      <c r="D2032" s="2">
        <v>144</v>
      </c>
      <c r="E2032" s="5">
        <v>44874</v>
      </c>
      <c r="F2032" s="2">
        <v>686</v>
      </c>
      <c r="G2032" s="2" t="s">
        <v>199</v>
      </c>
      <c r="H2032" s="2" t="s">
        <v>23</v>
      </c>
      <c r="I2032" s="6">
        <v>0.22</v>
      </c>
      <c r="J2032" s="2" t="str">
        <f t="shared" si="31"/>
        <v>2022-11</v>
      </c>
    </row>
    <row r="2033" spans="1:10" x14ac:dyDescent="0.2">
      <c r="A2033" s="2" t="s">
        <v>1896</v>
      </c>
      <c r="B2033" s="2" t="s">
        <v>414</v>
      </c>
      <c r="C2033" s="2" t="s">
        <v>16</v>
      </c>
      <c r="D2033" s="2">
        <v>137</v>
      </c>
      <c r="E2033" s="5">
        <v>44874</v>
      </c>
      <c r="F2033" s="2">
        <v>527</v>
      </c>
      <c r="G2033" s="2" t="s">
        <v>17</v>
      </c>
      <c r="H2033" s="2" t="s">
        <v>23</v>
      </c>
      <c r="I2033" s="6">
        <v>0.2</v>
      </c>
      <c r="J2033" s="2" t="str">
        <f t="shared" si="31"/>
        <v>2022-11</v>
      </c>
    </row>
    <row r="2034" spans="1:10" x14ac:dyDescent="0.2">
      <c r="A2034" s="2" t="s">
        <v>1897</v>
      </c>
      <c r="B2034" s="2" t="s">
        <v>34</v>
      </c>
      <c r="C2034" s="2" t="s">
        <v>26</v>
      </c>
      <c r="D2034" s="2">
        <v>130</v>
      </c>
      <c r="E2034" s="5">
        <v>44874</v>
      </c>
      <c r="F2034" s="2">
        <v>6</v>
      </c>
      <c r="G2034" s="2" t="s">
        <v>45</v>
      </c>
      <c r="H2034" s="2" t="s">
        <v>23</v>
      </c>
      <c r="I2034" s="6">
        <v>0.15</v>
      </c>
      <c r="J2034" s="2" t="str">
        <f t="shared" si="31"/>
        <v>2022-11</v>
      </c>
    </row>
    <row r="2035" spans="1:10" x14ac:dyDescent="0.2">
      <c r="A2035" s="2" t="s">
        <v>892</v>
      </c>
      <c r="B2035" s="2" t="s">
        <v>314</v>
      </c>
      <c r="C2035" s="2" t="s">
        <v>35</v>
      </c>
      <c r="D2035" s="2">
        <v>80</v>
      </c>
      <c r="E2035" s="5">
        <v>44874</v>
      </c>
      <c r="F2035" s="2">
        <v>165</v>
      </c>
      <c r="G2035" s="2" t="s">
        <v>12</v>
      </c>
      <c r="H2035" s="2" t="s">
        <v>23</v>
      </c>
      <c r="I2035" s="6" t="s">
        <v>2954</v>
      </c>
      <c r="J2035" s="2" t="str">
        <f t="shared" si="31"/>
        <v>2022-11</v>
      </c>
    </row>
    <row r="2036" spans="1:10" x14ac:dyDescent="0.2">
      <c r="A2036" s="2" t="s">
        <v>1898</v>
      </c>
      <c r="B2036" s="2" t="s">
        <v>100</v>
      </c>
      <c r="C2036" s="2" t="s">
        <v>32</v>
      </c>
      <c r="D2036" s="2">
        <v>36</v>
      </c>
      <c r="E2036" s="5">
        <v>44874</v>
      </c>
      <c r="F2036" s="2">
        <v>20</v>
      </c>
      <c r="G2036" s="2" t="s">
        <v>41</v>
      </c>
      <c r="H2036" s="2" t="s">
        <v>98</v>
      </c>
      <c r="I2036" s="6">
        <v>0.1</v>
      </c>
      <c r="J2036" s="2" t="str">
        <f t="shared" si="31"/>
        <v>2022-11</v>
      </c>
    </row>
    <row r="2037" spans="1:10" x14ac:dyDescent="0.2">
      <c r="A2037" s="2" t="s">
        <v>1059</v>
      </c>
      <c r="B2037" s="2" t="s">
        <v>34</v>
      </c>
      <c r="C2037" s="2" t="s">
        <v>35</v>
      </c>
      <c r="D2037" s="2">
        <v>35</v>
      </c>
      <c r="E2037" s="5">
        <v>44874</v>
      </c>
      <c r="F2037" s="2">
        <v>244</v>
      </c>
      <c r="G2037" s="2" t="s">
        <v>45</v>
      </c>
      <c r="H2037" s="2" t="s">
        <v>23</v>
      </c>
      <c r="I2037" s="6">
        <v>7.0000000000000007E-2</v>
      </c>
      <c r="J2037" s="2" t="str">
        <f t="shared" si="31"/>
        <v>2022-11</v>
      </c>
    </row>
    <row r="2038" spans="1:10" x14ac:dyDescent="0.2">
      <c r="A2038" s="2" t="s">
        <v>1899</v>
      </c>
      <c r="B2038" s="2" t="s">
        <v>100</v>
      </c>
      <c r="C2038" s="2" t="s">
        <v>16</v>
      </c>
      <c r="D2038" s="2">
        <v>25</v>
      </c>
      <c r="E2038" s="5">
        <v>44874</v>
      </c>
      <c r="F2038" s="2">
        <v>475</v>
      </c>
      <c r="G2038" s="2" t="s">
        <v>66</v>
      </c>
      <c r="H2038" s="2" t="s">
        <v>98</v>
      </c>
      <c r="I2038" s="6" t="s">
        <v>2954</v>
      </c>
      <c r="J2038" s="2" t="str">
        <f t="shared" si="31"/>
        <v>2022-11</v>
      </c>
    </row>
    <row r="2039" spans="1:10" x14ac:dyDescent="0.2">
      <c r="A2039" s="2" t="s">
        <v>1519</v>
      </c>
      <c r="B2039" s="2" t="s">
        <v>15</v>
      </c>
      <c r="C2039" s="2" t="s">
        <v>26</v>
      </c>
      <c r="D2039" s="2">
        <v>25</v>
      </c>
      <c r="E2039" s="5">
        <v>44874</v>
      </c>
      <c r="F2039" s="2">
        <v>69</v>
      </c>
      <c r="G2039" s="2" t="s">
        <v>66</v>
      </c>
      <c r="H2039" s="2" t="s">
        <v>23</v>
      </c>
      <c r="I2039" s="6">
        <v>0.15</v>
      </c>
      <c r="J2039" s="2" t="str">
        <f t="shared" si="31"/>
        <v>2022-11</v>
      </c>
    </row>
    <row r="2040" spans="1:10" x14ac:dyDescent="0.2">
      <c r="A2040" s="2" t="s">
        <v>1900</v>
      </c>
      <c r="B2040" s="2" t="s">
        <v>34</v>
      </c>
      <c r="C2040" s="2" t="s">
        <v>26</v>
      </c>
      <c r="D2040" s="2" t="s">
        <v>2954</v>
      </c>
      <c r="E2040" s="5">
        <v>44874</v>
      </c>
      <c r="F2040" s="2">
        <v>72</v>
      </c>
      <c r="G2040" s="2" t="s">
        <v>45</v>
      </c>
      <c r="H2040" s="2" t="s">
        <v>23</v>
      </c>
      <c r="I2040" s="6" t="s">
        <v>2954</v>
      </c>
      <c r="J2040" s="2" t="str">
        <f t="shared" si="31"/>
        <v>2022-11</v>
      </c>
    </row>
    <row r="2041" spans="1:10" x14ac:dyDescent="0.2">
      <c r="A2041" s="2" t="s">
        <v>1901</v>
      </c>
      <c r="B2041" s="2" t="s">
        <v>779</v>
      </c>
      <c r="C2041" s="2" t="s">
        <v>243</v>
      </c>
      <c r="D2041" s="2" t="s">
        <v>2954</v>
      </c>
      <c r="E2041" s="5">
        <v>44874</v>
      </c>
      <c r="F2041" s="2">
        <v>78</v>
      </c>
      <c r="G2041" s="2" t="s">
        <v>199</v>
      </c>
      <c r="H2041" s="2" t="s">
        <v>780</v>
      </c>
      <c r="I2041" s="6">
        <v>0.12</v>
      </c>
      <c r="J2041" s="2" t="str">
        <f t="shared" si="31"/>
        <v>2022-11</v>
      </c>
    </row>
    <row r="2042" spans="1:10" x14ac:dyDescent="0.2">
      <c r="A2042" s="2" t="s">
        <v>1902</v>
      </c>
      <c r="B2042" s="2" t="s">
        <v>34</v>
      </c>
      <c r="C2042" s="2" t="s">
        <v>61</v>
      </c>
      <c r="D2042" s="2" t="s">
        <v>2954</v>
      </c>
      <c r="E2042" s="5">
        <v>44874</v>
      </c>
      <c r="F2042" s="2">
        <v>458</v>
      </c>
      <c r="G2042" s="2" t="s">
        <v>17</v>
      </c>
      <c r="H2042" s="2" t="s">
        <v>23</v>
      </c>
      <c r="I2042" s="6" t="s">
        <v>2954</v>
      </c>
      <c r="J2042" s="2" t="str">
        <f t="shared" si="31"/>
        <v>2022-11</v>
      </c>
    </row>
    <row r="2043" spans="1:10" x14ac:dyDescent="0.2">
      <c r="A2043" s="2" t="s">
        <v>1903</v>
      </c>
      <c r="B2043" s="2" t="s">
        <v>89</v>
      </c>
      <c r="C2043" s="2" t="s">
        <v>32</v>
      </c>
      <c r="D2043" s="2" t="s">
        <v>2954</v>
      </c>
      <c r="E2043" s="5">
        <v>44874</v>
      </c>
      <c r="F2043" s="2">
        <v>81</v>
      </c>
      <c r="G2043" s="2" t="s">
        <v>37</v>
      </c>
      <c r="H2043" s="2" t="s">
        <v>23</v>
      </c>
      <c r="I2043" s="6">
        <v>1</v>
      </c>
      <c r="J2043" s="2" t="str">
        <f t="shared" si="31"/>
        <v>2022-11</v>
      </c>
    </row>
    <row r="2044" spans="1:10" x14ac:dyDescent="0.2">
      <c r="A2044" s="2" t="s">
        <v>1577</v>
      </c>
      <c r="B2044" s="2" t="s">
        <v>34</v>
      </c>
      <c r="C2044" s="2" t="s">
        <v>29</v>
      </c>
      <c r="D2044" s="2" t="s">
        <v>2954</v>
      </c>
      <c r="E2044" s="5">
        <v>44874</v>
      </c>
      <c r="F2044" s="2">
        <v>44</v>
      </c>
      <c r="G2044" s="2" t="s">
        <v>17</v>
      </c>
      <c r="H2044" s="2" t="s">
        <v>23</v>
      </c>
      <c r="I2044" s="6">
        <v>0.1</v>
      </c>
      <c r="J2044" s="2" t="str">
        <f t="shared" si="31"/>
        <v>2022-11</v>
      </c>
    </row>
    <row r="2045" spans="1:10" x14ac:dyDescent="0.2">
      <c r="A2045" s="2" t="s">
        <v>530</v>
      </c>
      <c r="B2045" s="2" t="s">
        <v>287</v>
      </c>
      <c r="C2045" s="2" t="s">
        <v>235</v>
      </c>
      <c r="D2045" s="2" t="s">
        <v>2954</v>
      </c>
      <c r="E2045" s="5">
        <v>44874</v>
      </c>
      <c r="F2045" s="2">
        <v>2100</v>
      </c>
      <c r="G2045" s="2" t="s">
        <v>17</v>
      </c>
      <c r="H2045" s="2" t="s">
        <v>291</v>
      </c>
      <c r="I2045" s="6" t="s">
        <v>2954</v>
      </c>
      <c r="J2045" s="2" t="str">
        <f t="shared" si="31"/>
        <v>2022-11</v>
      </c>
    </row>
    <row r="2046" spans="1:10" x14ac:dyDescent="0.2">
      <c r="A2046" s="2" t="s">
        <v>1904</v>
      </c>
      <c r="B2046" s="2" t="s">
        <v>89</v>
      </c>
      <c r="C2046" s="2" t="s">
        <v>29</v>
      </c>
      <c r="D2046" s="2">
        <v>200</v>
      </c>
      <c r="E2046" s="5">
        <v>44873</v>
      </c>
      <c r="F2046" s="2">
        <v>476</v>
      </c>
      <c r="G2046" s="2" t="s">
        <v>17</v>
      </c>
      <c r="H2046" s="2" t="s">
        <v>23</v>
      </c>
      <c r="I2046" s="6" t="s">
        <v>2954</v>
      </c>
      <c r="J2046" s="2" t="str">
        <f t="shared" si="31"/>
        <v>2022-11</v>
      </c>
    </row>
    <row r="2047" spans="1:10" x14ac:dyDescent="0.2">
      <c r="A2047" s="2" t="s">
        <v>1905</v>
      </c>
      <c r="B2047" s="2" t="s">
        <v>89</v>
      </c>
      <c r="C2047" s="2" t="s">
        <v>32</v>
      </c>
      <c r="D2047" s="2">
        <v>65</v>
      </c>
      <c r="E2047" s="5">
        <v>44873</v>
      </c>
      <c r="F2047" s="2">
        <v>257</v>
      </c>
      <c r="G2047" s="2" t="s">
        <v>37</v>
      </c>
      <c r="H2047" s="2" t="s">
        <v>23</v>
      </c>
      <c r="I2047" s="6">
        <v>0.5</v>
      </c>
      <c r="J2047" s="2" t="str">
        <f t="shared" si="31"/>
        <v>2022-11</v>
      </c>
    </row>
    <row r="2048" spans="1:10" x14ac:dyDescent="0.2">
      <c r="A2048" s="2" t="s">
        <v>828</v>
      </c>
      <c r="B2048" s="2" t="s">
        <v>34</v>
      </c>
      <c r="C2048" s="2" t="s">
        <v>135</v>
      </c>
      <c r="D2048" s="2" t="s">
        <v>2954</v>
      </c>
      <c r="E2048" s="5">
        <v>44873</v>
      </c>
      <c r="F2048" s="2">
        <v>300</v>
      </c>
      <c r="G2048" s="2" t="s">
        <v>17</v>
      </c>
      <c r="H2048" s="2" t="s">
        <v>23</v>
      </c>
      <c r="I2048" s="6">
        <v>0.16</v>
      </c>
      <c r="J2048" s="2" t="str">
        <f t="shared" si="31"/>
        <v>2022-11</v>
      </c>
    </row>
    <row r="2049" spans="1:10" x14ac:dyDescent="0.2">
      <c r="A2049" s="2" t="s">
        <v>1906</v>
      </c>
      <c r="B2049" s="2" t="s">
        <v>1907</v>
      </c>
      <c r="C2049" s="2" t="s">
        <v>52</v>
      </c>
      <c r="D2049" s="2" t="s">
        <v>2954</v>
      </c>
      <c r="E2049" s="5">
        <v>44873</v>
      </c>
      <c r="F2049" s="2">
        <v>6</v>
      </c>
      <c r="G2049" s="2" t="s">
        <v>37</v>
      </c>
      <c r="H2049" s="2" t="s">
        <v>1908</v>
      </c>
      <c r="I2049" s="6" t="s">
        <v>2954</v>
      </c>
      <c r="J2049" s="2" t="str">
        <f t="shared" si="31"/>
        <v>2022-11</v>
      </c>
    </row>
    <row r="2050" spans="1:10" x14ac:dyDescent="0.2">
      <c r="A2050" s="2" t="s">
        <v>1909</v>
      </c>
      <c r="B2050" s="2" t="s">
        <v>28</v>
      </c>
      <c r="C2050" s="2" t="s">
        <v>32</v>
      </c>
      <c r="D2050" s="2" t="s">
        <v>2954</v>
      </c>
      <c r="E2050" s="5">
        <v>44873</v>
      </c>
      <c r="F2050" s="2">
        <v>731</v>
      </c>
      <c r="G2050" s="2" t="s">
        <v>17</v>
      </c>
      <c r="H2050" s="2" t="s">
        <v>23</v>
      </c>
      <c r="I2050" s="6">
        <v>0.1</v>
      </c>
      <c r="J2050" s="2" t="str">
        <f t="shared" si="31"/>
        <v>2022-11</v>
      </c>
    </row>
    <row r="2051" spans="1:10" x14ac:dyDescent="0.2">
      <c r="A2051" s="2" t="s">
        <v>1910</v>
      </c>
      <c r="B2051" s="2" t="s">
        <v>47</v>
      </c>
      <c r="C2051" s="2" t="s">
        <v>29</v>
      </c>
      <c r="D2051" s="2" t="s">
        <v>2954</v>
      </c>
      <c r="E2051" s="5">
        <v>44873</v>
      </c>
      <c r="F2051" s="2" t="s">
        <v>2954</v>
      </c>
      <c r="G2051" s="2" t="s">
        <v>45</v>
      </c>
      <c r="H2051" s="2" t="s">
        <v>23</v>
      </c>
      <c r="I2051" s="6">
        <v>0.11</v>
      </c>
      <c r="J2051" s="2" t="str">
        <f t="shared" ref="J2051:J2114" si="32">TEXT(E2051,"YYYY-MM")</f>
        <v>2022-11</v>
      </c>
    </row>
    <row r="2052" spans="1:10" x14ac:dyDescent="0.2">
      <c r="A2052" s="2" t="s">
        <v>368</v>
      </c>
      <c r="B2052" s="2" t="s">
        <v>34</v>
      </c>
      <c r="C2052" s="2" t="s">
        <v>50</v>
      </c>
      <c r="D2052" s="2">
        <v>1000</v>
      </c>
      <c r="E2052" s="5">
        <v>44872</v>
      </c>
      <c r="F2052" s="2">
        <v>65</v>
      </c>
      <c r="G2052" s="2" t="s">
        <v>17</v>
      </c>
      <c r="H2052" s="2" t="s">
        <v>23</v>
      </c>
      <c r="I2052" s="6">
        <v>0.01</v>
      </c>
      <c r="J2052" s="2" t="str">
        <f t="shared" si="32"/>
        <v>2022-11</v>
      </c>
    </row>
    <row r="2053" spans="1:10" x14ac:dyDescent="0.2">
      <c r="A2053" s="2" t="s">
        <v>1226</v>
      </c>
      <c r="B2053" s="2" t="s">
        <v>100</v>
      </c>
      <c r="C2053" s="2" t="s">
        <v>61</v>
      </c>
      <c r="D2053" s="2">
        <v>350</v>
      </c>
      <c r="E2053" s="5">
        <v>44872</v>
      </c>
      <c r="F2053" s="2">
        <v>838</v>
      </c>
      <c r="G2053" s="2" t="s">
        <v>81</v>
      </c>
      <c r="H2053" s="2" t="s">
        <v>98</v>
      </c>
      <c r="I2053" s="6">
        <v>0.1</v>
      </c>
      <c r="J2053" s="2" t="str">
        <f t="shared" si="32"/>
        <v>2022-11</v>
      </c>
    </row>
    <row r="2054" spans="1:10" x14ac:dyDescent="0.2">
      <c r="A2054" s="2" t="s">
        <v>1048</v>
      </c>
      <c r="B2054" s="2" t="s">
        <v>34</v>
      </c>
      <c r="C2054" s="2" t="s">
        <v>113</v>
      </c>
      <c r="D2054" s="2">
        <v>350</v>
      </c>
      <c r="E2054" s="5">
        <v>44872</v>
      </c>
      <c r="F2054" s="2">
        <v>85</v>
      </c>
      <c r="G2054" s="2" t="s">
        <v>45</v>
      </c>
      <c r="H2054" s="2" t="s">
        <v>23</v>
      </c>
      <c r="I2054" s="6">
        <v>0.05</v>
      </c>
      <c r="J2054" s="2" t="str">
        <f t="shared" si="32"/>
        <v>2022-11</v>
      </c>
    </row>
    <row r="2055" spans="1:10" x14ac:dyDescent="0.2">
      <c r="A2055" s="2" t="s">
        <v>1911</v>
      </c>
      <c r="B2055" s="2" t="s">
        <v>661</v>
      </c>
      <c r="C2055" s="2" t="s">
        <v>16</v>
      </c>
      <c r="D2055" s="2">
        <v>190</v>
      </c>
      <c r="E2055" s="5">
        <v>44872</v>
      </c>
      <c r="F2055" s="2">
        <v>280</v>
      </c>
      <c r="G2055" s="2" t="s">
        <v>199</v>
      </c>
      <c r="H2055" s="2" t="s">
        <v>662</v>
      </c>
      <c r="I2055" s="6">
        <v>0.12</v>
      </c>
      <c r="J2055" s="2" t="str">
        <f t="shared" si="32"/>
        <v>2022-11</v>
      </c>
    </row>
    <row r="2056" spans="1:10" x14ac:dyDescent="0.2">
      <c r="A2056" s="2" t="s">
        <v>894</v>
      </c>
      <c r="B2056" s="2" t="s">
        <v>378</v>
      </c>
      <c r="C2056" s="2" t="s">
        <v>195</v>
      </c>
      <c r="D2056" s="2" t="s">
        <v>2954</v>
      </c>
      <c r="E2056" s="5">
        <v>44872</v>
      </c>
      <c r="F2056" s="2">
        <v>137</v>
      </c>
      <c r="G2056" s="2" t="s">
        <v>12</v>
      </c>
      <c r="H2056" s="2" t="s">
        <v>23</v>
      </c>
      <c r="I2056" s="6">
        <v>0.15</v>
      </c>
      <c r="J2056" s="2" t="str">
        <f t="shared" si="32"/>
        <v>2022-11</v>
      </c>
    </row>
    <row r="2057" spans="1:10" x14ac:dyDescent="0.2">
      <c r="A2057" s="2" t="s">
        <v>1912</v>
      </c>
      <c r="B2057" s="2" t="s">
        <v>34</v>
      </c>
      <c r="C2057" s="2" t="s">
        <v>243</v>
      </c>
      <c r="D2057" s="2" t="s">
        <v>2954</v>
      </c>
      <c r="E2057" s="5">
        <v>44872</v>
      </c>
      <c r="F2057" s="2">
        <v>223</v>
      </c>
      <c r="G2057" s="2" t="s">
        <v>62</v>
      </c>
      <c r="H2057" s="2" t="s">
        <v>23</v>
      </c>
      <c r="I2057" s="6">
        <v>0.25</v>
      </c>
      <c r="J2057" s="2" t="str">
        <f t="shared" si="32"/>
        <v>2022-11</v>
      </c>
    </row>
    <row r="2058" spans="1:10" x14ac:dyDescent="0.2">
      <c r="A2058" s="2" t="s">
        <v>1913</v>
      </c>
      <c r="B2058" s="2" t="s">
        <v>25</v>
      </c>
      <c r="C2058" s="2" t="s">
        <v>195</v>
      </c>
      <c r="D2058" s="2">
        <v>110</v>
      </c>
      <c r="E2058" s="5">
        <v>44871</v>
      </c>
      <c r="F2058" s="2">
        <v>30</v>
      </c>
      <c r="G2058" s="2" t="s">
        <v>17</v>
      </c>
      <c r="H2058" s="2" t="s">
        <v>23</v>
      </c>
      <c r="I2058" s="6">
        <v>0.05</v>
      </c>
      <c r="J2058" s="2" t="str">
        <f t="shared" si="32"/>
        <v>2022-11</v>
      </c>
    </row>
    <row r="2059" spans="1:10" x14ac:dyDescent="0.2">
      <c r="A2059" s="2" t="s">
        <v>1066</v>
      </c>
      <c r="B2059" s="2" t="s">
        <v>277</v>
      </c>
      <c r="C2059" s="2" t="s">
        <v>61</v>
      </c>
      <c r="D2059" s="2">
        <v>25</v>
      </c>
      <c r="E2059" s="5">
        <v>44871</v>
      </c>
      <c r="F2059" s="2">
        <v>148</v>
      </c>
      <c r="G2059" s="2" t="s">
        <v>75</v>
      </c>
      <c r="H2059" s="2" t="s">
        <v>278</v>
      </c>
      <c r="I2059" s="6" t="s">
        <v>2954</v>
      </c>
      <c r="J2059" s="2" t="str">
        <f t="shared" si="32"/>
        <v>2022-11</v>
      </c>
    </row>
    <row r="2060" spans="1:10" x14ac:dyDescent="0.2">
      <c r="A2060" s="2" t="s">
        <v>1914</v>
      </c>
      <c r="B2060" s="2" t="s">
        <v>1915</v>
      </c>
      <c r="C2060" s="2" t="s">
        <v>61</v>
      </c>
      <c r="D2060" s="2" t="s">
        <v>2954</v>
      </c>
      <c r="E2060" s="5">
        <v>44871</v>
      </c>
      <c r="F2060" s="2">
        <v>14</v>
      </c>
      <c r="G2060" s="2" t="s">
        <v>12</v>
      </c>
      <c r="H2060" s="2" t="s">
        <v>98</v>
      </c>
      <c r="I2060" s="6" t="s">
        <v>2954</v>
      </c>
      <c r="J2060" s="2" t="str">
        <f t="shared" si="32"/>
        <v>2022-11</v>
      </c>
    </row>
    <row r="2061" spans="1:10" x14ac:dyDescent="0.2">
      <c r="A2061" s="2" t="s">
        <v>1330</v>
      </c>
      <c r="B2061" s="2" t="s">
        <v>34</v>
      </c>
      <c r="C2061" s="2" t="s">
        <v>35</v>
      </c>
      <c r="D2061" s="2">
        <v>3700</v>
      </c>
      <c r="E2061" s="5">
        <v>44869</v>
      </c>
      <c r="F2061" s="2">
        <v>12900</v>
      </c>
      <c r="G2061" s="2" t="s">
        <v>17</v>
      </c>
      <c r="H2061" s="2" t="s">
        <v>23</v>
      </c>
      <c r="I2061" s="6">
        <v>0.5</v>
      </c>
      <c r="J2061" s="2" t="str">
        <f t="shared" si="32"/>
        <v>2022-11</v>
      </c>
    </row>
    <row r="2062" spans="1:10" x14ac:dyDescent="0.2">
      <c r="A2062" s="2" t="s">
        <v>490</v>
      </c>
      <c r="B2062" s="2" t="s">
        <v>100</v>
      </c>
      <c r="C2062" s="2" t="s">
        <v>142</v>
      </c>
      <c r="D2062" s="2">
        <v>350</v>
      </c>
      <c r="E2062" s="5">
        <v>44869</v>
      </c>
      <c r="F2062" s="2">
        <v>1500</v>
      </c>
      <c r="G2062" s="2" t="s">
        <v>12</v>
      </c>
      <c r="H2062" s="2" t="s">
        <v>98</v>
      </c>
      <c r="I2062" s="6" t="s">
        <v>2954</v>
      </c>
      <c r="J2062" s="2" t="str">
        <f t="shared" si="32"/>
        <v>2022-11</v>
      </c>
    </row>
    <row r="2063" spans="1:10" x14ac:dyDescent="0.2">
      <c r="A2063" s="2" t="s">
        <v>1916</v>
      </c>
      <c r="B2063" s="2" t="s">
        <v>74</v>
      </c>
      <c r="C2063" s="2" t="s">
        <v>29</v>
      </c>
      <c r="D2063" s="2">
        <v>200</v>
      </c>
      <c r="E2063" s="5">
        <v>44869</v>
      </c>
      <c r="F2063" s="2">
        <v>5</v>
      </c>
      <c r="G2063" s="2" t="s">
        <v>45</v>
      </c>
      <c r="H2063" s="2" t="s">
        <v>76</v>
      </c>
      <c r="I2063" s="6">
        <v>1</v>
      </c>
      <c r="J2063" s="2" t="str">
        <f t="shared" si="32"/>
        <v>2022-11</v>
      </c>
    </row>
    <row r="2064" spans="1:10" x14ac:dyDescent="0.2">
      <c r="A2064" s="2" t="s">
        <v>1917</v>
      </c>
      <c r="B2064" s="2" t="s">
        <v>398</v>
      </c>
      <c r="C2064" s="2" t="s">
        <v>16</v>
      </c>
      <c r="D2064" s="2">
        <v>70</v>
      </c>
      <c r="E2064" s="5">
        <v>44869</v>
      </c>
      <c r="F2064" s="2">
        <v>180</v>
      </c>
      <c r="G2064" s="2" t="s">
        <v>12</v>
      </c>
      <c r="H2064" s="2" t="s">
        <v>399</v>
      </c>
      <c r="I2064" s="6">
        <v>0.08</v>
      </c>
      <c r="J2064" s="2" t="str">
        <f t="shared" si="32"/>
        <v>2022-11</v>
      </c>
    </row>
    <row r="2065" spans="1:10" x14ac:dyDescent="0.2">
      <c r="A2065" s="2" t="s">
        <v>1918</v>
      </c>
      <c r="B2065" s="2" t="s">
        <v>1919</v>
      </c>
      <c r="C2065" s="2" t="s">
        <v>22</v>
      </c>
      <c r="D2065" s="2">
        <v>59</v>
      </c>
      <c r="E2065" s="5">
        <v>44869</v>
      </c>
      <c r="F2065" s="2">
        <v>60</v>
      </c>
      <c r="G2065" s="2" t="s">
        <v>12</v>
      </c>
      <c r="H2065" s="2" t="s">
        <v>23</v>
      </c>
      <c r="I2065" s="6">
        <v>0.22</v>
      </c>
      <c r="J2065" s="2" t="str">
        <f t="shared" si="32"/>
        <v>2022-11</v>
      </c>
    </row>
    <row r="2066" spans="1:10" x14ac:dyDescent="0.2">
      <c r="A2066" s="2" t="s">
        <v>1920</v>
      </c>
      <c r="B2066" s="2" t="s">
        <v>25</v>
      </c>
      <c r="C2066" s="2" t="s">
        <v>142</v>
      </c>
      <c r="D2066" s="2" t="s">
        <v>2954</v>
      </c>
      <c r="E2066" s="5">
        <v>44869</v>
      </c>
      <c r="F2066" s="2">
        <v>380</v>
      </c>
      <c r="G2066" s="2" t="s">
        <v>41</v>
      </c>
      <c r="H2066" s="2" t="s">
        <v>23</v>
      </c>
      <c r="I2066" s="6">
        <v>0.14000000000000001</v>
      </c>
      <c r="J2066" s="2" t="str">
        <f t="shared" si="32"/>
        <v>2022-11</v>
      </c>
    </row>
    <row r="2067" spans="1:10" x14ac:dyDescent="0.2">
      <c r="A2067" s="2" t="s">
        <v>1921</v>
      </c>
      <c r="B2067" s="2" t="s">
        <v>47</v>
      </c>
      <c r="C2067" s="2" t="s">
        <v>22</v>
      </c>
      <c r="D2067" s="2" t="s">
        <v>2954</v>
      </c>
      <c r="E2067" s="5">
        <v>44869</v>
      </c>
      <c r="F2067" s="2">
        <v>260</v>
      </c>
      <c r="G2067" s="2" t="s">
        <v>66</v>
      </c>
      <c r="H2067" s="2" t="s">
        <v>23</v>
      </c>
      <c r="I2067" s="6">
        <v>0.1</v>
      </c>
      <c r="J2067" s="2" t="str">
        <f t="shared" si="32"/>
        <v>2022-11</v>
      </c>
    </row>
    <row r="2068" spans="1:10" x14ac:dyDescent="0.2">
      <c r="A2068" s="2" t="s">
        <v>958</v>
      </c>
      <c r="B2068" s="2" t="s">
        <v>34</v>
      </c>
      <c r="C2068" s="2" t="s">
        <v>16</v>
      </c>
      <c r="D2068" s="2">
        <v>1000</v>
      </c>
      <c r="E2068" s="5">
        <v>44868</v>
      </c>
      <c r="F2068" s="2">
        <v>2300</v>
      </c>
      <c r="G2068" s="2" t="s">
        <v>81</v>
      </c>
      <c r="H2068" s="2" t="s">
        <v>23</v>
      </c>
      <c r="I2068" s="6">
        <v>0.14000000000000001</v>
      </c>
      <c r="J2068" s="2" t="str">
        <f t="shared" si="32"/>
        <v>2022-11</v>
      </c>
    </row>
    <row r="2069" spans="1:10" x14ac:dyDescent="0.2">
      <c r="A2069" s="2" t="s">
        <v>1151</v>
      </c>
      <c r="B2069" s="2" t="s">
        <v>34</v>
      </c>
      <c r="C2069" s="2" t="s">
        <v>52</v>
      </c>
      <c r="D2069" s="2">
        <v>700</v>
      </c>
      <c r="E2069" s="5">
        <v>44868</v>
      </c>
      <c r="F2069" s="2">
        <v>4900</v>
      </c>
      <c r="G2069" s="2" t="s">
        <v>17</v>
      </c>
      <c r="H2069" s="2" t="s">
        <v>23</v>
      </c>
      <c r="I2069" s="6">
        <v>0.13</v>
      </c>
      <c r="J2069" s="2" t="str">
        <f t="shared" si="32"/>
        <v>2022-11</v>
      </c>
    </row>
    <row r="2070" spans="1:10" x14ac:dyDescent="0.2">
      <c r="A2070" s="2" t="s">
        <v>1216</v>
      </c>
      <c r="B2070" s="2" t="s">
        <v>733</v>
      </c>
      <c r="C2070" s="2" t="s">
        <v>16</v>
      </c>
      <c r="D2070" s="2">
        <v>200</v>
      </c>
      <c r="E2070" s="5">
        <v>44868</v>
      </c>
      <c r="F2070" s="2" t="s">
        <v>2954</v>
      </c>
      <c r="G2070" s="2" t="s">
        <v>17</v>
      </c>
      <c r="H2070" s="2" t="s">
        <v>23</v>
      </c>
      <c r="I2070" s="6" t="s">
        <v>2954</v>
      </c>
      <c r="J2070" s="2" t="str">
        <f t="shared" si="32"/>
        <v>2022-11</v>
      </c>
    </row>
    <row r="2071" spans="1:10" x14ac:dyDescent="0.2">
      <c r="A2071" s="2" t="s">
        <v>1922</v>
      </c>
      <c r="B2071" s="2" t="s">
        <v>180</v>
      </c>
      <c r="C2071" s="2" t="s">
        <v>16</v>
      </c>
      <c r="D2071" s="2">
        <v>150</v>
      </c>
      <c r="E2071" s="5">
        <v>44868</v>
      </c>
      <c r="F2071" s="2">
        <v>428</v>
      </c>
      <c r="G2071" s="2" t="s">
        <v>66</v>
      </c>
      <c r="H2071" s="2" t="s">
        <v>23</v>
      </c>
      <c r="I2071" s="6">
        <v>0.15</v>
      </c>
      <c r="J2071" s="2" t="str">
        <f t="shared" si="32"/>
        <v>2022-11</v>
      </c>
    </row>
    <row r="2072" spans="1:10" x14ac:dyDescent="0.2">
      <c r="A2072" s="2" t="s">
        <v>494</v>
      </c>
      <c r="B2072" s="2" t="s">
        <v>74</v>
      </c>
      <c r="C2072" s="2" t="s">
        <v>11</v>
      </c>
      <c r="D2072" s="2">
        <v>100</v>
      </c>
      <c r="E2072" s="5">
        <v>44868</v>
      </c>
      <c r="F2072" s="2">
        <v>8300</v>
      </c>
      <c r="G2072" s="2" t="s">
        <v>17</v>
      </c>
      <c r="H2072" s="2" t="s">
        <v>76</v>
      </c>
      <c r="I2072" s="6" t="s">
        <v>2954</v>
      </c>
      <c r="J2072" s="2" t="str">
        <f t="shared" si="32"/>
        <v>2022-11</v>
      </c>
    </row>
    <row r="2073" spans="1:10" x14ac:dyDescent="0.2">
      <c r="A2073" s="2" t="s">
        <v>1923</v>
      </c>
      <c r="B2073" s="2" t="s">
        <v>34</v>
      </c>
      <c r="C2073" s="2" t="s">
        <v>170</v>
      </c>
      <c r="D2073" s="2">
        <v>60</v>
      </c>
      <c r="E2073" s="5">
        <v>44868</v>
      </c>
      <c r="F2073" s="2">
        <v>154</v>
      </c>
      <c r="G2073" s="2" t="s">
        <v>128</v>
      </c>
      <c r="H2073" s="2" t="s">
        <v>23</v>
      </c>
      <c r="I2073" s="6">
        <v>0.2</v>
      </c>
      <c r="J2073" s="2" t="str">
        <f t="shared" si="32"/>
        <v>2022-11</v>
      </c>
    </row>
    <row r="2074" spans="1:10" x14ac:dyDescent="0.2">
      <c r="A2074" s="2" t="s">
        <v>271</v>
      </c>
      <c r="B2074" s="2" t="s">
        <v>34</v>
      </c>
      <c r="C2074" s="2" t="s">
        <v>16</v>
      </c>
      <c r="D2074" s="2" t="s">
        <v>2954</v>
      </c>
      <c r="E2074" s="5">
        <v>44868</v>
      </c>
      <c r="F2074" s="2">
        <v>1500</v>
      </c>
      <c r="G2074" s="2" t="s">
        <v>17</v>
      </c>
      <c r="H2074" s="2" t="s">
        <v>23</v>
      </c>
      <c r="I2074" s="6">
        <v>0.01</v>
      </c>
      <c r="J2074" s="2" t="str">
        <f t="shared" si="32"/>
        <v>2022-11</v>
      </c>
    </row>
    <row r="2075" spans="1:10" x14ac:dyDescent="0.2">
      <c r="A2075" s="2" t="s">
        <v>588</v>
      </c>
      <c r="B2075" s="2" t="s">
        <v>47</v>
      </c>
      <c r="C2075" s="2" t="s">
        <v>148</v>
      </c>
      <c r="D2075" s="2" t="s">
        <v>2954</v>
      </c>
      <c r="E2075" s="5">
        <v>44868</v>
      </c>
      <c r="F2075" s="2">
        <v>1300</v>
      </c>
      <c r="G2075" s="2" t="s">
        <v>12</v>
      </c>
      <c r="H2075" s="2" t="s">
        <v>23</v>
      </c>
      <c r="I2075" s="6" t="s">
        <v>2954</v>
      </c>
      <c r="J2075" s="2" t="str">
        <f t="shared" si="32"/>
        <v>2022-11</v>
      </c>
    </row>
    <row r="2076" spans="1:10" x14ac:dyDescent="0.2">
      <c r="A2076" s="2" t="s">
        <v>1924</v>
      </c>
      <c r="B2076" s="2" t="s">
        <v>34</v>
      </c>
      <c r="C2076" s="2" t="s">
        <v>26</v>
      </c>
      <c r="D2076" s="2" t="s">
        <v>2954</v>
      </c>
      <c r="E2076" s="5">
        <v>44868</v>
      </c>
      <c r="F2076" s="2">
        <v>16</v>
      </c>
      <c r="G2076" s="2" t="s">
        <v>17</v>
      </c>
      <c r="H2076" s="2" t="s">
        <v>23</v>
      </c>
      <c r="I2076" s="6">
        <v>0.1</v>
      </c>
      <c r="J2076" s="2" t="str">
        <f t="shared" si="32"/>
        <v>2022-11</v>
      </c>
    </row>
    <row r="2077" spans="1:10" x14ac:dyDescent="0.2">
      <c r="A2077" s="2" t="s">
        <v>1925</v>
      </c>
      <c r="B2077" s="2" t="s">
        <v>314</v>
      </c>
      <c r="C2077" s="2" t="s">
        <v>11</v>
      </c>
      <c r="D2077" s="2" t="s">
        <v>2954</v>
      </c>
      <c r="E2077" s="5">
        <v>44868</v>
      </c>
      <c r="F2077" s="2">
        <v>150</v>
      </c>
      <c r="G2077" s="2" t="s">
        <v>66</v>
      </c>
      <c r="H2077" s="2" t="s">
        <v>23</v>
      </c>
      <c r="I2077" s="6" t="s">
        <v>2954</v>
      </c>
      <c r="J2077" s="2" t="str">
        <f t="shared" si="32"/>
        <v>2022-11</v>
      </c>
    </row>
    <row r="2078" spans="1:10" x14ac:dyDescent="0.2">
      <c r="A2078" s="2" t="s">
        <v>1926</v>
      </c>
      <c r="B2078" s="2" t="s">
        <v>89</v>
      </c>
      <c r="C2078" s="2" t="s">
        <v>32</v>
      </c>
      <c r="D2078" s="2" t="s">
        <v>2954</v>
      </c>
      <c r="E2078" s="5">
        <v>44868</v>
      </c>
      <c r="F2078" s="2">
        <v>445</v>
      </c>
      <c r="G2078" s="2" t="s">
        <v>17</v>
      </c>
      <c r="H2078" s="2" t="s">
        <v>23</v>
      </c>
      <c r="I2078" s="7" t="s">
        <v>1927</v>
      </c>
      <c r="J2078" s="2" t="str">
        <f t="shared" si="32"/>
        <v>2022-11</v>
      </c>
    </row>
    <row r="2079" spans="1:10" x14ac:dyDescent="0.2">
      <c r="A2079" s="2" t="s">
        <v>1928</v>
      </c>
      <c r="B2079" s="2" t="s">
        <v>34</v>
      </c>
      <c r="C2079" s="2" t="s">
        <v>148</v>
      </c>
      <c r="D2079" s="2" t="s">
        <v>2954</v>
      </c>
      <c r="E2079" s="5">
        <v>44868</v>
      </c>
      <c r="F2079" s="2">
        <v>253</v>
      </c>
      <c r="G2079" s="2" t="s">
        <v>75</v>
      </c>
      <c r="H2079" s="2" t="s">
        <v>23</v>
      </c>
      <c r="I2079" s="6">
        <v>0.15</v>
      </c>
      <c r="J2079" s="2" t="str">
        <f t="shared" si="32"/>
        <v>2022-11</v>
      </c>
    </row>
    <row r="2080" spans="1:10" x14ac:dyDescent="0.2">
      <c r="A2080" s="2" t="s">
        <v>1929</v>
      </c>
      <c r="B2080" s="2" t="s">
        <v>34</v>
      </c>
      <c r="C2080" s="2" t="s">
        <v>61</v>
      </c>
      <c r="D2080" s="2" t="s">
        <v>2954</v>
      </c>
      <c r="E2080" s="5">
        <v>44868</v>
      </c>
      <c r="F2080" s="2">
        <v>50</v>
      </c>
      <c r="G2080" s="2" t="s">
        <v>37</v>
      </c>
      <c r="H2080" s="2" t="s">
        <v>23</v>
      </c>
      <c r="I2080" s="6" t="s">
        <v>2954</v>
      </c>
      <c r="J2080" s="2" t="str">
        <f t="shared" si="32"/>
        <v>2022-11</v>
      </c>
    </row>
    <row r="2081" spans="1:10" x14ac:dyDescent="0.2">
      <c r="A2081" s="2" t="s">
        <v>1160</v>
      </c>
      <c r="B2081" s="2" t="s">
        <v>34</v>
      </c>
      <c r="C2081" s="2" t="s">
        <v>148</v>
      </c>
      <c r="D2081" s="2">
        <v>550</v>
      </c>
      <c r="E2081" s="5">
        <v>44867</v>
      </c>
      <c r="F2081" s="2">
        <v>1900</v>
      </c>
      <c r="G2081" s="2" t="s">
        <v>17</v>
      </c>
      <c r="H2081" s="2" t="s">
        <v>23</v>
      </c>
      <c r="I2081" s="6">
        <v>0.18</v>
      </c>
      <c r="J2081" s="2" t="str">
        <f t="shared" si="32"/>
        <v>2022-11</v>
      </c>
    </row>
    <row r="2082" spans="1:10" x14ac:dyDescent="0.2">
      <c r="A2082" s="2" t="s">
        <v>1930</v>
      </c>
      <c r="B2082" s="2" t="s">
        <v>34</v>
      </c>
      <c r="C2082" s="2" t="s">
        <v>16</v>
      </c>
      <c r="D2082" s="2">
        <v>156</v>
      </c>
      <c r="E2082" s="5">
        <v>44867</v>
      </c>
      <c r="F2082" s="2">
        <v>2300</v>
      </c>
      <c r="G2082" s="2" t="s">
        <v>58</v>
      </c>
      <c r="H2082" s="2" t="s">
        <v>23</v>
      </c>
      <c r="I2082" s="6">
        <v>0.12</v>
      </c>
      <c r="J2082" s="2" t="str">
        <f t="shared" si="32"/>
        <v>2022-11</v>
      </c>
    </row>
    <row r="2083" spans="1:10" x14ac:dyDescent="0.2">
      <c r="A2083" s="2" t="s">
        <v>727</v>
      </c>
      <c r="B2083" s="2" t="s">
        <v>34</v>
      </c>
      <c r="C2083" s="2" t="s">
        <v>16</v>
      </c>
      <c r="D2083" s="2">
        <v>142</v>
      </c>
      <c r="E2083" s="5">
        <v>44867</v>
      </c>
      <c r="F2083" s="2">
        <v>468</v>
      </c>
      <c r="G2083" s="2" t="s">
        <v>81</v>
      </c>
      <c r="H2083" s="2" t="s">
        <v>23</v>
      </c>
      <c r="I2083" s="6">
        <v>0.1</v>
      </c>
      <c r="J2083" s="2" t="str">
        <f t="shared" si="32"/>
        <v>2022-11</v>
      </c>
    </row>
    <row r="2084" spans="1:10" x14ac:dyDescent="0.2">
      <c r="A2084" s="2" t="s">
        <v>909</v>
      </c>
      <c r="B2084" s="2" t="s">
        <v>183</v>
      </c>
      <c r="C2084" s="2" t="s">
        <v>22</v>
      </c>
      <c r="D2084" s="2">
        <v>134</v>
      </c>
      <c r="E2084" s="5">
        <v>44867</v>
      </c>
      <c r="F2084" s="2">
        <v>607</v>
      </c>
      <c r="G2084" s="2" t="s">
        <v>75</v>
      </c>
      <c r="H2084" s="2" t="s">
        <v>23</v>
      </c>
      <c r="I2084" s="6">
        <v>0.22</v>
      </c>
      <c r="J2084" s="2" t="str">
        <f t="shared" si="32"/>
        <v>2022-11</v>
      </c>
    </row>
    <row r="2085" spans="1:10" x14ac:dyDescent="0.2">
      <c r="A2085" s="2" t="s">
        <v>1931</v>
      </c>
      <c r="B2085" s="2" t="s">
        <v>15</v>
      </c>
      <c r="C2085" s="2" t="s">
        <v>195</v>
      </c>
      <c r="D2085" s="2">
        <v>100</v>
      </c>
      <c r="E2085" s="5">
        <v>44867</v>
      </c>
      <c r="F2085" s="2">
        <v>92</v>
      </c>
      <c r="G2085" s="2" t="s">
        <v>66</v>
      </c>
      <c r="H2085" s="2" t="s">
        <v>18</v>
      </c>
      <c r="I2085" s="6">
        <v>0.1</v>
      </c>
      <c r="J2085" s="2" t="str">
        <f t="shared" si="32"/>
        <v>2022-11</v>
      </c>
    </row>
    <row r="2086" spans="1:10" x14ac:dyDescent="0.2">
      <c r="A2086" s="2" t="s">
        <v>1932</v>
      </c>
      <c r="B2086" s="2" t="s">
        <v>74</v>
      </c>
      <c r="C2086" s="2" t="s">
        <v>16</v>
      </c>
      <c r="D2086" s="2">
        <v>100</v>
      </c>
      <c r="E2086" s="5">
        <v>44867</v>
      </c>
      <c r="F2086" s="2">
        <v>188</v>
      </c>
      <c r="G2086" s="2" t="s">
        <v>12</v>
      </c>
      <c r="H2086" s="2" t="s">
        <v>76</v>
      </c>
      <c r="I2086" s="6">
        <v>0.15</v>
      </c>
      <c r="J2086" s="2" t="str">
        <f t="shared" si="32"/>
        <v>2022-11</v>
      </c>
    </row>
    <row r="2087" spans="1:10" x14ac:dyDescent="0.2">
      <c r="A2087" s="2" t="s">
        <v>1933</v>
      </c>
      <c r="B2087" s="2" t="s">
        <v>34</v>
      </c>
      <c r="C2087" s="2" t="s">
        <v>11</v>
      </c>
      <c r="D2087" s="2">
        <v>50</v>
      </c>
      <c r="E2087" s="5">
        <v>44867</v>
      </c>
      <c r="F2087" s="2">
        <v>103</v>
      </c>
      <c r="G2087" s="2" t="s">
        <v>66</v>
      </c>
      <c r="H2087" s="2" t="s">
        <v>23</v>
      </c>
      <c r="I2087" s="6">
        <v>0.5</v>
      </c>
      <c r="J2087" s="2" t="str">
        <f t="shared" si="32"/>
        <v>2022-11</v>
      </c>
    </row>
    <row r="2088" spans="1:10" x14ac:dyDescent="0.2">
      <c r="A2088" s="2" t="s">
        <v>1934</v>
      </c>
      <c r="B2088" s="2" t="s">
        <v>647</v>
      </c>
      <c r="C2088" s="2" t="s">
        <v>22</v>
      </c>
      <c r="D2088" s="2">
        <v>10</v>
      </c>
      <c r="E2088" s="5">
        <v>44867</v>
      </c>
      <c r="F2088" s="2" t="s">
        <v>2954</v>
      </c>
      <c r="G2088" s="2" t="s">
        <v>12</v>
      </c>
      <c r="H2088" s="2" t="s">
        <v>23</v>
      </c>
      <c r="I2088" s="6">
        <v>0.13</v>
      </c>
      <c r="J2088" s="2" t="str">
        <f t="shared" si="32"/>
        <v>2022-11</v>
      </c>
    </row>
    <row r="2089" spans="1:10" x14ac:dyDescent="0.2">
      <c r="A2089" s="2" t="s">
        <v>1935</v>
      </c>
      <c r="B2089" s="2" t="s">
        <v>1936</v>
      </c>
      <c r="C2089" s="2" t="s">
        <v>22</v>
      </c>
      <c r="D2089" s="2" t="s">
        <v>2954</v>
      </c>
      <c r="E2089" s="5">
        <v>44867</v>
      </c>
      <c r="F2089" s="2">
        <v>0</v>
      </c>
      <c r="G2089" s="2" t="s">
        <v>132</v>
      </c>
      <c r="H2089" s="2" t="s">
        <v>1676</v>
      </c>
      <c r="I2089" s="6">
        <v>0.3</v>
      </c>
      <c r="J2089" s="2" t="str">
        <f t="shared" si="32"/>
        <v>2022-11</v>
      </c>
    </row>
    <row r="2090" spans="1:10" x14ac:dyDescent="0.2">
      <c r="A2090" s="2" t="s">
        <v>1937</v>
      </c>
      <c r="B2090" s="2" t="s">
        <v>1938</v>
      </c>
      <c r="C2090" s="2" t="s">
        <v>195</v>
      </c>
      <c r="D2090" s="2" t="s">
        <v>2954</v>
      </c>
      <c r="E2090" s="5">
        <v>44867</v>
      </c>
      <c r="F2090" s="2">
        <v>8</v>
      </c>
      <c r="G2090" s="2" t="s">
        <v>45</v>
      </c>
      <c r="H2090" s="2" t="s">
        <v>13</v>
      </c>
      <c r="I2090" s="6" t="s">
        <v>2954</v>
      </c>
      <c r="J2090" s="2" t="str">
        <f t="shared" si="32"/>
        <v>2022-11</v>
      </c>
    </row>
    <row r="2091" spans="1:10" x14ac:dyDescent="0.2">
      <c r="A2091" s="2" t="s">
        <v>1939</v>
      </c>
      <c r="B2091" s="2" t="s">
        <v>34</v>
      </c>
      <c r="C2091" s="2" t="s">
        <v>52</v>
      </c>
      <c r="D2091" s="2">
        <v>259</v>
      </c>
      <c r="E2091" s="5">
        <v>44866</v>
      </c>
      <c r="F2091" s="2">
        <v>3600</v>
      </c>
      <c r="G2091" s="2" t="s">
        <v>12</v>
      </c>
      <c r="H2091" s="2" t="s">
        <v>23</v>
      </c>
      <c r="I2091" s="6" t="s">
        <v>2954</v>
      </c>
      <c r="J2091" s="2" t="str">
        <f t="shared" si="32"/>
        <v>2022-11</v>
      </c>
    </row>
    <row r="2092" spans="1:10" x14ac:dyDescent="0.2">
      <c r="A2092" s="2" t="s">
        <v>1940</v>
      </c>
      <c r="B2092" s="2" t="s">
        <v>1649</v>
      </c>
      <c r="C2092" s="2" t="s">
        <v>44</v>
      </c>
      <c r="D2092" s="2">
        <v>226</v>
      </c>
      <c r="E2092" s="5">
        <v>44866</v>
      </c>
      <c r="F2092" s="2" t="s">
        <v>2954</v>
      </c>
      <c r="G2092" s="2" t="s">
        <v>45</v>
      </c>
      <c r="H2092" s="2" t="s">
        <v>23</v>
      </c>
      <c r="I2092" s="6" t="s">
        <v>2954</v>
      </c>
      <c r="J2092" s="2" t="str">
        <f t="shared" si="32"/>
        <v>2022-11</v>
      </c>
    </row>
    <row r="2093" spans="1:10" x14ac:dyDescent="0.2">
      <c r="A2093" s="2" t="s">
        <v>1582</v>
      </c>
      <c r="B2093" s="2" t="s">
        <v>34</v>
      </c>
      <c r="C2093" s="2" t="s">
        <v>29</v>
      </c>
      <c r="D2093" s="2">
        <v>200</v>
      </c>
      <c r="E2093" s="5">
        <v>44866</v>
      </c>
      <c r="F2093" s="2" t="s">
        <v>2954</v>
      </c>
      <c r="G2093" s="2" t="s">
        <v>17</v>
      </c>
      <c r="H2093" s="2" t="s">
        <v>23</v>
      </c>
      <c r="I2093" s="6" t="s">
        <v>2954</v>
      </c>
      <c r="J2093" s="2" t="str">
        <f t="shared" si="32"/>
        <v>2022-11</v>
      </c>
    </row>
    <row r="2094" spans="1:10" x14ac:dyDescent="0.2">
      <c r="A2094" s="2" t="s">
        <v>1456</v>
      </c>
      <c r="B2094" s="2" t="s">
        <v>34</v>
      </c>
      <c r="C2094" s="2" t="s">
        <v>16</v>
      </c>
      <c r="D2094" s="2">
        <v>140</v>
      </c>
      <c r="E2094" s="5">
        <v>44866</v>
      </c>
      <c r="F2094" s="2">
        <v>144</v>
      </c>
      <c r="G2094" s="2" t="s">
        <v>17</v>
      </c>
      <c r="H2094" s="2" t="s">
        <v>23</v>
      </c>
      <c r="I2094" s="6">
        <v>7.0000000000000007E-2</v>
      </c>
      <c r="J2094" s="2" t="str">
        <f t="shared" si="32"/>
        <v>2022-11</v>
      </c>
    </row>
    <row r="2095" spans="1:10" x14ac:dyDescent="0.2">
      <c r="A2095" s="2" t="s">
        <v>839</v>
      </c>
      <c r="B2095" s="2" t="s">
        <v>34</v>
      </c>
      <c r="C2095" s="2" t="s">
        <v>84</v>
      </c>
      <c r="D2095" s="2">
        <v>100</v>
      </c>
      <c r="E2095" s="5">
        <v>44866</v>
      </c>
      <c r="F2095" s="2">
        <v>148</v>
      </c>
      <c r="G2095" s="2" t="s">
        <v>66</v>
      </c>
      <c r="H2095" s="2" t="s">
        <v>23</v>
      </c>
      <c r="I2095" s="6">
        <v>0.33</v>
      </c>
      <c r="J2095" s="2" t="str">
        <f t="shared" si="32"/>
        <v>2022-11</v>
      </c>
    </row>
    <row r="2096" spans="1:10" x14ac:dyDescent="0.2">
      <c r="A2096" s="2" t="s">
        <v>9</v>
      </c>
      <c r="B2096" s="2" t="s">
        <v>10</v>
      </c>
      <c r="C2096" s="2" t="s">
        <v>11</v>
      </c>
      <c r="D2096" s="2">
        <v>70</v>
      </c>
      <c r="E2096" s="5">
        <v>44866</v>
      </c>
      <c r="F2096" s="2">
        <v>377</v>
      </c>
      <c r="G2096" s="2" t="s">
        <v>12</v>
      </c>
      <c r="H2096" s="2" t="s">
        <v>291</v>
      </c>
      <c r="I2096" s="6">
        <v>0.18</v>
      </c>
      <c r="J2096" s="2" t="str">
        <f t="shared" si="32"/>
        <v>2022-11</v>
      </c>
    </row>
    <row r="2097" spans="1:10" x14ac:dyDescent="0.2">
      <c r="A2097" s="2" t="s">
        <v>9</v>
      </c>
      <c r="B2097" s="2" t="s">
        <v>10</v>
      </c>
      <c r="C2097" s="2" t="s">
        <v>11</v>
      </c>
      <c r="D2097" s="2">
        <v>70</v>
      </c>
      <c r="E2097" s="5">
        <v>44866</v>
      </c>
      <c r="F2097" s="2">
        <v>477</v>
      </c>
      <c r="G2097" s="2" t="s">
        <v>12</v>
      </c>
      <c r="H2097" s="2" t="s">
        <v>13</v>
      </c>
      <c r="I2097" s="6">
        <v>0.18</v>
      </c>
      <c r="J2097" s="2" t="str">
        <f t="shared" si="32"/>
        <v>2022-11</v>
      </c>
    </row>
    <row r="2098" spans="1:10" x14ac:dyDescent="0.2">
      <c r="A2098" s="2" t="s">
        <v>9</v>
      </c>
      <c r="B2098" s="2" t="s">
        <v>10</v>
      </c>
      <c r="C2098" s="2" t="s">
        <v>11</v>
      </c>
      <c r="D2098" s="2">
        <v>70</v>
      </c>
      <c r="E2098" s="5">
        <v>44866</v>
      </c>
      <c r="F2098" s="2">
        <v>479</v>
      </c>
      <c r="G2098" s="2" t="s">
        <v>12</v>
      </c>
      <c r="H2098" s="2" t="s">
        <v>13</v>
      </c>
      <c r="I2098" s="6">
        <v>0.06</v>
      </c>
      <c r="J2098" s="2" t="str">
        <f t="shared" si="32"/>
        <v>2022-11</v>
      </c>
    </row>
    <row r="2099" spans="1:10" x14ac:dyDescent="0.2">
      <c r="A2099" s="2" t="s">
        <v>1555</v>
      </c>
      <c r="B2099" s="2" t="s">
        <v>183</v>
      </c>
      <c r="C2099" s="2" t="s">
        <v>26</v>
      </c>
      <c r="D2099" s="2">
        <v>50</v>
      </c>
      <c r="E2099" s="5">
        <v>44866</v>
      </c>
      <c r="F2099" s="2">
        <v>300</v>
      </c>
      <c r="G2099" s="2" t="s">
        <v>66</v>
      </c>
      <c r="H2099" s="2" t="s">
        <v>106</v>
      </c>
      <c r="I2099" s="6">
        <v>0.05</v>
      </c>
      <c r="J2099" s="2" t="str">
        <f t="shared" si="32"/>
        <v>2022-11</v>
      </c>
    </row>
    <row r="2100" spans="1:10" x14ac:dyDescent="0.2">
      <c r="A2100" s="2" t="s">
        <v>1941</v>
      </c>
      <c r="B2100" s="2" t="s">
        <v>335</v>
      </c>
      <c r="C2100" s="2" t="s">
        <v>26</v>
      </c>
      <c r="D2100" s="2">
        <v>24</v>
      </c>
      <c r="E2100" s="5">
        <v>44866</v>
      </c>
      <c r="F2100" s="2">
        <v>56</v>
      </c>
      <c r="G2100" s="2" t="s">
        <v>37</v>
      </c>
      <c r="H2100" s="2" t="s">
        <v>106</v>
      </c>
      <c r="I2100" s="6" t="s">
        <v>2954</v>
      </c>
      <c r="J2100" s="2" t="str">
        <f t="shared" si="32"/>
        <v>2022-11</v>
      </c>
    </row>
    <row r="2101" spans="1:10" x14ac:dyDescent="0.2">
      <c r="A2101" s="2" t="s">
        <v>1942</v>
      </c>
      <c r="B2101" s="2" t="s">
        <v>661</v>
      </c>
      <c r="C2101" s="2" t="s">
        <v>35</v>
      </c>
      <c r="D2101" s="2">
        <v>10</v>
      </c>
      <c r="E2101" s="5">
        <v>44866</v>
      </c>
      <c r="F2101" s="2" t="s">
        <v>2954</v>
      </c>
      <c r="G2101" s="2" t="s">
        <v>12</v>
      </c>
      <c r="H2101" s="2" t="s">
        <v>662</v>
      </c>
      <c r="I2101" s="6" t="s">
        <v>2954</v>
      </c>
      <c r="J2101" s="2" t="str">
        <f t="shared" si="32"/>
        <v>2022-11</v>
      </c>
    </row>
    <row r="2102" spans="1:10" x14ac:dyDescent="0.2">
      <c r="A2102" s="2" t="s">
        <v>1124</v>
      </c>
      <c r="B2102" s="2" t="s">
        <v>34</v>
      </c>
      <c r="C2102" s="2" t="s">
        <v>32</v>
      </c>
      <c r="D2102" s="2" t="s">
        <v>2954</v>
      </c>
      <c r="E2102" s="5">
        <v>44866</v>
      </c>
      <c r="F2102" s="2">
        <v>212</v>
      </c>
      <c r="G2102" s="2" t="s">
        <v>66</v>
      </c>
      <c r="H2102" s="2" t="s">
        <v>23</v>
      </c>
      <c r="I2102" s="6">
        <v>0.2</v>
      </c>
      <c r="J2102" s="2" t="str">
        <f t="shared" si="32"/>
        <v>2022-11</v>
      </c>
    </row>
    <row r="2103" spans="1:10" x14ac:dyDescent="0.2">
      <c r="A2103" s="2" t="s">
        <v>1943</v>
      </c>
      <c r="B2103" s="2" t="s">
        <v>89</v>
      </c>
      <c r="C2103" s="2" t="s">
        <v>113</v>
      </c>
      <c r="D2103" s="2" t="s">
        <v>2954</v>
      </c>
      <c r="E2103" s="5">
        <v>44866</v>
      </c>
      <c r="F2103" s="2">
        <v>28</v>
      </c>
      <c r="G2103" s="2" t="s">
        <v>37</v>
      </c>
      <c r="H2103" s="2" t="s">
        <v>23</v>
      </c>
      <c r="I2103" s="6" t="s">
        <v>2954</v>
      </c>
      <c r="J2103" s="2" t="str">
        <f t="shared" si="32"/>
        <v>2022-11</v>
      </c>
    </row>
    <row r="2104" spans="1:10" x14ac:dyDescent="0.2">
      <c r="A2104" s="2" t="s">
        <v>1944</v>
      </c>
      <c r="B2104" s="2" t="s">
        <v>287</v>
      </c>
      <c r="C2104" s="2" t="s">
        <v>32</v>
      </c>
      <c r="D2104" s="2">
        <v>300</v>
      </c>
      <c r="E2104" s="5">
        <v>44865</v>
      </c>
      <c r="F2104" s="2">
        <v>568</v>
      </c>
      <c r="G2104" s="2" t="s">
        <v>75</v>
      </c>
      <c r="H2104" s="2" t="s">
        <v>291</v>
      </c>
      <c r="I2104" s="6">
        <v>0.1</v>
      </c>
      <c r="J2104" s="2" t="str">
        <f t="shared" si="32"/>
        <v>2022-10</v>
      </c>
    </row>
    <row r="2105" spans="1:10" x14ac:dyDescent="0.2">
      <c r="A2105" s="2" t="s">
        <v>1945</v>
      </c>
      <c r="B2105" s="2" t="s">
        <v>89</v>
      </c>
      <c r="C2105" s="2" t="s">
        <v>632</v>
      </c>
      <c r="D2105" s="2">
        <v>60</v>
      </c>
      <c r="E2105" s="5">
        <v>44865</v>
      </c>
      <c r="F2105" s="2">
        <v>213</v>
      </c>
      <c r="G2105" s="2" t="s">
        <v>75</v>
      </c>
      <c r="H2105" s="2" t="s">
        <v>23</v>
      </c>
      <c r="I2105" s="6" t="s">
        <v>2954</v>
      </c>
      <c r="J2105" s="2" t="str">
        <f t="shared" si="32"/>
        <v>2022-10</v>
      </c>
    </row>
    <row r="2106" spans="1:10" x14ac:dyDescent="0.2">
      <c r="A2106" s="2" t="s">
        <v>1946</v>
      </c>
      <c r="B2106" s="2" t="s">
        <v>25</v>
      </c>
      <c r="C2106" s="2" t="s">
        <v>16</v>
      </c>
      <c r="D2106" s="2">
        <v>30</v>
      </c>
      <c r="E2106" s="5">
        <v>44865</v>
      </c>
      <c r="F2106" s="2">
        <v>11</v>
      </c>
      <c r="G2106" s="2" t="s">
        <v>37</v>
      </c>
      <c r="H2106" s="2" t="s">
        <v>23</v>
      </c>
      <c r="I2106" s="6">
        <v>0.27</v>
      </c>
      <c r="J2106" s="2" t="str">
        <f t="shared" si="32"/>
        <v>2022-10</v>
      </c>
    </row>
    <row r="2107" spans="1:10" x14ac:dyDescent="0.2">
      <c r="A2107" s="2" t="s">
        <v>1411</v>
      </c>
      <c r="B2107" s="2" t="s">
        <v>34</v>
      </c>
      <c r="C2107" s="2" t="s">
        <v>16</v>
      </c>
      <c r="D2107" s="2">
        <v>25</v>
      </c>
      <c r="E2107" s="5">
        <v>44865</v>
      </c>
      <c r="F2107" s="2">
        <v>85</v>
      </c>
      <c r="G2107" s="2" t="s">
        <v>37</v>
      </c>
      <c r="H2107" s="2" t="s">
        <v>23</v>
      </c>
      <c r="I2107" s="6">
        <v>0.2</v>
      </c>
      <c r="J2107" s="2" t="str">
        <f t="shared" si="32"/>
        <v>2022-10</v>
      </c>
    </row>
    <row r="2108" spans="1:10" x14ac:dyDescent="0.2">
      <c r="A2108" s="2" t="s">
        <v>920</v>
      </c>
      <c r="B2108" s="2" t="s">
        <v>100</v>
      </c>
      <c r="C2108" s="2" t="s">
        <v>142</v>
      </c>
      <c r="D2108" s="2">
        <v>23</v>
      </c>
      <c r="E2108" s="5">
        <v>44865</v>
      </c>
      <c r="F2108" s="2">
        <v>17</v>
      </c>
      <c r="G2108" s="2" t="s">
        <v>41</v>
      </c>
      <c r="H2108" s="2" t="s">
        <v>98</v>
      </c>
      <c r="I2108" s="6" t="s">
        <v>2954</v>
      </c>
      <c r="J2108" s="2" t="str">
        <f t="shared" si="32"/>
        <v>2022-10</v>
      </c>
    </row>
    <row r="2109" spans="1:10" x14ac:dyDescent="0.2">
      <c r="A2109" s="2" t="s">
        <v>1947</v>
      </c>
      <c r="B2109" s="2" t="s">
        <v>255</v>
      </c>
      <c r="C2109" s="2" t="s">
        <v>61</v>
      </c>
      <c r="D2109" s="2" t="s">
        <v>2954</v>
      </c>
      <c r="E2109" s="5">
        <v>44865</v>
      </c>
      <c r="F2109" s="2">
        <v>49</v>
      </c>
      <c r="G2109" s="2" t="s">
        <v>37</v>
      </c>
      <c r="H2109" s="2" t="s">
        <v>98</v>
      </c>
      <c r="I2109" s="6">
        <v>0.3</v>
      </c>
      <c r="J2109" s="2" t="str">
        <f t="shared" si="32"/>
        <v>2022-10</v>
      </c>
    </row>
    <row r="2110" spans="1:10" x14ac:dyDescent="0.2">
      <c r="A2110" s="2" t="s">
        <v>191</v>
      </c>
      <c r="B2110" s="2" t="s">
        <v>28</v>
      </c>
      <c r="C2110" s="2" t="s">
        <v>142</v>
      </c>
      <c r="D2110" s="2">
        <v>150</v>
      </c>
      <c r="E2110" s="5">
        <v>44862</v>
      </c>
      <c r="F2110" s="2">
        <v>108</v>
      </c>
      <c r="G2110" s="2" t="s">
        <v>17</v>
      </c>
      <c r="H2110" s="2" t="s">
        <v>23</v>
      </c>
      <c r="I2110" s="6" t="s">
        <v>2954</v>
      </c>
      <c r="J2110" s="2" t="str">
        <f t="shared" si="32"/>
        <v>2022-10</v>
      </c>
    </row>
    <row r="2111" spans="1:10" x14ac:dyDescent="0.2">
      <c r="A2111" s="2" t="s">
        <v>1948</v>
      </c>
      <c r="B2111" s="2" t="s">
        <v>92</v>
      </c>
      <c r="C2111" s="2" t="s">
        <v>11</v>
      </c>
      <c r="D2111" s="2">
        <v>100</v>
      </c>
      <c r="E2111" s="5">
        <v>44862</v>
      </c>
      <c r="F2111" s="2">
        <v>35</v>
      </c>
      <c r="G2111" s="2" t="s">
        <v>37</v>
      </c>
      <c r="H2111" s="2" t="s">
        <v>23</v>
      </c>
      <c r="I2111" s="6">
        <v>1</v>
      </c>
      <c r="J2111" s="2" t="str">
        <f t="shared" si="32"/>
        <v>2022-10</v>
      </c>
    </row>
    <row r="2112" spans="1:10" x14ac:dyDescent="0.2">
      <c r="A2112" s="2" t="s">
        <v>1949</v>
      </c>
      <c r="B2112" s="2" t="s">
        <v>28</v>
      </c>
      <c r="C2112" s="2" t="s">
        <v>32</v>
      </c>
      <c r="D2112" s="2">
        <v>32</v>
      </c>
      <c r="E2112" s="5">
        <v>44862</v>
      </c>
      <c r="F2112" s="2" t="s">
        <v>2954</v>
      </c>
      <c r="G2112" s="2" t="s">
        <v>12</v>
      </c>
      <c r="H2112" s="2" t="s">
        <v>23</v>
      </c>
      <c r="I2112" s="6">
        <v>0.21</v>
      </c>
      <c r="J2112" s="2" t="str">
        <f t="shared" si="32"/>
        <v>2022-10</v>
      </c>
    </row>
    <row r="2113" spans="1:10" x14ac:dyDescent="0.2">
      <c r="A2113" s="2" t="s">
        <v>1950</v>
      </c>
      <c r="B2113" s="2" t="s">
        <v>1951</v>
      </c>
      <c r="C2113" s="2" t="s">
        <v>11</v>
      </c>
      <c r="D2113" s="2" t="s">
        <v>2954</v>
      </c>
      <c r="E2113" s="5">
        <v>44862</v>
      </c>
      <c r="F2113" s="2">
        <v>11</v>
      </c>
      <c r="G2113" s="2" t="s">
        <v>66</v>
      </c>
      <c r="H2113" s="2" t="s">
        <v>76</v>
      </c>
      <c r="I2113" s="7" t="s">
        <v>1402</v>
      </c>
      <c r="J2113" s="2" t="str">
        <f t="shared" si="32"/>
        <v>2022-10</v>
      </c>
    </row>
    <row r="2114" spans="1:10" x14ac:dyDescent="0.2">
      <c r="A2114" s="2" t="s">
        <v>1147</v>
      </c>
      <c r="B2114" s="2" t="s">
        <v>188</v>
      </c>
      <c r="C2114" s="2" t="s">
        <v>363</v>
      </c>
      <c r="D2114" s="2">
        <v>210</v>
      </c>
      <c r="E2114" s="5">
        <v>44861</v>
      </c>
      <c r="F2114" s="2">
        <v>163</v>
      </c>
      <c r="G2114" s="2" t="s">
        <v>37</v>
      </c>
      <c r="H2114" s="2" t="s">
        <v>106</v>
      </c>
      <c r="I2114" s="6">
        <v>0.43</v>
      </c>
      <c r="J2114" s="2" t="str">
        <f t="shared" si="32"/>
        <v>2022-10</v>
      </c>
    </row>
    <row r="2115" spans="1:10" x14ac:dyDescent="0.2">
      <c r="A2115" s="2" t="s">
        <v>1952</v>
      </c>
      <c r="B2115" s="2" t="s">
        <v>47</v>
      </c>
      <c r="C2115" s="2" t="s">
        <v>16</v>
      </c>
      <c r="D2115" s="2">
        <v>84</v>
      </c>
      <c r="E2115" s="5">
        <v>44861</v>
      </c>
      <c r="F2115" s="2">
        <v>277</v>
      </c>
      <c r="G2115" s="2" t="s">
        <v>37</v>
      </c>
      <c r="H2115" s="2" t="s">
        <v>23</v>
      </c>
      <c r="I2115" s="6">
        <v>0.17</v>
      </c>
      <c r="J2115" s="2" t="str">
        <f t="shared" ref="J2115:J2178" si="33">TEXT(E2115,"YYYY-MM")</f>
        <v>2022-10</v>
      </c>
    </row>
    <row r="2116" spans="1:10" x14ac:dyDescent="0.2">
      <c r="A2116" s="2" t="s">
        <v>1610</v>
      </c>
      <c r="B2116" s="2" t="s">
        <v>34</v>
      </c>
      <c r="C2116" s="2" t="s">
        <v>68</v>
      </c>
      <c r="D2116" s="2">
        <v>13</v>
      </c>
      <c r="E2116" s="5">
        <v>44861</v>
      </c>
      <c r="F2116" s="2">
        <v>328</v>
      </c>
      <c r="G2116" s="2" t="s">
        <v>62</v>
      </c>
      <c r="H2116" s="2" t="s">
        <v>23</v>
      </c>
      <c r="I2116" s="6" t="s">
        <v>2954</v>
      </c>
      <c r="J2116" s="2" t="str">
        <f t="shared" si="33"/>
        <v>2022-10</v>
      </c>
    </row>
    <row r="2117" spans="1:10" x14ac:dyDescent="0.2">
      <c r="A2117" s="2" t="s">
        <v>1953</v>
      </c>
      <c r="B2117" s="2" t="s">
        <v>538</v>
      </c>
      <c r="C2117" s="2" t="s">
        <v>235</v>
      </c>
      <c r="D2117" s="2" t="s">
        <v>2954</v>
      </c>
      <c r="E2117" s="5">
        <v>44861</v>
      </c>
      <c r="F2117" s="2" t="s">
        <v>2954</v>
      </c>
      <c r="G2117" s="2" t="s">
        <v>132</v>
      </c>
      <c r="H2117" s="2" t="s">
        <v>98</v>
      </c>
      <c r="I2117" s="6">
        <v>1</v>
      </c>
      <c r="J2117" s="2" t="str">
        <f t="shared" si="33"/>
        <v>2022-10</v>
      </c>
    </row>
    <row r="2118" spans="1:10" x14ac:dyDescent="0.2">
      <c r="A2118" s="2" t="s">
        <v>1954</v>
      </c>
      <c r="B2118" s="2" t="s">
        <v>86</v>
      </c>
      <c r="C2118" s="2" t="s">
        <v>142</v>
      </c>
      <c r="D2118" s="2" t="s">
        <v>2954</v>
      </c>
      <c r="E2118" s="5">
        <v>44861</v>
      </c>
      <c r="F2118" s="2" t="s">
        <v>2954</v>
      </c>
      <c r="G2118" s="2" t="s">
        <v>12</v>
      </c>
      <c r="H2118" s="2" t="s">
        <v>23</v>
      </c>
      <c r="I2118" s="6" t="s">
        <v>2954</v>
      </c>
      <c r="J2118" s="2" t="str">
        <f t="shared" si="33"/>
        <v>2022-10</v>
      </c>
    </row>
    <row r="2119" spans="1:10" x14ac:dyDescent="0.2">
      <c r="A2119" s="2" t="s">
        <v>1228</v>
      </c>
      <c r="B2119" s="2" t="s">
        <v>34</v>
      </c>
      <c r="C2119" s="2" t="s">
        <v>103</v>
      </c>
      <c r="D2119" s="2">
        <v>3000</v>
      </c>
      <c r="E2119" s="5">
        <v>44860</v>
      </c>
      <c r="F2119" s="2" t="s">
        <v>2954</v>
      </c>
      <c r="G2119" s="2" t="s">
        <v>17</v>
      </c>
      <c r="H2119" s="2" t="s">
        <v>23</v>
      </c>
      <c r="I2119" s="6">
        <v>0.08</v>
      </c>
      <c r="J2119" s="2" t="str">
        <f t="shared" si="33"/>
        <v>2022-10</v>
      </c>
    </row>
    <row r="2120" spans="1:10" x14ac:dyDescent="0.2">
      <c r="A2120" s="2" t="s">
        <v>1955</v>
      </c>
      <c r="B2120" s="2" t="s">
        <v>1956</v>
      </c>
      <c r="C2120" s="2" t="s">
        <v>117</v>
      </c>
      <c r="D2120" s="2">
        <v>400</v>
      </c>
      <c r="E2120" s="5">
        <v>44860</v>
      </c>
      <c r="F2120" s="2">
        <v>114</v>
      </c>
      <c r="G2120" s="2" t="s">
        <v>17</v>
      </c>
      <c r="H2120" s="2" t="s">
        <v>23</v>
      </c>
      <c r="I2120" s="6">
        <v>0.15</v>
      </c>
      <c r="J2120" s="2" t="str">
        <f t="shared" si="33"/>
        <v>2022-10</v>
      </c>
    </row>
    <row r="2121" spans="1:10" x14ac:dyDescent="0.2">
      <c r="A2121" s="2" t="s">
        <v>590</v>
      </c>
      <c r="B2121" s="2" t="s">
        <v>28</v>
      </c>
      <c r="C2121" s="2" t="s">
        <v>148</v>
      </c>
      <c r="D2121" s="2">
        <v>300</v>
      </c>
      <c r="E2121" s="5">
        <v>44860</v>
      </c>
      <c r="F2121" s="2">
        <v>97</v>
      </c>
      <c r="G2121" s="2" t="s">
        <v>17</v>
      </c>
      <c r="H2121" s="2" t="s">
        <v>23</v>
      </c>
      <c r="I2121" s="6">
        <v>0.05</v>
      </c>
      <c r="J2121" s="2" t="str">
        <f t="shared" si="33"/>
        <v>2022-10</v>
      </c>
    </row>
    <row r="2122" spans="1:10" x14ac:dyDescent="0.2">
      <c r="A2122" s="2" t="s">
        <v>215</v>
      </c>
      <c r="B2122" s="2" t="s">
        <v>89</v>
      </c>
      <c r="C2122" s="2" t="s">
        <v>195</v>
      </c>
      <c r="D2122" s="2">
        <v>200</v>
      </c>
      <c r="E2122" s="5">
        <v>44860</v>
      </c>
      <c r="F2122" s="2">
        <v>750</v>
      </c>
      <c r="G2122" s="2" t="s">
        <v>62</v>
      </c>
      <c r="H2122" s="2" t="s">
        <v>23</v>
      </c>
      <c r="I2122" s="6">
        <v>0.17</v>
      </c>
      <c r="J2122" s="2" t="str">
        <f t="shared" si="33"/>
        <v>2022-10</v>
      </c>
    </row>
    <row r="2123" spans="1:10" x14ac:dyDescent="0.2">
      <c r="A2123" s="2" t="s">
        <v>1939</v>
      </c>
      <c r="B2123" s="2" t="s">
        <v>92</v>
      </c>
      <c r="C2123" s="2" t="s">
        <v>52</v>
      </c>
      <c r="D2123" s="2">
        <v>173</v>
      </c>
      <c r="E2123" s="5">
        <v>44860</v>
      </c>
      <c r="F2123" s="2">
        <v>3600</v>
      </c>
      <c r="G2123" s="2" t="s">
        <v>12</v>
      </c>
      <c r="H2123" s="2" t="s">
        <v>23</v>
      </c>
      <c r="I2123" s="6" t="s">
        <v>2954</v>
      </c>
      <c r="J2123" s="2" t="str">
        <f t="shared" si="33"/>
        <v>2022-10</v>
      </c>
    </row>
    <row r="2124" spans="1:10" x14ac:dyDescent="0.2">
      <c r="A2124" s="2" t="s">
        <v>1957</v>
      </c>
      <c r="B2124" s="2" t="s">
        <v>34</v>
      </c>
      <c r="C2124" s="2" t="s">
        <v>16</v>
      </c>
      <c r="D2124" s="2">
        <v>94</v>
      </c>
      <c r="E2124" s="5">
        <v>44860</v>
      </c>
      <c r="F2124" s="2" t="s">
        <v>2954</v>
      </c>
      <c r="G2124" s="2" t="s">
        <v>41</v>
      </c>
      <c r="H2124" s="2" t="s">
        <v>23</v>
      </c>
      <c r="I2124" s="6">
        <v>0.12</v>
      </c>
      <c r="J2124" s="2" t="str">
        <f t="shared" si="33"/>
        <v>2022-10</v>
      </c>
    </row>
    <row r="2125" spans="1:10" x14ac:dyDescent="0.2">
      <c r="A2125" s="2" t="s">
        <v>1958</v>
      </c>
      <c r="B2125" s="2" t="s">
        <v>34</v>
      </c>
      <c r="C2125" s="2" t="s">
        <v>103</v>
      </c>
      <c r="D2125" s="2" t="s">
        <v>2954</v>
      </c>
      <c r="E2125" s="5">
        <v>44860</v>
      </c>
      <c r="F2125" s="2">
        <v>683</v>
      </c>
      <c r="G2125" s="2" t="s">
        <v>128</v>
      </c>
      <c r="H2125" s="2" t="s">
        <v>23</v>
      </c>
      <c r="I2125" s="6" t="s">
        <v>2954</v>
      </c>
      <c r="J2125" s="2" t="str">
        <f t="shared" si="33"/>
        <v>2022-10</v>
      </c>
    </row>
    <row r="2126" spans="1:10" x14ac:dyDescent="0.2">
      <c r="A2126" s="2" t="s">
        <v>1959</v>
      </c>
      <c r="B2126" s="2" t="s">
        <v>34</v>
      </c>
      <c r="C2126" s="2" t="s">
        <v>16</v>
      </c>
      <c r="D2126" s="2">
        <v>150</v>
      </c>
      <c r="E2126" s="5">
        <v>44859</v>
      </c>
      <c r="F2126" s="2">
        <v>553</v>
      </c>
      <c r="G2126" s="2" t="s">
        <v>75</v>
      </c>
      <c r="H2126" s="2" t="s">
        <v>23</v>
      </c>
      <c r="I2126" s="6">
        <v>0.42</v>
      </c>
      <c r="J2126" s="2" t="str">
        <f t="shared" si="33"/>
        <v>2022-10</v>
      </c>
    </row>
    <row r="2127" spans="1:10" x14ac:dyDescent="0.2">
      <c r="A2127" s="2" t="s">
        <v>1960</v>
      </c>
      <c r="B2127" s="2" t="s">
        <v>34</v>
      </c>
      <c r="C2127" s="2" t="s">
        <v>16</v>
      </c>
      <c r="D2127" s="2">
        <v>30</v>
      </c>
      <c r="E2127" s="5">
        <v>44859</v>
      </c>
      <c r="F2127" s="2">
        <v>142</v>
      </c>
      <c r="G2127" s="2" t="s">
        <v>66</v>
      </c>
      <c r="H2127" s="2" t="s">
        <v>23</v>
      </c>
      <c r="I2127" s="6">
        <v>0.12</v>
      </c>
      <c r="J2127" s="2" t="str">
        <f t="shared" si="33"/>
        <v>2022-10</v>
      </c>
    </row>
    <row r="2128" spans="1:10" x14ac:dyDescent="0.2">
      <c r="A2128" s="2" t="s">
        <v>1961</v>
      </c>
      <c r="B2128" s="2" t="s">
        <v>15</v>
      </c>
      <c r="C2128" s="2" t="s">
        <v>68</v>
      </c>
      <c r="D2128" s="2">
        <v>17</v>
      </c>
      <c r="E2128" s="5">
        <v>44859</v>
      </c>
      <c r="F2128" s="2">
        <v>15</v>
      </c>
      <c r="G2128" s="2" t="s">
        <v>132</v>
      </c>
      <c r="H2128" s="2" t="s">
        <v>18</v>
      </c>
      <c r="I2128" s="6">
        <v>0.5</v>
      </c>
      <c r="J2128" s="2" t="str">
        <f t="shared" si="33"/>
        <v>2022-10</v>
      </c>
    </row>
    <row r="2129" spans="1:10" x14ac:dyDescent="0.2">
      <c r="A2129" s="2" t="s">
        <v>1962</v>
      </c>
      <c r="B2129" s="2" t="s">
        <v>34</v>
      </c>
      <c r="C2129" s="2" t="s">
        <v>235</v>
      </c>
      <c r="D2129" s="2" t="s">
        <v>2954</v>
      </c>
      <c r="E2129" s="5">
        <v>44859</v>
      </c>
      <c r="F2129" s="2" t="s">
        <v>2954</v>
      </c>
      <c r="G2129" s="2" t="s">
        <v>75</v>
      </c>
      <c r="H2129" s="2" t="s">
        <v>23</v>
      </c>
      <c r="I2129" s="7" t="s">
        <v>1402</v>
      </c>
      <c r="J2129" s="2" t="str">
        <f t="shared" si="33"/>
        <v>2022-10</v>
      </c>
    </row>
    <row r="2130" spans="1:10" x14ac:dyDescent="0.2">
      <c r="A2130" s="2" t="s">
        <v>629</v>
      </c>
      <c r="B2130" s="2" t="s">
        <v>28</v>
      </c>
      <c r="C2130" s="2" t="s">
        <v>170</v>
      </c>
      <c r="D2130" s="2" t="s">
        <v>2954</v>
      </c>
      <c r="E2130" s="5">
        <v>44859</v>
      </c>
      <c r="F2130" s="2">
        <v>1100</v>
      </c>
      <c r="G2130" s="2" t="s">
        <v>128</v>
      </c>
      <c r="H2130" s="2" t="s">
        <v>23</v>
      </c>
      <c r="I2130" s="6" t="s">
        <v>2954</v>
      </c>
      <c r="J2130" s="2" t="str">
        <f t="shared" si="33"/>
        <v>2022-10</v>
      </c>
    </row>
    <row r="2131" spans="1:10" x14ac:dyDescent="0.2">
      <c r="A2131" s="2" t="s">
        <v>1465</v>
      </c>
      <c r="B2131" s="2" t="s">
        <v>245</v>
      </c>
      <c r="C2131" s="2" t="s">
        <v>32</v>
      </c>
      <c r="D2131" s="2">
        <v>4000</v>
      </c>
      <c r="E2131" s="5">
        <v>44858</v>
      </c>
      <c r="F2131" s="2" t="s">
        <v>2954</v>
      </c>
      <c r="G2131" s="2" t="s">
        <v>17</v>
      </c>
      <c r="H2131" s="2" t="s">
        <v>246</v>
      </c>
      <c r="I2131" s="6">
        <v>0.05</v>
      </c>
      <c r="J2131" s="2" t="str">
        <f t="shared" si="33"/>
        <v>2022-10</v>
      </c>
    </row>
    <row r="2132" spans="1:10" x14ac:dyDescent="0.2">
      <c r="A2132" s="2" t="s">
        <v>1325</v>
      </c>
      <c r="B2132" s="2" t="s">
        <v>34</v>
      </c>
      <c r="C2132" s="2" t="s">
        <v>32</v>
      </c>
      <c r="D2132" s="2">
        <v>400</v>
      </c>
      <c r="E2132" s="5">
        <v>44858</v>
      </c>
      <c r="F2132" s="2">
        <v>462</v>
      </c>
      <c r="G2132" s="2" t="s">
        <v>66</v>
      </c>
      <c r="H2132" s="2" t="s">
        <v>23</v>
      </c>
      <c r="I2132" s="6">
        <v>0.2</v>
      </c>
      <c r="J2132" s="2" t="str">
        <f t="shared" si="33"/>
        <v>2022-10</v>
      </c>
    </row>
    <row r="2133" spans="1:10" x14ac:dyDescent="0.2">
      <c r="A2133" s="2" t="s">
        <v>1181</v>
      </c>
      <c r="B2133" s="2" t="s">
        <v>89</v>
      </c>
      <c r="C2133" s="2" t="s">
        <v>195</v>
      </c>
      <c r="D2133" s="2">
        <v>198</v>
      </c>
      <c r="E2133" s="5">
        <v>44858</v>
      </c>
      <c r="F2133" s="2">
        <v>849</v>
      </c>
      <c r="G2133" s="2" t="s">
        <v>62</v>
      </c>
      <c r="H2133" s="2" t="s">
        <v>23</v>
      </c>
      <c r="I2133" s="6">
        <v>0.14000000000000001</v>
      </c>
      <c r="J2133" s="2" t="str">
        <f t="shared" si="33"/>
        <v>2022-10</v>
      </c>
    </row>
    <row r="2134" spans="1:10" x14ac:dyDescent="0.2">
      <c r="A2134" s="2" t="s">
        <v>553</v>
      </c>
      <c r="B2134" s="2" t="s">
        <v>74</v>
      </c>
      <c r="C2134" s="2" t="s">
        <v>148</v>
      </c>
      <c r="D2134" s="2">
        <v>100</v>
      </c>
      <c r="E2134" s="5">
        <v>44858</v>
      </c>
      <c r="F2134" s="2">
        <v>214</v>
      </c>
      <c r="G2134" s="2" t="s">
        <v>12</v>
      </c>
      <c r="H2134" s="2" t="s">
        <v>76</v>
      </c>
      <c r="I2134" s="6" t="s">
        <v>2954</v>
      </c>
      <c r="J2134" s="2" t="str">
        <f t="shared" si="33"/>
        <v>2022-10</v>
      </c>
    </row>
    <row r="2135" spans="1:10" x14ac:dyDescent="0.2">
      <c r="A2135" s="2" t="s">
        <v>1571</v>
      </c>
      <c r="B2135" s="2" t="s">
        <v>661</v>
      </c>
      <c r="C2135" s="2" t="s">
        <v>29</v>
      </c>
      <c r="D2135" s="2">
        <v>50</v>
      </c>
      <c r="E2135" s="5">
        <v>44858</v>
      </c>
      <c r="F2135" s="2">
        <v>336</v>
      </c>
      <c r="G2135" s="2" t="s">
        <v>75</v>
      </c>
      <c r="H2135" s="2" t="s">
        <v>662</v>
      </c>
      <c r="I2135" s="6">
        <v>0.04</v>
      </c>
      <c r="J2135" s="2" t="str">
        <f t="shared" si="33"/>
        <v>2022-10</v>
      </c>
    </row>
    <row r="2136" spans="1:10" x14ac:dyDescent="0.2">
      <c r="A2136" s="2" t="s">
        <v>30</v>
      </c>
      <c r="B2136" s="2" t="s">
        <v>31</v>
      </c>
      <c r="C2136" s="2" t="s">
        <v>32</v>
      </c>
      <c r="D2136" s="2">
        <v>62</v>
      </c>
      <c r="E2136" s="5">
        <v>44857</v>
      </c>
      <c r="F2136" s="2">
        <v>86</v>
      </c>
      <c r="G2136" s="2" t="s">
        <v>12</v>
      </c>
      <c r="H2136" s="2" t="s">
        <v>18</v>
      </c>
      <c r="I2136" s="6">
        <v>0.16</v>
      </c>
      <c r="J2136" s="2" t="str">
        <f t="shared" si="33"/>
        <v>2022-10</v>
      </c>
    </row>
    <row r="2137" spans="1:10" x14ac:dyDescent="0.2">
      <c r="A2137" s="2" t="s">
        <v>1963</v>
      </c>
      <c r="B2137" s="2" t="s">
        <v>15</v>
      </c>
      <c r="C2137" s="2" t="s">
        <v>32</v>
      </c>
      <c r="D2137" s="2">
        <v>23</v>
      </c>
      <c r="E2137" s="5">
        <v>44857</v>
      </c>
      <c r="F2137" s="2">
        <v>36</v>
      </c>
      <c r="G2137" s="2" t="s">
        <v>12</v>
      </c>
      <c r="H2137" s="2" t="s">
        <v>18</v>
      </c>
      <c r="I2137" s="6">
        <v>0.38</v>
      </c>
      <c r="J2137" s="2" t="str">
        <f t="shared" si="33"/>
        <v>2022-10</v>
      </c>
    </row>
    <row r="2138" spans="1:10" x14ac:dyDescent="0.2">
      <c r="A2138" s="2" t="s">
        <v>906</v>
      </c>
      <c r="B2138" s="2" t="s">
        <v>86</v>
      </c>
      <c r="C2138" s="2" t="s">
        <v>50</v>
      </c>
      <c r="D2138" s="2">
        <v>120</v>
      </c>
      <c r="E2138" s="5">
        <v>44855</v>
      </c>
      <c r="F2138" s="2">
        <v>138</v>
      </c>
      <c r="G2138" s="2" t="s">
        <v>199</v>
      </c>
      <c r="H2138" s="2" t="s">
        <v>23</v>
      </c>
      <c r="I2138" s="6">
        <v>0.1</v>
      </c>
      <c r="J2138" s="2" t="str">
        <f t="shared" si="33"/>
        <v>2022-10</v>
      </c>
    </row>
    <row r="2139" spans="1:10" x14ac:dyDescent="0.2">
      <c r="A2139" s="2" t="s">
        <v>597</v>
      </c>
      <c r="B2139" s="2" t="s">
        <v>28</v>
      </c>
      <c r="C2139" s="2" t="s">
        <v>195</v>
      </c>
      <c r="D2139" s="2">
        <v>100</v>
      </c>
      <c r="E2139" s="5">
        <v>44855</v>
      </c>
      <c r="F2139" s="2" t="s">
        <v>2954</v>
      </c>
      <c r="G2139" s="2" t="s">
        <v>17</v>
      </c>
      <c r="H2139" s="2" t="s">
        <v>23</v>
      </c>
      <c r="I2139" s="6">
        <v>0.01</v>
      </c>
      <c r="J2139" s="2" t="str">
        <f t="shared" si="33"/>
        <v>2022-10</v>
      </c>
    </row>
    <row r="2140" spans="1:10" x14ac:dyDescent="0.2">
      <c r="A2140" s="2" t="s">
        <v>1964</v>
      </c>
      <c r="B2140" s="2" t="s">
        <v>74</v>
      </c>
      <c r="C2140" s="2" t="s">
        <v>16</v>
      </c>
      <c r="D2140" s="2">
        <v>43</v>
      </c>
      <c r="E2140" s="5">
        <v>44855</v>
      </c>
      <c r="F2140" s="2">
        <v>30</v>
      </c>
      <c r="G2140" s="2" t="s">
        <v>12</v>
      </c>
      <c r="H2140" s="2" t="s">
        <v>76</v>
      </c>
      <c r="I2140" s="6">
        <v>0.33</v>
      </c>
      <c r="J2140" s="2" t="str">
        <f t="shared" si="33"/>
        <v>2022-10</v>
      </c>
    </row>
    <row r="2141" spans="1:10" x14ac:dyDescent="0.2">
      <c r="A2141" s="2" t="s">
        <v>1965</v>
      </c>
      <c r="B2141" s="2" t="s">
        <v>97</v>
      </c>
      <c r="C2141" s="2" t="s">
        <v>32</v>
      </c>
      <c r="D2141" s="2">
        <v>30</v>
      </c>
      <c r="E2141" s="5">
        <v>44855</v>
      </c>
      <c r="F2141" s="2">
        <v>4</v>
      </c>
      <c r="G2141" s="2" t="s">
        <v>41</v>
      </c>
      <c r="H2141" s="2" t="s">
        <v>98</v>
      </c>
      <c r="I2141" s="6">
        <v>0.3</v>
      </c>
      <c r="J2141" s="2" t="str">
        <f t="shared" si="33"/>
        <v>2022-10</v>
      </c>
    </row>
    <row r="2142" spans="1:10" x14ac:dyDescent="0.2">
      <c r="A2142" s="2" t="s">
        <v>1966</v>
      </c>
      <c r="B2142" s="2" t="s">
        <v>34</v>
      </c>
      <c r="C2142" s="2" t="s">
        <v>52</v>
      </c>
      <c r="D2142" s="2" t="s">
        <v>2954</v>
      </c>
      <c r="E2142" s="5">
        <v>44855</v>
      </c>
      <c r="F2142" s="2">
        <v>575</v>
      </c>
      <c r="G2142" s="2" t="s">
        <v>17</v>
      </c>
      <c r="H2142" s="2" t="s">
        <v>23</v>
      </c>
      <c r="I2142" s="6">
        <v>0.54</v>
      </c>
      <c r="J2142" s="2" t="str">
        <f t="shared" si="33"/>
        <v>2022-10</v>
      </c>
    </row>
    <row r="2143" spans="1:10" x14ac:dyDescent="0.2">
      <c r="A2143" s="2" t="s">
        <v>1967</v>
      </c>
      <c r="B2143" s="2" t="s">
        <v>742</v>
      </c>
      <c r="C2143" s="2" t="s">
        <v>26</v>
      </c>
      <c r="D2143" s="2">
        <v>227</v>
      </c>
      <c r="E2143" s="5">
        <v>44854</v>
      </c>
      <c r="F2143" s="2">
        <v>127</v>
      </c>
      <c r="G2143" s="2" t="s">
        <v>66</v>
      </c>
      <c r="H2143" s="2" t="s">
        <v>662</v>
      </c>
      <c r="I2143" s="6">
        <v>0.12</v>
      </c>
      <c r="J2143" s="2" t="str">
        <f t="shared" si="33"/>
        <v>2022-10</v>
      </c>
    </row>
    <row r="2144" spans="1:10" x14ac:dyDescent="0.2">
      <c r="A2144" s="2" t="s">
        <v>592</v>
      </c>
      <c r="B2144" s="2" t="s">
        <v>34</v>
      </c>
      <c r="C2144" s="2" t="s">
        <v>148</v>
      </c>
      <c r="D2144" s="2">
        <v>64</v>
      </c>
      <c r="E2144" s="5">
        <v>44854</v>
      </c>
      <c r="F2144" s="2">
        <v>151</v>
      </c>
      <c r="G2144" s="2" t="s">
        <v>66</v>
      </c>
      <c r="H2144" s="2" t="s">
        <v>23</v>
      </c>
      <c r="I2144" s="6">
        <v>0.46</v>
      </c>
      <c r="J2144" s="2" t="str">
        <f t="shared" si="33"/>
        <v>2022-10</v>
      </c>
    </row>
    <row r="2145" spans="1:10" x14ac:dyDescent="0.2">
      <c r="A2145" s="2" t="s">
        <v>1968</v>
      </c>
      <c r="B2145" s="2" t="s">
        <v>34</v>
      </c>
      <c r="C2145" s="2" t="s">
        <v>78</v>
      </c>
      <c r="D2145" s="2">
        <v>23</v>
      </c>
      <c r="E2145" s="5">
        <v>44854</v>
      </c>
      <c r="F2145" s="2">
        <v>203</v>
      </c>
      <c r="G2145" s="2" t="s">
        <v>66</v>
      </c>
      <c r="H2145" s="2" t="s">
        <v>23</v>
      </c>
      <c r="I2145" s="6">
        <v>0.11</v>
      </c>
      <c r="J2145" s="2" t="str">
        <f t="shared" si="33"/>
        <v>2022-10</v>
      </c>
    </row>
    <row r="2146" spans="1:10" x14ac:dyDescent="0.2">
      <c r="A2146" s="2" t="s">
        <v>1969</v>
      </c>
      <c r="B2146" s="2" t="s">
        <v>318</v>
      </c>
      <c r="C2146" s="2" t="s">
        <v>50</v>
      </c>
      <c r="D2146" s="2">
        <v>20</v>
      </c>
      <c r="E2146" s="5">
        <v>44854</v>
      </c>
      <c r="F2146" s="2">
        <v>5</v>
      </c>
      <c r="G2146" s="2" t="s">
        <v>199</v>
      </c>
      <c r="H2146" s="2" t="s">
        <v>23</v>
      </c>
      <c r="I2146" s="6" t="s">
        <v>2954</v>
      </c>
      <c r="J2146" s="2" t="str">
        <f t="shared" si="33"/>
        <v>2022-10</v>
      </c>
    </row>
    <row r="2147" spans="1:10" x14ac:dyDescent="0.2">
      <c r="A2147" s="2" t="s">
        <v>676</v>
      </c>
      <c r="B2147" s="2" t="s">
        <v>54</v>
      </c>
      <c r="C2147" s="2" t="s">
        <v>52</v>
      </c>
      <c r="D2147" s="2" t="s">
        <v>2954</v>
      </c>
      <c r="E2147" s="5">
        <v>44854</v>
      </c>
      <c r="F2147" s="2">
        <v>629</v>
      </c>
      <c r="G2147" s="2" t="s">
        <v>17</v>
      </c>
      <c r="H2147" s="2" t="s">
        <v>55</v>
      </c>
      <c r="I2147" s="6" t="s">
        <v>2954</v>
      </c>
      <c r="J2147" s="2" t="str">
        <f t="shared" si="33"/>
        <v>2022-10</v>
      </c>
    </row>
    <row r="2148" spans="1:10" x14ac:dyDescent="0.2">
      <c r="A2148" s="2" t="s">
        <v>1253</v>
      </c>
      <c r="B2148" s="2" t="s">
        <v>34</v>
      </c>
      <c r="C2148" s="2" t="s">
        <v>148</v>
      </c>
      <c r="D2148" s="2" t="s">
        <v>2954</v>
      </c>
      <c r="E2148" s="5">
        <v>44854</v>
      </c>
      <c r="F2148" s="2">
        <v>365</v>
      </c>
      <c r="G2148" s="2" t="s">
        <v>128</v>
      </c>
      <c r="H2148" s="2" t="s">
        <v>23</v>
      </c>
      <c r="I2148" s="6">
        <v>0.2</v>
      </c>
      <c r="J2148" s="2" t="str">
        <f t="shared" si="33"/>
        <v>2022-10</v>
      </c>
    </row>
    <row r="2149" spans="1:10" x14ac:dyDescent="0.2">
      <c r="A2149" s="2" t="s">
        <v>1554</v>
      </c>
      <c r="B2149" s="2" t="s">
        <v>89</v>
      </c>
      <c r="C2149" s="2" t="s">
        <v>29</v>
      </c>
      <c r="D2149" s="2" t="s">
        <v>2954</v>
      </c>
      <c r="E2149" s="5">
        <v>44854</v>
      </c>
      <c r="F2149" s="2">
        <v>260</v>
      </c>
      <c r="G2149" s="2" t="s">
        <v>17</v>
      </c>
      <c r="H2149" s="2" t="s">
        <v>23</v>
      </c>
      <c r="I2149" s="6">
        <v>0.5</v>
      </c>
      <c r="J2149" s="2" t="str">
        <f t="shared" si="33"/>
        <v>2022-10</v>
      </c>
    </row>
    <row r="2150" spans="1:10" x14ac:dyDescent="0.2">
      <c r="A2150" s="2" t="s">
        <v>79</v>
      </c>
      <c r="B2150" s="2" t="s">
        <v>80</v>
      </c>
      <c r="C2150" s="2" t="s">
        <v>11</v>
      </c>
      <c r="D2150" s="2">
        <v>250</v>
      </c>
      <c r="E2150" s="5">
        <v>44853</v>
      </c>
      <c r="F2150" s="2">
        <v>3400</v>
      </c>
      <c r="G2150" s="2" t="s">
        <v>81</v>
      </c>
      <c r="H2150" s="2" t="s">
        <v>23</v>
      </c>
      <c r="I2150" s="6" t="s">
        <v>2954</v>
      </c>
      <c r="J2150" s="2" t="str">
        <f t="shared" si="33"/>
        <v>2022-10</v>
      </c>
    </row>
    <row r="2151" spans="1:10" x14ac:dyDescent="0.2">
      <c r="A2151" s="2" t="s">
        <v>1970</v>
      </c>
      <c r="B2151" s="2" t="s">
        <v>34</v>
      </c>
      <c r="C2151" s="2" t="s">
        <v>16</v>
      </c>
      <c r="D2151" s="2">
        <v>32</v>
      </c>
      <c r="E2151" s="5">
        <v>44853</v>
      </c>
      <c r="F2151" s="2">
        <v>177</v>
      </c>
      <c r="G2151" s="2" t="s">
        <v>37</v>
      </c>
      <c r="H2151" s="2" t="s">
        <v>23</v>
      </c>
      <c r="I2151" s="6">
        <v>0.3</v>
      </c>
      <c r="J2151" s="2" t="str">
        <f t="shared" si="33"/>
        <v>2022-10</v>
      </c>
    </row>
    <row r="2152" spans="1:10" x14ac:dyDescent="0.2">
      <c r="A2152" s="2" t="s">
        <v>1971</v>
      </c>
      <c r="B2152" s="2" t="s">
        <v>54</v>
      </c>
      <c r="C2152" s="2" t="s">
        <v>195</v>
      </c>
      <c r="D2152" s="2">
        <v>20</v>
      </c>
      <c r="E2152" s="5">
        <v>44853</v>
      </c>
      <c r="F2152" s="2">
        <v>88</v>
      </c>
      <c r="G2152" s="2" t="s">
        <v>37</v>
      </c>
      <c r="H2152" s="2" t="s">
        <v>55</v>
      </c>
      <c r="I2152" s="6">
        <v>0.12</v>
      </c>
      <c r="J2152" s="2" t="str">
        <f t="shared" si="33"/>
        <v>2022-10</v>
      </c>
    </row>
    <row r="2153" spans="1:10" x14ac:dyDescent="0.2">
      <c r="A2153" s="2" t="s">
        <v>1972</v>
      </c>
      <c r="B2153" s="2" t="s">
        <v>560</v>
      </c>
      <c r="C2153" s="2" t="s">
        <v>148</v>
      </c>
      <c r="D2153" s="2" t="s">
        <v>2954</v>
      </c>
      <c r="E2153" s="5">
        <v>44853</v>
      </c>
      <c r="F2153" s="2">
        <v>13</v>
      </c>
      <c r="G2153" s="2" t="s">
        <v>37</v>
      </c>
      <c r="H2153" s="2" t="s">
        <v>23</v>
      </c>
      <c r="I2153" s="6" t="s">
        <v>2954</v>
      </c>
      <c r="J2153" s="2" t="str">
        <f t="shared" si="33"/>
        <v>2022-10</v>
      </c>
    </row>
    <row r="2154" spans="1:10" x14ac:dyDescent="0.2">
      <c r="A2154" s="2" t="s">
        <v>1973</v>
      </c>
      <c r="B2154" s="2" t="s">
        <v>1974</v>
      </c>
      <c r="C2154" s="2" t="s">
        <v>243</v>
      </c>
      <c r="D2154" s="2" t="s">
        <v>2954</v>
      </c>
      <c r="E2154" s="5">
        <v>44853</v>
      </c>
      <c r="F2154" s="2">
        <v>596</v>
      </c>
      <c r="G2154" s="2" t="s">
        <v>58</v>
      </c>
      <c r="H2154" s="2" t="s">
        <v>152</v>
      </c>
      <c r="I2154" s="6" t="s">
        <v>2954</v>
      </c>
      <c r="J2154" s="2" t="str">
        <f t="shared" si="33"/>
        <v>2022-10</v>
      </c>
    </row>
    <row r="2155" spans="1:10" x14ac:dyDescent="0.2">
      <c r="A2155" s="2" t="s">
        <v>1975</v>
      </c>
      <c r="B2155" s="2" t="s">
        <v>34</v>
      </c>
      <c r="C2155" s="2" t="s">
        <v>148</v>
      </c>
      <c r="D2155" s="2" t="s">
        <v>2954</v>
      </c>
      <c r="E2155" s="5">
        <v>44853</v>
      </c>
      <c r="F2155" s="2">
        <v>313</v>
      </c>
      <c r="G2155" s="2" t="s">
        <v>12</v>
      </c>
      <c r="H2155" s="2" t="s">
        <v>23</v>
      </c>
      <c r="I2155" s="6" t="s">
        <v>2954</v>
      </c>
      <c r="J2155" s="2" t="str">
        <f t="shared" si="33"/>
        <v>2022-10</v>
      </c>
    </row>
    <row r="2156" spans="1:10" x14ac:dyDescent="0.2">
      <c r="A2156" s="2" t="s">
        <v>609</v>
      </c>
      <c r="B2156" s="2" t="s">
        <v>34</v>
      </c>
      <c r="C2156" s="2" t="s">
        <v>142</v>
      </c>
      <c r="D2156" s="2">
        <v>84</v>
      </c>
      <c r="E2156" s="5">
        <v>44852</v>
      </c>
      <c r="F2156" s="2">
        <v>1700</v>
      </c>
      <c r="G2156" s="2" t="s">
        <v>58</v>
      </c>
      <c r="H2156" s="2" t="s">
        <v>23</v>
      </c>
      <c r="I2156" s="6">
        <v>7.0000000000000007E-2</v>
      </c>
      <c r="J2156" s="2" t="str">
        <f t="shared" si="33"/>
        <v>2022-10</v>
      </c>
    </row>
    <row r="2157" spans="1:10" x14ac:dyDescent="0.2">
      <c r="A2157" s="2" t="s">
        <v>1269</v>
      </c>
      <c r="B2157" s="2" t="s">
        <v>28</v>
      </c>
      <c r="C2157" s="2" t="s">
        <v>142</v>
      </c>
      <c r="D2157" s="2">
        <v>56</v>
      </c>
      <c r="E2157" s="5">
        <v>44852</v>
      </c>
      <c r="F2157" s="2">
        <v>71</v>
      </c>
      <c r="G2157" s="2" t="s">
        <v>17</v>
      </c>
      <c r="H2157" s="2" t="s">
        <v>23</v>
      </c>
      <c r="I2157" s="6">
        <v>0.21</v>
      </c>
      <c r="J2157" s="2" t="str">
        <f t="shared" si="33"/>
        <v>2022-10</v>
      </c>
    </row>
    <row r="2158" spans="1:10" x14ac:dyDescent="0.2">
      <c r="A2158" s="2" t="s">
        <v>1976</v>
      </c>
      <c r="B2158" s="2" t="s">
        <v>74</v>
      </c>
      <c r="C2158" s="2" t="s">
        <v>32</v>
      </c>
      <c r="D2158" s="2">
        <v>50</v>
      </c>
      <c r="E2158" s="5">
        <v>44851</v>
      </c>
      <c r="F2158" s="2">
        <v>189</v>
      </c>
      <c r="G2158" s="2" t="s">
        <v>37</v>
      </c>
      <c r="H2158" s="2" t="s">
        <v>76</v>
      </c>
      <c r="I2158" s="6" t="s">
        <v>2954</v>
      </c>
      <c r="J2158" s="2" t="str">
        <f t="shared" si="33"/>
        <v>2022-10</v>
      </c>
    </row>
    <row r="2159" spans="1:10" x14ac:dyDescent="0.2">
      <c r="A2159" s="2" t="s">
        <v>1977</v>
      </c>
      <c r="B2159" s="2" t="s">
        <v>1584</v>
      </c>
      <c r="C2159" s="2" t="s">
        <v>26</v>
      </c>
      <c r="D2159" s="2">
        <v>50</v>
      </c>
      <c r="E2159" s="5">
        <v>44851</v>
      </c>
      <c r="F2159" s="2" t="s">
        <v>2954</v>
      </c>
      <c r="G2159" s="2" t="s">
        <v>12</v>
      </c>
      <c r="H2159" s="2" t="s">
        <v>1585</v>
      </c>
      <c r="I2159" s="6">
        <v>0.05</v>
      </c>
      <c r="J2159" s="2" t="str">
        <f t="shared" si="33"/>
        <v>2022-10</v>
      </c>
    </row>
    <row r="2160" spans="1:10" x14ac:dyDescent="0.2">
      <c r="A2160" s="2" t="s">
        <v>27</v>
      </c>
      <c r="B2160" s="2" t="s">
        <v>28</v>
      </c>
      <c r="C2160" s="2" t="s">
        <v>29</v>
      </c>
      <c r="D2160" s="2" t="s">
        <v>2954</v>
      </c>
      <c r="E2160" s="5">
        <v>44851</v>
      </c>
      <c r="F2160" s="2">
        <v>1</v>
      </c>
      <c r="G2160" s="2" t="s">
        <v>17</v>
      </c>
      <c r="H2160" s="2" t="s">
        <v>23</v>
      </c>
      <c r="I2160" s="6" t="s">
        <v>2954</v>
      </c>
      <c r="J2160" s="2" t="str">
        <f t="shared" si="33"/>
        <v>2022-10</v>
      </c>
    </row>
    <row r="2161" spans="1:10" x14ac:dyDescent="0.2">
      <c r="A2161" s="2" t="s">
        <v>1978</v>
      </c>
      <c r="B2161" s="2" t="s">
        <v>74</v>
      </c>
      <c r="C2161" s="2" t="s">
        <v>22</v>
      </c>
      <c r="D2161" s="2" t="s">
        <v>2954</v>
      </c>
      <c r="E2161" s="5">
        <v>44851</v>
      </c>
      <c r="F2161" s="2">
        <v>42</v>
      </c>
      <c r="G2161" s="2" t="s">
        <v>37</v>
      </c>
      <c r="H2161" s="2" t="s">
        <v>76</v>
      </c>
      <c r="I2161" s="6">
        <v>1</v>
      </c>
      <c r="J2161" s="2" t="str">
        <f t="shared" si="33"/>
        <v>2022-10</v>
      </c>
    </row>
    <row r="2162" spans="1:10" x14ac:dyDescent="0.2">
      <c r="A2162" s="2" t="s">
        <v>1979</v>
      </c>
      <c r="B2162" s="2" t="s">
        <v>34</v>
      </c>
      <c r="C2162" s="2" t="s">
        <v>235</v>
      </c>
      <c r="D2162" s="2">
        <v>24</v>
      </c>
      <c r="E2162" s="5">
        <v>44850</v>
      </c>
      <c r="F2162" s="2">
        <v>235</v>
      </c>
      <c r="G2162" s="2" t="s">
        <v>12</v>
      </c>
      <c r="H2162" s="2" t="s">
        <v>23</v>
      </c>
      <c r="I2162" s="6">
        <v>0.21</v>
      </c>
      <c r="J2162" s="2" t="str">
        <f t="shared" si="33"/>
        <v>2022-10</v>
      </c>
    </row>
    <row r="2163" spans="1:10" x14ac:dyDescent="0.2">
      <c r="A2163" s="2" t="s">
        <v>1980</v>
      </c>
      <c r="B2163" s="2" t="s">
        <v>628</v>
      </c>
      <c r="C2163" s="2" t="s">
        <v>103</v>
      </c>
      <c r="D2163" s="2" t="s">
        <v>2954</v>
      </c>
      <c r="E2163" s="5">
        <v>44850</v>
      </c>
      <c r="F2163" s="2" t="s">
        <v>2954</v>
      </c>
      <c r="G2163" s="2" t="s">
        <v>12</v>
      </c>
      <c r="H2163" s="2" t="s">
        <v>224</v>
      </c>
      <c r="I2163" s="6" t="s">
        <v>2954</v>
      </c>
      <c r="J2163" s="2" t="str">
        <f t="shared" si="33"/>
        <v>2022-10</v>
      </c>
    </row>
    <row r="2164" spans="1:10" x14ac:dyDescent="0.2">
      <c r="A2164" s="2" t="s">
        <v>1501</v>
      </c>
      <c r="B2164" s="2" t="s">
        <v>1033</v>
      </c>
      <c r="C2164" s="2" t="s">
        <v>148</v>
      </c>
      <c r="D2164" s="2">
        <v>378</v>
      </c>
      <c r="E2164" s="5">
        <v>44848</v>
      </c>
      <c r="F2164" s="2" t="s">
        <v>2954</v>
      </c>
      <c r="G2164" s="2" t="s">
        <v>12</v>
      </c>
      <c r="H2164" s="2" t="s">
        <v>23</v>
      </c>
      <c r="I2164" s="6">
        <v>0.27</v>
      </c>
      <c r="J2164" s="2" t="str">
        <f t="shared" si="33"/>
        <v>2022-10</v>
      </c>
    </row>
    <row r="2165" spans="1:10" x14ac:dyDescent="0.2">
      <c r="A2165" s="2" t="s">
        <v>601</v>
      </c>
      <c r="B2165" s="2" t="s">
        <v>47</v>
      </c>
      <c r="C2165" s="2" t="s">
        <v>11</v>
      </c>
      <c r="D2165" s="2">
        <v>200</v>
      </c>
      <c r="E2165" s="5">
        <v>44848</v>
      </c>
      <c r="F2165" s="2">
        <v>122</v>
      </c>
      <c r="G2165" s="2" t="s">
        <v>17</v>
      </c>
      <c r="H2165" s="2" t="s">
        <v>23</v>
      </c>
      <c r="I2165" s="6">
        <v>0.19</v>
      </c>
      <c r="J2165" s="2" t="str">
        <f t="shared" si="33"/>
        <v>2022-10</v>
      </c>
    </row>
    <row r="2166" spans="1:10" x14ac:dyDescent="0.2">
      <c r="A2166" s="2" t="s">
        <v>601</v>
      </c>
      <c r="B2166" s="2" t="s">
        <v>47</v>
      </c>
      <c r="C2166" s="2" t="s">
        <v>11</v>
      </c>
      <c r="D2166" s="2">
        <v>200</v>
      </c>
      <c r="E2166" s="5">
        <v>44848</v>
      </c>
      <c r="F2166" s="2">
        <v>122</v>
      </c>
      <c r="G2166" s="2" t="s">
        <v>17</v>
      </c>
      <c r="H2166" s="2" t="s">
        <v>23</v>
      </c>
      <c r="I2166" s="6">
        <v>0.19</v>
      </c>
      <c r="J2166" s="2" t="str">
        <f t="shared" si="33"/>
        <v>2022-10</v>
      </c>
    </row>
    <row r="2167" spans="1:10" x14ac:dyDescent="0.2">
      <c r="A2167" s="2" t="s">
        <v>1981</v>
      </c>
      <c r="B2167" s="2" t="s">
        <v>54</v>
      </c>
      <c r="C2167" s="2" t="s">
        <v>16</v>
      </c>
      <c r="D2167" s="2" t="s">
        <v>2954</v>
      </c>
      <c r="E2167" s="5">
        <v>44848</v>
      </c>
      <c r="F2167" s="2">
        <v>9</v>
      </c>
      <c r="G2167" s="2" t="s">
        <v>12</v>
      </c>
      <c r="H2167" s="2" t="s">
        <v>55</v>
      </c>
      <c r="I2167" s="6">
        <v>1</v>
      </c>
      <c r="J2167" s="2" t="str">
        <f t="shared" si="33"/>
        <v>2022-10</v>
      </c>
    </row>
    <row r="2168" spans="1:10" x14ac:dyDescent="0.2">
      <c r="A2168" s="2" t="s">
        <v>1982</v>
      </c>
      <c r="B2168" s="2" t="s">
        <v>481</v>
      </c>
      <c r="C2168" s="2" t="s">
        <v>61</v>
      </c>
      <c r="D2168" s="2" t="s">
        <v>2954</v>
      </c>
      <c r="E2168" s="5">
        <v>44848</v>
      </c>
      <c r="F2168" s="2" t="s">
        <v>2954</v>
      </c>
      <c r="G2168" s="2" t="s">
        <v>132</v>
      </c>
      <c r="H2168" s="2" t="s">
        <v>98</v>
      </c>
      <c r="I2168" s="6">
        <v>1</v>
      </c>
      <c r="J2168" s="2" t="str">
        <f t="shared" si="33"/>
        <v>2022-10</v>
      </c>
    </row>
    <row r="2169" spans="1:10" x14ac:dyDescent="0.2">
      <c r="A2169" s="2" t="s">
        <v>368</v>
      </c>
      <c r="B2169" s="2" t="s">
        <v>34</v>
      </c>
      <c r="C2169" s="2" t="s">
        <v>50</v>
      </c>
      <c r="D2169" s="2">
        <v>90</v>
      </c>
      <c r="E2169" s="5">
        <v>44847</v>
      </c>
      <c r="F2169" s="2">
        <v>65</v>
      </c>
      <c r="G2169" s="2" t="s">
        <v>17</v>
      </c>
      <c r="H2169" s="2" t="s">
        <v>23</v>
      </c>
      <c r="I2169" s="6" t="s">
        <v>2954</v>
      </c>
      <c r="J2169" s="2" t="str">
        <f t="shared" si="33"/>
        <v>2022-10</v>
      </c>
    </row>
    <row r="2170" spans="1:10" x14ac:dyDescent="0.2">
      <c r="A2170" s="2" t="s">
        <v>1983</v>
      </c>
      <c r="B2170" s="2" t="s">
        <v>25</v>
      </c>
      <c r="C2170" s="2" t="s">
        <v>35</v>
      </c>
      <c r="D2170" s="2">
        <v>65</v>
      </c>
      <c r="E2170" s="5">
        <v>44847</v>
      </c>
      <c r="F2170" s="2">
        <v>10</v>
      </c>
      <c r="G2170" s="2" t="s">
        <v>45</v>
      </c>
      <c r="H2170" s="2" t="s">
        <v>23</v>
      </c>
      <c r="I2170" s="6">
        <v>1</v>
      </c>
      <c r="J2170" s="2" t="str">
        <f t="shared" si="33"/>
        <v>2022-10</v>
      </c>
    </row>
    <row r="2171" spans="1:10" x14ac:dyDescent="0.2">
      <c r="A2171" s="2" t="s">
        <v>1984</v>
      </c>
      <c r="B2171" s="2" t="s">
        <v>28</v>
      </c>
      <c r="C2171" s="2" t="s">
        <v>195</v>
      </c>
      <c r="D2171" s="2" t="s">
        <v>2954</v>
      </c>
      <c r="E2171" s="5">
        <v>44847</v>
      </c>
      <c r="F2171" s="2">
        <v>61</v>
      </c>
      <c r="G2171" s="2" t="s">
        <v>66</v>
      </c>
      <c r="H2171" s="2" t="s">
        <v>23</v>
      </c>
      <c r="I2171" s="6" t="s">
        <v>2954</v>
      </c>
      <c r="J2171" s="2" t="str">
        <f t="shared" si="33"/>
        <v>2022-10</v>
      </c>
    </row>
    <row r="2172" spans="1:10" x14ac:dyDescent="0.2">
      <c r="A2172" s="2" t="s">
        <v>198</v>
      </c>
      <c r="B2172" s="2" t="s">
        <v>100</v>
      </c>
      <c r="C2172" s="2" t="s">
        <v>61</v>
      </c>
      <c r="D2172" s="2">
        <v>2500</v>
      </c>
      <c r="E2172" s="5">
        <v>44846</v>
      </c>
      <c r="F2172" s="2">
        <v>5500</v>
      </c>
      <c r="G2172" s="2" t="s">
        <v>199</v>
      </c>
      <c r="H2172" s="2" t="s">
        <v>98</v>
      </c>
      <c r="I2172" s="6">
        <v>0.05</v>
      </c>
      <c r="J2172" s="2" t="str">
        <f t="shared" si="33"/>
        <v>2022-10</v>
      </c>
    </row>
    <row r="2173" spans="1:10" x14ac:dyDescent="0.2">
      <c r="A2173" s="2" t="s">
        <v>1985</v>
      </c>
      <c r="B2173" s="2" t="s">
        <v>34</v>
      </c>
      <c r="C2173" s="2" t="s">
        <v>50</v>
      </c>
      <c r="D2173" s="2">
        <v>150</v>
      </c>
      <c r="E2173" s="5">
        <v>44846</v>
      </c>
      <c r="F2173" s="2">
        <v>426</v>
      </c>
      <c r="G2173" s="2" t="s">
        <v>128</v>
      </c>
      <c r="H2173" s="2" t="s">
        <v>23</v>
      </c>
      <c r="I2173" s="6">
        <v>0.1</v>
      </c>
      <c r="J2173" s="2" t="str">
        <f t="shared" si="33"/>
        <v>2022-10</v>
      </c>
    </row>
    <row r="2174" spans="1:10" x14ac:dyDescent="0.2">
      <c r="A2174" s="2" t="s">
        <v>1986</v>
      </c>
      <c r="B2174" s="2" t="s">
        <v>287</v>
      </c>
      <c r="C2174" s="2" t="s">
        <v>29</v>
      </c>
      <c r="D2174" s="2">
        <v>150</v>
      </c>
      <c r="E2174" s="5">
        <v>44846</v>
      </c>
      <c r="F2174" s="2">
        <v>1500</v>
      </c>
      <c r="G2174" s="2" t="s">
        <v>17</v>
      </c>
      <c r="H2174" s="2" t="s">
        <v>291</v>
      </c>
      <c r="I2174" s="6" t="s">
        <v>2954</v>
      </c>
      <c r="J2174" s="2" t="str">
        <f t="shared" si="33"/>
        <v>2022-10</v>
      </c>
    </row>
    <row r="2175" spans="1:10" x14ac:dyDescent="0.2">
      <c r="A2175" s="2" t="s">
        <v>922</v>
      </c>
      <c r="B2175" s="2" t="s">
        <v>100</v>
      </c>
      <c r="C2175" s="2" t="s">
        <v>61</v>
      </c>
      <c r="D2175" s="2">
        <v>130</v>
      </c>
      <c r="E2175" s="5">
        <v>44846</v>
      </c>
      <c r="F2175" s="2">
        <v>17</v>
      </c>
      <c r="G2175" s="2" t="s">
        <v>41</v>
      </c>
      <c r="H2175" s="2" t="s">
        <v>98</v>
      </c>
      <c r="I2175" s="6">
        <v>0.75</v>
      </c>
      <c r="J2175" s="2" t="str">
        <f t="shared" si="33"/>
        <v>2022-10</v>
      </c>
    </row>
    <row r="2176" spans="1:10" x14ac:dyDescent="0.2">
      <c r="A2176" s="2" t="s">
        <v>360</v>
      </c>
      <c r="B2176" s="2" t="s">
        <v>25</v>
      </c>
      <c r="C2176" s="2" t="s">
        <v>32</v>
      </c>
      <c r="D2176" s="2">
        <v>500</v>
      </c>
      <c r="E2176" s="5">
        <v>44845</v>
      </c>
      <c r="F2176" s="2">
        <v>657</v>
      </c>
      <c r="G2176" s="2" t="s">
        <v>62</v>
      </c>
      <c r="H2176" s="2" t="s">
        <v>23</v>
      </c>
      <c r="I2176" s="6">
        <v>0.1</v>
      </c>
      <c r="J2176" s="2" t="str">
        <f t="shared" si="33"/>
        <v>2022-10</v>
      </c>
    </row>
    <row r="2177" spans="1:10" x14ac:dyDescent="0.2">
      <c r="A2177" s="2" t="s">
        <v>1987</v>
      </c>
      <c r="B2177" s="2" t="s">
        <v>229</v>
      </c>
      <c r="C2177" s="2" t="s">
        <v>16</v>
      </c>
      <c r="D2177" s="2">
        <v>200</v>
      </c>
      <c r="E2177" s="5">
        <v>44845</v>
      </c>
      <c r="F2177" s="2">
        <v>450</v>
      </c>
      <c r="G2177" s="2" t="s">
        <v>66</v>
      </c>
      <c r="H2177" s="2" t="s">
        <v>23</v>
      </c>
      <c r="I2177" s="6" t="s">
        <v>2954</v>
      </c>
      <c r="J2177" s="2" t="str">
        <f t="shared" si="33"/>
        <v>2022-10</v>
      </c>
    </row>
    <row r="2178" spans="1:10" x14ac:dyDescent="0.2">
      <c r="A2178" s="2" t="s">
        <v>389</v>
      </c>
      <c r="B2178" s="2" t="s">
        <v>34</v>
      </c>
      <c r="C2178" s="2" t="s">
        <v>16</v>
      </c>
      <c r="D2178" s="2">
        <v>136</v>
      </c>
      <c r="E2178" s="5">
        <v>44845</v>
      </c>
      <c r="F2178" s="2">
        <v>1500</v>
      </c>
      <c r="G2178" s="2" t="s">
        <v>75</v>
      </c>
      <c r="H2178" s="2" t="s">
        <v>23</v>
      </c>
      <c r="I2178" s="6">
        <v>0.11</v>
      </c>
      <c r="J2178" s="2" t="str">
        <f t="shared" si="33"/>
        <v>2022-10</v>
      </c>
    </row>
    <row r="2179" spans="1:10" x14ac:dyDescent="0.2">
      <c r="A2179" s="2" t="s">
        <v>1988</v>
      </c>
      <c r="B2179" s="2" t="s">
        <v>34</v>
      </c>
      <c r="C2179" s="2" t="s">
        <v>148</v>
      </c>
      <c r="D2179" s="2">
        <v>100</v>
      </c>
      <c r="E2179" s="5">
        <v>44845</v>
      </c>
      <c r="F2179" s="2">
        <v>217</v>
      </c>
      <c r="G2179" s="2" t="s">
        <v>66</v>
      </c>
      <c r="H2179" s="2" t="s">
        <v>23</v>
      </c>
      <c r="I2179" s="6">
        <v>0.3</v>
      </c>
      <c r="J2179" s="2" t="str">
        <f t="shared" ref="J2179:J2242" si="34">TEXT(E2179,"YYYY-MM")</f>
        <v>2022-10</v>
      </c>
    </row>
    <row r="2180" spans="1:10" x14ac:dyDescent="0.2">
      <c r="A2180" s="2" t="s">
        <v>1989</v>
      </c>
      <c r="B2180" s="2" t="s">
        <v>1990</v>
      </c>
      <c r="C2180" s="2" t="s">
        <v>29</v>
      </c>
      <c r="D2180" s="2">
        <v>80</v>
      </c>
      <c r="E2180" s="5">
        <v>44845</v>
      </c>
      <c r="F2180" s="2">
        <v>20</v>
      </c>
      <c r="G2180" s="2" t="s">
        <v>41</v>
      </c>
      <c r="H2180" s="2" t="s">
        <v>246</v>
      </c>
      <c r="I2180" s="6" t="s">
        <v>2954</v>
      </c>
      <c r="J2180" s="2" t="str">
        <f t="shared" si="34"/>
        <v>2022-10</v>
      </c>
    </row>
    <row r="2181" spans="1:10" x14ac:dyDescent="0.2">
      <c r="A2181" s="2" t="s">
        <v>1991</v>
      </c>
      <c r="B2181" s="2" t="s">
        <v>34</v>
      </c>
      <c r="C2181" s="2" t="s">
        <v>61</v>
      </c>
      <c r="D2181" s="2">
        <v>55</v>
      </c>
      <c r="E2181" s="5">
        <v>44845</v>
      </c>
      <c r="F2181" s="2">
        <v>235</v>
      </c>
      <c r="G2181" s="2" t="s">
        <v>12</v>
      </c>
      <c r="H2181" s="2" t="s">
        <v>23</v>
      </c>
      <c r="I2181" s="6">
        <v>0.13</v>
      </c>
      <c r="J2181" s="2" t="str">
        <f t="shared" si="34"/>
        <v>2022-10</v>
      </c>
    </row>
    <row r="2182" spans="1:10" x14ac:dyDescent="0.2">
      <c r="A2182" s="2" t="s">
        <v>1992</v>
      </c>
      <c r="B2182" s="2" t="s">
        <v>180</v>
      </c>
      <c r="C2182" s="2" t="s">
        <v>26</v>
      </c>
      <c r="D2182" s="2">
        <v>35</v>
      </c>
      <c r="E2182" s="5">
        <v>44845</v>
      </c>
      <c r="F2182" s="2">
        <v>2</v>
      </c>
      <c r="G2182" s="2" t="s">
        <v>132</v>
      </c>
      <c r="H2182" s="2" t="s">
        <v>181</v>
      </c>
      <c r="I2182" s="7" t="s">
        <v>1402</v>
      </c>
      <c r="J2182" s="2" t="str">
        <f t="shared" si="34"/>
        <v>2022-10</v>
      </c>
    </row>
    <row r="2183" spans="1:10" x14ac:dyDescent="0.2">
      <c r="A2183" s="2" t="s">
        <v>1993</v>
      </c>
      <c r="B2183" s="2" t="s">
        <v>54</v>
      </c>
      <c r="C2183" s="2" t="s">
        <v>109</v>
      </c>
      <c r="D2183" s="2" t="s">
        <v>2954</v>
      </c>
      <c r="E2183" s="5">
        <v>44845</v>
      </c>
      <c r="F2183" s="2">
        <v>16</v>
      </c>
      <c r="G2183" s="2" t="s">
        <v>41</v>
      </c>
      <c r="H2183" s="2" t="s">
        <v>55</v>
      </c>
      <c r="I2183" s="6" t="s">
        <v>2954</v>
      </c>
      <c r="J2183" s="2" t="str">
        <f t="shared" si="34"/>
        <v>2022-10</v>
      </c>
    </row>
    <row r="2184" spans="1:10" x14ac:dyDescent="0.2">
      <c r="A2184" s="2" t="s">
        <v>1994</v>
      </c>
      <c r="B2184" s="2" t="s">
        <v>768</v>
      </c>
      <c r="C2184" s="2" t="s">
        <v>22</v>
      </c>
      <c r="D2184" s="2" t="s">
        <v>2954</v>
      </c>
      <c r="E2184" s="5">
        <v>44845</v>
      </c>
      <c r="F2184" s="2" t="s">
        <v>2954</v>
      </c>
      <c r="G2184" s="2" t="s">
        <v>12</v>
      </c>
      <c r="H2184" s="2" t="s">
        <v>768</v>
      </c>
      <c r="I2184" s="6" t="s">
        <v>2954</v>
      </c>
      <c r="J2184" s="2" t="str">
        <f t="shared" si="34"/>
        <v>2022-10</v>
      </c>
    </row>
    <row r="2185" spans="1:10" x14ac:dyDescent="0.2">
      <c r="A2185" s="2" t="s">
        <v>1995</v>
      </c>
      <c r="B2185" s="2" t="s">
        <v>183</v>
      </c>
      <c r="C2185" s="2" t="s">
        <v>68</v>
      </c>
      <c r="D2185" s="2" t="s">
        <v>2954</v>
      </c>
      <c r="E2185" s="5">
        <v>44845</v>
      </c>
      <c r="F2185" s="2" t="s">
        <v>2954</v>
      </c>
      <c r="G2185" s="2" t="s">
        <v>132</v>
      </c>
      <c r="H2185" s="2" t="s">
        <v>23</v>
      </c>
      <c r="I2185" s="6" t="s">
        <v>2954</v>
      </c>
      <c r="J2185" s="2" t="str">
        <f t="shared" si="34"/>
        <v>2022-10</v>
      </c>
    </row>
    <row r="2186" spans="1:10" x14ac:dyDescent="0.2">
      <c r="A2186" s="2" t="s">
        <v>1996</v>
      </c>
      <c r="B2186" s="2" t="s">
        <v>34</v>
      </c>
      <c r="C2186" s="2" t="s">
        <v>11</v>
      </c>
      <c r="D2186" s="2">
        <v>611</v>
      </c>
      <c r="E2186" s="5">
        <v>44844</v>
      </c>
      <c r="F2186" s="2">
        <v>367</v>
      </c>
      <c r="G2186" s="2" t="s">
        <v>17</v>
      </c>
      <c r="H2186" s="2" t="s">
        <v>23</v>
      </c>
      <c r="I2186" s="6" t="s">
        <v>2954</v>
      </c>
      <c r="J2186" s="2" t="str">
        <f t="shared" si="34"/>
        <v>2022-10</v>
      </c>
    </row>
    <row r="2187" spans="1:10" x14ac:dyDescent="0.2">
      <c r="A2187" s="2" t="s">
        <v>1370</v>
      </c>
      <c r="B2187" s="2" t="s">
        <v>34</v>
      </c>
      <c r="C2187" s="2" t="s">
        <v>26</v>
      </c>
      <c r="D2187" s="2">
        <v>180</v>
      </c>
      <c r="E2187" s="5">
        <v>44844</v>
      </c>
      <c r="F2187" s="2">
        <v>1100</v>
      </c>
      <c r="G2187" s="2" t="s">
        <v>17</v>
      </c>
      <c r="H2187" s="2" t="s">
        <v>23</v>
      </c>
      <c r="I2187" s="6">
        <v>0.11</v>
      </c>
      <c r="J2187" s="2" t="str">
        <f t="shared" si="34"/>
        <v>2022-10</v>
      </c>
    </row>
    <row r="2188" spans="1:10" x14ac:dyDescent="0.2">
      <c r="A2188" s="2" t="s">
        <v>1997</v>
      </c>
      <c r="B2188" s="2" t="s">
        <v>34</v>
      </c>
      <c r="C2188" s="2" t="s">
        <v>48</v>
      </c>
      <c r="D2188" s="2">
        <v>96</v>
      </c>
      <c r="E2188" s="5">
        <v>44844</v>
      </c>
      <c r="F2188" s="2">
        <v>103</v>
      </c>
      <c r="G2188" s="2" t="s">
        <v>75</v>
      </c>
      <c r="H2188" s="2" t="s">
        <v>23</v>
      </c>
      <c r="I2188" s="6">
        <v>0.96</v>
      </c>
      <c r="J2188" s="2" t="str">
        <f t="shared" si="34"/>
        <v>2022-10</v>
      </c>
    </row>
    <row r="2189" spans="1:10" x14ac:dyDescent="0.2">
      <c r="A2189" s="2" t="s">
        <v>268</v>
      </c>
      <c r="B2189" s="2" t="s">
        <v>25</v>
      </c>
      <c r="C2189" s="2" t="s">
        <v>32</v>
      </c>
      <c r="D2189" s="2">
        <v>67</v>
      </c>
      <c r="E2189" s="5">
        <v>44844</v>
      </c>
      <c r="F2189" s="2">
        <v>315</v>
      </c>
      <c r="G2189" s="2" t="s">
        <v>66</v>
      </c>
      <c r="H2189" s="2" t="s">
        <v>23</v>
      </c>
      <c r="I2189" s="6">
        <v>0.2</v>
      </c>
      <c r="J2189" s="2" t="str">
        <f t="shared" si="34"/>
        <v>2022-10</v>
      </c>
    </row>
    <row r="2190" spans="1:10" x14ac:dyDescent="0.2">
      <c r="A2190" s="2" t="s">
        <v>1998</v>
      </c>
      <c r="B2190" s="2" t="s">
        <v>86</v>
      </c>
      <c r="C2190" s="2" t="s">
        <v>48</v>
      </c>
      <c r="D2190" s="2" t="s">
        <v>2954</v>
      </c>
      <c r="E2190" s="5">
        <v>44844</v>
      </c>
      <c r="F2190" s="2">
        <v>58</v>
      </c>
      <c r="G2190" s="2" t="s">
        <v>12</v>
      </c>
      <c r="H2190" s="2" t="s">
        <v>23</v>
      </c>
      <c r="I2190" s="6">
        <v>0.33</v>
      </c>
      <c r="J2190" s="2" t="str">
        <f t="shared" si="34"/>
        <v>2022-10</v>
      </c>
    </row>
    <row r="2191" spans="1:10" x14ac:dyDescent="0.2">
      <c r="A2191" s="2" t="s">
        <v>1999</v>
      </c>
      <c r="B2191" s="2" t="s">
        <v>158</v>
      </c>
      <c r="C2191" s="2" t="s">
        <v>142</v>
      </c>
      <c r="D2191" s="2" t="s">
        <v>2954</v>
      </c>
      <c r="E2191" s="5">
        <v>44843</v>
      </c>
      <c r="F2191" s="2" t="s">
        <v>2954</v>
      </c>
      <c r="G2191" s="2" t="s">
        <v>45</v>
      </c>
      <c r="H2191" s="2" t="s">
        <v>23</v>
      </c>
      <c r="I2191" s="6">
        <v>1</v>
      </c>
      <c r="J2191" s="2" t="str">
        <f t="shared" si="34"/>
        <v>2022-10</v>
      </c>
    </row>
    <row r="2192" spans="1:10" x14ac:dyDescent="0.2">
      <c r="A2192" s="2" t="s">
        <v>2000</v>
      </c>
      <c r="B2192" s="2" t="s">
        <v>34</v>
      </c>
      <c r="C2192" s="2" t="s">
        <v>32</v>
      </c>
      <c r="D2192" s="2">
        <v>120</v>
      </c>
      <c r="E2192" s="5">
        <v>44841</v>
      </c>
      <c r="F2192" s="2">
        <v>585</v>
      </c>
      <c r="G2192" s="2" t="s">
        <v>17</v>
      </c>
      <c r="H2192" s="2" t="s">
        <v>23</v>
      </c>
      <c r="I2192" s="6">
        <v>0.04</v>
      </c>
      <c r="J2192" s="2" t="str">
        <f t="shared" si="34"/>
        <v>2022-10</v>
      </c>
    </row>
    <row r="2193" spans="1:10" x14ac:dyDescent="0.2">
      <c r="A2193" s="2" t="s">
        <v>2001</v>
      </c>
      <c r="B2193" s="2" t="s">
        <v>86</v>
      </c>
      <c r="C2193" s="2" t="s">
        <v>243</v>
      </c>
      <c r="D2193" s="2">
        <v>85</v>
      </c>
      <c r="E2193" s="5">
        <v>44841</v>
      </c>
      <c r="F2193" s="2">
        <v>30</v>
      </c>
      <c r="G2193" s="2" t="s">
        <v>75</v>
      </c>
      <c r="H2193" s="2" t="s">
        <v>23</v>
      </c>
      <c r="I2193" s="6" t="s">
        <v>2954</v>
      </c>
      <c r="J2193" s="2" t="str">
        <f t="shared" si="34"/>
        <v>2022-10</v>
      </c>
    </row>
    <row r="2194" spans="1:10" x14ac:dyDescent="0.2">
      <c r="A2194" s="2" t="s">
        <v>1616</v>
      </c>
      <c r="B2194" s="2" t="s">
        <v>217</v>
      </c>
      <c r="C2194" s="2" t="s">
        <v>22</v>
      </c>
      <c r="D2194" s="2">
        <v>2000</v>
      </c>
      <c r="E2194" s="5">
        <v>44840</v>
      </c>
      <c r="F2194" s="2">
        <v>156</v>
      </c>
      <c r="G2194" s="2" t="s">
        <v>12</v>
      </c>
      <c r="H2194" s="2" t="s">
        <v>217</v>
      </c>
      <c r="I2194" s="6">
        <v>0.3</v>
      </c>
      <c r="J2194" s="2" t="str">
        <f t="shared" si="34"/>
        <v>2022-10</v>
      </c>
    </row>
    <row r="2195" spans="1:10" x14ac:dyDescent="0.2">
      <c r="A2195" s="2" t="s">
        <v>116</v>
      </c>
      <c r="B2195" s="2" t="s">
        <v>25</v>
      </c>
      <c r="C2195" s="2" t="s">
        <v>117</v>
      </c>
      <c r="D2195" s="2">
        <v>500</v>
      </c>
      <c r="E2195" s="5">
        <v>44840</v>
      </c>
      <c r="F2195" s="2">
        <v>1900</v>
      </c>
      <c r="G2195" s="2" t="s">
        <v>17</v>
      </c>
      <c r="H2195" s="2" t="s">
        <v>23</v>
      </c>
      <c r="I2195" s="6">
        <v>0.12</v>
      </c>
      <c r="J2195" s="2" t="str">
        <f t="shared" si="34"/>
        <v>2022-10</v>
      </c>
    </row>
    <row r="2196" spans="1:10" x14ac:dyDescent="0.2">
      <c r="A2196" s="2" t="s">
        <v>573</v>
      </c>
      <c r="B2196" s="2" t="s">
        <v>574</v>
      </c>
      <c r="C2196" s="2" t="s">
        <v>148</v>
      </c>
      <c r="D2196" s="2">
        <v>110</v>
      </c>
      <c r="E2196" s="5">
        <v>44840</v>
      </c>
      <c r="F2196" s="2">
        <v>347</v>
      </c>
      <c r="G2196" s="2" t="s">
        <v>66</v>
      </c>
      <c r="H2196" s="2" t="s">
        <v>23</v>
      </c>
      <c r="I2196" s="6" t="s">
        <v>2954</v>
      </c>
      <c r="J2196" s="2" t="str">
        <f t="shared" si="34"/>
        <v>2022-10</v>
      </c>
    </row>
    <row r="2197" spans="1:10" x14ac:dyDescent="0.2">
      <c r="A2197" s="2" t="s">
        <v>238</v>
      </c>
      <c r="B2197" s="2" t="s">
        <v>34</v>
      </c>
      <c r="C2197" s="2" t="s">
        <v>61</v>
      </c>
      <c r="D2197" s="2">
        <v>51</v>
      </c>
      <c r="E2197" s="5">
        <v>44840</v>
      </c>
      <c r="F2197" s="2" t="s">
        <v>2954</v>
      </c>
      <c r="G2197" s="2" t="s">
        <v>45</v>
      </c>
      <c r="H2197" s="2" t="s">
        <v>23</v>
      </c>
      <c r="I2197" s="6">
        <v>0.05</v>
      </c>
      <c r="J2197" s="2" t="str">
        <f t="shared" si="34"/>
        <v>2022-10</v>
      </c>
    </row>
    <row r="2198" spans="1:10" x14ac:dyDescent="0.2">
      <c r="A2198" s="2" t="s">
        <v>2002</v>
      </c>
      <c r="B2198" s="2" t="s">
        <v>34</v>
      </c>
      <c r="C2198" s="2" t="s">
        <v>11</v>
      </c>
      <c r="D2198" s="2">
        <v>50</v>
      </c>
      <c r="E2198" s="5">
        <v>44840</v>
      </c>
      <c r="F2198" s="2">
        <v>1900</v>
      </c>
      <c r="G2198" s="2" t="s">
        <v>81</v>
      </c>
      <c r="H2198" s="2" t="s">
        <v>23</v>
      </c>
      <c r="I2198" s="6">
        <v>0.06</v>
      </c>
      <c r="J2198" s="2" t="str">
        <f t="shared" si="34"/>
        <v>2022-10</v>
      </c>
    </row>
    <row r="2199" spans="1:10" x14ac:dyDescent="0.2">
      <c r="A2199" s="2" t="s">
        <v>2003</v>
      </c>
      <c r="B2199" s="2" t="s">
        <v>217</v>
      </c>
      <c r="C2199" s="2" t="s">
        <v>16</v>
      </c>
      <c r="D2199" s="2" t="s">
        <v>2954</v>
      </c>
      <c r="E2199" s="5">
        <v>44840</v>
      </c>
      <c r="F2199" s="2">
        <v>645</v>
      </c>
      <c r="G2199" s="2" t="s">
        <v>12</v>
      </c>
      <c r="H2199" s="2" t="s">
        <v>217</v>
      </c>
      <c r="I2199" s="6" t="s">
        <v>2954</v>
      </c>
      <c r="J2199" s="2" t="str">
        <f t="shared" si="34"/>
        <v>2022-10</v>
      </c>
    </row>
    <row r="2200" spans="1:10" x14ac:dyDescent="0.2">
      <c r="A2200" s="2" t="s">
        <v>2004</v>
      </c>
      <c r="B2200" s="2" t="s">
        <v>858</v>
      </c>
      <c r="C2200" s="2" t="s">
        <v>16</v>
      </c>
      <c r="D2200" s="2" t="s">
        <v>2954</v>
      </c>
      <c r="E2200" s="5">
        <v>44840</v>
      </c>
      <c r="F2200" s="2">
        <v>29</v>
      </c>
      <c r="G2200" s="2" t="s">
        <v>37</v>
      </c>
      <c r="H2200" s="2" t="s">
        <v>859</v>
      </c>
      <c r="I2200" s="6" t="s">
        <v>2954</v>
      </c>
      <c r="J2200" s="2" t="str">
        <f t="shared" si="34"/>
        <v>2022-10</v>
      </c>
    </row>
    <row r="2201" spans="1:10" x14ac:dyDescent="0.2">
      <c r="A2201" s="2" t="s">
        <v>2005</v>
      </c>
      <c r="B2201" s="2" t="s">
        <v>34</v>
      </c>
      <c r="C2201" s="2" t="s">
        <v>16</v>
      </c>
      <c r="D2201" s="2" t="s">
        <v>2954</v>
      </c>
      <c r="E2201" s="5">
        <v>44840</v>
      </c>
      <c r="F2201" s="2">
        <v>58</v>
      </c>
      <c r="G2201" s="2" t="s">
        <v>37</v>
      </c>
      <c r="H2201" s="2" t="s">
        <v>23</v>
      </c>
      <c r="I2201" s="6">
        <v>0.4</v>
      </c>
      <c r="J2201" s="2" t="str">
        <f t="shared" si="34"/>
        <v>2022-10</v>
      </c>
    </row>
    <row r="2202" spans="1:10" x14ac:dyDescent="0.2">
      <c r="A2202" s="2" t="s">
        <v>530</v>
      </c>
      <c r="B2202" s="2" t="s">
        <v>287</v>
      </c>
      <c r="C2202" s="2" t="s">
        <v>235</v>
      </c>
      <c r="D2202" s="2" t="s">
        <v>2954</v>
      </c>
      <c r="E2202" s="5">
        <v>44840</v>
      </c>
      <c r="F2202" s="2">
        <v>2100</v>
      </c>
      <c r="G2202" s="2" t="s">
        <v>17</v>
      </c>
      <c r="H2202" s="2" t="s">
        <v>291</v>
      </c>
      <c r="I2202" s="6" t="s">
        <v>2954</v>
      </c>
      <c r="J2202" s="2" t="str">
        <f t="shared" si="34"/>
        <v>2022-10</v>
      </c>
    </row>
    <row r="2203" spans="1:10" x14ac:dyDescent="0.2">
      <c r="A2203" s="2" t="s">
        <v>2006</v>
      </c>
      <c r="B2203" s="2" t="s">
        <v>314</v>
      </c>
      <c r="C2203" s="2" t="s">
        <v>84</v>
      </c>
      <c r="D2203" s="2">
        <v>50</v>
      </c>
      <c r="E2203" s="5">
        <v>44839</v>
      </c>
      <c r="F2203" s="2">
        <v>29</v>
      </c>
      <c r="G2203" s="2" t="s">
        <v>66</v>
      </c>
      <c r="H2203" s="2" t="s">
        <v>23</v>
      </c>
      <c r="I2203" s="6">
        <v>0.25</v>
      </c>
      <c r="J2203" s="2" t="str">
        <f t="shared" si="34"/>
        <v>2022-10</v>
      </c>
    </row>
    <row r="2204" spans="1:10" x14ac:dyDescent="0.2">
      <c r="A2204" s="2" t="s">
        <v>2007</v>
      </c>
      <c r="B2204" s="2" t="s">
        <v>28</v>
      </c>
      <c r="C2204" s="2" t="s">
        <v>32</v>
      </c>
      <c r="D2204" s="2" t="s">
        <v>2954</v>
      </c>
      <c r="E2204" s="5">
        <v>44839</v>
      </c>
      <c r="F2204" s="2">
        <v>73</v>
      </c>
      <c r="G2204" s="2" t="s">
        <v>37</v>
      </c>
      <c r="H2204" s="2" t="s">
        <v>23</v>
      </c>
      <c r="I2204" s="6">
        <v>0.5</v>
      </c>
      <c r="J2204" s="2" t="str">
        <f t="shared" si="34"/>
        <v>2022-10</v>
      </c>
    </row>
    <row r="2205" spans="1:10" x14ac:dyDescent="0.2">
      <c r="A2205" s="2" t="s">
        <v>1549</v>
      </c>
      <c r="B2205" s="2" t="s">
        <v>34</v>
      </c>
      <c r="C2205" s="2" t="s">
        <v>113</v>
      </c>
      <c r="D2205" s="2">
        <v>200</v>
      </c>
      <c r="E2205" s="5">
        <v>44838</v>
      </c>
      <c r="F2205" s="2">
        <v>253</v>
      </c>
      <c r="G2205" s="2" t="s">
        <v>17</v>
      </c>
      <c r="H2205" s="2" t="s">
        <v>23</v>
      </c>
      <c r="I2205" s="6">
        <v>0.09</v>
      </c>
      <c r="J2205" s="2" t="str">
        <f t="shared" si="34"/>
        <v>2022-10</v>
      </c>
    </row>
    <row r="2206" spans="1:10" x14ac:dyDescent="0.2">
      <c r="A2206" s="2" t="s">
        <v>1126</v>
      </c>
      <c r="B2206" s="2" t="s">
        <v>273</v>
      </c>
      <c r="C2206" s="2" t="s">
        <v>52</v>
      </c>
      <c r="D2206" s="2">
        <v>65</v>
      </c>
      <c r="E2206" s="5">
        <v>44838</v>
      </c>
      <c r="F2206" s="2">
        <v>105</v>
      </c>
      <c r="G2206" s="2" t="s">
        <v>37</v>
      </c>
      <c r="H2206" s="2" t="s">
        <v>274</v>
      </c>
      <c r="I2206" s="6">
        <v>0.16</v>
      </c>
      <c r="J2206" s="2" t="str">
        <f t="shared" si="34"/>
        <v>2022-10</v>
      </c>
    </row>
    <row r="2207" spans="1:10" x14ac:dyDescent="0.2">
      <c r="A2207" s="2" t="s">
        <v>146</v>
      </c>
      <c r="B2207" s="2" t="s">
        <v>147</v>
      </c>
      <c r="C2207" s="2" t="s">
        <v>148</v>
      </c>
      <c r="D2207" s="2">
        <v>40</v>
      </c>
      <c r="E2207" s="5">
        <v>44838</v>
      </c>
      <c r="F2207" s="2">
        <v>35</v>
      </c>
      <c r="G2207" s="2" t="s">
        <v>37</v>
      </c>
      <c r="H2207" s="2" t="s">
        <v>23</v>
      </c>
      <c r="I2207" s="6">
        <v>0.13</v>
      </c>
      <c r="J2207" s="2" t="str">
        <f t="shared" si="34"/>
        <v>2022-10</v>
      </c>
    </row>
    <row r="2208" spans="1:10" x14ac:dyDescent="0.2">
      <c r="A2208" s="2" t="s">
        <v>2008</v>
      </c>
      <c r="B2208" s="2" t="s">
        <v>34</v>
      </c>
      <c r="C2208" s="2" t="s">
        <v>243</v>
      </c>
      <c r="D2208" s="2" t="s">
        <v>2954</v>
      </c>
      <c r="E2208" s="5">
        <v>44838</v>
      </c>
      <c r="F2208" s="2" t="s">
        <v>2954</v>
      </c>
      <c r="G2208" s="2" t="s">
        <v>75</v>
      </c>
      <c r="H2208" s="2" t="s">
        <v>23</v>
      </c>
      <c r="I2208" s="6">
        <v>0.05</v>
      </c>
      <c r="J2208" s="2" t="str">
        <f t="shared" si="34"/>
        <v>2022-10</v>
      </c>
    </row>
    <row r="2209" spans="1:10" x14ac:dyDescent="0.2">
      <c r="A2209" s="2" t="s">
        <v>397</v>
      </c>
      <c r="B2209" s="2" t="s">
        <v>398</v>
      </c>
      <c r="C2209" s="2" t="s">
        <v>16</v>
      </c>
      <c r="D2209" s="2" t="s">
        <v>2954</v>
      </c>
      <c r="E2209" s="5">
        <v>44838</v>
      </c>
      <c r="F2209" s="2">
        <v>534</v>
      </c>
      <c r="G2209" s="2" t="s">
        <v>75</v>
      </c>
      <c r="H2209" s="2" t="s">
        <v>399</v>
      </c>
      <c r="I2209" s="6">
        <v>0.05</v>
      </c>
      <c r="J2209" s="2" t="str">
        <f t="shared" si="34"/>
        <v>2022-10</v>
      </c>
    </row>
    <row r="2210" spans="1:10" x14ac:dyDescent="0.2">
      <c r="A2210" s="2" t="s">
        <v>2009</v>
      </c>
      <c r="B2210" s="2" t="s">
        <v>314</v>
      </c>
      <c r="C2210" s="2" t="s">
        <v>26</v>
      </c>
      <c r="D2210" s="2" t="s">
        <v>2954</v>
      </c>
      <c r="E2210" s="5">
        <v>44837</v>
      </c>
      <c r="F2210" s="2">
        <v>360</v>
      </c>
      <c r="G2210" s="2" t="s">
        <v>66</v>
      </c>
      <c r="H2210" s="2" t="s">
        <v>23</v>
      </c>
      <c r="I2210" s="6">
        <v>0.15</v>
      </c>
      <c r="J2210" s="2" t="str">
        <f t="shared" si="34"/>
        <v>2022-10</v>
      </c>
    </row>
    <row r="2211" spans="1:10" x14ac:dyDescent="0.2">
      <c r="A2211" s="2" t="s">
        <v>2010</v>
      </c>
      <c r="B2211" s="2" t="s">
        <v>34</v>
      </c>
      <c r="C2211" s="2" t="s">
        <v>117</v>
      </c>
      <c r="D2211" s="2" t="s">
        <v>2954</v>
      </c>
      <c r="E2211" s="5">
        <v>44837</v>
      </c>
      <c r="F2211" s="2">
        <v>298</v>
      </c>
      <c r="G2211" s="2" t="s">
        <v>66</v>
      </c>
      <c r="H2211" s="2" t="s">
        <v>23</v>
      </c>
      <c r="I2211" s="6" t="s">
        <v>2954</v>
      </c>
      <c r="J2211" s="2" t="str">
        <f t="shared" si="34"/>
        <v>2022-10</v>
      </c>
    </row>
    <row r="2212" spans="1:10" x14ac:dyDescent="0.2">
      <c r="A2212" s="2" t="s">
        <v>2011</v>
      </c>
      <c r="B2212" s="2" t="s">
        <v>538</v>
      </c>
      <c r="C2212" s="2" t="s">
        <v>22</v>
      </c>
      <c r="D2212" s="2">
        <v>60</v>
      </c>
      <c r="E2212" s="5">
        <v>44836</v>
      </c>
      <c r="F2212" s="2" t="s">
        <v>2954</v>
      </c>
      <c r="G2212" s="2" t="s">
        <v>45</v>
      </c>
      <c r="H2212" s="2" t="s">
        <v>98</v>
      </c>
      <c r="I2212" s="6">
        <v>0.4</v>
      </c>
      <c r="J2212" s="2" t="str">
        <f t="shared" si="34"/>
        <v>2022-10</v>
      </c>
    </row>
    <row r="2213" spans="1:10" x14ac:dyDescent="0.2">
      <c r="A2213" s="2" t="s">
        <v>2012</v>
      </c>
      <c r="B2213" s="2" t="s">
        <v>34</v>
      </c>
      <c r="C2213" s="2" t="s">
        <v>52</v>
      </c>
      <c r="D2213" s="2">
        <v>78</v>
      </c>
      <c r="E2213" s="5">
        <v>44834</v>
      </c>
      <c r="F2213" s="2">
        <v>8</v>
      </c>
      <c r="G2213" s="2" t="s">
        <v>45</v>
      </c>
      <c r="H2213" s="2" t="s">
        <v>23</v>
      </c>
      <c r="I2213" s="6">
        <v>0.1</v>
      </c>
      <c r="J2213" s="2" t="str">
        <f t="shared" si="34"/>
        <v>2022-09</v>
      </c>
    </row>
    <row r="2214" spans="1:10" x14ac:dyDescent="0.2">
      <c r="A2214" s="2" t="s">
        <v>2013</v>
      </c>
      <c r="B2214" s="2" t="s">
        <v>2014</v>
      </c>
      <c r="C2214" s="2" t="s">
        <v>52</v>
      </c>
      <c r="D2214" s="2" t="s">
        <v>2954</v>
      </c>
      <c r="E2214" s="5">
        <v>44834</v>
      </c>
      <c r="F2214" s="2">
        <v>607</v>
      </c>
      <c r="G2214" s="2" t="s">
        <v>128</v>
      </c>
      <c r="H2214" s="2" t="s">
        <v>2015</v>
      </c>
      <c r="I2214" s="6">
        <v>0.1</v>
      </c>
      <c r="J2214" s="2" t="str">
        <f t="shared" si="34"/>
        <v>2022-09</v>
      </c>
    </row>
    <row r="2215" spans="1:10" x14ac:dyDescent="0.2">
      <c r="A2215" s="2" t="s">
        <v>2016</v>
      </c>
      <c r="B2215" s="2" t="s">
        <v>34</v>
      </c>
      <c r="C2215" s="2" t="s">
        <v>11</v>
      </c>
      <c r="D2215" s="2" t="s">
        <v>2954</v>
      </c>
      <c r="E2215" s="5">
        <v>44834</v>
      </c>
      <c r="F2215" s="2" t="s">
        <v>2954</v>
      </c>
      <c r="G2215" s="2" t="s">
        <v>12</v>
      </c>
      <c r="H2215" s="2" t="s">
        <v>23</v>
      </c>
      <c r="I2215" s="6">
        <v>1</v>
      </c>
      <c r="J2215" s="2" t="str">
        <f t="shared" si="34"/>
        <v>2022-09</v>
      </c>
    </row>
    <row r="2216" spans="1:10" x14ac:dyDescent="0.2">
      <c r="A2216" s="2" t="s">
        <v>2017</v>
      </c>
      <c r="B2216" s="2" t="s">
        <v>34</v>
      </c>
      <c r="C2216" s="2" t="s">
        <v>32</v>
      </c>
      <c r="D2216" s="2" t="s">
        <v>2954</v>
      </c>
      <c r="E2216" s="5">
        <v>44834</v>
      </c>
      <c r="F2216" s="2">
        <v>255</v>
      </c>
      <c r="G2216" s="2" t="s">
        <v>75</v>
      </c>
      <c r="H2216" s="2" t="s">
        <v>23</v>
      </c>
      <c r="I2216" s="6" t="s">
        <v>2954</v>
      </c>
      <c r="J2216" s="2" t="str">
        <f t="shared" si="34"/>
        <v>2022-09</v>
      </c>
    </row>
    <row r="2217" spans="1:10" x14ac:dyDescent="0.2">
      <c r="A2217" s="2" t="s">
        <v>2018</v>
      </c>
      <c r="B2217" s="2" t="s">
        <v>381</v>
      </c>
      <c r="C2217" s="2" t="s">
        <v>142</v>
      </c>
      <c r="D2217" s="2">
        <v>125</v>
      </c>
      <c r="E2217" s="5">
        <v>44833</v>
      </c>
      <c r="F2217" s="2">
        <v>237</v>
      </c>
      <c r="G2217" s="2" t="s">
        <v>17</v>
      </c>
      <c r="H2217" s="2" t="s">
        <v>76</v>
      </c>
      <c r="I2217" s="6" t="s">
        <v>2954</v>
      </c>
      <c r="J2217" s="2" t="str">
        <f t="shared" si="34"/>
        <v>2022-09</v>
      </c>
    </row>
    <row r="2218" spans="1:10" x14ac:dyDescent="0.2">
      <c r="A2218" s="2" t="s">
        <v>1050</v>
      </c>
      <c r="B2218" s="2" t="s">
        <v>34</v>
      </c>
      <c r="C2218" s="2" t="s">
        <v>48</v>
      </c>
      <c r="D2218" s="2">
        <v>40</v>
      </c>
      <c r="E2218" s="5">
        <v>44833</v>
      </c>
      <c r="F2218" s="2">
        <v>173</v>
      </c>
      <c r="G2218" s="2" t="s">
        <v>75</v>
      </c>
      <c r="H2218" s="2" t="s">
        <v>23</v>
      </c>
      <c r="I2218" s="6">
        <v>0.2</v>
      </c>
      <c r="J2218" s="2" t="str">
        <f t="shared" si="34"/>
        <v>2022-09</v>
      </c>
    </row>
    <row r="2219" spans="1:10" x14ac:dyDescent="0.2">
      <c r="A2219" s="2" t="s">
        <v>498</v>
      </c>
      <c r="B2219" s="2" t="s">
        <v>74</v>
      </c>
      <c r="C2219" s="2" t="s">
        <v>16</v>
      </c>
      <c r="D2219" s="2" t="s">
        <v>2954</v>
      </c>
      <c r="E2219" s="5">
        <v>44833</v>
      </c>
      <c r="F2219" s="2">
        <v>385</v>
      </c>
      <c r="G2219" s="2" t="s">
        <v>12</v>
      </c>
      <c r="H2219" s="2" t="s">
        <v>76</v>
      </c>
      <c r="I2219" s="6">
        <v>0.1</v>
      </c>
      <c r="J2219" s="2" t="str">
        <f t="shared" si="34"/>
        <v>2022-09</v>
      </c>
    </row>
    <row r="2220" spans="1:10" x14ac:dyDescent="0.2">
      <c r="A2220" s="2" t="s">
        <v>2019</v>
      </c>
      <c r="B2220" s="2" t="s">
        <v>74</v>
      </c>
      <c r="C2220" s="2" t="s">
        <v>68</v>
      </c>
      <c r="D2220" s="2" t="s">
        <v>2954</v>
      </c>
      <c r="E2220" s="5">
        <v>44833</v>
      </c>
      <c r="F2220" s="2">
        <v>107</v>
      </c>
      <c r="G2220" s="2" t="s">
        <v>75</v>
      </c>
      <c r="H2220" s="2" t="s">
        <v>76</v>
      </c>
      <c r="I2220" s="6" t="s">
        <v>2954</v>
      </c>
      <c r="J2220" s="2" t="str">
        <f t="shared" si="34"/>
        <v>2022-09</v>
      </c>
    </row>
    <row r="2221" spans="1:10" x14ac:dyDescent="0.2">
      <c r="A2221" s="2" t="s">
        <v>322</v>
      </c>
      <c r="B2221" s="2" t="s">
        <v>34</v>
      </c>
      <c r="C2221" s="2" t="s">
        <v>50</v>
      </c>
      <c r="D2221" s="2">
        <v>671</v>
      </c>
      <c r="E2221" s="5">
        <v>44832</v>
      </c>
      <c r="F2221" s="2">
        <v>536</v>
      </c>
      <c r="G2221" s="2" t="s">
        <v>17</v>
      </c>
      <c r="H2221" s="2" t="s">
        <v>23</v>
      </c>
      <c r="I2221" s="6">
        <v>0.09</v>
      </c>
      <c r="J2221" s="2" t="str">
        <f t="shared" si="34"/>
        <v>2022-09</v>
      </c>
    </row>
    <row r="2222" spans="1:10" x14ac:dyDescent="0.2">
      <c r="A2222" s="2" t="s">
        <v>2020</v>
      </c>
      <c r="B2222" s="2" t="s">
        <v>34</v>
      </c>
      <c r="C2222" s="2" t="s">
        <v>113</v>
      </c>
      <c r="D2222" s="2" t="s">
        <v>2954</v>
      </c>
      <c r="E2222" s="5">
        <v>44832</v>
      </c>
      <c r="F2222" s="2">
        <v>203</v>
      </c>
      <c r="G2222" s="2" t="s">
        <v>75</v>
      </c>
      <c r="H2222" s="2" t="s">
        <v>23</v>
      </c>
      <c r="I2222" s="6" t="s">
        <v>2954</v>
      </c>
      <c r="J2222" s="2" t="str">
        <f t="shared" si="34"/>
        <v>2022-09</v>
      </c>
    </row>
    <row r="2223" spans="1:10" x14ac:dyDescent="0.2">
      <c r="A2223" s="2" t="s">
        <v>1966</v>
      </c>
      <c r="B2223" s="2" t="s">
        <v>34</v>
      </c>
      <c r="C2223" s="2" t="s">
        <v>52</v>
      </c>
      <c r="D2223" s="2" t="s">
        <v>2954</v>
      </c>
      <c r="E2223" s="5">
        <v>44832</v>
      </c>
      <c r="F2223" s="2">
        <v>575</v>
      </c>
      <c r="G2223" s="2" t="s">
        <v>17</v>
      </c>
      <c r="H2223" s="2" t="s">
        <v>23</v>
      </c>
      <c r="I2223" s="6">
        <v>0.1</v>
      </c>
      <c r="J2223" s="2" t="str">
        <f t="shared" si="34"/>
        <v>2022-09</v>
      </c>
    </row>
    <row r="2224" spans="1:10" x14ac:dyDescent="0.2">
      <c r="A2224" s="2" t="s">
        <v>728</v>
      </c>
      <c r="B2224" s="2" t="s">
        <v>34</v>
      </c>
      <c r="C2224" s="2" t="s">
        <v>148</v>
      </c>
      <c r="D2224" s="2">
        <v>40</v>
      </c>
      <c r="E2224" s="5">
        <v>44831</v>
      </c>
      <c r="F2224" s="2">
        <v>180</v>
      </c>
      <c r="G2224" s="2" t="s">
        <v>37</v>
      </c>
      <c r="H2224" s="2" t="s">
        <v>23</v>
      </c>
      <c r="I2224" s="6">
        <v>0.12</v>
      </c>
      <c r="J2224" s="2" t="str">
        <f t="shared" si="34"/>
        <v>2022-09</v>
      </c>
    </row>
    <row r="2225" spans="1:10" x14ac:dyDescent="0.2">
      <c r="A2225" s="2" t="s">
        <v>1671</v>
      </c>
      <c r="B2225" s="2" t="s">
        <v>2021</v>
      </c>
      <c r="C2225" s="2" t="s">
        <v>243</v>
      </c>
      <c r="D2225" s="2" t="s">
        <v>2954</v>
      </c>
      <c r="E2225" s="5">
        <v>44831</v>
      </c>
      <c r="F2225" s="2">
        <v>692</v>
      </c>
      <c r="G2225" s="2" t="s">
        <v>12</v>
      </c>
      <c r="H2225" s="2" t="s">
        <v>55</v>
      </c>
      <c r="I2225" s="6" t="s">
        <v>2954</v>
      </c>
      <c r="J2225" s="2" t="str">
        <f t="shared" si="34"/>
        <v>2022-09</v>
      </c>
    </row>
    <row r="2226" spans="1:10" x14ac:dyDescent="0.2">
      <c r="A2226" s="2" t="s">
        <v>299</v>
      </c>
      <c r="B2226" s="2" t="s">
        <v>34</v>
      </c>
      <c r="C2226" s="2" t="s">
        <v>11</v>
      </c>
      <c r="D2226" s="2" t="s">
        <v>2954</v>
      </c>
      <c r="E2226" s="5">
        <v>44828</v>
      </c>
      <c r="F2226" s="2">
        <v>2900</v>
      </c>
      <c r="G2226" s="2" t="s">
        <v>12</v>
      </c>
      <c r="H2226" s="2" t="s">
        <v>23</v>
      </c>
      <c r="I2226" s="6" t="s">
        <v>2954</v>
      </c>
      <c r="J2226" s="2" t="str">
        <f t="shared" si="34"/>
        <v>2022-09</v>
      </c>
    </row>
    <row r="2227" spans="1:10" x14ac:dyDescent="0.2">
      <c r="A2227" s="2" t="s">
        <v>2022</v>
      </c>
      <c r="B2227" s="2" t="s">
        <v>955</v>
      </c>
      <c r="C2227" s="2" t="s">
        <v>16</v>
      </c>
      <c r="D2227" s="2">
        <v>180</v>
      </c>
      <c r="E2227" s="5">
        <v>44827</v>
      </c>
      <c r="F2227" s="2">
        <v>706</v>
      </c>
      <c r="G2227" s="2" t="s">
        <v>128</v>
      </c>
      <c r="H2227" s="2" t="s">
        <v>23</v>
      </c>
      <c r="I2227" s="6" t="s">
        <v>2954</v>
      </c>
      <c r="J2227" s="2" t="str">
        <f t="shared" si="34"/>
        <v>2022-09</v>
      </c>
    </row>
    <row r="2228" spans="1:10" x14ac:dyDescent="0.2">
      <c r="A2228" s="2" t="s">
        <v>1075</v>
      </c>
      <c r="B2228" s="2" t="s">
        <v>74</v>
      </c>
      <c r="C2228" s="2" t="s">
        <v>16</v>
      </c>
      <c r="D2228" s="2">
        <v>70</v>
      </c>
      <c r="E2228" s="5">
        <v>44827</v>
      </c>
      <c r="F2228" s="2">
        <v>150</v>
      </c>
      <c r="G2228" s="2" t="s">
        <v>37</v>
      </c>
      <c r="H2228" s="2" t="s">
        <v>76</v>
      </c>
      <c r="I2228" s="6">
        <v>0.15</v>
      </c>
      <c r="J2228" s="2" t="str">
        <f t="shared" si="34"/>
        <v>2022-09</v>
      </c>
    </row>
    <row r="2229" spans="1:10" x14ac:dyDescent="0.2">
      <c r="A2229" s="2" t="s">
        <v>2023</v>
      </c>
      <c r="B2229" s="2" t="s">
        <v>314</v>
      </c>
      <c r="C2229" s="2" t="s">
        <v>11</v>
      </c>
      <c r="D2229" s="2">
        <v>26</v>
      </c>
      <c r="E2229" s="5">
        <v>44827</v>
      </c>
      <c r="F2229" s="2">
        <v>166</v>
      </c>
      <c r="G2229" s="2" t="s">
        <v>66</v>
      </c>
      <c r="H2229" s="2" t="s">
        <v>23</v>
      </c>
      <c r="I2229" s="6">
        <v>3.5000000000000003E-2</v>
      </c>
      <c r="J2229" s="2" t="str">
        <f t="shared" si="34"/>
        <v>2022-09</v>
      </c>
    </row>
    <row r="2230" spans="1:10" x14ac:dyDescent="0.2">
      <c r="A2230" s="2" t="s">
        <v>2024</v>
      </c>
      <c r="B2230" s="2" t="s">
        <v>183</v>
      </c>
      <c r="C2230" s="2" t="s">
        <v>195</v>
      </c>
      <c r="D2230" s="2">
        <v>24</v>
      </c>
      <c r="E2230" s="5">
        <v>44827</v>
      </c>
      <c r="F2230" s="2">
        <v>474</v>
      </c>
      <c r="G2230" s="2" t="s">
        <v>75</v>
      </c>
      <c r="H2230" s="2" t="s">
        <v>106</v>
      </c>
      <c r="I2230" s="6">
        <v>0.05</v>
      </c>
      <c r="J2230" s="2" t="str">
        <f t="shared" si="34"/>
        <v>2022-09</v>
      </c>
    </row>
    <row r="2231" spans="1:10" x14ac:dyDescent="0.2">
      <c r="A2231" s="2" t="s">
        <v>2025</v>
      </c>
      <c r="B2231" s="2" t="s">
        <v>34</v>
      </c>
      <c r="C2231" s="2" t="s">
        <v>29</v>
      </c>
      <c r="D2231" s="2" t="s">
        <v>2954</v>
      </c>
      <c r="E2231" s="5">
        <v>44827</v>
      </c>
      <c r="F2231" s="2">
        <v>6</v>
      </c>
      <c r="G2231" s="2" t="s">
        <v>132</v>
      </c>
      <c r="H2231" s="2" t="s">
        <v>23</v>
      </c>
      <c r="I2231" s="6">
        <v>1</v>
      </c>
      <c r="J2231" s="2" t="str">
        <f t="shared" si="34"/>
        <v>2022-09</v>
      </c>
    </row>
    <row r="2232" spans="1:10" x14ac:dyDescent="0.2">
      <c r="A2232" s="2" t="s">
        <v>2026</v>
      </c>
      <c r="B2232" s="2" t="s">
        <v>25</v>
      </c>
      <c r="C2232" s="2" t="s">
        <v>22</v>
      </c>
      <c r="D2232" s="2">
        <v>110</v>
      </c>
      <c r="E2232" s="5">
        <v>44826</v>
      </c>
      <c r="F2232" s="2">
        <v>1400</v>
      </c>
      <c r="G2232" s="2" t="s">
        <v>199</v>
      </c>
      <c r="H2232" s="2" t="s">
        <v>23</v>
      </c>
      <c r="I2232" s="6">
        <v>0.33</v>
      </c>
      <c r="J2232" s="2" t="str">
        <f t="shared" si="34"/>
        <v>2022-09</v>
      </c>
    </row>
    <row r="2233" spans="1:10" x14ac:dyDescent="0.2">
      <c r="A2233" s="2" t="s">
        <v>2027</v>
      </c>
      <c r="B2233" s="2" t="s">
        <v>287</v>
      </c>
      <c r="C2233" s="2" t="s">
        <v>16</v>
      </c>
      <c r="D2233" s="2">
        <v>100</v>
      </c>
      <c r="E2233" s="5">
        <v>44826</v>
      </c>
      <c r="F2233" s="2">
        <v>3700</v>
      </c>
      <c r="G2233" s="2" t="s">
        <v>12</v>
      </c>
      <c r="H2233" s="2" t="s">
        <v>291</v>
      </c>
      <c r="I2233" s="6" t="s">
        <v>2954</v>
      </c>
      <c r="J2233" s="2" t="str">
        <f t="shared" si="34"/>
        <v>2022-09</v>
      </c>
    </row>
    <row r="2234" spans="1:10" x14ac:dyDescent="0.2">
      <c r="A2234" s="2" t="s">
        <v>2028</v>
      </c>
      <c r="B2234" s="2" t="s">
        <v>54</v>
      </c>
      <c r="C2234" s="2" t="s">
        <v>142</v>
      </c>
      <c r="D2234" s="2" t="s">
        <v>2954</v>
      </c>
      <c r="E2234" s="5">
        <v>44826</v>
      </c>
      <c r="F2234" s="2">
        <v>136</v>
      </c>
      <c r="G2234" s="2" t="s">
        <v>75</v>
      </c>
      <c r="H2234" s="2" t="s">
        <v>55</v>
      </c>
      <c r="I2234" s="7" t="s">
        <v>1402</v>
      </c>
      <c r="J2234" s="2" t="str">
        <f t="shared" si="34"/>
        <v>2022-09</v>
      </c>
    </row>
    <row r="2235" spans="1:10" x14ac:dyDescent="0.2">
      <c r="A2235" s="2" t="s">
        <v>2029</v>
      </c>
      <c r="B2235" s="2" t="s">
        <v>34</v>
      </c>
      <c r="C2235" s="2" t="s">
        <v>135</v>
      </c>
      <c r="D2235" s="2">
        <v>100</v>
      </c>
      <c r="E2235" s="5">
        <v>44825</v>
      </c>
      <c r="F2235" s="2">
        <v>1</v>
      </c>
      <c r="G2235" s="2" t="s">
        <v>12</v>
      </c>
      <c r="H2235" s="2" t="s">
        <v>23</v>
      </c>
      <c r="I2235" s="6">
        <v>1</v>
      </c>
      <c r="J2235" s="2" t="str">
        <f t="shared" si="34"/>
        <v>2022-09</v>
      </c>
    </row>
    <row r="2236" spans="1:10" x14ac:dyDescent="0.2">
      <c r="A2236" s="2" t="s">
        <v>2030</v>
      </c>
      <c r="B2236" s="2" t="s">
        <v>34</v>
      </c>
      <c r="C2236" s="2" t="s">
        <v>68</v>
      </c>
      <c r="D2236" s="2" t="s">
        <v>2954</v>
      </c>
      <c r="E2236" s="5">
        <v>44825</v>
      </c>
      <c r="F2236" s="2">
        <v>5</v>
      </c>
      <c r="G2236" s="2" t="s">
        <v>132</v>
      </c>
      <c r="H2236" s="2" t="s">
        <v>23</v>
      </c>
      <c r="I2236" s="6" t="s">
        <v>2954</v>
      </c>
      <c r="J2236" s="2" t="str">
        <f t="shared" si="34"/>
        <v>2022-09</v>
      </c>
    </row>
    <row r="2237" spans="1:10" x14ac:dyDescent="0.2">
      <c r="A2237" s="2" t="s">
        <v>1663</v>
      </c>
      <c r="B2237" s="2" t="s">
        <v>25</v>
      </c>
      <c r="C2237" s="2" t="s">
        <v>148</v>
      </c>
      <c r="D2237" s="2">
        <v>271</v>
      </c>
      <c r="E2237" s="5">
        <v>44824</v>
      </c>
      <c r="F2237" s="2">
        <v>1600</v>
      </c>
      <c r="G2237" s="2" t="s">
        <v>17</v>
      </c>
      <c r="H2237" s="2" t="s">
        <v>23</v>
      </c>
      <c r="I2237" s="6" t="s">
        <v>2954</v>
      </c>
      <c r="J2237" s="2" t="str">
        <f t="shared" si="34"/>
        <v>2022-09</v>
      </c>
    </row>
    <row r="2238" spans="1:10" x14ac:dyDescent="0.2">
      <c r="A2238" s="2" t="s">
        <v>2031</v>
      </c>
      <c r="B2238" s="2" t="s">
        <v>47</v>
      </c>
      <c r="C2238" s="2" t="s">
        <v>32</v>
      </c>
      <c r="D2238" s="2">
        <v>109</v>
      </c>
      <c r="E2238" s="5">
        <v>44824</v>
      </c>
      <c r="F2238" s="2">
        <v>8</v>
      </c>
      <c r="G2238" s="2" t="s">
        <v>132</v>
      </c>
      <c r="H2238" s="2" t="s">
        <v>23</v>
      </c>
      <c r="I2238" s="6" t="s">
        <v>2954</v>
      </c>
      <c r="J2238" s="2" t="str">
        <f t="shared" si="34"/>
        <v>2022-09</v>
      </c>
    </row>
    <row r="2239" spans="1:10" x14ac:dyDescent="0.2">
      <c r="A2239" s="2" t="s">
        <v>1448</v>
      </c>
      <c r="B2239" s="2" t="s">
        <v>335</v>
      </c>
      <c r="C2239" s="2" t="s">
        <v>113</v>
      </c>
      <c r="D2239" s="2">
        <v>78</v>
      </c>
      <c r="E2239" s="5">
        <v>44824</v>
      </c>
      <c r="F2239" s="2">
        <v>190</v>
      </c>
      <c r="G2239" s="2" t="s">
        <v>66</v>
      </c>
      <c r="H2239" s="2" t="s">
        <v>106</v>
      </c>
      <c r="I2239" s="6">
        <v>0.16</v>
      </c>
      <c r="J2239" s="2" t="str">
        <f t="shared" si="34"/>
        <v>2022-09</v>
      </c>
    </row>
    <row r="2240" spans="1:10" x14ac:dyDescent="0.2">
      <c r="A2240" s="2">
        <v>99</v>
      </c>
      <c r="B2240" s="2" t="s">
        <v>661</v>
      </c>
      <c r="C2240" s="2" t="s">
        <v>52</v>
      </c>
      <c r="D2240" s="2">
        <v>75</v>
      </c>
      <c r="E2240" s="5">
        <v>44824</v>
      </c>
      <c r="F2240" s="2">
        <v>244</v>
      </c>
      <c r="G2240" s="2" t="s">
        <v>45</v>
      </c>
      <c r="H2240" s="2" t="s">
        <v>662</v>
      </c>
      <c r="I2240" s="6">
        <v>0.02</v>
      </c>
      <c r="J2240" s="2" t="str">
        <f t="shared" si="34"/>
        <v>2022-09</v>
      </c>
    </row>
    <row r="2241" spans="1:10" x14ac:dyDescent="0.2">
      <c r="A2241" s="2" t="s">
        <v>2032</v>
      </c>
      <c r="B2241" s="2" t="s">
        <v>34</v>
      </c>
      <c r="C2241" s="2" t="s">
        <v>52</v>
      </c>
      <c r="D2241" s="2" t="s">
        <v>2954</v>
      </c>
      <c r="E2241" s="5">
        <v>44824</v>
      </c>
      <c r="F2241" s="2">
        <v>282</v>
      </c>
      <c r="G2241" s="2" t="s">
        <v>17</v>
      </c>
      <c r="H2241" s="2" t="s">
        <v>23</v>
      </c>
      <c r="I2241" s="6">
        <v>0.1</v>
      </c>
      <c r="J2241" s="2" t="str">
        <f t="shared" si="34"/>
        <v>2022-09</v>
      </c>
    </row>
    <row r="2242" spans="1:10" x14ac:dyDescent="0.2">
      <c r="A2242" s="2" t="s">
        <v>1530</v>
      </c>
      <c r="B2242" s="2" t="s">
        <v>1092</v>
      </c>
      <c r="C2242" s="2" t="s">
        <v>142</v>
      </c>
      <c r="D2242" s="2" t="s">
        <v>2954</v>
      </c>
      <c r="E2242" s="5">
        <v>44824</v>
      </c>
      <c r="F2242" s="2">
        <v>62</v>
      </c>
      <c r="G2242" s="2" t="s">
        <v>45</v>
      </c>
      <c r="H2242" s="2" t="s">
        <v>23</v>
      </c>
      <c r="I2242" s="6">
        <v>0.04</v>
      </c>
      <c r="J2242" s="2" t="str">
        <f t="shared" si="34"/>
        <v>2022-09</v>
      </c>
    </row>
    <row r="2243" spans="1:10" x14ac:dyDescent="0.2">
      <c r="A2243" s="2" t="s">
        <v>129</v>
      </c>
      <c r="B2243" s="2" t="s">
        <v>100</v>
      </c>
      <c r="C2243" s="2" t="s">
        <v>52</v>
      </c>
      <c r="D2243" s="2">
        <v>200</v>
      </c>
      <c r="E2243" s="5">
        <v>44823</v>
      </c>
      <c r="F2243" s="2">
        <v>5000</v>
      </c>
      <c r="G2243" s="2" t="s">
        <v>130</v>
      </c>
      <c r="H2243" s="2" t="s">
        <v>98</v>
      </c>
      <c r="I2243" s="6" t="s">
        <v>2954</v>
      </c>
      <c r="J2243" s="2" t="str">
        <f t="shared" ref="J2243:J2306" si="35">TEXT(E2243,"YYYY-MM")</f>
        <v>2022-09</v>
      </c>
    </row>
    <row r="2244" spans="1:10" x14ac:dyDescent="0.2">
      <c r="A2244" s="2" t="s">
        <v>2033</v>
      </c>
      <c r="B2244" s="2" t="s">
        <v>89</v>
      </c>
      <c r="C2244" s="2" t="s">
        <v>32</v>
      </c>
      <c r="D2244" s="2">
        <v>29</v>
      </c>
      <c r="E2244" s="5">
        <v>44823</v>
      </c>
      <c r="F2244" s="2">
        <v>75</v>
      </c>
      <c r="G2244" s="2" t="s">
        <v>37</v>
      </c>
      <c r="H2244" s="2" t="s">
        <v>23</v>
      </c>
      <c r="I2244" s="6">
        <v>0.43</v>
      </c>
      <c r="J2244" s="2" t="str">
        <f t="shared" si="35"/>
        <v>2022-09</v>
      </c>
    </row>
    <row r="2245" spans="1:10" x14ac:dyDescent="0.2">
      <c r="A2245" s="2" t="s">
        <v>472</v>
      </c>
      <c r="B2245" s="2" t="s">
        <v>47</v>
      </c>
      <c r="C2245" s="2" t="s">
        <v>26</v>
      </c>
      <c r="D2245" s="2" t="s">
        <v>2954</v>
      </c>
      <c r="E2245" s="5">
        <v>44823</v>
      </c>
      <c r="F2245" s="2">
        <v>456</v>
      </c>
      <c r="G2245" s="2" t="s">
        <v>62</v>
      </c>
      <c r="H2245" s="2" t="s">
        <v>23</v>
      </c>
      <c r="I2245" s="6">
        <v>0.02</v>
      </c>
      <c r="J2245" s="2" t="str">
        <f t="shared" si="35"/>
        <v>2022-09</v>
      </c>
    </row>
    <row r="2246" spans="1:10" x14ac:dyDescent="0.2">
      <c r="A2246" s="2" t="s">
        <v>1286</v>
      </c>
      <c r="B2246" s="2" t="s">
        <v>398</v>
      </c>
      <c r="C2246" s="2" t="s">
        <v>11</v>
      </c>
      <c r="D2246" s="2" t="s">
        <v>2954</v>
      </c>
      <c r="E2246" s="5">
        <v>44822</v>
      </c>
      <c r="F2246" s="2" t="s">
        <v>2954</v>
      </c>
      <c r="G2246" s="2" t="s">
        <v>12</v>
      </c>
      <c r="H2246" s="2" t="s">
        <v>399</v>
      </c>
      <c r="I2246" s="6" t="s">
        <v>2954</v>
      </c>
      <c r="J2246" s="2" t="str">
        <f t="shared" si="35"/>
        <v>2022-09</v>
      </c>
    </row>
    <row r="2247" spans="1:10" x14ac:dyDescent="0.2">
      <c r="A2247" s="2" t="s">
        <v>2034</v>
      </c>
      <c r="B2247" s="2" t="s">
        <v>100</v>
      </c>
      <c r="C2247" s="2" t="s">
        <v>16</v>
      </c>
      <c r="D2247" s="2">
        <v>190</v>
      </c>
      <c r="E2247" s="5">
        <v>44820</v>
      </c>
      <c r="F2247" s="2">
        <v>140</v>
      </c>
      <c r="G2247" s="2" t="s">
        <v>66</v>
      </c>
      <c r="H2247" s="2" t="s">
        <v>98</v>
      </c>
      <c r="I2247" s="6">
        <v>0.2</v>
      </c>
      <c r="J2247" s="2" t="str">
        <f t="shared" si="35"/>
        <v>2022-09</v>
      </c>
    </row>
    <row r="2248" spans="1:10" x14ac:dyDescent="0.2">
      <c r="A2248" s="2" t="s">
        <v>2035</v>
      </c>
      <c r="B2248" s="2" t="s">
        <v>54</v>
      </c>
      <c r="C2248" s="2" t="s">
        <v>16</v>
      </c>
      <c r="D2248" s="2">
        <v>40</v>
      </c>
      <c r="E2248" s="5">
        <v>44820</v>
      </c>
      <c r="F2248" s="2">
        <v>271</v>
      </c>
      <c r="G2248" s="2" t="s">
        <v>128</v>
      </c>
      <c r="H2248" s="2" t="s">
        <v>23</v>
      </c>
      <c r="I2248" s="6">
        <v>0.1</v>
      </c>
      <c r="J2248" s="2" t="str">
        <f t="shared" si="35"/>
        <v>2022-09</v>
      </c>
    </row>
    <row r="2249" spans="1:10" x14ac:dyDescent="0.2">
      <c r="A2249" s="2" t="s">
        <v>2036</v>
      </c>
      <c r="B2249" s="2" t="s">
        <v>25</v>
      </c>
      <c r="C2249" s="2" t="s">
        <v>113</v>
      </c>
      <c r="D2249" s="2">
        <v>193</v>
      </c>
      <c r="E2249" s="5">
        <v>44819</v>
      </c>
      <c r="F2249" s="2">
        <v>42</v>
      </c>
      <c r="G2249" s="2" t="s">
        <v>17</v>
      </c>
      <c r="H2249" s="2" t="s">
        <v>23</v>
      </c>
      <c r="I2249" s="6">
        <v>0.11</v>
      </c>
      <c r="J2249" s="2" t="str">
        <f t="shared" si="35"/>
        <v>2022-09</v>
      </c>
    </row>
    <row r="2250" spans="1:10" x14ac:dyDescent="0.2">
      <c r="A2250" s="2" t="s">
        <v>2037</v>
      </c>
      <c r="B2250" s="2" t="s">
        <v>287</v>
      </c>
      <c r="C2250" s="2" t="s">
        <v>235</v>
      </c>
      <c r="D2250" s="2">
        <v>70</v>
      </c>
      <c r="E2250" s="5">
        <v>44819</v>
      </c>
      <c r="F2250" s="2">
        <v>126</v>
      </c>
      <c r="G2250" s="2" t="s">
        <v>17</v>
      </c>
      <c r="H2250" s="2" t="s">
        <v>291</v>
      </c>
      <c r="I2250" s="6">
        <v>0.15</v>
      </c>
      <c r="J2250" s="2" t="str">
        <f t="shared" si="35"/>
        <v>2022-09</v>
      </c>
    </row>
    <row r="2251" spans="1:10" x14ac:dyDescent="0.2">
      <c r="A2251" s="2" t="s">
        <v>2038</v>
      </c>
      <c r="B2251" s="2" t="s">
        <v>34</v>
      </c>
      <c r="C2251" s="2" t="s">
        <v>68</v>
      </c>
      <c r="D2251" s="2">
        <v>35</v>
      </c>
      <c r="E2251" s="5">
        <v>44819</v>
      </c>
      <c r="F2251" s="2">
        <v>67</v>
      </c>
      <c r="G2251" s="2" t="s">
        <v>66</v>
      </c>
      <c r="H2251" s="2" t="s">
        <v>23</v>
      </c>
      <c r="I2251" s="6">
        <v>0.2</v>
      </c>
      <c r="J2251" s="2" t="str">
        <f t="shared" si="35"/>
        <v>2022-09</v>
      </c>
    </row>
    <row r="2252" spans="1:10" x14ac:dyDescent="0.2">
      <c r="A2252" s="2" t="s">
        <v>938</v>
      </c>
      <c r="B2252" s="2" t="s">
        <v>34</v>
      </c>
      <c r="C2252" s="2" t="s">
        <v>32</v>
      </c>
      <c r="D2252" s="2" t="s">
        <v>2954</v>
      </c>
      <c r="E2252" s="5">
        <v>44819</v>
      </c>
      <c r="F2252" s="2">
        <v>90</v>
      </c>
      <c r="G2252" s="2" t="s">
        <v>37</v>
      </c>
      <c r="H2252" s="2" t="s">
        <v>23</v>
      </c>
      <c r="I2252" s="6" t="s">
        <v>2954</v>
      </c>
      <c r="J2252" s="2" t="str">
        <f t="shared" si="35"/>
        <v>2022-09</v>
      </c>
    </row>
    <row r="2253" spans="1:10" x14ac:dyDescent="0.2">
      <c r="A2253" s="2" t="s">
        <v>2039</v>
      </c>
      <c r="B2253" s="2" t="s">
        <v>34</v>
      </c>
      <c r="C2253" s="2" t="s">
        <v>26</v>
      </c>
      <c r="D2253" s="2" t="s">
        <v>2954</v>
      </c>
      <c r="E2253" s="5">
        <v>44819</v>
      </c>
      <c r="F2253" s="2">
        <v>108</v>
      </c>
      <c r="G2253" s="2" t="s">
        <v>12</v>
      </c>
      <c r="H2253" s="2" t="s">
        <v>23</v>
      </c>
      <c r="I2253" s="6">
        <v>7.0000000000000007E-2</v>
      </c>
      <c r="J2253" s="2" t="str">
        <f t="shared" si="35"/>
        <v>2022-09</v>
      </c>
    </row>
    <row r="2254" spans="1:10" x14ac:dyDescent="0.2">
      <c r="A2254" s="2" t="s">
        <v>535</v>
      </c>
      <c r="B2254" s="2" t="s">
        <v>34</v>
      </c>
      <c r="C2254" s="2" t="s">
        <v>29</v>
      </c>
      <c r="D2254" s="2">
        <v>800</v>
      </c>
      <c r="E2254" s="5">
        <v>44818</v>
      </c>
      <c r="F2254" s="2">
        <v>614</v>
      </c>
      <c r="G2254" s="2" t="s">
        <v>17</v>
      </c>
      <c r="H2254" s="2" t="s">
        <v>23</v>
      </c>
      <c r="I2254" s="6">
        <v>0.11</v>
      </c>
      <c r="J2254" s="2" t="str">
        <f t="shared" si="35"/>
        <v>2022-09</v>
      </c>
    </row>
    <row r="2255" spans="1:10" x14ac:dyDescent="0.2">
      <c r="A2255" s="2" t="s">
        <v>461</v>
      </c>
      <c r="B2255" s="2" t="s">
        <v>74</v>
      </c>
      <c r="C2255" s="2" t="s">
        <v>26</v>
      </c>
      <c r="D2255" s="2">
        <v>59</v>
      </c>
      <c r="E2255" s="5">
        <v>44818</v>
      </c>
      <c r="F2255" s="2">
        <v>137</v>
      </c>
      <c r="G2255" s="2" t="s">
        <v>37</v>
      </c>
      <c r="H2255" s="2" t="s">
        <v>76</v>
      </c>
      <c r="I2255" s="6">
        <v>0.3</v>
      </c>
      <c r="J2255" s="2" t="str">
        <f t="shared" si="35"/>
        <v>2022-09</v>
      </c>
    </row>
    <row r="2256" spans="1:10" x14ac:dyDescent="0.2">
      <c r="A2256" s="2" t="s">
        <v>1792</v>
      </c>
      <c r="B2256" s="2" t="s">
        <v>74</v>
      </c>
      <c r="C2256" s="2" t="s">
        <v>29</v>
      </c>
      <c r="D2256" s="2">
        <v>50</v>
      </c>
      <c r="E2256" s="5">
        <v>44818</v>
      </c>
      <c r="F2256" s="2">
        <v>604</v>
      </c>
      <c r="G2256" s="2" t="s">
        <v>75</v>
      </c>
      <c r="H2256" s="2" t="s">
        <v>76</v>
      </c>
      <c r="I2256" s="6">
        <v>0.05</v>
      </c>
      <c r="J2256" s="2" t="str">
        <f t="shared" si="35"/>
        <v>2022-09</v>
      </c>
    </row>
    <row r="2257" spans="1:10" x14ac:dyDescent="0.2">
      <c r="A2257" s="2" t="s">
        <v>2040</v>
      </c>
      <c r="B2257" s="2" t="s">
        <v>34</v>
      </c>
      <c r="C2257" s="2" t="s">
        <v>235</v>
      </c>
      <c r="D2257" s="2">
        <v>30</v>
      </c>
      <c r="E2257" s="5">
        <v>44818</v>
      </c>
      <c r="F2257" s="2">
        <v>121900</v>
      </c>
      <c r="G2257" s="2" t="s">
        <v>17</v>
      </c>
      <c r="H2257" s="2" t="s">
        <v>23</v>
      </c>
      <c r="I2257" s="6" t="s">
        <v>2954</v>
      </c>
      <c r="J2257" s="2" t="str">
        <f t="shared" si="35"/>
        <v>2022-09</v>
      </c>
    </row>
    <row r="2258" spans="1:10" x14ac:dyDescent="0.2">
      <c r="A2258" s="2" t="s">
        <v>2041</v>
      </c>
      <c r="B2258" s="2" t="s">
        <v>2042</v>
      </c>
      <c r="C2258" s="2" t="s">
        <v>48</v>
      </c>
      <c r="D2258" s="2" t="s">
        <v>2954</v>
      </c>
      <c r="E2258" s="5">
        <v>44818</v>
      </c>
      <c r="F2258" s="2">
        <v>83</v>
      </c>
      <c r="G2258" s="2" t="s">
        <v>66</v>
      </c>
      <c r="H2258" s="2" t="s">
        <v>2043</v>
      </c>
      <c r="I2258" s="6">
        <v>0.14000000000000001</v>
      </c>
      <c r="J2258" s="2" t="str">
        <f t="shared" si="35"/>
        <v>2022-09</v>
      </c>
    </row>
    <row r="2259" spans="1:10" x14ac:dyDescent="0.2">
      <c r="A2259" s="2" t="s">
        <v>1926</v>
      </c>
      <c r="B2259" s="2" t="s">
        <v>89</v>
      </c>
      <c r="C2259" s="2" t="s">
        <v>32</v>
      </c>
      <c r="D2259" s="2">
        <v>160</v>
      </c>
      <c r="E2259" s="5">
        <v>44817</v>
      </c>
      <c r="F2259" s="2">
        <v>445</v>
      </c>
      <c r="G2259" s="2" t="s">
        <v>17</v>
      </c>
      <c r="H2259" s="2" t="s">
        <v>23</v>
      </c>
      <c r="I2259" s="6">
        <v>0.75</v>
      </c>
      <c r="J2259" s="2" t="str">
        <f t="shared" si="35"/>
        <v>2022-09</v>
      </c>
    </row>
    <row r="2260" spans="1:10" x14ac:dyDescent="0.2">
      <c r="A2260" s="2" t="s">
        <v>491</v>
      </c>
      <c r="B2260" s="2" t="s">
        <v>54</v>
      </c>
      <c r="C2260" s="2" t="s">
        <v>16</v>
      </c>
      <c r="D2260" s="2">
        <v>100</v>
      </c>
      <c r="E2260" s="5">
        <v>44817</v>
      </c>
      <c r="F2260" s="2">
        <v>1800</v>
      </c>
      <c r="G2260" s="2" t="s">
        <v>75</v>
      </c>
      <c r="H2260" s="2" t="s">
        <v>55</v>
      </c>
      <c r="I2260" s="6">
        <v>0.05</v>
      </c>
      <c r="J2260" s="2" t="str">
        <f t="shared" si="35"/>
        <v>2022-09</v>
      </c>
    </row>
    <row r="2261" spans="1:10" x14ac:dyDescent="0.2">
      <c r="A2261" s="2" t="s">
        <v>2044</v>
      </c>
      <c r="B2261" s="2" t="s">
        <v>25</v>
      </c>
      <c r="C2261" s="2" t="s">
        <v>26</v>
      </c>
      <c r="D2261" s="2">
        <v>100</v>
      </c>
      <c r="E2261" s="5">
        <v>44817</v>
      </c>
      <c r="F2261" s="2">
        <v>445</v>
      </c>
      <c r="G2261" s="2" t="s">
        <v>17</v>
      </c>
      <c r="H2261" s="2" t="s">
        <v>23</v>
      </c>
      <c r="I2261" s="6">
        <v>0.06</v>
      </c>
      <c r="J2261" s="2" t="str">
        <f t="shared" si="35"/>
        <v>2022-09</v>
      </c>
    </row>
    <row r="2262" spans="1:10" x14ac:dyDescent="0.2">
      <c r="A2262" s="2" t="s">
        <v>2045</v>
      </c>
      <c r="B2262" s="2" t="s">
        <v>34</v>
      </c>
      <c r="C2262" s="2" t="s">
        <v>235</v>
      </c>
      <c r="D2262" s="2">
        <v>80</v>
      </c>
      <c r="E2262" s="5">
        <v>44817</v>
      </c>
      <c r="F2262" s="2">
        <v>413</v>
      </c>
      <c r="G2262" s="2" t="s">
        <v>62</v>
      </c>
      <c r="H2262" s="2" t="s">
        <v>23</v>
      </c>
      <c r="I2262" s="6">
        <v>0.17</v>
      </c>
      <c r="J2262" s="2" t="str">
        <f t="shared" si="35"/>
        <v>2022-09</v>
      </c>
    </row>
    <row r="2263" spans="1:10" x14ac:dyDescent="0.2">
      <c r="A2263" s="2" t="s">
        <v>448</v>
      </c>
      <c r="B2263" s="2" t="s">
        <v>115</v>
      </c>
      <c r="C2263" s="2" t="s">
        <v>26</v>
      </c>
      <c r="D2263" s="2" t="s">
        <v>2954</v>
      </c>
      <c r="E2263" s="5">
        <v>44817</v>
      </c>
      <c r="F2263" s="2">
        <v>197</v>
      </c>
      <c r="G2263" s="2" t="s">
        <v>12</v>
      </c>
      <c r="H2263" s="2" t="s">
        <v>23</v>
      </c>
      <c r="I2263" s="6">
        <v>0.12</v>
      </c>
      <c r="J2263" s="2" t="str">
        <f t="shared" si="35"/>
        <v>2022-09</v>
      </c>
    </row>
    <row r="2264" spans="1:10" x14ac:dyDescent="0.2">
      <c r="A2264" s="2" t="s">
        <v>2046</v>
      </c>
      <c r="B2264" s="2" t="s">
        <v>2047</v>
      </c>
      <c r="C2264" s="2" t="s">
        <v>148</v>
      </c>
      <c r="D2264" s="2" t="s">
        <v>2954</v>
      </c>
      <c r="E2264" s="5">
        <v>44817</v>
      </c>
      <c r="F2264" s="2">
        <v>33</v>
      </c>
      <c r="G2264" s="2" t="s">
        <v>41</v>
      </c>
      <c r="H2264" s="2" t="s">
        <v>2048</v>
      </c>
      <c r="I2264" s="6">
        <v>1</v>
      </c>
      <c r="J2264" s="2" t="str">
        <f t="shared" si="35"/>
        <v>2022-09</v>
      </c>
    </row>
    <row r="2265" spans="1:10" x14ac:dyDescent="0.2">
      <c r="A2265" s="2" t="s">
        <v>2049</v>
      </c>
      <c r="B2265" s="2" t="s">
        <v>661</v>
      </c>
      <c r="C2265" s="2" t="s">
        <v>52</v>
      </c>
      <c r="D2265" s="2">
        <v>60</v>
      </c>
      <c r="E2265" s="5">
        <v>44816</v>
      </c>
      <c r="F2265" s="2">
        <v>28</v>
      </c>
      <c r="G2265" s="2" t="s">
        <v>45</v>
      </c>
      <c r="H2265" s="2" t="s">
        <v>662</v>
      </c>
      <c r="I2265" s="6" t="s">
        <v>2954</v>
      </c>
      <c r="J2265" s="2" t="str">
        <f t="shared" si="35"/>
        <v>2022-09</v>
      </c>
    </row>
    <row r="2266" spans="1:10" x14ac:dyDescent="0.2">
      <c r="A2266" s="2" t="s">
        <v>2050</v>
      </c>
      <c r="B2266" s="2" t="s">
        <v>34</v>
      </c>
      <c r="C2266" s="2" t="s">
        <v>243</v>
      </c>
      <c r="D2266" s="2">
        <v>25</v>
      </c>
      <c r="E2266" s="5">
        <v>44816</v>
      </c>
      <c r="F2266" s="2">
        <v>81</v>
      </c>
      <c r="G2266" s="2" t="s">
        <v>75</v>
      </c>
      <c r="H2266" s="2" t="s">
        <v>23</v>
      </c>
      <c r="I2266" s="6" t="s">
        <v>2954</v>
      </c>
      <c r="J2266" s="2" t="str">
        <f t="shared" si="35"/>
        <v>2022-09</v>
      </c>
    </row>
    <row r="2267" spans="1:10" x14ac:dyDescent="0.2">
      <c r="A2267" s="2" t="s">
        <v>2051</v>
      </c>
      <c r="B2267" s="2" t="s">
        <v>15</v>
      </c>
      <c r="C2267" s="2" t="s">
        <v>68</v>
      </c>
      <c r="D2267" s="2">
        <v>11</v>
      </c>
      <c r="E2267" s="5">
        <v>44816</v>
      </c>
      <c r="F2267" s="2">
        <v>17</v>
      </c>
      <c r="G2267" s="2" t="s">
        <v>41</v>
      </c>
      <c r="H2267" s="2" t="s">
        <v>18</v>
      </c>
      <c r="I2267" s="6">
        <v>0.28000000000000003</v>
      </c>
      <c r="J2267" s="2" t="str">
        <f t="shared" si="35"/>
        <v>2022-09</v>
      </c>
    </row>
    <row r="2268" spans="1:10" x14ac:dyDescent="0.2">
      <c r="A2268" s="2" t="s">
        <v>2052</v>
      </c>
      <c r="B2268" s="2" t="s">
        <v>34</v>
      </c>
      <c r="C2268" s="2" t="s">
        <v>29</v>
      </c>
      <c r="D2268" s="2" t="s">
        <v>2954</v>
      </c>
      <c r="E2268" s="5">
        <v>44816</v>
      </c>
      <c r="F2268" s="2">
        <v>91</v>
      </c>
      <c r="G2268" s="2" t="s">
        <v>37</v>
      </c>
      <c r="H2268" s="2" t="s">
        <v>23</v>
      </c>
      <c r="I2268" s="6">
        <v>0.23</v>
      </c>
      <c r="J2268" s="2" t="str">
        <f t="shared" si="35"/>
        <v>2022-09</v>
      </c>
    </row>
    <row r="2269" spans="1:10" x14ac:dyDescent="0.2">
      <c r="A2269" s="2" t="s">
        <v>450</v>
      </c>
      <c r="B2269" s="2" t="s">
        <v>25</v>
      </c>
      <c r="C2269" s="2" t="s">
        <v>142</v>
      </c>
      <c r="D2269" s="2" t="s">
        <v>2954</v>
      </c>
      <c r="E2269" s="5">
        <v>44816</v>
      </c>
      <c r="F2269" s="2">
        <v>526</v>
      </c>
      <c r="G2269" s="2" t="s">
        <v>17</v>
      </c>
      <c r="H2269" s="2" t="s">
        <v>23</v>
      </c>
      <c r="I2269" s="6">
        <v>0.24</v>
      </c>
      <c r="J2269" s="2" t="str">
        <f t="shared" si="35"/>
        <v>2022-09</v>
      </c>
    </row>
    <row r="2270" spans="1:10" x14ac:dyDescent="0.2">
      <c r="A2270" s="2" t="s">
        <v>2053</v>
      </c>
      <c r="B2270" s="2" t="s">
        <v>34</v>
      </c>
      <c r="C2270" s="2" t="s">
        <v>243</v>
      </c>
      <c r="D2270" s="2" t="s">
        <v>2954</v>
      </c>
      <c r="E2270" s="5">
        <v>44816</v>
      </c>
      <c r="F2270" s="2">
        <v>84</v>
      </c>
      <c r="G2270" s="2" t="s">
        <v>37</v>
      </c>
      <c r="H2270" s="2" t="s">
        <v>23</v>
      </c>
      <c r="I2270" s="6" t="s">
        <v>2954</v>
      </c>
      <c r="J2270" s="2" t="str">
        <f t="shared" si="35"/>
        <v>2022-09</v>
      </c>
    </row>
    <row r="2271" spans="1:10" x14ac:dyDescent="0.2">
      <c r="A2271" s="2" t="s">
        <v>2054</v>
      </c>
      <c r="B2271" s="2" t="s">
        <v>2055</v>
      </c>
      <c r="C2271" s="2" t="s">
        <v>11</v>
      </c>
      <c r="D2271" s="2">
        <v>350</v>
      </c>
      <c r="E2271" s="5">
        <v>44813</v>
      </c>
      <c r="F2271" s="2">
        <v>6</v>
      </c>
      <c r="G2271" s="2" t="s">
        <v>45</v>
      </c>
      <c r="H2271" s="2" t="s">
        <v>106</v>
      </c>
      <c r="I2271" s="6" t="s">
        <v>2954</v>
      </c>
      <c r="J2271" s="2" t="str">
        <f t="shared" si="35"/>
        <v>2022-09</v>
      </c>
    </row>
    <row r="2272" spans="1:10" x14ac:dyDescent="0.2">
      <c r="A2272" s="2" t="s">
        <v>2056</v>
      </c>
      <c r="B2272" s="2" t="s">
        <v>273</v>
      </c>
      <c r="C2272" s="2" t="s">
        <v>109</v>
      </c>
      <c r="D2272" s="2">
        <v>58</v>
      </c>
      <c r="E2272" s="5">
        <v>44813</v>
      </c>
      <c r="F2272" s="2">
        <v>145</v>
      </c>
      <c r="G2272" s="2" t="s">
        <v>66</v>
      </c>
      <c r="H2272" s="2" t="s">
        <v>274</v>
      </c>
      <c r="I2272" s="6" t="s">
        <v>2954</v>
      </c>
      <c r="J2272" s="2" t="str">
        <f t="shared" si="35"/>
        <v>2022-09</v>
      </c>
    </row>
    <row r="2273" spans="1:10" x14ac:dyDescent="0.2">
      <c r="A2273" s="2" t="s">
        <v>2045</v>
      </c>
      <c r="B2273" s="2" t="s">
        <v>34</v>
      </c>
      <c r="C2273" s="2" t="s">
        <v>235</v>
      </c>
      <c r="D2273" s="2">
        <v>5</v>
      </c>
      <c r="E2273" s="5">
        <v>44813</v>
      </c>
      <c r="F2273" s="2">
        <v>413</v>
      </c>
      <c r="G2273" s="2" t="s">
        <v>62</v>
      </c>
      <c r="H2273" s="2" t="s">
        <v>23</v>
      </c>
      <c r="I2273" s="6" t="s">
        <v>2954</v>
      </c>
      <c r="J2273" s="2" t="str">
        <f t="shared" si="35"/>
        <v>2022-09</v>
      </c>
    </row>
    <row r="2274" spans="1:10" x14ac:dyDescent="0.2">
      <c r="A2274" s="2" t="s">
        <v>2057</v>
      </c>
      <c r="B2274" s="2" t="s">
        <v>768</v>
      </c>
      <c r="C2274" s="2" t="s">
        <v>22</v>
      </c>
      <c r="D2274" s="2" t="s">
        <v>2954</v>
      </c>
      <c r="E2274" s="5">
        <v>44813</v>
      </c>
      <c r="F2274" s="2">
        <v>328</v>
      </c>
      <c r="G2274" s="2" t="s">
        <v>37</v>
      </c>
      <c r="H2274" s="2" t="s">
        <v>768</v>
      </c>
      <c r="I2274" s="6">
        <v>0.1</v>
      </c>
      <c r="J2274" s="2" t="str">
        <f t="shared" si="35"/>
        <v>2022-09</v>
      </c>
    </row>
    <row r="2275" spans="1:10" x14ac:dyDescent="0.2">
      <c r="A2275" s="2" t="s">
        <v>2058</v>
      </c>
      <c r="B2275" s="2" t="s">
        <v>1816</v>
      </c>
      <c r="C2275" s="2" t="s">
        <v>16</v>
      </c>
      <c r="D2275" s="2" t="s">
        <v>2954</v>
      </c>
      <c r="E2275" s="5">
        <v>44813</v>
      </c>
      <c r="F2275" s="2">
        <v>33</v>
      </c>
      <c r="G2275" s="2" t="s">
        <v>41</v>
      </c>
      <c r="H2275" s="2" t="s">
        <v>1817</v>
      </c>
      <c r="I2275" s="6" t="s">
        <v>2954</v>
      </c>
      <c r="J2275" s="2" t="str">
        <f t="shared" si="35"/>
        <v>2022-09</v>
      </c>
    </row>
    <row r="2276" spans="1:10" x14ac:dyDescent="0.2">
      <c r="A2276" s="2" t="s">
        <v>2059</v>
      </c>
      <c r="B2276" s="2" t="s">
        <v>25</v>
      </c>
      <c r="C2276" s="2" t="s">
        <v>16</v>
      </c>
      <c r="D2276" s="2" t="s">
        <v>2954</v>
      </c>
      <c r="E2276" s="5">
        <v>44813</v>
      </c>
      <c r="F2276" s="2">
        <v>125</v>
      </c>
      <c r="G2276" s="2" t="s">
        <v>75</v>
      </c>
      <c r="H2276" s="2" t="s">
        <v>23</v>
      </c>
      <c r="I2276" s="6">
        <v>1</v>
      </c>
      <c r="J2276" s="2" t="str">
        <f t="shared" si="35"/>
        <v>2022-09</v>
      </c>
    </row>
    <row r="2277" spans="1:10" x14ac:dyDescent="0.2">
      <c r="A2277" s="2" t="s">
        <v>2060</v>
      </c>
      <c r="B2277" s="2" t="s">
        <v>28</v>
      </c>
      <c r="C2277" s="2" t="s">
        <v>61</v>
      </c>
      <c r="D2277" s="2" t="s">
        <v>2954</v>
      </c>
      <c r="E2277" s="5">
        <v>44813</v>
      </c>
      <c r="F2277" s="2">
        <v>175</v>
      </c>
      <c r="G2277" s="2" t="s">
        <v>45</v>
      </c>
      <c r="H2277" s="2" t="s">
        <v>23</v>
      </c>
      <c r="I2277" s="6" t="s">
        <v>2954</v>
      </c>
      <c r="J2277" s="2" t="str">
        <f t="shared" si="35"/>
        <v>2022-09</v>
      </c>
    </row>
    <row r="2278" spans="1:10" x14ac:dyDescent="0.2">
      <c r="A2278" s="2" t="s">
        <v>2061</v>
      </c>
      <c r="B2278" s="2" t="s">
        <v>60</v>
      </c>
      <c r="C2278" s="2" t="s">
        <v>142</v>
      </c>
      <c r="D2278" s="2" t="s">
        <v>2954</v>
      </c>
      <c r="E2278" s="5">
        <v>44813</v>
      </c>
      <c r="F2278" s="2">
        <v>45</v>
      </c>
      <c r="G2278" s="2" t="s">
        <v>12</v>
      </c>
      <c r="H2278" s="2" t="s">
        <v>23</v>
      </c>
      <c r="I2278" s="6">
        <v>0.15</v>
      </c>
      <c r="J2278" s="2" t="str">
        <f t="shared" si="35"/>
        <v>2022-09</v>
      </c>
    </row>
    <row r="2279" spans="1:10" x14ac:dyDescent="0.2">
      <c r="A2279" s="2" t="s">
        <v>2062</v>
      </c>
      <c r="B2279" s="2" t="s">
        <v>538</v>
      </c>
      <c r="C2279" s="2" t="s">
        <v>61</v>
      </c>
      <c r="D2279" s="2" t="s">
        <v>2954</v>
      </c>
      <c r="E2279" s="5">
        <v>44813</v>
      </c>
      <c r="F2279" s="2">
        <v>20</v>
      </c>
      <c r="G2279" s="2" t="s">
        <v>66</v>
      </c>
      <c r="H2279" s="2" t="s">
        <v>98</v>
      </c>
      <c r="I2279" s="6">
        <v>1</v>
      </c>
      <c r="J2279" s="2" t="str">
        <f t="shared" si="35"/>
        <v>2022-09</v>
      </c>
    </row>
    <row r="2280" spans="1:10" x14ac:dyDescent="0.2">
      <c r="A2280" s="2" t="s">
        <v>391</v>
      </c>
      <c r="B2280" s="2" t="s">
        <v>392</v>
      </c>
      <c r="C2280" s="2" t="s">
        <v>61</v>
      </c>
      <c r="D2280" s="2">
        <v>200</v>
      </c>
      <c r="E2280" s="5">
        <v>44812</v>
      </c>
      <c r="F2280" s="2">
        <v>686</v>
      </c>
      <c r="G2280" s="2" t="s">
        <v>75</v>
      </c>
      <c r="H2280" s="2" t="s">
        <v>393</v>
      </c>
      <c r="I2280" s="6" t="s">
        <v>2954</v>
      </c>
      <c r="J2280" s="2" t="str">
        <f t="shared" si="35"/>
        <v>2022-09</v>
      </c>
    </row>
    <row r="2281" spans="1:10" x14ac:dyDescent="0.2">
      <c r="A2281" s="2" t="s">
        <v>2063</v>
      </c>
      <c r="B2281" s="2" t="s">
        <v>2064</v>
      </c>
      <c r="C2281" s="2" t="s">
        <v>142</v>
      </c>
      <c r="D2281" s="2">
        <v>55</v>
      </c>
      <c r="E2281" s="5">
        <v>44812</v>
      </c>
      <c r="F2281" s="2">
        <v>120</v>
      </c>
      <c r="G2281" s="2" t="s">
        <v>12</v>
      </c>
      <c r="H2281" s="2" t="s">
        <v>2065</v>
      </c>
      <c r="I2281" s="6">
        <v>0.08</v>
      </c>
      <c r="J2281" s="2" t="str">
        <f t="shared" si="35"/>
        <v>2022-09</v>
      </c>
    </row>
    <row r="2282" spans="1:10" x14ac:dyDescent="0.2">
      <c r="A2282" s="2" t="s">
        <v>2066</v>
      </c>
      <c r="B2282" s="2" t="s">
        <v>34</v>
      </c>
      <c r="C2282" s="2" t="s">
        <v>32</v>
      </c>
      <c r="D2282" s="2">
        <v>23</v>
      </c>
      <c r="E2282" s="5">
        <v>44812</v>
      </c>
      <c r="F2282" s="2">
        <v>120</v>
      </c>
      <c r="G2282" s="2" t="s">
        <v>66</v>
      </c>
      <c r="H2282" s="2" t="s">
        <v>23</v>
      </c>
      <c r="I2282" s="6" t="s">
        <v>2954</v>
      </c>
      <c r="J2282" s="2" t="str">
        <f t="shared" si="35"/>
        <v>2022-09</v>
      </c>
    </row>
    <row r="2283" spans="1:10" x14ac:dyDescent="0.2">
      <c r="A2283" s="2" t="s">
        <v>2067</v>
      </c>
      <c r="B2283" s="2" t="s">
        <v>318</v>
      </c>
      <c r="C2283" s="2" t="s">
        <v>243</v>
      </c>
      <c r="D2283" s="2" t="s">
        <v>2954</v>
      </c>
      <c r="E2283" s="5">
        <v>44812</v>
      </c>
      <c r="F2283" s="2">
        <v>200</v>
      </c>
      <c r="G2283" s="2" t="s">
        <v>17</v>
      </c>
      <c r="H2283" s="2" t="s">
        <v>23</v>
      </c>
      <c r="I2283" s="6">
        <v>7.0000000000000007E-2</v>
      </c>
      <c r="J2283" s="2" t="str">
        <f t="shared" si="35"/>
        <v>2022-09</v>
      </c>
    </row>
    <row r="2284" spans="1:10" x14ac:dyDescent="0.2">
      <c r="A2284" s="2" t="s">
        <v>2068</v>
      </c>
      <c r="B2284" s="2" t="s">
        <v>34</v>
      </c>
      <c r="C2284" s="2" t="s">
        <v>148</v>
      </c>
      <c r="D2284" s="2" t="s">
        <v>2954</v>
      </c>
      <c r="E2284" s="5">
        <v>44812</v>
      </c>
      <c r="F2284" s="2" t="s">
        <v>2954</v>
      </c>
      <c r="G2284" s="2" t="s">
        <v>45</v>
      </c>
      <c r="H2284" s="2" t="s">
        <v>23</v>
      </c>
      <c r="I2284" s="6" t="s">
        <v>2954</v>
      </c>
      <c r="J2284" s="2" t="str">
        <f t="shared" si="35"/>
        <v>2022-09</v>
      </c>
    </row>
    <row r="2285" spans="1:10" x14ac:dyDescent="0.2">
      <c r="A2285" s="2" t="s">
        <v>2069</v>
      </c>
      <c r="B2285" s="2" t="s">
        <v>180</v>
      </c>
      <c r="C2285" s="2" t="s">
        <v>11</v>
      </c>
      <c r="D2285" s="2">
        <v>150</v>
      </c>
      <c r="E2285" s="5">
        <v>44811</v>
      </c>
      <c r="F2285" s="2">
        <v>173</v>
      </c>
      <c r="G2285" s="2" t="s">
        <v>12</v>
      </c>
      <c r="H2285" s="2" t="s">
        <v>181</v>
      </c>
      <c r="I2285" s="6">
        <v>1</v>
      </c>
      <c r="J2285" s="2" t="str">
        <f t="shared" si="35"/>
        <v>2022-09</v>
      </c>
    </row>
    <row r="2286" spans="1:10" x14ac:dyDescent="0.2">
      <c r="A2286" s="2" t="s">
        <v>703</v>
      </c>
      <c r="B2286" s="2" t="s">
        <v>217</v>
      </c>
      <c r="C2286" s="2" t="s">
        <v>11</v>
      </c>
      <c r="D2286" s="2">
        <v>60</v>
      </c>
      <c r="E2286" s="5">
        <v>44811</v>
      </c>
      <c r="F2286" s="2">
        <v>749</v>
      </c>
      <c r="G2286" s="2" t="s">
        <v>45</v>
      </c>
      <c r="H2286" s="2" t="s">
        <v>217</v>
      </c>
      <c r="I2286" s="6" t="s">
        <v>2954</v>
      </c>
      <c r="J2286" s="2" t="str">
        <f t="shared" si="35"/>
        <v>2022-09</v>
      </c>
    </row>
    <row r="2287" spans="1:10" x14ac:dyDescent="0.2">
      <c r="A2287" s="2" t="s">
        <v>979</v>
      </c>
      <c r="B2287" s="2" t="s">
        <v>258</v>
      </c>
      <c r="C2287" s="2" t="s">
        <v>52</v>
      </c>
      <c r="D2287" s="2">
        <v>60</v>
      </c>
      <c r="E2287" s="5">
        <v>44811</v>
      </c>
      <c r="F2287" s="2">
        <v>24700</v>
      </c>
      <c r="G2287" s="2" t="s">
        <v>17</v>
      </c>
      <c r="H2287" s="2" t="s">
        <v>259</v>
      </c>
      <c r="I2287" s="6" t="s">
        <v>2954</v>
      </c>
      <c r="J2287" s="2" t="str">
        <f t="shared" si="35"/>
        <v>2022-09</v>
      </c>
    </row>
    <row r="2288" spans="1:10" x14ac:dyDescent="0.2">
      <c r="A2288" s="2" t="s">
        <v>2070</v>
      </c>
      <c r="B2288" s="2" t="s">
        <v>100</v>
      </c>
      <c r="C2288" s="2" t="s">
        <v>16</v>
      </c>
      <c r="D2288" s="2">
        <v>50</v>
      </c>
      <c r="E2288" s="5">
        <v>44811</v>
      </c>
      <c r="F2288" s="2">
        <v>172</v>
      </c>
      <c r="G2288" s="2" t="s">
        <v>12</v>
      </c>
      <c r="H2288" s="2" t="s">
        <v>98</v>
      </c>
      <c r="I2288" s="6" t="s">
        <v>2954</v>
      </c>
      <c r="J2288" s="2" t="str">
        <f t="shared" si="35"/>
        <v>2022-09</v>
      </c>
    </row>
    <row r="2289" spans="1:10" x14ac:dyDescent="0.2">
      <c r="A2289" s="2" t="s">
        <v>1876</v>
      </c>
      <c r="B2289" s="2" t="s">
        <v>34</v>
      </c>
      <c r="C2289" s="2" t="s">
        <v>113</v>
      </c>
      <c r="D2289" s="2">
        <v>49</v>
      </c>
      <c r="E2289" s="5">
        <v>44811</v>
      </c>
      <c r="F2289" s="2">
        <v>240</v>
      </c>
      <c r="G2289" s="2" t="s">
        <v>75</v>
      </c>
      <c r="H2289" s="2" t="s">
        <v>23</v>
      </c>
      <c r="I2289" s="6">
        <v>0.05</v>
      </c>
      <c r="J2289" s="2" t="str">
        <f t="shared" si="35"/>
        <v>2022-09</v>
      </c>
    </row>
    <row r="2290" spans="1:10" x14ac:dyDescent="0.2">
      <c r="A2290" s="2" t="s">
        <v>1009</v>
      </c>
      <c r="B2290" s="2" t="s">
        <v>693</v>
      </c>
      <c r="C2290" s="2" t="s">
        <v>78</v>
      </c>
      <c r="D2290" s="2">
        <v>45</v>
      </c>
      <c r="E2290" s="5">
        <v>44811</v>
      </c>
      <c r="F2290" s="2">
        <v>469</v>
      </c>
      <c r="G2290" s="2" t="s">
        <v>62</v>
      </c>
      <c r="H2290" s="2" t="s">
        <v>23</v>
      </c>
      <c r="I2290" s="6">
        <v>0.05</v>
      </c>
      <c r="J2290" s="2" t="str">
        <f t="shared" si="35"/>
        <v>2022-09</v>
      </c>
    </row>
    <row r="2291" spans="1:10" x14ac:dyDescent="0.2">
      <c r="A2291" s="2" t="s">
        <v>2071</v>
      </c>
      <c r="B2291" s="2" t="s">
        <v>34</v>
      </c>
      <c r="C2291" s="2" t="s">
        <v>50</v>
      </c>
      <c r="D2291" s="2">
        <v>27</v>
      </c>
      <c r="E2291" s="5">
        <v>44811</v>
      </c>
      <c r="F2291" s="2">
        <v>143</v>
      </c>
      <c r="G2291" s="2" t="s">
        <v>81</v>
      </c>
      <c r="H2291" s="2" t="s">
        <v>23</v>
      </c>
      <c r="I2291" s="6">
        <v>0.03</v>
      </c>
      <c r="J2291" s="2" t="str">
        <f t="shared" si="35"/>
        <v>2022-09</v>
      </c>
    </row>
    <row r="2292" spans="1:10" x14ac:dyDescent="0.2">
      <c r="A2292" s="2" t="s">
        <v>2072</v>
      </c>
      <c r="B2292" s="2" t="s">
        <v>15</v>
      </c>
      <c r="C2292" s="2" t="s">
        <v>243</v>
      </c>
      <c r="D2292" s="2" t="s">
        <v>2954</v>
      </c>
      <c r="E2292" s="5">
        <v>44811</v>
      </c>
      <c r="F2292" s="2">
        <v>264</v>
      </c>
      <c r="G2292" s="2" t="s">
        <v>66</v>
      </c>
      <c r="H2292" s="2" t="s">
        <v>18</v>
      </c>
      <c r="I2292" s="6" t="s">
        <v>2954</v>
      </c>
      <c r="J2292" s="2" t="str">
        <f t="shared" si="35"/>
        <v>2022-09</v>
      </c>
    </row>
    <row r="2293" spans="1:10" x14ac:dyDescent="0.2">
      <c r="A2293" s="2" t="s">
        <v>1414</v>
      </c>
      <c r="B2293" s="2" t="s">
        <v>25</v>
      </c>
      <c r="C2293" s="2" t="s">
        <v>32</v>
      </c>
      <c r="D2293" s="2" t="s">
        <v>2954</v>
      </c>
      <c r="E2293" s="5">
        <v>44811</v>
      </c>
      <c r="F2293" s="2">
        <v>100</v>
      </c>
      <c r="G2293" s="2" t="s">
        <v>66</v>
      </c>
      <c r="H2293" s="2" t="s">
        <v>23</v>
      </c>
      <c r="I2293" s="6">
        <v>0.5</v>
      </c>
      <c r="J2293" s="2" t="str">
        <f t="shared" si="35"/>
        <v>2022-09</v>
      </c>
    </row>
    <row r="2294" spans="1:10" x14ac:dyDescent="0.2">
      <c r="A2294" s="2" t="s">
        <v>2073</v>
      </c>
      <c r="B2294" s="2" t="s">
        <v>15</v>
      </c>
      <c r="C2294" s="2" t="s">
        <v>29</v>
      </c>
      <c r="D2294" s="2" t="s">
        <v>2954</v>
      </c>
      <c r="E2294" s="5">
        <v>44811</v>
      </c>
      <c r="F2294" s="2">
        <v>100</v>
      </c>
      <c r="G2294" s="2" t="s">
        <v>75</v>
      </c>
      <c r="H2294" s="2" t="s">
        <v>18</v>
      </c>
      <c r="I2294" s="6" t="s">
        <v>2954</v>
      </c>
      <c r="J2294" s="2" t="str">
        <f t="shared" si="35"/>
        <v>2022-09</v>
      </c>
    </row>
    <row r="2295" spans="1:10" x14ac:dyDescent="0.2">
      <c r="A2295" s="2" t="s">
        <v>2074</v>
      </c>
      <c r="B2295" s="2" t="s">
        <v>43</v>
      </c>
      <c r="C2295" s="2" t="s">
        <v>32</v>
      </c>
      <c r="D2295" s="2">
        <v>40</v>
      </c>
      <c r="E2295" s="5">
        <v>44810</v>
      </c>
      <c r="F2295" s="2">
        <v>42</v>
      </c>
      <c r="G2295" s="2" t="s">
        <v>37</v>
      </c>
      <c r="H2295" s="2" t="s">
        <v>23</v>
      </c>
      <c r="I2295" s="6">
        <v>0.33</v>
      </c>
      <c r="J2295" s="2" t="str">
        <f t="shared" si="35"/>
        <v>2022-09</v>
      </c>
    </row>
    <row r="2296" spans="1:10" x14ac:dyDescent="0.2">
      <c r="A2296" s="2" t="s">
        <v>2075</v>
      </c>
      <c r="B2296" s="2" t="s">
        <v>15</v>
      </c>
      <c r="C2296" s="2" t="s">
        <v>632</v>
      </c>
      <c r="D2296" s="2">
        <v>30</v>
      </c>
      <c r="E2296" s="5">
        <v>44810</v>
      </c>
      <c r="F2296" s="2">
        <v>41</v>
      </c>
      <c r="G2296" s="2" t="s">
        <v>66</v>
      </c>
      <c r="H2296" s="2" t="s">
        <v>18</v>
      </c>
      <c r="I2296" s="6">
        <v>0.33</v>
      </c>
      <c r="J2296" s="2" t="str">
        <f t="shared" si="35"/>
        <v>2022-09</v>
      </c>
    </row>
    <row r="2297" spans="1:10" x14ac:dyDescent="0.2">
      <c r="A2297" s="2" t="s">
        <v>2076</v>
      </c>
      <c r="B2297" s="2" t="s">
        <v>34</v>
      </c>
      <c r="C2297" s="2" t="s">
        <v>148</v>
      </c>
      <c r="D2297" s="2" t="s">
        <v>2954</v>
      </c>
      <c r="E2297" s="5">
        <v>44810</v>
      </c>
      <c r="F2297" s="2">
        <v>108</v>
      </c>
      <c r="G2297" s="2" t="s">
        <v>66</v>
      </c>
      <c r="H2297" s="2" t="s">
        <v>23</v>
      </c>
      <c r="I2297" s="6">
        <v>0.14000000000000001</v>
      </c>
      <c r="J2297" s="2" t="str">
        <f t="shared" si="35"/>
        <v>2022-09</v>
      </c>
    </row>
    <row r="2298" spans="1:10" x14ac:dyDescent="0.2">
      <c r="A2298" s="2" t="s">
        <v>2077</v>
      </c>
      <c r="B2298" s="2" t="s">
        <v>34</v>
      </c>
      <c r="C2298" s="2" t="s">
        <v>235</v>
      </c>
      <c r="D2298" s="2" t="s">
        <v>2954</v>
      </c>
      <c r="E2298" s="5">
        <v>44810</v>
      </c>
      <c r="F2298" s="2">
        <v>163</v>
      </c>
      <c r="G2298" s="2" t="s">
        <v>12</v>
      </c>
      <c r="H2298" s="2" t="s">
        <v>23</v>
      </c>
      <c r="I2298" s="6">
        <v>0.25</v>
      </c>
      <c r="J2298" s="2" t="str">
        <f t="shared" si="35"/>
        <v>2022-09</v>
      </c>
    </row>
    <row r="2299" spans="1:10" x14ac:dyDescent="0.2">
      <c r="A2299" s="2" t="s">
        <v>2078</v>
      </c>
      <c r="B2299" s="2" t="s">
        <v>203</v>
      </c>
      <c r="C2299" s="2" t="s">
        <v>16</v>
      </c>
      <c r="D2299" s="2">
        <v>23</v>
      </c>
      <c r="E2299" s="5">
        <v>44806</v>
      </c>
      <c r="F2299" s="2">
        <v>91</v>
      </c>
      <c r="G2299" s="2" t="s">
        <v>37</v>
      </c>
      <c r="H2299" s="2" t="s">
        <v>204</v>
      </c>
      <c r="I2299" s="6">
        <v>0.05</v>
      </c>
      <c r="J2299" s="2" t="str">
        <f t="shared" si="35"/>
        <v>2022-09</v>
      </c>
    </row>
    <row r="2300" spans="1:10" x14ac:dyDescent="0.2">
      <c r="A2300" s="2" t="s">
        <v>551</v>
      </c>
      <c r="B2300" s="2" t="s">
        <v>552</v>
      </c>
      <c r="C2300" s="2" t="s">
        <v>142</v>
      </c>
      <c r="D2300" s="2" t="s">
        <v>2954</v>
      </c>
      <c r="E2300" s="5">
        <v>44806</v>
      </c>
      <c r="F2300" s="2">
        <v>16</v>
      </c>
      <c r="G2300" s="2" t="s">
        <v>37</v>
      </c>
      <c r="H2300" s="2" t="s">
        <v>204</v>
      </c>
      <c r="I2300" s="6" t="s">
        <v>2954</v>
      </c>
      <c r="J2300" s="2" t="str">
        <f t="shared" si="35"/>
        <v>2022-09</v>
      </c>
    </row>
    <row r="2301" spans="1:10" x14ac:dyDescent="0.2">
      <c r="A2301" s="2" t="s">
        <v>2079</v>
      </c>
      <c r="B2301" s="2" t="s">
        <v>217</v>
      </c>
      <c r="C2301" s="2" t="s">
        <v>35</v>
      </c>
      <c r="D2301" s="2" t="s">
        <v>2954</v>
      </c>
      <c r="E2301" s="5">
        <v>44806</v>
      </c>
      <c r="F2301" s="2">
        <v>8600</v>
      </c>
      <c r="G2301" s="2" t="s">
        <v>17</v>
      </c>
      <c r="H2301" s="2" t="s">
        <v>217</v>
      </c>
      <c r="I2301" s="6" t="s">
        <v>2954</v>
      </c>
      <c r="J2301" s="2" t="str">
        <f t="shared" si="35"/>
        <v>2022-09</v>
      </c>
    </row>
    <row r="2302" spans="1:10" x14ac:dyDescent="0.2">
      <c r="A2302" s="2" t="s">
        <v>2080</v>
      </c>
      <c r="B2302" s="2" t="s">
        <v>661</v>
      </c>
      <c r="C2302" s="2" t="s">
        <v>22</v>
      </c>
      <c r="D2302" s="2">
        <v>100</v>
      </c>
      <c r="E2302" s="5">
        <v>44805</v>
      </c>
      <c r="F2302" s="2">
        <v>250</v>
      </c>
      <c r="G2302" s="2" t="s">
        <v>12</v>
      </c>
      <c r="H2302" s="2" t="s">
        <v>662</v>
      </c>
      <c r="I2302" s="6">
        <v>0.15</v>
      </c>
      <c r="J2302" s="2" t="str">
        <f t="shared" si="35"/>
        <v>2022-09</v>
      </c>
    </row>
    <row r="2303" spans="1:10" x14ac:dyDescent="0.2">
      <c r="A2303" s="2" t="s">
        <v>1506</v>
      </c>
      <c r="B2303" s="2" t="s">
        <v>34</v>
      </c>
      <c r="C2303" s="2" t="s">
        <v>32</v>
      </c>
      <c r="D2303" s="2">
        <v>90</v>
      </c>
      <c r="E2303" s="5">
        <v>44805</v>
      </c>
      <c r="F2303" s="2">
        <v>379</v>
      </c>
      <c r="G2303" s="2" t="s">
        <v>128</v>
      </c>
      <c r="H2303" s="2" t="s">
        <v>23</v>
      </c>
      <c r="I2303" s="6">
        <v>0.08</v>
      </c>
      <c r="J2303" s="2" t="str">
        <f t="shared" si="35"/>
        <v>2022-09</v>
      </c>
    </row>
    <row r="2304" spans="1:10" x14ac:dyDescent="0.2">
      <c r="A2304" s="2" t="s">
        <v>1111</v>
      </c>
      <c r="B2304" s="2" t="s">
        <v>105</v>
      </c>
      <c r="C2304" s="2" t="s">
        <v>142</v>
      </c>
      <c r="D2304" s="2">
        <v>70</v>
      </c>
      <c r="E2304" s="5">
        <v>44805</v>
      </c>
      <c r="F2304" s="2">
        <v>122</v>
      </c>
      <c r="G2304" s="2" t="s">
        <v>17</v>
      </c>
      <c r="H2304" s="2" t="s">
        <v>106</v>
      </c>
      <c r="I2304" s="6" t="s">
        <v>2954</v>
      </c>
      <c r="J2304" s="2" t="str">
        <f t="shared" si="35"/>
        <v>2022-09</v>
      </c>
    </row>
    <row r="2305" spans="1:10" x14ac:dyDescent="0.2">
      <c r="A2305" s="2" t="s">
        <v>2081</v>
      </c>
      <c r="B2305" s="2" t="s">
        <v>74</v>
      </c>
      <c r="C2305" s="2" t="s">
        <v>117</v>
      </c>
      <c r="D2305" s="2">
        <v>55</v>
      </c>
      <c r="E2305" s="5">
        <v>44805</v>
      </c>
      <c r="F2305" s="2">
        <v>95</v>
      </c>
      <c r="G2305" s="2" t="s">
        <v>12</v>
      </c>
      <c r="H2305" s="2" t="s">
        <v>76</v>
      </c>
      <c r="I2305" s="6">
        <v>0.15</v>
      </c>
      <c r="J2305" s="2" t="str">
        <f t="shared" si="35"/>
        <v>2022-09</v>
      </c>
    </row>
    <row r="2306" spans="1:10" x14ac:dyDescent="0.2">
      <c r="A2306" s="2" t="s">
        <v>2082</v>
      </c>
      <c r="B2306" s="2" t="s">
        <v>287</v>
      </c>
      <c r="C2306" s="2" t="s">
        <v>16</v>
      </c>
      <c r="D2306" s="2">
        <v>12</v>
      </c>
      <c r="E2306" s="5">
        <v>44805</v>
      </c>
      <c r="F2306" s="2">
        <v>67</v>
      </c>
      <c r="G2306" s="2" t="s">
        <v>37</v>
      </c>
      <c r="H2306" s="2" t="s">
        <v>291</v>
      </c>
      <c r="I2306" s="6" t="s">
        <v>2954</v>
      </c>
      <c r="J2306" s="2" t="str">
        <f t="shared" si="35"/>
        <v>2022-09</v>
      </c>
    </row>
    <row r="2307" spans="1:10" x14ac:dyDescent="0.2">
      <c r="A2307" s="2" t="s">
        <v>324</v>
      </c>
      <c r="B2307" s="2" t="s">
        <v>47</v>
      </c>
      <c r="C2307" s="2" t="s">
        <v>35</v>
      </c>
      <c r="D2307" s="2">
        <v>1280</v>
      </c>
      <c r="E2307" s="5">
        <v>44804</v>
      </c>
      <c r="F2307" s="2">
        <v>4900</v>
      </c>
      <c r="G2307" s="2" t="s">
        <v>17</v>
      </c>
      <c r="H2307" s="2" t="s">
        <v>23</v>
      </c>
      <c r="I2307" s="6">
        <v>0.2</v>
      </c>
      <c r="J2307" s="2" t="str">
        <f t="shared" ref="J2307:J2370" si="36">TEXT(E2307,"YYYY-MM")</f>
        <v>2022-08</v>
      </c>
    </row>
    <row r="2308" spans="1:10" x14ac:dyDescent="0.2">
      <c r="A2308" s="2" t="s">
        <v>2083</v>
      </c>
      <c r="B2308" s="2" t="s">
        <v>47</v>
      </c>
      <c r="C2308" s="2" t="s">
        <v>32</v>
      </c>
      <c r="D2308" s="2">
        <v>140</v>
      </c>
      <c r="E2308" s="5">
        <v>44804</v>
      </c>
      <c r="F2308" s="2">
        <v>910</v>
      </c>
      <c r="G2308" s="2" t="s">
        <v>17</v>
      </c>
      <c r="H2308" s="2" t="s">
        <v>23</v>
      </c>
      <c r="I2308" s="6">
        <v>0.16</v>
      </c>
      <c r="J2308" s="2" t="str">
        <f t="shared" si="36"/>
        <v>2022-08</v>
      </c>
    </row>
    <row r="2309" spans="1:10" x14ac:dyDescent="0.2">
      <c r="A2309" s="2" t="s">
        <v>1932</v>
      </c>
      <c r="B2309" s="2" t="s">
        <v>74</v>
      </c>
      <c r="C2309" s="2" t="s">
        <v>16</v>
      </c>
      <c r="D2309" s="2">
        <v>100</v>
      </c>
      <c r="E2309" s="5">
        <v>44804</v>
      </c>
      <c r="F2309" s="2">
        <v>188</v>
      </c>
      <c r="G2309" s="2" t="s">
        <v>12</v>
      </c>
      <c r="H2309" s="2" t="s">
        <v>76</v>
      </c>
      <c r="I2309" s="6">
        <v>0.1</v>
      </c>
      <c r="J2309" s="2" t="str">
        <f t="shared" si="36"/>
        <v>2022-08</v>
      </c>
    </row>
    <row r="2310" spans="1:10" x14ac:dyDescent="0.2">
      <c r="A2310" s="2" t="s">
        <v>615</v>
      </c>
      <c r="B2310" s="2" t="s">
        <v>34</v>
      </c>
      <c r="C2310" s="2" t="s">
        <v>16</v>
      </c>
      <c r="D2310" s="2">
        <v>70</v>
      </c>
      <c r="E2310" s="5">
        <v>44804</v>
      </c>
      <c r="F2310" s="2">
        <v>1300</v>
      </c>
      <c r="G2310" s="2" t="s">
        <v>17</v>
      </c>
      <c r="H2310" s="2" t="s">
        <v>23</v>
      </c>
      <c r="I2310" s="6">
        <v>0.1</v>
      </c>
      <c r="J2310" s="2" t="str">
        <f t="shared" si="36"/>
        <v>2022-08</v>
      </c>
    </row>
    <row r="2311" spans="1:10" x14ac:dyDescent="0.2">
      <c r="A2311" s="2" t="s">
        <v>1423</v>
      </c>
      <c r="B2311" s="2" t="s">
        <v>34</v>
      </c>
      <c r="C2311" s="2" t="s">
        <v>50</v>
      </c>
      <c r="D2311" s="2">
        <v>45</v>
      </c>
      <c r="E2311" s="5">
        <v>44804</v>
      </c>
      <c r="F2311" s="2">
        <v>496</v>
      </c>
      <c r="G2311" s="2" t="s">
        <v>62</v>
      </c>
      <c r="H2311" s="2" t="s">
        <v>23</v>
      </c>
      <c r="I2311" s="6" t="s">
        <v>2954</v>
      </c>
      <c r="J2311" s="2" t="str">
        <f t="shared" si="36"/>
        <v>2022-08</v>
      </c>
    </row>
    <row r="2312" spans="1:10" x14ac:dyDescent="0.2">
      <c r="A2312" s="2" t="s">
        <v>1153</v>
      </c>
      <c r="B2312" s="2" t="s">
        <v>100</v>
      </c>
      <c r="C2312" s="2" t="s">
        <v>35</v>
      </c>
      <c r="D2312" s="2">
        <v>40</v>
      </c>
      <c r="E2312" s="5">
        <v>44804</v>
      </c>
      <c r="F2312" s="2">
        <v>44</v>
      </c>
      <c r="G2312" s="2" t="s">
        <v>37</v>
      </c>
      <c r="H2312" s="2" t="s">
        <v>98</v>
      </c>
      <c r="I2312" s="6" t="s">
        <v>2954</v>
      </c>
      <c r="J2312" s="2" t="str">
        <f t="shared" si="36"/>
        <v>2022-08</v>
      </c>
    </row>
    <row r="2313" spans="1:10" x14ac:dyDescent="0.2">
      <c r="A2313" s="2" t="s">
        <v>1664</v>
      </c>
      <c r="B2313" s="2" t="s">
        <v>89</v>
      </c>
      <c r="C2313" s="2" t="s">
        <v>32</v>
      </c>
      <c r="D2313" s="2">
        <v>30</v>
      </c>
      <c r="E2313" s="5">
        <v>44804</v>
      </c>
      <c r="F2313" s="2">
        <v>173</v>
      </c>
      <c r="G2313" s="2" t="s">
        <v>17</v>
      </c>
      <c r="H2313" s="2" t="s">
        <v>23</v>
      </c>
      <c r="I2313" s="6">
        <v>0.2</v>
      </c>
      <c r="J2313" s="2" t="str">
        <f t="shared" si="36"/>
        <v>2022-08</v>
      </c>
    </row>
    <row r="2314" spans="1:10" x14ac:dyDescent="0.2">
      <c r="A2314" s="2" t="s">
        <v>2084</v>
      </c>
      <c r="B2314" s="2" t="s">
        <v>34</v>
      </c>
      <c r="C2314" s="2" t="s">
        <v>148</v>
      </c>
      <c r="D2314" s="2">
        <v>29</v>
      </c>
      <c r="E2314" s="5">
        <v>44804</v>
      </c>
      <c r="F2314" s="2">
        <v>169</v>
      </c>
      <c r="G2314" s="2" t="s">
        <v>75</v>
      </c>
      <c r="H2314" s="2" t="s">
        <v>23</v>
      </c>
      <c r="I2314" s="6">
        <v>0.1</v>
      </c>
      <c r="J2314" s="2" t="str">
        <f t="shared" si="36"/>
        <v>2022-08</v>
      </c>
    </row>
    <row r="2315" spans="1:10" x14ac:dyDescent="0.2">
      <c r="A2315" s="2" t="s">
        <v>2085</v>
      </c>
      <c r="B2315" s="2" t="s">
        <v>74</v>
      </c>
      <c r="C2315" s="2" t="s">
        <v>142</v>
      </c>
      <c r="D2315" s="2">
        <v>26</v>
      </c>
      <c r="E2315" s="5">
        <v>44804</v>
      </c>
      <c r="F2315" s="2" t="s">
        <v>2954</v>
      </c>
      <c r="G2315" s="2" t="s">
        <v>12</v>
      </c>
      <c r="H2315" s="2" t="s">
        <v>76</v>
      </c>
      <c r="I2315" s="6">
        <v>0.36</v>
      </c>
      <c r="J2315" s="2" t="str">
        <f t="shared" si="36"/>
        <v>2022-08</v>
      </c>
    </row>
    <row r="2316" spans="1:10" x14ac:dyDescent="0.2">
      <c r="A2316" s="2" t="s">
        <v>2086</v>
      </c>
      <c r="B2316" s="2" t="s">
        <v>2087</v>
      </c>
      <c r="C2316" s="2" t="s">
        <v>68</v>
      </c>
      <c r="D2316" s="2" t="s">
        <v>2954</v>
      </c>
      <c r="E2316" s="5">
        <v>44804</v>
      </c>
      <c r="F2316" s="2">
        <v>221</v>
      </c>
      <c r="G2316" s="2" t="s">
        <v>12</v>
      </c>
      <c r="H2316" s="2" t="s">
        <v>23</v>
      </c>
      <c r="I2316" s="6" t="s">
        <v>2954</v>
      </c>
      <c r="J2316" s="2" t="str">
        <f t="shared" si="36"/>
        <v>2022-08</v>
      </c>
    </row>
    <row r="2317" spans="1:10" x14ac:dyDescent="0.2">
      <c r="A2317" s="2" t="s">
        <v>2088</v>
      </c>
      <c r="B2317" s="2" t="s">
        <v>25</v>
      </c>
      <c r="C2317" s="2" t="s">
        <v>148</v>
      </c>
      <c r="D2317" s="2" t="s">
        <v>2954</v>
      </c>
      <c r="E2317" s="5">
        <v>44804</v>
      </c>
      <c r="F2317" s="2">
        <v>117</v>
      </c>
      <c r="G2317" s="2" t="s">
        <v>66</v>
      </c>
      <c r="H2317" s="2" t="s">
        <v>23</v>
      </c>
      <c r="I2317" s="6">
        <v>1</v>
      </c>
      <c r="J2317" s="2" t="str">
        <f t="shared" si="36"/>
        <v>2022-08</v>
      </c>
    </row>
    <row r="2318" spans="1:10" x14ac:dyDescent="0.2">
      <c r="A2318" s="2" t="s">
        <v>2089</v>
      </c>
      <c r="B2318" s="2" t="s">
        <v>747</v>
      </c>
      <c r="C2318" s="2" t="s">
        <v>29</v>
      </c>
      <c r="D2318" s="2" t="s">
        <v>2954</v>
      </c>
      <c r="E2318" s="5">
        <v>44804</v>
      </c>
      <c r="F2318" s="2" t="s">
        <v>2954</v>
      </c>
      <c r="G2318" s="2" t="s">
        <v>12</v>
      </c>
      <c r="H2318" s="2" t="s">
        <v>748</v>
      </c>
      <c r="I2318" s="6" t="s">
        <v>2954</v>
      </c>
      <c r="J2318" s="2" t="str">
        <f t="shared" si="36"/>
        <v>2022-08</v>
      </c>
    </row>
    <row r="2319" spans="1:10" x14ac:dyDescent="0.2">
      <c r="A2319" s="2" t="s">
        <v>1383</v>
      </c>
      <c r="B2319" s="2" t="s">
        <v>25</v>
      </c>
      <c r="C2319" s="2" t="s">
        <v>29</v>
      </c>
      <c r="D2319" s="2">
        <v>81</v>
      </c>
      <c r="E2319" s="5">
        <v>44803</v>
      </c>
      <c r="F2319" s="2">
        <v>212</v>
      </c>
      <c r="G2319" s="2" t="s">
        <v>75</v>
      </c>
      <c r="H2319" s="2" t="s">
        <v>23</v>
      </c>
      <c r="I2319" s="6" t="s">
        <v>2954</v>
      </c>
      <c r="J2319" s="2" t="str">
        <f t="shared" si="36"/>
        <v>2022-08</v>
      </c>
    </row>
    <row r="2320" spans="1:10" x14ac:dyDescent="0.2">
      <c r="A2320" s="2" t="s">
        <v>2090</v>
      </c>
      <c r="B2320" s="2" t="s">
        <v>2021</v>
      </c>
      <c r="C2320" s="2" t="s">
        <v>195</v>
      </c>
      <c r="D2320" s="2">
        <v>38</v>
      </c>
      <c r="E2320" s="5">
        <v>44803</v>
      </c>
      <c r="F2320" s="2">
        <v>123</v>
      </c>
      <c r="G2320" s="2" t="s">
        <v>66</v>
      </c>
      <c r="H2320" s="2" t="s">
        <v>55</v>
      </c>
      <c r="I2320" s="6">
        <v>0.1</v>
      </c>
      <c r="J2320" s="2" t="str">
        <f t="shared" si="36"/>
        <v>2022-08</v>
      </c>
    </row>
    <row r="2321" spans="1:10" x14ac:dyDescent="0.2">
      <c r="A2321" s="2" t="s">
        <v>1490</v>
      </c>
      <c r="B2321" s="2" t="s">
        <v>25</v>
      </c>
      <c r="C2321" s="2" t="s">
        <v>142</v>
      </c>
      <c r="D2321" s="2">
        <v>30</v>
      </c>
      <c r="E2321" s="5">
        <v>44803</v>
      </c>
      <c r="F2321" s="2">
        <v>47</v>
      </c>
      <c r="G2321" s="2" t="s">
        <v>41</v>
      </c>
      <c r="H2321" s="2" t="s">
        <v>23</v>
      </c>
      <c r="I2321" s="6" t="s">
        <v>2954</v>
      </c>
      <c r="J2321" s="2" t="str">
        <f t="shared" si="36"/>
        <v>2022-08</v>
      </c>
    </row>
    <row r="2322" spans="1:10" x14ac:dyDescent="0.2">
      <c r="A2322" s="2" t="s">
        <v>1108</v>
      </c>
      <c r="B2322" s="2" t="s">
        <v>100</v>
      </c>
      <c r="C2322" s="2" t="s">
        <v>142</v>
      </c>
      <c r="D2322" s="2">
        <v>300</v>
      </c>
      <c r="E2322" s="5">
        <v>44802</v>
      </c>
      <c r="F2322" s="2">
        <v>1100</v>
      </c>
      <c r="G2322" s="2" t="s">
        <v>62</v>
      </c>
      <c r="H2322" s="2" t="s">
        <v>98</v>
      </c>
      <c r="I2322" s="6" t="s">
        <v>2954</v>
      </c>
      <c r="J2322" s="2" t="str">
        <f t="shared" si="36"/>
        <v>2022-08</v>
      </c>
    </row>
    <row r="2323" spans="1:10" x14ac:dyDescent="0.2">
      <c r="A2323" s="2" t="s">
        <v>2091</v>
      </c>
      <c r="B2323" s="2" t="s">
        <v>401</v>
      </c>
      <c r="C2323" s="2" t="s">
        <v>32</v>
      </c>
      <c r="D2323" s="2">
        <v>95</v>
      </c>
      <c r="E2323" s="5">
        <v>44802</v>
      </c>
      <c r="F2323" s="2">
        <v>44</v>
      </c>
      <c r="G2323" s="2" t="s">
        <v>37</v>
      </c>
      <c r="H2323" s="2" t="s">
        <v>23</v>
      </c>
      <c r="I2323" s="6">
        <v>0.3</v>
      </c>
      <c r="J2323" s="2" t="str">
        <f t="shared" si="36"/>
        <v>2022-08</v>
      </c>
    </row>
    <row r="2324" spans="1:10" x14ac:dyDescent="0.2">
      <c r="A2324" s="2" t="s">
        <v>2092</v>
      </c>
      <c r="B2324" s="2" t="s">
        <v>34</v>
      </c>
      <c r="C2324" s="2" t="s">
        <v>22</v>
      </c>
      <c r="D2324" s="2" t="s">
        <v>2954</v>
      </c>
      <c r="E2324" s="5">
        <v>44802</v>
      </c>
      <c r="F2324" s="2">
        <v>310</v>
      </c>
      <c r="G2324" s="2" t="s">
        <v>66</v>
      </c>
      <c r="H2324" s="2" t="s">
        <v>23</v>
      </c>
      <c r="I2324" s="6" t="s">
        <v>2954</v>
      </c>
      <c r="J2324" s="2" t="str">
        <f t="shared" si="36"/>
        <v>2022-08</v>
      </c>
    </row>
    <row r="2325" spans="1:10" x14ac:dyDescent="0.2">
      <c r="A2325" s="2" t="s">
        <v>2093</v>
      </c>
      <c r="B2325" s="2" t="s">
        <v>34</v>
      </c>
      <c r="C2325" s="2" t="s">
        <v>35</v>
      </c>
      <c r="D2325" s="2" t="s">
        <v>2954</v>
      </c>
      <c r="E2325" s="5">
        <v>44802</v>
      </c>
      <c r="F2325" s="2">
        <v>287</v>
      </c>
      <c r="G2325" s="2" t="s">
        <v>17</v>
      </c>
      <c r="H2325" s="2" t="s">
        <v>23</v>
      </c>
      <c r="I2325" s="6" t="s">
        <v>2954</v>
      </c>
      <c r="J2325" s="2" t="str">
        <f t="shared" si="36"/>
        <v>2022-08</v>
      </c>
    </row>
    <row r="2326" spans="1:10" x14ac:dyDescent="0.2">
      <c r="A2326" s="2" t="s">
        <v>1723</v>
      </c>
      <c r="B2326" s="2" t="s">
        <v>15</v>
      </c>
      <c r="C2326" s="2" t="s">
        <v>52</v>
      </c>
      <c r="D2326" s="2" t="s">
        <v>2954</v>
      </c>
      <c r="E2326" s="5">
        <v>44801</v>
      </c>
      <c r="F2326" s="2">
        <v>231</v>
      </c>
      <c r="G2326" s="2" t="s">
        <v>17</v>
      </c>
      <c r="H2326" s="2" t="s">
        <v>18</v>
      </c>
      <c r="I2326" s="6" t="s">
        <v>2954</v>
      </c>
      <c r="J2326" s="2" t="str">
        <f t="shared" si="36"/>
        <v>2022-08</v>
      </c>
    </row>
    <row r="2327" spans="1:10" x14ac:dyDescent="0.2">
      <c r="A2327" s="2" t="s">
        <v>1122</v>
      </c>
      <c r="B2327" s="2" t="s">
        <v>34</v>
      </c>
      <c r="C2327" s="2" t="s">
        <v>29</v>
      </c>
      <c r="D2327" s="2">
        <v>80</v>
      </c>
      <c r="E2327" s="5">
        <v>44799</v>
      </c>
      <c r="F2327" s="2">
        <v>974</v>
      </c>
      <c r="G2327" s="2" t="s">
        <v>45</v>
      </c>
      <c r="H2327" s="2" t="s">
        <v>23</v>
      </c>
      <c r="I2327" s="6" t="s">
        <v>2954</v>
      </c>
      <c r="J2327" s="2" t="str">
        <f t="shared" si="36"/>
        <v>2022-08</v>
      </c>
    </row>
    <row r="2328" spans="1:10" x14ac:dyDescent="0.2">
      <c r="A2328" s="2" t="s">
        <v>340</v>
      </c>
      <c r="B2328" s="2" t="s">
        <v>34</v>
      </c>
      <c r="C2328" s="2" t="s">
        <v>195</v>
      </c>
      <c r="D2328" s="2">
        <v>24</v>
      </c>
      <c r="E2328" s="5">
        <v>44799</v>
      </c>
      <c r="F2328" s="2">
        <v>1200</v>
      </c>
      <c r="G2328" s="2" t="s">
        <v>17</v>
      </c>
      <c r="H2328" s="2" t="s">
        <v>23</v>
      </c>
      <c r="I2328" s="6" t="s">
        <v>2954</v>
      </c>
      <c r="J2328" s="2" t="str">
        <f t="shared" si="36"/>
        <v>2022-08</v>
      </c>
    </row>
    <row r="2329" spans="1:10" x14ac:dyDescent="0.2">
      <c r="A2329" s="2" t="s">
        <v>2094</v>
      </c>
      <c r="B2329" s="2" t="s">
        <v>25</v>
      </c>
      <c r="C2329" s="2" t="s">
        <v>16</v>
      </c>
      <c r="D2329" s="2">
        <v>20</v>
      </c>
      <c r="E2329" s="5">
        <v>44799</v>
      </c>
      <c r="F2329" s="2">
        <v>78</v>
      </c>
      <c r="G2329" s="2" t="s">
        <v>37</v>
      </c>
      <c r="H2329" s="2" t="s">
        <v>23</v>
      </c>
      <c r="I2329" s="6">
        <v>7.0000000000000007E-2</v>
      </c>
      <c r="J2329" s="2" t="str">
        <f t="shared" si="36"/>
        <v>2022-08</v>
      </c>
    </row>
    <row r="2330" spans="1:10" x14ac:dyDescent="0.2">
      <c r="A2330" s="2" t="s">
        <v>739</v>
      </c>
      <c r="B2330" s="2" t="s">
        <v>25</v>
      </c>
      <c r="C2330" s="2" t="s">
        <v>148</v>
      </c>
      <c r="D2330" s="2" t="s">
        <v>2954</v>
      </c>
      <c r="E2330" s="5">
        <v>44799</v>
      </c>
      <c r="F2330" s="2">
        <v>905</v>
      </c>
      <c r="G2330" s="2" t="s">
        <v>12</v>
      </c>
      <c r="H2330" s="2" t="s">
        <v>23</v>
      </c>
      <c r="I2330" s="6" t="s">
        <v>2954</v>
      </c>
      <c r="J2330" s="2" t="str">
        <f t="shared" si="36"/>
        <v>2022-08</v>
      </c>
    </row>
    <row r="2331" spans="1:10" x14ac:dyDescent="0.2">
      <c r="A2331" s="2" t="s">
        <v>440</v>
      </c>
      <c r="B2331" s="2" t="s">
        <v>80</v>
      </c>
      <c r="C2331" s="2" t="s">
        <v>11</v>
      </c>
      <c r="D2331" s="2">
        <v>40</v>
      </c>
      <c r="E2331" s="5">
        <v>44798</v>
      </c>
      <c r="F2331" s="2">
        <v>280</v>
      </c>
      <c r="G2331" s="2" t="s">
        <v>45</v>
      </c>
      <c r="H2331" s="2" t="s">
        <v>23</v>
      </c>
      <c r="I2331" s="6" t="s">
        <v>2954</v>
      </c>
      <c r="J2331" s="2" t="str">
        <f t="shared" si="36"/>
        <v>2022-08</v>
      </c>
    </row>
    <row r="2332" spans="1:10" x14ac:dyDescent="0.2">
      <c r="A2332" s="2" t="s">
        <v>2095</v>
      </c>
      <c r="B2332" s="2" t="s">
        <v>661</v>
      </c>
      <c r="C2332" s="2" t="s">
        <v>142</v>
      </c>
      <c r="D2332" s="2">
        <v>25</v>
      </c>
      <c r="E2332" s="5">
        <v>44798</v>
      </c>
      <c r="F2332" s="2" t="s">
        <v>2954</v>
      </c>
      <c r="G2332" s="2" t="s">
        <v>45</v>
      </c>
      <c r="H2332" s="2" t="s">
        <v>662</v>
      </c>
      <c r="I2332" s="6">
        <v>0.1</v>
      </c>
      <c r="J2332" s="2" t="str">
        <f t="shared" si="36"/>
        <v>2022-08</v>
      </c>
    </row>
    <row r="2333" spans="1:10" x14ac:dyDescent="0.2">
      <c r="A2333" s="2" t="s">
        <v>328</v>
      </c>
      <c r="B2333" s="2" t="s">
        <v>47</v>
      </c>
      <c r="C2333" s="2" t="s">
        <v>26</v>
      </c>
      <c r="D2333" s="2" t="s">
        <v>2954</v>
      </c>
      <c r="E2333" s="5">
        <v>44798</v>
      </c>
      <c r="F2333" s="2">
        <v>361</v>
      </c>
      <c r="G2333" s="2" t="s">
        <v>199</v>
      </c>
      <c r="H2333" s="2" t="s">
        <v>23</v>
      </c>
      <c r="I2333" s="6">
        <v>0.1</v>
      </c>
      <c r="J2333" s="2" t="str">
        <f t="shared" si="36"/>
        <v>2022-08</v>
      </c>
    </row>
    <row r="2334" spans="1:10" x14ac:dyDescent="0.2">
      <c r="A2334" s="2" t="s">
        <v>2096</v>
      </c>
      <c r="B2334" s="2" t="s">
        <v>314</v>
      </c>
      <c r="C2334" s="2" t="s">
        <v>170</v>
      </c>
      <c r="D2334" s="2" t="s">
        <v>2954</v>
      </c>
      <c r="E2334" s="5">
        <v>44798</v>
      </c>
      <c r="F2334" s="2">
        <v>330</v>
      </c>
      <c r="G2334" s="2" t="s">
        <v>128</v>
      </c>
      <c r="H2334" s="2" t="s">
        <v>23</v>
      </c>
      <c r="I2334" s="6">
        <v>7.0000000000000007E-2</v>
      </c>
      <c r="J2334" s="2" t="str">
        <f t="shared" si="36"/>
        <v>2022-08</v>
      </c>
    </row>
    <row r="2335" spans="1:10" x14ac:dyDescent="0.2">
      <c r="A2335" s="2" t="s">
        <v>2097</v>
      </c>
      <c r="B2335" s="2" t="s">
        <v>34</v>
      </c>
      <c r="C2335" s="2" t="s">
        <v>148</v>
      </c>
      <c r="D2335" s="2">
        <v>140</v>
      </c>
      <c r="E2335" s="5">
        <v>44797</v>
      </c>
      <c r="F2335" s="2">
        <v>117</v>
      </c>
      <c r="G2335" s="2" t="s">
        <v>37</v>
      </c>
      <c r="H2335" s="2" t="s">
        <v>23</v>
      </c>
      <c r="I2335" s="6">
        <v>1</v>
      </c>
      <c r="J2335" s="2" t="str">
        <f t="shared" si="36"/>
        <v>2022-08</v>
      </c>
    </row>
    <row r="2336" spans="1:10" x14ac:dyDescent="0.2">
      <c r="A2336" s="2" t="s">
        <v>1218</v>
      </c>
      <c r="B2336" s="2" t="s">
        <v>401</v>
      </c>
      <c r="C2336" s="2" t="s">
        <v>16</v>
      </c>
      <c r="D2336" s="2">
        <v>15</v>
      </c>
      <c r="E2336" s="5">
        <v>44797</v>
      </c>
      <c r="F2336" s="2">
        <v>24</v>
      </c>
      <c r="G2336" s="2" t="s">
        <v>41</v>
      </c>
      <c r="H2336" s="2" t="s">
        <v>23</v>
      </c>
      <c r="I2336" s="6">
        <v>0.2</v>
      </c>
      <c r="J2336" s="2" t="str">
        <f t="shared" si="36"/>
        <v>2022-08</v>
      </c>
    </row>
    <row r="2337" spans="1:10" x14ac:dyDescent="0.2">
      <c r="A2337" s="2" t="s">
        <v>2098</v>
      </c>
      <c r="B2337" s="2" t="s">
        <v>34</v>
      </c>
      <c r="C2337" s="2" t="s">
        <v>11</v>
      </c>
      <c r="D2337" s="2" t="s">
        <v>2954</v>
      </c>
      <c r="E2337" s="5">
        <v>44797</v>
      </c>
      <c r="F2337" s="2" t="s">
        <v>2954</v>
      </c>
      <c r="G2337" s="2" t="s">
        <v>12</v>
      </c>
      <c r="H2337" s="2" t="s">
        <v>23</v>
      </c>
      <c r="I2337" s="6" t="s">
        <v>2954</v>
      </c>
      <c r="J2337" s="2" t="str">
        <f t="shared" si="36"/>
        <v>2022-08</v>
      </c>
    </row>
    <row r="2338" spans="1:10" x14ac:dyDescent="0.2">
      <c r="A2338" s="2" t="s">
        <v>546</v>
      </c>
      <c r="B2338" s="2" t="s">
        <v>74</v>
      </c>
      <c r="C2338" s="2" t="s">
        <v>52</v>
      </c>
      <c r="D2338" s="2">
        <v>180</v>
      </c>
      <c r="E2338" s="5">
        <v>44796</v>
      </c>
      <c r="F2338" s="2">
        <v>646</v>
      </c>
      <c r="G2338" s="2" t="s">
        <v>75</v>
      </c>
      <c r="H2338" s="2" t="s">
        <v>76</v>
      </c>
      <c r="I2338" s="6">
        <v>0.16</v>
      </c>
      <c r="J2338" s="2" t="str">
        <f t="shared" si="36"/>
        <v>2022-08</v>
      </c>
    </row>
    <row r="2339" spans="1:10" x14ac:dyDescent="0.2">
      <c r="A2339" s="2" t="s">
        <v>2099</v>
      </c>
      <c r="B2339" s="2" t="s">
        <v>25</v>
      </c>
      <c r="C2339" s="2" t="s">
        <v>142</v>
      </c>
      <c r="D2339" s="2">
        <v>138</v>
      </c>
      <c r="E2339" s="5">
        <v>44796</v>
      </c>
      <c r="F2339" s="2">
        <v>472</v>
      </c>
      <c r="G2339" s="2" t="s">
        <v>12</v>
      </c>
      <c r="H2339" s="2" t="s">
        <v>23</v>
      </c>
      <c r="I2339" s="6">
        <v>0.2</v>
      </c>
      <c r="J2339" s="2" t="str">
        <f t="shared" si="36"/>
        <v>2022-08</v>
      </c>
    </row>
    <row r="2340" spans="1:10" x14ac:dyDescent="0.2">
      <c r="A2340" s="2" t="s">
        <v>2100</v>
      </c>
      <c r="B2340" s="2" t="s">
        <v>335</v>
      </c>
      <c r="C2340" s="2" t="s">
        <v>29</v>
      </c>
      <c r="D2340" s="2">
        <v>50</v>
      </c>
      <c r="E2340" s="5">
        <v>44796</v>
      </c>
      <c r="F2340" s="2">
        <v>91</v>
      </c>
      <c r="G2340" s="2" t="s">
        <v>66</v>
      </c>
      <c r="H2340" s="2" t="s">
        <v>106</v>
      </c>
      <c r="I2340" s="6">
        <v>0.08</v>
      </c>
      <c r="J2340" s="2" t="str">
        <f t="shared" si="36"/>
        <v>2022-08</v>
      </c>
    </row>
    <row r="2341" spans="1:10" x14ac:dyDescent="0.2">
      <c r="A2341" s="2" t="s">
        <v>2101</v>
      </c>
      <c r="B2341" s="2" t="s">
        <v>34</v>
      </c>
      <c r="C2341" s="2" t="s">
        <v>68</v>
      </c>
      <c r="D2341" s="2">
        <v>31</v>
      </c>
      <c r="E2341" s="5">
        <v>44796</v>
      </c>
      <c r="F2341" s="2">
        <v>114</v>
      </c>
      <c r="G2341" s="2" t="s">
        <v>66</v>
      </c>
      <c r="H2341" s="2" t="s">
        <v>23</v>
      </c>
      <c r="I2341" s="6">
        <v>0.08</v>
      </c>
      <c r="J2341" s="2" t="str">
        <f t="shared" si="36"/>
        <v>2022-08</v>
      </c>
    </row>
    <row r="2342" spans="1:10" x14ac:dyDescent="0.2">
      <c r="A2342" s="2" t="s">
        <v>2102</v>
      </c>
      <c r="B2342" s="2" t="s">
        <v>34</v>
      </c>
      <c r="C2342" s="2" t="s">
        <v>68</v>
      </c>
      <c r="D2342" s="2">
        <v>29</v>
      </c>
      <c r="E2342" s="5">
        <v>44796</v>
      </c>
      <c r="F2342" s="2">
        <v>3</v>
      </c>
      <c r="G2342" s="2" t="s">
        <v>132</v>
      </c>
      <c r="H2342" s="2" t="s">
        <v>23</v>
      </c>
      <c r="I2342" s="6">
        <v>0.5</v>
      </c>
      <c r="J2342" s="2" t="str">
        <f t="shared" si="36"/>
        <v>2022-08</v>
      </c>
    </row>
    <row r="2343" spans="1:10" x14ac:dyDescent="0.2">
      <c r="A2343" s="2" t="s">
        <v>2103</v>
      </c>
      <c r="B2343" s="2" t="s">
        <v>89</v>
      </c>
      <c r="C2343" s="2" t="s">
        <v>243</v>
      </c>
      <c r="D2343" s="2" t="s">
        <v>2954</v>
      </c>
      <c r="E2343" s="5">
        <v>44796</v>
      </c>
      <c r="F2343" s="2">
        <v>1000</v>
      </c>
      <c r="G2343" s="2" t="s">
        <v>58</v>
      </c>
      <c r="H2343" s="2" t="s">
        <v>23</v>
      </c>
      <c r="I2343" s="6">
        <v>0.26</v>
      </c>
      <c r="J2343" s="2" t="str">
        <f t="shared" si="36"/>
        <v>2022-08</v>
      </c>
    </row>
    <row r="2344" spans="1:10" x14ac:dyDescent="0.2">
      <c r="A2344" s="2" t="s">
        <v>2104</v>
      </c>
      <c r="B2344" s="2" t="s">
        <v>831</v>
      </c>
      <c r="C2344" s="2" t="s">
        <v>142</v>
      </c>
      <c r="D2344" s="2" t="s">
        <v>2954</v>
      </c>
      <c r="E2344" s="5">
        <v>44796</v>
      </c>
      <c r="F2344" s="2" t="s">
        <v>2954</v>
      </c>
      <c r="G2344" s="2" t="s">
        <v>17</v>
      </c>
      <c r="H2344" s="2" t="s">
        <v>274</v>
      </c>
      <c r="I2344" s="6" t="s">
        <v>2954</v>
      </c>
      <c r="J2344" s="2" t="str">
        <f t="shared" si="36"/>
        <v>2022-08</v>
      </c>
    </row>
    <row r="2345" spans="1:10" x14ac:dyDescent="0.2">
      <c r="A2345" s="2" t="s">
        <v>2105</v>
      </c>
      <c r="B2345" s="2" t="s">
        <v>25</v>
      </c>
      <c r="C2345" s="2" t="s">
        <v>61</v>
      </c>
      <c r="D2345" s="2" t="s">
        <v>2954</v>
      </c>
      <c r="E2345" s="5">
        <v>44796</v>
      </c>
      <c r="F2345" s="2">
        <v>136</v>
      </c>
      <c r="G2345" s="2" t="s">
        <v>12</v>
      </c>
      <c r="H2345" s="2" t="s">
        <v>23</v>
      </c>
      <c r="I2345" s="6" t="s">
        <v>2954</v>
      </c>
      <c r="J2345" s="2" t="str">
        <f t="shared" si="36"/>
        <v>2022-08</v>
      </c>
    </row>
    <row r="2346" spans="1:10" x14ac:dyDescent="0.2">
      <c r="A2346" s="2" t="s">
        <v>2106</v>
      </c>
      <c r="B2346" s="2" t="s">
        <v>831</v>
      </c>
      <c r="C2346" s="2" t="s">
        <v>11</v>
      </c>
      <c r="D2346" s="2" t="s">
        <v>2954</v>
      </c>
      <c r="E2346" s="5">
        <v>44795</v>
      </c>
      <c r="F2346" s="2">
        <v>73</v>
      </c>
      <c r="G2346" s="2" t="s">
        <v>41</v>
      </c>
      <c r="H2346" s="2" t="s">
        <v>23</v>
      </c>
      <c r="I2346" s="6">
        <v>0.17</v>
      </c>
      <c r="J2346" s="2" t="str">
        <f t="shared" si="36"/>
        <v>2022-08</v>
      </c>
    </row>
    <row r="2347" spans="1:10" x14ac:dyDescent="0.2">
      <c r="A2347" s="2" t="s">
        <v>2107</v>
      </c>
      <c r="B2347" s="2" t="s">
        <v>100</v>
      </c>
      <c r="C2347" s="2" t="s">
        <v>142</v>
      </c>
      <c r="D2347" s="2" t="s">
        <v>2954</v>
      </c>
      <c r="E2347" s="5">
        <v>44795</v>
      </c>
      <c r="F2347" s="2">
        <v>56</v>
      </c>
      <c r="G2347" s="2" t="s">
        <v>12</v>
      </c>
      <c r="H2347" s="2" t="s">
        <v>98</v>
      </c>
      <c r="I2347" s="6">
        <v>1</v>
      </c>
      <c r="J2347" s="2" t="str">
        <f t="shared" si="36"/>
        <v>2022-08</v>
      </c>
    </row>
    <row r="2348" spans="1:10" x14ac:dyDescent="0.2">
      <c r="A2348" s="2" t="s">
        <v>2108</v>
      </c>
      <c r="B2348" s="2" t="s">
        <v>15</v>
      </c>
      <c r="C2348" s="2" t="s">
        <v>195</v>
      </c>
      <c r="D2348" s="2">
        <v>100</v>
      </c>
      <c r="E2348" s="5">
        <v>44794</v>
      </c>
      <c r="F2348" s="2">
        <v>1</v>
      </c>
      <c r="G2348" s="2" t="s">
        <v>132</v>
      </c>
      <c r="H2348" s="2" t="s">
        <v>18</v>
      </c>
      <c r="I2348" s="6">
        <v>0.14000000000000001</v>
      </c>
      <c r="J2348" s="2" t="str">
        <f t="shared" si="36"/>
        <v>2022-08</v>
      </c>
    </row>
    <row r="2349" spans="1:10" x14ac:dyDescent="0.2">
      <c r="A2349" s="2" t="s">
        <v>2109</v>
      </c>
      <c r="B2349" s="2" t="s">
        <v>89</v>
      </c>
      <c r="C2349" s="2" t="s">
        <v>195</v>
      </c>
      <c r="D2349" s="2">
        <v>55</v>
      </c>
      <c r="E2349" s="5">
        <v>44794</v>
      </c>
      <c r="F2349" s="2">
        <v>21</v>
      </c>
      <c r="G2349" s="2" t="s">
        <v>45</v>
      </c>
      <c r="H2349" s="2" t="s">
        <v>23</v>
      </c>
      <c r="I2349" s="6">
        <v>0.1</v>
      </c>
      <c r="J2349" s="2" t="str">
        <f t="shared" si="36"/>
        <v>2022-08</v>
      </c>
    </row>
    <row r="2350" spans="1:10" x14ac:dyDescent="0.2">
      <c r="A2350" s="2" t="s">
        <v>373</v>
      </c>
      <c r="B2350" s="2" t="s">
        <v>28</v>
      </c>
      <c r="C2350" s="2" t="s">
        <v>26</v>
      </c>
      <c r="D2350" s="2">
        <v>13</v>
      </c>
      <c r="E2350" s="5">
        <v>44793</v>
      </c>
      <c r="F2350" s="2">
        <v>187</v>
      </c>
      <c r="G2350" s="2" t="s">
        <v>75</v>
      </c>
      <c r="H2350" s="2" t="s">
        <v>23</v>
      </c>
      <c r="I2350" s="6">
        <v>0.03</v>
      </c>
      <c r="J2350" s="2" t="str">
        <f t="shared" si="36"/>
        <v>2022-08</v>
      </c>
    </row>
    <row r="2351" spans="1:10" x14ac:dyDescent="0.2">
      <c r="A2351" s="2" t="s">
        <v>403</v>
      </c>
      <c r="B2351" s="2" t="s">
        <v>89</v>
      </c>
      <c r="C2351" s="2" t="s">
        <v>142</v>
      </c>
      <c r="D2351" s="2">
        <v>870</v>
      </c>
      <c r="E2351" s="5">
        <v>44792</v>
      </c>
      <c r="F2351" s="2">
        <v>1700</v>
      </c>
      <c r="G2351" s="2" t="s">
        <v>17</v>
      </c>
      <c r="H2351" s="2" t="s">
        <v>23</v>
      </c>
      <c r="I2351" s="6">
        <v>0.05</v>
      </c>
      <c r="J2351" s="2" t="str">
        <f t="shared" si="36"/>
        <v>2022-08</v>
      </c>
    </row>
    <row r="2352" spans="1:10" x14ac:dyDescent="0.2">
      <c r="A2352" s="2" t="s">
        <v>958</v>
      </c>
      <c r="B2352" s="2" t="s">
        <v>34</v>
      </c>
      <c r="C2352" s="2" t="s">
        <v>16</v>
      </c>
      <c r="D2352" s="2">
        <v>50</v>
      </c>
      <c r="E2352" s="5">
        <v>44792</v>
      </c>
      <c r="F2352" s="2">
        <v>2300</v>
      </c>
      <c r="G2352" s="2" t="s">
        <v>81</v>
      </c>
      <c r="H2352" s="2" t="s">
        <v>23</v>
      </c>
      <c r="I2352" s="6" t="s">
        <v>2954</v>
      </c>
      <c r="J2352" s="2" t="str">
        <f t="shared" si="36"/>
        <v>2022-08</v>
      </c>
    </row>
    <row r="2353" spans="1:10" x14ac:dyDescent="0.2">
      <c r="A2353" s="2" t="s">
        <v>2110</v>
      </c>
      <c r="B2353" s="2" t="s">
        <v>217</v>
      </c>
      <c r="C2353" s="2" t="s">
        <v>22</v>
      </c>
      <c r="D2353" s="2">
        <v>40</v>
      </c>
      <c r="E2353" s="5">
        <v>44792</v>
      </c>
      <c r="F2353" s="2" t="s">
        <v>2954</v>
      </c>
      <c r="G2353" s="2" t="s">
        <v>12</v>
      </c>
      <c r="H2353" s="2" t="s">
        <v>217</v>
      </c>
      <c r="I2353" s="6">
        <v>0.8</v>
      </c>
      <c r="J2353" s="2" t="str">
        <f t="shared" si="36"/>
        <v>2022-08</v>
      </c>
    </row>
    <row r="2354" spans="1:10" x14ac:dyDescent="0.2">
      <c r="A2354" s="2" t="s">
        <v>196</v>
      </c>
      <c r="B2354" s="2" t="s">
        <v>34</v>
      </c>
      <c r="C2354" s="2" t="s">
        <v>48</v>
      </c>
      <c r="D2354" s="2">
        <v>110</v>
      </c>
      <c r="E2354" s="5">
        <v>44791</v>
      </c>
      <c r="F2354" s="2">
        <v>214</v>
      </c>
      <c r="G2354" s="2" t="s">
        <v>17</v>
      </c>
      <c r="H2354" s="2" t="s">
        <v>23</v>
      </c>
      <c r="I2354" s="6">
        <v>0.05</v>
      </c>
      <c r="J2354" s="2" t="str">
        <f t="shared" si="36"/>
        <v>2022-08</v>
      </c>
    </row>
    <row r="2355" spans="1:10" x14ac:dyDescent="0.2">
      <c r="A2355" s="2" t="s">
        <v>1445</v>
      </c>
      <c r="B2355" s="2" t="s">
        <v>86</v>
      </c>
      <c r="C2355" s="2" t="s">
        <v>32</v>
      </c>
      <c r="D2355" s="2">
        <v>35</v>
      </c>
      <c r="E2355" s="5">
        <v>44791</v>
      </c>
      <c r="F2355" s="2">
        <v>215</v>
      </c>
      <c r="G2355" s="2" t="s">
        <v>66</v>
      </c>
      <c r="H2355" s="2" t="s">
        <v>23</v>
      </c>
      <c r="I2355" s="6">
        <v>0.17</v>
      </c>
      <c r="J2355" s="2" t="str">
        <f t="shared" si="36"/>
        <v>2022-08</v>
      </c>
    </row>
    <row r="2356" spans="1:10" x14ac:dyDescent="0.2">
      <c r="A2356" s="2" t="s">
        <v>946</v>
      </c>
      <c r="B2356" s="2" t="s">
        <v>25</v>
      </c>
      <c r="C2356" s="2" t="s">
        <v>16</v>
      </c>
      <c r="D2356" s="2" t="s">
        <v>2954</v>
      </c>
      <c r="E2356" s="5">
        <v>44791</v>
      </c>
      <c r="F2356" s="2">
        <v>704</v>
      </c>
      <c r="G2356" s="2" t="s">
        <v>75</v>
      </c>
      <c r="H2356" s="2" t="s">
        <v>23</v>
      </c>
      <c r="I2356" s="6">
        <v>0.1</v>
      </c>
      <c r="J2356" s="2" t="str">
        <f t="shared" si="36"/>
        <v>2022-08</v>
      </c>
    </row>
    <row r="2357" spans="1:10" x14ac:dyDescent="0.2">
      <c r="A2357" s="2" t="s">
        <v>2111</v>
      </c>
      <c r="B2357" s="2" t="s">
        <v>25</v>
      </c>
      <c r="C2357" s="2" t="s">
        <v>32</v>
      </c>
      <c r="D2357" s="2" t="s">
        <v>2954</v>
      </c>
      <c r="E2357" s="5">
        <v>44791</v>
      </c>
      <c r="F2357" s="2">
        <v>209</v>
      </c>
      <c r="G2357" s="2" t="s">
        <v>66</v>
      </c>
      <c r="H2357" s="2" t="s">
        <v>23</v>
      </c>
      <c r="I2357" s="6">
        <v>0.1</v>
      </c>
      <c r="J2357" s="2" t="str">
        <f t="shared" si="36"/>
        <v>2022-08</v>
      </c>
    </row>
    <row r="2358" spans="1:10" x14ac:dyDescent="0.2">
      <c r="A2358" s="2" t="s">
        <v>691</v>
      </c>
      <c r="B2358" s="2" t="s">
        <v>431</v>
      </c>
      <c r="C2358" s="2" t="s">
        <v>26</v>
      </c>
      <c r="D2358" s="2" t="s">
        <v>2954</v>
      </c>
      <c r="E2358" s="5">
        <v>44791</v>
      </c>
      <c r="F2358" s="2">
        <v>178</v>
      </c>
      <c r="G2358" s="2" t="s">
        <v>75</v>
      </c>
      <c r="H2358" s="2" t="s">
        <v>106</v>
      </c>
      <c r="I2358" s="6">
        <v>0.05</v>
      </c>
      <c r="J2358" s="2" t="str">
        <f t="shared" si="36"/>
        <v>2022-08</v>
      </c>
    </row>
    <row r="2359" spans="1:10" x14ac:dyDescent="0.2">
      <c r="A2359" s="2" t="s">
        <v>757</v>
      </c>
      <c r="B2359" s="2" t="s">
        <v>34</v>
      </c>
      <c r="C2359" s="2" t="s">
        <v>195</v>
      </c>
      <c r="D2359" s="2">
        <v>125</v>
      </c>
      <c r="E2359" s="5">
        <v>44790</v>
      </c>
      <c r="F2359" s="2">
        <v>80</v>
      </c>
      <c r="G2359" s="2" t="s">
        <v>37</v>
      </c>
      <c r="H2359" s="2" t="s">
        <v>23</v>
      </c>
      <c r="I2359" s="6">
        <v>0.14000000000000001</v>
      </c>
      <c r="J2359" s="2" t="str">
        <f t="shared" si="36"/>
        <v>2022-08</v>
      </c>
    </row>
    <row r="2360" spans="1:10" x14ac:dyDescent="0.2">
      <c r="A2360" s="2" t="s">
        <v>2112</v>
      </c>
      <c r="B2360" s="2" t="s">
        <v>661</v>
      </c>
      <c r="C2360" s="2" t="s">
        <v>29</v>
      </c>
      <c r="D2360" s="2">
        <v>83</v>
      </c>
      <c r="E2360" s="5">
        <v>44790</v>
      </c>
      <c r="F2360" s="2" t="s">
        <v>2954</v>
      </c>
      <c r="G2360" s="2" t="s">
        <v>132</v>
      </c>
      <c r="H2360" s="2" t="s">
        <v>662</v>
      </c>
      <c r="I2360" s="7" t="s">
        <v>1927</v>
      </c>
      <c r="J2360" s="2" t="str">
        <f t="shared" si="36"/>
        <v>2022-08</v>
      </c>
    </row>
    <row r="2361" spans="1:10" x14ac:dyDescent="0.2">
      <c r="A2361" s="2" t="s">
        <v>1750</v>
      </c>
      <c r="B2361" s="2" t="s">
        <v>1106</v>
      </c>
      <c r="C2361" s="2" t="s">
        <v>22</v>
      </c>
      <c r="D2361" s="2">
        <v>74</v>
      </c>
      <c r="E2361" s="5">
        <v>44790</v>
      </c>
      <c r="F2361" s="2" t="s">
        <v>2954</v>
      </c>
      <c r="G2361" s="2" t="s">
        <v>12</v>
      </c>
      <c r="H2361" s="2" t="s">
        <v>274</v>
      </c>
      <c r="I2361" s="6">
        <v>0.21</v>
      </c>
      <c r="J2361" s="2" t="str">
        <f t="shared" si="36"/>
        <v>2022-08</v>
      </c>
    </row>
    <row r="2362" spans="1:10" x14ac:dyDescent="0.2">
      <c r="A2362" s="2" t="s">
        <v>785</v>
      </c>
      <c r="B2362" s="2" t="s">
        <v>34</v>
      </c>
      <c r="C2362" s="2" t="s">
        <v>29</v>
      </c>
      <c r="D2362" s="2">
        <v>54</v>
      </c>
      <c r="E2362" s="5">
        <v>44790</v>
      </c>
      <c r="F2362" s="2">
        <v>74</v>
      </c>
      <c r="G2362" s="2" t="s">
        <v>66</v>
      </c>
      <c r="H2362" s="2" t="s">
        <v>23</v>
      </c>
      <c r="I2362" s="6" t="s">
        <v>2954</v>
      </c>
      <c r="J2362" s="2" t="str">
        <f t="shared" si="36"/>
        <v>2022-08</v>
      </c>
    </row>
    <row r="2363" spans="1:10" x14ac:dyDescent="0.2">
      <c r="A2363" s="2" t="s">
        <v>1655</v>
      </c>
      <c r="B2363" s="2" t="s">
        <v>25</v>
      </c>
      <c r="C2363" s="2" t="s">
        <v>22</v>
      </c>
      <c r="D2363" s="2">
        <v>52</v>
      </c>
      <c r="E2363" s="5">
        <v>44790</v>
      </c>
      <c r="F2363" s="2" t="s">
        <v>2954</v>
      </c>
      <c r="G2363" s="2" t="s">
        <v>41</v>
      </c>
      <c r="H2363" s="2" t="s">
        <v>23</v>
      </c>
      <c r="I2363" s="6">
        <v>0.2</v>
      </c>
      <c r="J2363" s="2" t="str">
        <f t="shared" si="36"/>
        <v>2022-08</v>
      </c>
    </row>
    <row r="2364" spans="1:10" x14ac:dyDescent="0.2">
      <c r="A2364" s="2" t="s">
        <v>2113</v>
      </c>
      <c r="B2364" s="2" t="s">
        <v>2114</v>
      </c>
      <c r="C2364" s="2" t="s">
        <v>16</v>
      </c>
      <c r="D2364" s="2">
        <v>50</v>
      </c>
      <c r="E2364" s="5">
        <v>44790</v>
      </c>
      <c r="F2364" s="2">
        <v>104</v>
      </c>
      <c r="G2364" s="2" t="s">
        <v>66</v>
      </c>
      <c r="H2364" s="2" t="s">
        <v>662</v>
      </c>
      <c r="I2364" s="6" t="s">
        <v>2954</v>
      </c>
      <c r="J2364" s="2" t="str">
        <f t="shared" si="36"/>
        <v>2022-08</v>
      </c>
    </row>
    <row r="2365" spans="1:10" x14ac:dyDescent="0.2">
      <c r="A2365" s="2" t="s">
        <v>2115</v>
      </c>
      <c r="B2365" s="2" t="s">
        <v>188</v>
      </c>
      <c r="C2365" s="2" t="s">
        <v>32</v>
      </c>
      <c r="D2365" s="2">
        <v>80</v>
      </c>
      <c r="E2365" s="5">
        <v>44789</v>
      </c>
      <c r="F2365" s="2">
        <v>293</v>
      </c>
      <c r="G2365" s="2" t="s">
        <v>75</v>
      </c>
      <c r="H2365" s="2" t="s">
        <v>106</v>
      </c>
      <c r="I2365" s="6">
        <v>0.14000000000000001</v>
      </c>
      <c r="J2365" s="2" t="str">
        <f t="shared" si="36"/>
        <v>2022-08</v>
      </c>
    </row>
    <row r="2366" spans="1:10" x14ac:dyDescent="0.2">
      <c r="A2366" s="2" t="s">
        <v>2116</v>
      </c>
      <c r="B2366" s="2" t="s">
        <v>15</v>
      </c>
      <c r="C2366" s="2" t="s">
        <v>243</v>
      </c>
      <c r="D2366" s="2">
        <v>12</v>
      </c>
      <c r="E2366" s="5">
        <v>44789</v>
      </c>
      <c r="F2366" s="2">
        <v>205</v>
      </c>
      <c r="G2366" s="2" t="s">
        <v>75</v>
      </c>
      <c r="H2366" s="2" t="s">
        <v>18</v>
      </c>
      <c r="I2366" s="6">
        <v>0.09</v>
      </c>
      <c r="J2366" s="2" t="str">
        <f t="shared" si="36"/>
        <v>2022-08</v>
      </c>
    </row>
    <row r="2367" spans="1:10" x14ac:dyDescent="0.2">
      <c r="A2367" s="2" t="s">
        <v>2117</v>
      </c>
      <c r="B2367" s="2" t="s">
        <v>795</v>
      </c>
      <c r="C2367" s="2" t="s">
        <v>68</v>
      </c>
      <c r="D2367" s="2">
        <v>5</v>
      </c>
      <c r="E2367" s="5">
        <v>44789</v>
      </c>
      <c r="F2367" s="2">
        <v>11</v>
      </c>
      <c r="G2367" s="2" t="s">
        <v>41</v>
      </c>
      <c r="H2367" s="2" t="s">
        <v>23</v>
      </c>
      <c r="I2367" s="6">
        <v>0.15</v>
      </c>
      <c r="J2367" s="2" t="str">
        <f t="shared" si="36"/>
        <v>2022-08</v>
      </c>
    </row>
    <row r="2368" spans="1:10" x14ac:dyDescent="0.2">
      <c r="A2368" s="2" t="s">
        <v>1616</v>
      </c>
      <c r="B2368" s="2" t="s">
        <v>217</v>
      </c>
      <c r="C2368" s="2" t="s">
        <v>22</v>
      </c>
      <c r="D2368" s="2" t="s">
        <v>2954</v>
      </c>
      <c r="E2368" s="5">
        <v>44789</v>
      </c>
      <c r="F2368" s="2">
        <v>156</v>
      </c>
      <c r="G2368" s="2" t="s">
        <v>12</v>
      </c>
      <c r="H2368" s="2" t="s">
        <v>217</v>
      </c>
      <c r="I2368" s="6" t="s">
        <v>2954</v>
      </c>
      <c r="J2368" s="2" t="str">
        <f t="shared" si="36"/>
        <v>2022-08</v>
      </c>
    </row>
    <row r="2369" spans="1:10" x14ac:dyDescent="0.2">
      <c r="A2369" s="2" t="s">
        <v>2118</v>
      </c>
      <c r="B2369" s="2" t="s">
        <v>34</v>
      </c>
      <c r="C2369" s="2" t="s">
        <v>61</v>
      </c>
      <c r="D2369" s="2" t="s">
        <v>2954</v>
      </c>
      <c r="E2369" s="5">
        <v>44789</v>
      </c>
      <c r="F2369" s="2">
        <v>77</v>
      </c>
      <c r="G2369" s="2" t="s">
        <v>45</v>
      </c>
      <c r="H2369" s="2" t="s">
        <v>23</v>
      </c>
      <c r="I2369" s="6">
        <v>1</v>
      </c>
      <c r="J2369" s="2" t="str">
        <f t="shared" si="36"/>
        <v>2022-08</v>
      </c>
    </row>
    <row r="2370" spans="1:10" x14ac:dyDescent="0.2">
      <c r="A2370" s="2" t="s">
        <v>1928</v>
      </c>
      <c r="B2370" s="2" t="s">
        <v>34</v>
      </c>
      <c r="C2370" s="2" t="s">
        <v>148</v>
      </c>
      <c r="D2370" s="2" t="s">
        <v>2954</v>
      </c>
      <c r="E2370" s="5">
        <v>44789</v>
      </c>
      <c r="F2370" s="2">
        <v>253</v>
      </c>
      <c r="G2370" s="2" t="s">
        <v>75</v>
      </c>
      <c r="H2370" s="2" t="s">
        <v>23</v>
      </c>
      <c r="I2370" s="6">
        <v>0.1</v>
      </c>
      <c r="J2370" s="2" t="str">
        <f t="shared" si="36"/>
        <v>2022-08</v>
      </c>
    </row>
    <row r="2371" spans="1:10" x14ac:dyDescent="0.2">
      <c r="A2371" s="2" t="s">
        <v>2119</v>
      </c>
      <c r="B2371" s="2" t="s">
        <v>25</v>
      </c>
      <c r="C2371" s="2" t="s">
        <v>29</v>
      </c>
      <c r="D2371" s="2" t="s">
        <v>2954</v>
      </c>
      <c r="E2371" s="5">
        <v>44789</v>
      </c>
      <c r="F2371" s="2">
        <v>467</v>
      </c>
      <c r="G2371" s="2" t="s">
        <v>12</v>
      </c>
      <c r="H2371" s="2" t="s">
        <v>23</v>
      </c>
      <c r="I2371" s="6" t="s">
        <v>2954</v>
      </c>
      <c r="J2371" s="2" t="str">
        <f t="shared" ref="J2371:J2434" si="37">TEXT(E2371,"YYYY-MM")</f>
        <v>2022-08</v>
      </c>
    </row>
    <row r="2372" spans="1:10" x14ac:dyDescent="0.2">
      <c r="A2372" s="2" t="s">
        <v>1872</v>
      </c>
      <c r="B2372" s="2" t="s">
        <v>647</v>
      </c>
      <c r="C2372" s="2" t="s">
        <v>32</v>
      </c>
      <c r="D2372" s="2">
        <v>250</v>
      </c>
      <c r="E2372" s="5">
        <v>44788</v>
      </c>
      <c r="F2372" s="2">
        <v>791</v>
      </c>
      <c r="G2372" s="2" t="s">
        <v>17</v>
      </c>
      <c r="H2372" s="2" t="s">
        <v>23</v>
      </c>
      <c r="I2372" s="6">
        <v>0.13</v>
      </c>
      <c r="J2372" s="2" t="str">
        <f t="shared" si="37"/>
        <v>2022-08</v>
      </c>
    </row>
    <row r="2373" spans="1:10" x14ac:dyDescent="0.2">
      <c r="A2373" s="2" t="s">
        <v>810</v>
      </c>
      <c r="B2373" s="2" t="s">
        <v>34</v>
      </c>
      <c r="C2373" s="2" t="s">
        <v>16</v>
      </c>
      <c r="D2373" s="2">
        <v>220</v>
      </c>
      <c r="E2373" s="5">
        <v>44788</v>
      </c>
      <c r="F2373" s="2">
        <v>665</v>
      </c>
      <c r="G2373" s="2" t="s">
        <v>17</v>
      </c>
      <c r="H2373" s="2" t="s">
        <v>23</v>
      </c>
      <c r="I2373" s="6">
        <v>0.12</v>
      </c>
      <c r="J2373" s="2" t="str">
        <f t="shared" si="37"/>
        <v>2022-08</v>
      </c>
    </row>
    <row r="2374" spans="1:10" x14ac:dyDescent="0.2">
      <c r="A2374" s="2" t="s">
        <v>2120</v>
      </c>
      <c r="B2374" s="2" t="s">
        <v>25</v>
      </c>
      <c r="C2374" s="2" t="s">
        <v>32</v>
      </c>
      <c r="D2374" s="2">
        <v>16</v>
      </c>
      <c r="E2374" s="5">
        <v>44788</v>
      </c>
      <c r="F2374" s="2">
        <v>380</v>
      </c>
      <c r="G2374" s="2" t="s">
        <v>17</v>
      </c>
      <c r="H2374" s="2" t="s">
        <v>23</v>
      </c>
      <c r="I2374" s="6">
        <v>0.37</v>
      </c>
      <c r="J2374" s="2" t="str">
        <f t="shared" si="37"/>
        <v>2022-08</v>
      </c>
    </row>
    <row r="2375" spans="1:10" x14ac:dyDescent="0.2">
      <c r="A2375" s="2" t="s">
        <v>2121</v>
      </c>
      <c r="B2375" s="2" t="s">
        <v>314</v>
      </c>
      <c r="C2375" s="2" t="s">
        <v>142</v>
      </c>
      <c r="D2375" s="2" t="s">
        <v>2954</v>
      </c>
      <c r="E2375" s="5">
        <v>44788</v>
      </c>
      <c r="F2375" s="2">
        <v>305</v>
      </c>
      <c r="G2375" s="2" t="s">
        <v>17</v>
      </c>
      <c r="H2375" s="2" t="s">
        <v>23</v>
      </c>
      <c r="I2375" s="6">
        <v>0.15</v>
      </c>
      <c r="J2375" s="2" t="str">
        <f t="shared" si="37"/>
        <v>2022-08</v>
      </c>
    </row>
    <row r="2376" spans="1:10" x14ac:dyDescent="0.2">
      <c r="A2376" s="2" t="s">
        <v>2122</v>
      </c>
      <c r="B2376" s="2" t="s">
        <v>15</v>
      </c>
      <c r="C2376" s="2" t="s">
        <v>148</v>
      </c>
      <c r="D2376" s="2">
        <v>11</v>
      </c>
      <c r="E2376" s="5">
        <v>44787</v>
      </c>
      <c r="F2376" s="2">
        <v>15</v>
      </c>
      <c r="G2376" s="2" t="s">
        <v>41</v>
      </c>
      <c r="H2376" s="2" t="s">
        <v>18</v>
      </c>
      <c r="I2376" s="6" t="s">
        <v>2954</v>
      </c>
      <c r="J2376" s="2" t="str">
        <f t="shared" si="37"/>
        <v>2022-08</v>
      </c>
    </row>
    <row r="2377" spans="1:10" x14ac:dyDescent="0.2">
      <c r="A2377" s="2" t="s">
        <v>2123</v>
      </c>
      <c r="B2377" s="2" t="s">
        <v>34</v>
      </c>
      <c r="C2377" s="2" t="s">
        <v>29</v>
      </c>
      <c r="D2377" s="2" t="s">
        <v>2954</v>
      </c>
      <c r="E2377" s="5">
        <v>44786</v>
      </c>
      <c r="F2377" s="2">
        <v>45</v>
      </c>
      <c r="G2377" s="2" t="s">
        <v>41</v>
      </c>
      <c r="H2377" s="2" t="s">
        <v>23</v>
      </c>
      <c r="I2377" s="6" t="s">
        <v>2954</v>
      </c>
      <c r="J2377" s="2" t="str">
        <f t="shared" si="37"/>
        <v>2022-08</v>
      </c>
    </row>
    <row r="2378" spans="1:10" x14ac:dyDescent="0.2">
      <c r="A2378" s="2" t="s">
        <v>116</v>
      </c>
      <c r="B2378" s="2" t="s">
        <v>25</v>
      </c>
      <c r="C2378" s="2" t="s">
        <v>117</v>
      </c>
      <c r="D2378" s="2">
        <v>784</v>
      </c>
      <c r="E2378" s="5">
        <v>44785</v>
      </c>
      <c r="F2378" s="2">
        <v>1900</v>
      </c>
      <c r="G2378" s="2" t="s">
        <v>17</v>
      </c>
      <c r="H2378" s="2" t="s">
        <v>23</v>
      </c>
      <c r="I2378" s="6">
        <v>0.13</v>
      </c>
      <c r="J2378" s="2" t="str">
        <f t="shared" si="37"/>
        <v>2022-08</v>
      </c>
    </row>
    <row r="2379" spans="1:10" x14ac:dyDescent="0.2">
      <c r="A2379" s="2" t="s">
        <v>2124</v>
      </c>
      <c r="B2379" s="2" t="s">
        <v>86</v>
      </c>
      <c r="C2379" s="2" t="s">
        <v>22</v>
      </c>
      <c r="D2379" s="2" t="s">
        <v>2954</v>
      </c>
      <c r="E2379" s="5">
        <v>44785</v>
      </c>
      <c r="F2379" s="2">
        <v>169</v>
      </c>
      <c r="G2379" s="2" t="s">
        <v>17</v>
      </c>
      <c r="H2379" s="2" t="s">
        <v>23</v>
      </c>
      <c r="I2379" s="6">
        <v>0.1</v>
      </c>
      <c r="J2379" s="2" t="str">
        <f t="shared" si="37"/>
        <v>2022-08</v>
      </c>
    </row>
    <row r="2380" spans="1:10" x14ac:dyDescent="0.2">
      <c r="A2380" s="2" t="s">
        <v>2125</v>
      </c>
      <c r="B2380" s="2" t="s">
        <v>34</v>
      </c>
      <c r="C2380" s="2" t="s">
        <v>29</v>
      </c>
      <c r="D2380" s="2" t="s">
        <v>2954</v>
      </c>
      <c r="E2380" s="5">
        <v>44785</v>
      </c>
      <c r="F2380" s="2">
        <v>20</v>
      </c>
      <c r="G2380" s="2" t="s">
        <v>41</v>
      </c>
      <c r="H2380" s="2" t="s">
        <v>23</v>
      </c>
      <c r="I2380" s="6" t="s">
        <v>2954</v>
      </c>
      <c r="J2380" s="2" t="str">
        <f t="shared" si="37"/>
        <v>2022-08</v>
      </c>
    </row>
    <row r="2381" spans="1:10" x14ac:dyDescent="0.2">
      <c r="A2381" s="2" t="s">
        <v>2017</v>
      </c>
      <c r="B2381" s="2" t="s">
        <v>34</v>
      </c>
      <c r="C2381" s="2" t="s">
        <v>32</v>
      </c>
      <c r="D2381" s="2">
        <v>175</v>
      </c>
      <c r="E2381" s="5">
        <v>44784</v>
      </c>
      <c r="F2381" s="2">
        <v>255</v>
      </c>
      <c r="G2381" s="2" t="s">
        <v>75</v>
      </c>
      <c r="H2381" s="2" t="s">
        <v>23</v>
      </c>
      <c r="I2381" s="6">
        <v>0.33</v>
      </c>
      <c r="J2381" s="2" t="str">
        <f t="shared" si="37"/>
        <v>2022-08</v>
      </c>
    </row>
    <row r="2382" spans="1:10" x14ac:dyDescent="0.2">
      <c r="A2382" s="2" t="s">
        <v>2126</v>
      </c>
      <c r="B2382" s="2" t="s">
        <v>34</v>
      </c>
      <c r="C2382" s="2" t="s">
        <v>32</v>
      </c>
      <c r="D2382" s="2">
        <v>90</v>
      </c>
      <c r="E2382" s="5">
        <v>44784</v>
      </c>
      <c r="F2382" s="2">
        <v>218</v>
      </c>
      <c r="G2382" s="2" t="s">
        <v>66</v>
      </c>
      <c r="H2382" s="2" t="s">
        <v>23</v>
      </c>
      <c r="I2382" s="6">
        <v>0.2</v>
      </c>
      <c r="J2382" s="2" t="str">
        <f t="shared" si="37"/>
        <v>2022-08</v>
      </c>
    </row>
    <row r="2383" spans="1:10" x14ac:dyDescent="0.2">
      <c r="A2383" s="2" t="s">
        <v>509</v>
      </c>
      <c r="B2383" s="2" t="s">
        <v>314</v>
      </c>
      <c r="C2383" s="2" t="s">
        <v>170</v>
      </c>
      <c r="D2383" s="2">
        <v>60</v>
      </c>
      <c r="E2383" s="5">
        <v>44784</v>
      </c>
      <c r="F2383" s="2">
        <v>201</v>
      </c>
      <c r="G2383" s="2" t="s">
        <v>75</v>
      </c>
      <c r="H2383" s="2" t="s">
        <v>23</v>
      </c>
      <c r="I2383" s="6">
        <v>0.08</v>
      </c>
      <c r="J2383" s="2" t="str">
        <f t="shared" si="37"/>
        <v>2022-08</v>
      </c>
    </row>
    <row r="2384" spans="1:10" x14ac:dyDescent="0.2">
      <c r="A2384" s="2" t="s">
        <v>2127</v>
      </c>
      <c r="B2384" s="2" t="s">
        <v>779</v>
      </c>
      <c r="C2384" s="2" t="s">
        <v>142</v>
      </c>
      <c r="D2384" s="2">
        <v>54</v>
      </c>
      <c r="E2384" s="5">
        <v>44784</v>
      </c>
      <c r="F2384" s="2">
        <v>42</v>
      </c>
      <c r="G2384" s="2" t="s">
        <v>41</v>
      </c>
      <c r="H2384" s="2" t="s">
        <v>780</v>
      </c>
      <c r="I2384" s="6">
        <v>0.09</v>
      </c>
      <c r="J2384" s="2" t="str">
        <f t="shared" si="37"/>
        <v>2022-08</v>
      </c>
    </row>
    <row r="2385" spans="1:10" x14ac:dyDescent="0.2">
      <c r="A2385" s="2" t="s">
        <v>1562</v>
      </c>
      <c r="B2385" s="2" t="s">
        <v>174</v>
      </c>
      <c r="C2385" s="2" t="s">
        <v>32</v>
      </c>
      <c r="D2385" s="2">
        <v>30</v>
      </c>
      <c r="E2385" s="5">
        <v>44784</v>
      </c>
      <c r="F2385" s="2">
        <v>204</v>
      </c>
      <c r="G2385" s="2" t="s">
        <v>66</v>
      </c>
      <c r="H2385" s="2" t="s">
        <v>175</v>
      </c>
      <c r="I2385" s="6" t="s">
        <v>2954</v>
      </c>
      <c r="J2385" s="2" t="str">
        <f t="shared" si="37"/>
        <v>2022-08</v>
      </c>
    </row>
    <row r="2386" spans="1:10" x14ac:dyDescent="0.2">
      <c r="A2386" s="2" t="s">
        <v>2128</v>
      </c>
      <c r="B2386" s="2" t="s">
        <v>273</v>
      </c>
      <c r="C2386" s="2" t="s">
        <v>84</v>
      </c>
      <c r="D2386" s="2">
        <v>7</v>
      </c>
      <c r="E2386" s="5">
        <v>44784</v>
      </c>
      <c r="F2386" s="2">
        <v>26</v>
      </c>
      <c r="G2386" s="2" t="s">
        <v>66</v>
      </c>
      <c r="H2386" s="2" t="s">
        <v>274</v>
      </c>
      <c r="I2386" s="6" t="s">
        <v>2954</v>
      </c>
      <c r="J2386" s="2" t="str">
        <f t="shared" si="37"/>
        <v>2022-08</v>
      </c>
    </row>
    <row r="2387" spans="1:10" x14ac:dyDescent="0.2">
      <c r="A2387" s="2" t="s">
        <v>2129</v>
      </c>
      <c r="B2387" s="2" t="s">
        <v>34</v>
      </c>
      <c r="C2387" s="2" t="s">
        <v>16</v>
      </c>
      <c r="D2387" s="2" t="s">
        <v>2954</v>
      </c>
      <c r="E2387" s="5">
        <v>44784</v>
      </c>
      <c r="F2387" s="2">
        <v>24</v>
      </c>
      <c r="G2387" s="2" t="s">
        <v>17</v>
      </c>
      <c r="H2387" s="2" t="s">
        <v>23</v>
      </c>
      <c r="I2387" s="6">
        <v>0.02</v>
      </c>
      <c r="J2387" s="2" t="str">
        <f t="shared" si="37"/>
        <v>2022-08</v>
      </c>
    </row>
    <row r="2388" spans="1:10" x14ac:dyDescent="0.2">
      <c r="A2388" s="2" t="s">
        <v>1014</v>
      </c>
      <c r="B2388" s="2" t="s">
        <v>661</v>
      </c>
      <c r="C2388" s="2" t="s">
        <v>61</v>
      </c>
      <c r="D2388" s="2">
        <v>47</v>
      </c>
      <c r="E2388" s="5">
        <v>44783</v>
      </c>
      <c r="F2388" s="2">
        <v>40</v>
      </c>
      <c r="G2388" s="2" t="s">
        <v>37</v>
      </c>
      <c r="H2388" s="2" t="s">
        <v>662</v>
      </c>
      <c r="I2388" s="6">
        <v>0.1</v>
      </c>
      <c r="J2388" s="2" t="str">
        <f t="shared" si="37"/>
        <v>2022-08</v>
      </c>
    </row>
    <row r="2389" spans="1:10" x14ac:dyDescent="0.2">
      <c r="A2389" s="2" t="s">
        <v>1192</v>
      </c>
      <c r="B2389" s="2" t="s">
        <v>54</v>
      </c>
      <c r="C2389" s="2" t="s">
        <v>26</v>
      </c>
      <c r="D2389" s="2">
        <v>30</v>
      </c>
      <c r="E2389" s="5">
        <v>44783</v>
      </c>
      <c r="F2389" s="2">
        <v>105</v>
      </c>
      <c r="G2389" s="2" t="s">
        <v>66</v>
      </c>
      <c r="H2389" s="2" t="s">
        <v>55</v>
      </c>
      <c r="I2389" s="6">
        <v>0.12</v>
      </c>
      <c r="J2389" s="2" t="str">
        <f t="shared" si="37"/>
        <v>2022-08</v>
      </c>
    </row>
    <row r="2390" spans="1:10" x14ac:dyDescent="0.2">
      <c r="A2390" s="2" t="s">
        <v>1850</v>
      </c>
      <c r="B2390" s="2" t="s">
        <v>86</v>
      </c>
      <c r="C2390" s="2" t="s">
        <v>148</v>
      </c>
      <c r="D2390" s="2" t="s">
        <v>2954</v>
      </c>
      <c r="E2390" s="5">
        <v>44783</v>
      </c>
      <c r="F2390" s="2">
        <v>160</v>
      </c>
      <c r="G2390" s="2" t="s">
        <v>37</v>
      </c>
      <c r="H2390" s="2" t="s">
        <v>23</v>
      </c>
      <c r="I2390" s="6">
        <v>0.2</v>
      </c>
      <c r="J2390" s="2" t="str">
        <f t="shared" si="37"/>
        <v>2022-08</v>
      </c>
    </row>
    <row r="2391" spans="1:10" x14ac:dyDescent="0.2">
      <c r="A2391" s="2" t="s">
        <v>2130</v>
      </c>
      <c r="B2391" s="2" t="s">
        <v>54</v>
      </c>
      <c r="C2391" s="2" t="s">
        <v>26</v>
      </c>
      <c r="D2391" s="2" t="s">
        <v>2954</v>
      </c>
      <c r="E2391" s="5">
        <v>44783</v>
      </c>
      <c r="F2391" s="2">
        <v>238</v>
      </c>
      <c r="G2391" s="2" t="s">
        <v>66</v>
      </c>
      <c r="H2391" s="2" t="s">
        <v>55</v>
      </c>
      <c r="I2391" s="6">
        <v>1</v>
      </c>
      <c r="J2391" s="2" t="str">
        <f t="shared" si="37"/>
        <v>2022-08</v>
      </c>
    </row>
    <row r="2392" spans="1:10" x14ac:dyDescent="0.2">
      <c r="A2392" s="2" t="s">
        <v>2131</v>
      </c>
      <c r="B2392" s="2" t="s">
        <v>89</v>
      </c>
      <c r="C2392" s="2" t="s">
        <v>32</v>
      </c>
      <c r="D2392" s="2" t="s">
        <v>2954</v>
      </c>
      <c r="E2392" s="5">
        <v>44783</v>
      </c>
      <c r="F2392" s="2">
        <v>301</v>
      </c>
      <c r="G2392" s="2" t="s">
        <v>75</v>
      </c>
      <c r="H2392" s="2" t="s">
        <v>23</v>
      </c>
      <c r="I2392" s="6">
        <v>0.2</v>
      </c>
      <c r="J2392" s="2" t="str">
        <f t="shared" si="37"/>
        <v>2022-08</v>
      </c>
    </row>
    <row r="2393" spans="1:10" x14ac:dyDescent="0.2">
      <c r="A2393" s="2" t="s">
        <v>2132</v>
      </c>
      <c r="B2393" s="2" t="s">
        <v>314</v>
      </c>
      <c r="C2393" s="2" t="s">
        <v>32</v>
      </c>
      <c r="D2393" s="2">
        <v>800</v>
      </c>
      <c r="E2393" s="5">
        <v>44782</v>
      </c>
      <c r="F2393" s="2">
        <v>75</v>
      </c>
      <c r="G2393" s="2" t="s">
        <v>17</v>
      </c>
      <c r="H2393" s="2" t="s">
        <v>23</v>
      </c>
      <c r="I2393" s="6">
        <v>0.2</v>
      </c>
      <c r="J2393" s="2" t="str">
        <f t="shared" si="37"/>
        <v>2022-08</v>
      </c>
    </row>
    <row r="2394" spans="1:10" x14ac:dyDescent="0.2">
      <c r="A2394" s="2" t="s">
        <v>1555</v>
      </c>
      <c r="B2394" s="2" t="s">
        <v>183</v>
      </c>
      <c r="C2394" s="2" t="s">
        <v>26</v>
      </c>
      <c r="D2394" s="2">
        <v>400</v>
      </c>
      <c r="E2394" s="5">
        <v>44782</v>
      </c>
      <c r="F2394" s="2">
        <v>300</v>
      </c>
      <c r="G2394" s="2" t="s">
        <v>66</v>
      </c>
      <c r="H2394" s="2" t="s">
        <v>106</v>
      </c>
      <c r="I2394" s="6">
        <v>0.3</v>
      </c>
      <c r="J2394" s="2" t="str">
        <f t="shared" si="37"/>
        <v>2022-08</v>
      </c>
    </row>
    <row r="2395" spans="1:10" x14ac:dyDescent="0.2">
      <c r="A2395" s="2" t="s">
        <v>2133</v>
      </c>
      <c r="B2395" s="2" t="s">
        <v>34</v>
      </c>
      <c r="C2395" s="2" t="s">
        <v>48</v>
      </c>
      <c r="D2395" s="2">
        <v>270</v>
      </c>
      <c r="E2395" s="5">
        <v>44782</v>
      </c>
      <c r="F2395" s="2">
        <v>1100</v>
      </c>
      <c r="G2395" s="2" t="s">
        <v>17</v>
      </c>
      <c r="H2395" s="2" t="s">
        <v>23</v>
      </c>
      <c r="I2395" s="6">
        <v>0.04</v>
      </c>
      <c r="J2395" s="2" t="str">
        <f t="shared" si="37"/>
        <v>2022-08</v>
      </c>
    </row>
    <row r="2396" spans="1:10" x14ac:dyDescent="0.2">
      <c r="A2396" s="2" t="s">
        <v>2134</v>
      </c>
      <c r="B2396" s="2" t="s">
        <v>89</v>
      </c>
      <c r="C2396" s="2" t="s">
        <v>32</v>
      </c>
      <c r="D2396" s="2">
        <v>130</v>
      </c>
      <c r="E2396" s="5">
        <v>44782</v>
      </c>
      <c r="F2396" s="2">
        <v>533</v>
      </c>
      <c r="G2396" s="2" t="s">
        <v>17</v>
      </c>
      <c r="H2396" s="2" t="s">
        <v>23</v>
      </c>
      <c r="I2396" s="6">
        <v>0.25</v>
      </c>
      <c r="J2396" s="2" t="str">
        <f t="shared" si="37"/>
        <v>2022-08</v>
      </c>
    </row>
    <row r="2397" spans="1:10" x14ac:dyDescent="0.2">
      <c r="A2397" s="2" t="s">
        <v>1366</v>
      </c>
      <c r="B2397" s="2" t="s">
        <v>15</v>
      </c>
      <c r="C2397" s="2" t="s">
        <v>26</v>
      </c>
      <c r="D2397" s="2">
        <v>100</v>
      </c>
      <c r="E2397" s="5">
        <v>44782</v>
      </c>
      <c r="F2397" s="2">
        <v>58</v>
      </c>
      <c r="G2397" s="2" t="s">
        <v>17</v>
      </c>
      <c r="H2397" s="2" t="s">
        <v>18</v>
      </c>
      <c r="I2397" s="6" t="s">
        <v>2954</v>
      </c>
      <c r="J2397" s="2" t="str">
        <f t="shared" si="37"/>
        <v>2022-08</v>
      </c>
    </row>
    <row r="2398" spans="1:10" x14ac:dyDescent="0.2">
      <c r="A2398" s="2" t="s">
        <v>2135</v>
      </c>
      <c r="B2398" s="2" t="s">
        <v>1472</v>
      </c>
      <c r="C2398" s="2" t="s">
        <v>142</v>
      </c>
      <c r="D2398" s="2">
        <v>60</v>
      </c>
      <c r="E2398" s="5">
        <v>44782</v>
      </c>
      <c r="F2398" s="2">
        <v>338</v>
      </c>
      <c r="G2398" s="2" t="s">
        <v>128</v>
      </c>
      <c r="H2398" s="2" t="s">
        <v>662</v>
      </c>
      <c r="I2398" s="6">
        <v>0.03</v>
      </c>
      <c r="J2398" s="2" t="str">
        <f t="shared" si="37"/>
        <v>2022-08</v>
      </c>
    </row>
    <row r="2399" spans="1:10" x14ac:dyDescent="0.2">
      <c r="A2399" s="2" t="s">
        <v>251</v>
      </c>
      <c r="B2399" s="2" t="s">
        <v>25</v>
      </c>
      <c r="C2399" s="2" t="s">
        <v>16</v>
      </c>
      <c r="D2399" s="2">
        <v>60</v>
      </c>
      <c r="E2399" s="5">
        <v>44782</v>
      </c>
      <c r="F2399" s="2">
        <v>504</v>
      </c>
      <c r="G2399" s="2" t="s">
        <v>75</v>
      </c>
      <c r="H2399" s="2" t="s">
        <v>23</v>
      </c>
      <c r="I2399" s="6" t="s">
        <v>2954</v>
      </c>
      <c r="J2399" s="2" t="str">
        <f t="shared" si="37"/>
        <v>2022-08</v>
      </c>
    </row>
    <row r="2400" spans="1:10" x14ac:dyDescent="0.2">
      <c r="A2400" s="2" t="s">
        <v>1028</v>
      </c>
      <c r="B2400" s="2" t="s">
        <v>831</v>
      </c>
      <c r="C2400" s="2" t="s">
        <v>35</v>
      </c>
      <c r="D2400" s="2">
        <v>50</v>
      </c>
      <c r="E2400" s="5">
        <v>44782</v>
      </c>
      <c r="F2400" s="2">
        <v>165</v>
      </c>
      <c r="G2400" s="2" t="s">
        <v>12</v>
      </c>
      <c r="H2400" s="2" t="s">
        <v>274</v>
      </c>
      <c r="I2400" s="6">
        <v>0.17</v>
      </c>
      <c r="J2400" s="2" t="str">
        <f t="shared" si="37"/>
        <v>2022-08</v>
      </c>
    </row>
    <row r="2401" spans="1:10" x14ac:dyDescent="0.2">
      <c r="A2401" s="2" t="s">
        <v>2136</v>
      </c>
      <c r="B2401" s="2" t="s">
        <v>34</v>
      </c>
      <c r="C2401" s="2" t="s">
        <v>142</v>
      </c>
      <c r="D2401" s="2">
        <v>48</v>
      </c>
      <c r="E2401" s="5">
        <v>44782</v>
      </c>
      <c r="F2401" s="2">
        <v>114</v>
      </c>
      <c r="G2401" s="2" t="s">
        <v>66</v>
      </c>
      <c r="H2401" s="2" t="s">
        <v>23</v>
      </c>
      <c r="I2401" s="6">
        <v>0.3</v>
      </c>
      <c r="J2401" s="2" t="str">
        <f t="shared" si="37"/>
        <v>2022-08</v>
      </c>
    </row>
    <row r="2402" spans="1:10" x14ac:dyDescent="0.2">
      <c r="A2402" s="2" t="s">
        <v>743</v>
      </c>
      <c r="B2402" s="2" t="s">
        <v>183</v>
      </c>
      <c r="C2402" s="2" t="s">
        <v>32</v>
      </c>
      <c r="D2402" s="2">
        <v>40</v>
      </c>
      <c r="E2402" s="5">
        <v>44782</v>
      </c>
      <c r="F2402" s="2">
        <v>237</v>
      </c>
      <c r="G2402" s="2" t="s">
        <v>17</v>
      </c>
      <c r="H2402" s="2" t="s">
        <v>23</v>
      </c>
      <c r="I2402" s="6" t="s">
        <v>2954</v>
      </c>
      <c r="J2402" s="2" t="str">
        <f t="shared" si="37"/>
        <v>2022-08</v>
      </c>
    </row>
    <row r="2403" spans="1:10" x14ac:dyDescent="0.2">
      <c r="A2403" s="2" t="s">
        <v>2137</v>
      </c>
      <c r="B2403" s="2" t="s">
        <v>183</v>
      </c>
      <c r="C2403" s="2" t="s">
        <v>50</v>
      </c>
      <c r="D2403" s="2">
        <v>12</v>
      </c>
      <c r="E2403" s="5">
        <v>44782</v>
      </c>
      <c r="F2403" s="2">
        <v>102</v>
      </c>
      <c r="G2403" s="2" t="s">
        <v>37</v>
      </c>
      <c r="H2403" s="2" t="s">
        <v>106</v>
      </c>
      <c r="I2403" s="6" t="s">
        <v>2954</v>
      </c>
      <c r="J2403" s="2" t="str">
        <f t="shared" si="37"/>
        <v>2022-08</v>
      </c>
    </row>
    <row r="2404" spans="1:10" x14ac:dyDescent="0.2">
      <c r="A2404" s="2" t="s">
        <v>2138</v>
      </c>
      <c r="B2404" s="2" t="s">
        <v>34</v>
      </c>
      <c r="C2404" s="2" t="s">
        <v>32</v>
      </c>
      <c r="D2404" s="2" t="s">
        <v>2954</v>
      </c>
      <c r="E2404" s="5">
        <v>44782</v>
      </c>
      <c r="F2404" s="2">
        <v>272</v>
      </c>
      <c r="G2404" s="2" t="s">
        <v>17</v>
      </c>
      <c r="H2404" s="2" t="s">
        <v>23</v>
      </c>
      <c r="I2404" s="6">
        <v>0.12</v>
      </c>
      <c r="J2404" s="2" t="str">
        <f t="shared" si="37"/>
        <v>2022-08</v>
      </c>
    </row>
    <row r="2405" spans="1:10" x14ac:dyDescent="0.2">
      <c r="A2405" s="2" t="s">
        <v>2139</v>
      </c>
      <c r="B2405" s="2" t="s">
        <v>25</v>
      </c>
      <c r="C2405" s="2" t="s">
        <v>16</v>
      </c>
      <c r="D2405" s="2" t="s">
        <v>2954</v>
      </c>
      <c r="E2405" s="5">
        <v>44782</v>
      </c>
      <c r="F2405" s="2">
        <v>814</v>
      </c>
      <c r="G2405" s="2" t="s">
        <v>12</v>
      </c>
      <c r="H2405" s="2" t="s">
        <v>23</v>
      </c>
      <c r="I2405" s="6">
        <v>0.15</v>
      </c>
      <c r="J2405" s="2" t="str">
        <f t="shared" si="37"/>
        <v>2022-08</v>
      </c>
    </row>
    <row r="2406" spans="1:10" x14ac:dyDescent="0.2">
      <c r="A2406" s="2" t="s">
        <v>2140</v>
      </c>
      <c r="B2406" s="2" t="s">
        <v>34</v>
      </c>
      <c r="C2406" s="2" t="s">
        <v>11</v>
      </c>
      <c r="D2406" s="2" t="s">
        <v>2954</v>
      </c>
      <c r="E2406" s="5">
        <v>44782</v>
      </c>
      <c r="F2406" s="2">
        <v>7</v>
      </c>
      <c r="G2406" s="2" t="s">
        <v>132</v>
      </c>
      <c r="H2406" s="2" t="s">
        <v>23</v>
      </c>
      <c r="I2406" s="6">
        <v>1</v>
      </c>
      <c r="J2406" s="2" t="str">
        <f t="shared" si="37"/>
        <v>2022-08</v>
      </c>
    </row>
    <row r="2407" spans="1:10" x14ac:dyDescent="0.2">
      <c r="A2407" s="2" t="s">
        <v>1665</v>
      </c>
      <c r="B2407" s="2" t="s">
        <v>25</v>
      </c>
      <c r="C2407" s="2" t="s">
        <v>235</v>
      </c>
      <c r="D2407" s="2" t="s">
        <v>2954</v>
      </c>
      <c r="E2407" s="5">
        <v>44782</v>
      </c>
      <c r="F2407" s="2">
        <v>166</v>
      </c>
      <c r="G2407" s="2" t="s">
        <v>17</v>
      </c>
      <c r="H2407" s="2" t="s">
        <v>23</v>
      </c>
      <c r="I2407" s="6">
        <v>0.1</v>
      </c>
      <c r="J2407" s="2" t="str">
        <f t="shared" si="37"/>
        <v>2022-08</v>
      </c>
    </row>
    <row r="2408" spans="1:10" x14ac:dyDescent="0.2">
      <c r="A2408" s="2" t="s">
        <v>672</v>
      </c>
      <c r="B2408" s="2" t="s">
        <v>34</v>
      </c>
      <c r="C2408" s="2" t="s">
        <v>52</v>
      </c>
      <c r="D2408" s="2" t="s">
        <v>2954</v>
      </c>
      <c r="E2408" s="5">
        <v>44782</v>
      </c>
      <c r="F2408" s="2">
        <v>504</v>
      </c>
      <c r="G2408" s="2" t="s">
        <v>17</v>
      </c>
      <c r="H2408" s="2" t="s">
        <v>23</v>
      </c>
      <c r="I2408" s="6" t="s">
        <v>2954</v>
      </c>
      <c r="J2408" s="2" t="str">
        <f t="shared" si="37"/>
        <v>2022-08</v>
      </c>
    </row>
    <row r="2409" spans="1:10" x14ac:dyDescent="0.2">
      <c r="A2409" s="2" t="s">
        <v>2141</v>
      </c>
      <c r="B2409" s="2" t="s">
        <v>47</v>
      </c>
      <c r="C2409" s="2" t="s">
        <v>11</v>
      </c>
      <c r="D2409" s="2" t="s">
        <v>2954</v>
      </c>
      <c r="E2409" s="5">
        <v>44782</v>
      </c>
      <c r="F2409" s="2">
        <v>478</v>
      </c>
      <c r="G2409" s="2" t="s">
        <v>17</v>
      </c>
      <c r="H2409" s="2" t="s">
        <v>23</v>
      </c>
      <c r="I2409" s="6" t="s">
        <v>2954</v>
      </c>
      <c r="J2409" s="2" t="str">
        <f t="shared" si="37"/>
        <v>2022-08</v>
      </c>
    </row>
    <row r="2410" spans="1:10" x14ac:dyDescent="0.2">
      <c r="A2410" s="2" t="s">
        <v>1466</v>
      </c>
      <c r="B2410" s="2" t="s">
        <v>314</v>
      </c>
      <c r="C2410" s="2" t="s">
        <v>142</v>
      </c>
      <c r="D2410" s="2">
        <v>500</v>
      </c>
      <c r="E2410" s="5">
        <v>44781</v>
      </c>
      <c r="F2410" s="2">
        <v>1400</v>
      </c>
      <c r="G2410" s="2" t="s">
        <v>17</v>
      </c>
      <c r="H2410" s="2" t="s">
        <v>23</v>
      </c>
      <c r="I2410" s="6">
        <v>0.15</v>
      </c>
      <c r="J2410" s="2" t="str">
        <f t="shared" si="37"/>
        <v>2022-08</v>
      </c>
    </row>
    <row r="2411" spans="1:10" x14ac:dyDescent="0.2">
      <c r="A2411" s="2" t="s">
        <v>1419</v>
      </c>
      <c r="B2411" s="2" t="s">
        <v>661</v>
      </c>
      <c r="C2411" s="2" t="s">
        <v>170</v>
      </c>
      <c r="D2411" s="2">
        <v>500</v>
      </c>
      <c r="E2411" s="5">
        <v>44781</v>
      </c>
      <c r="F2411" s="2">
        <v>507</v>
      </c>
      <c r="G2411" s="2" t="s">
        <v>62</v>
      </c>
      <c r="H2411" s="2" t="s">
        <v>662</v>
      </c>
      <c r="I2411" s="6">
        <v>0.15</v>
      </c>
      <c r="J2411" s="2" t="str">
        <f t="shared" si="37"/>
        <v>2022-08</v>
      </c>
    </row>
    <row r="2412" spans="1:10" x14ac:dyDescent="0.2">
      <c r="A2412" s="2" t="s">
        <v>388</v>
      </c>
      <c r="B2412" s="2" t="s">
        <v>25</v>
      </c>
      <c r="C2412" s="2" t="s">
        <v>52</v>
      </c>
      <c r="D2412" s="2">
        <v>337</v>
      </c>
      <c r="E2412" s="5">
        <v>44781</v>
      </c>
      <c r="F2412" s="2">
        <v>1300</v>
      </c>
      <c r="G2412" s="2" t="s">
        <v>17</v>
      </c>
      <c r="H2412" s="2" t="s">
        <v>23</v>
      </c>
      <c r="I2412" s="6" t="s">
        <v>2954</v>
      </c>
      <c r="J2412" s="2" t="str">
        <f t="shared" si="37"/>
        <v>2022-08</v>
      </c>
    </row>
    <row r="2413" spans="1:10" x14ac:dyDescent="0.2">
      <c r="A2413" s="2" t="s">
        <v>2142</v>
      </c>
      <c r="B2413" s="2" t="s">
        <v>25</v>
      </c>
      <c r="C2413" s="2" t="s">
        <v>35</v>
      </c>
      <c r="D2413" s="2">
        <v>63</v>
      </c>
      <c r="E2413" s="5">
        <v>44781</v>
      </c>
      <c r="F2413" s="2">
        <v>535</v>
      </c>
      <c r="G2413" s="2" t="s">
        <v>17</v>
      </c>
      <c r="H2413" s="2" t="s">
        <v>23</v>
      </c>
      <c r="I2413" s="6" t="s">
        <v>2954</v>
      </c>
      <c r="J2413" s="2" t="str">
        <f t="shared" si="37"/>
        <v>2022-08</v>
      </c>
    </row>
    <row r="2414" spans="1:10" x14ac:dyDescent="0.2">
      <c r="A2414" s="2" t="s">
        <v>2143</v>
      </c>
      <c r="B2414" s="2" t="s">
        <v>34</v>
      </c>
      <c r="C2414" s="2" t="s">
        <v>243</v>
      </c>
      <c r="D2414" s="2">
        <v>36</v>
      </c>
      <c r="E2414" s="5">
        <v>44781</v>
      </c>
      <c r="F2414" s="2">
        <v>188</v>
      </c>
      <c r="G2414" s="2" t="s">
        <v>75</v>
      </c>
      <c r="H2414" s="2" t="s">
        <v>23</v>
      </c>
      <c r="I2414" s="6" t="s">
        <v>2954</v>
      </c>
      <c r="J2414" s="2" t="str">
        <f t="shared" si="37"/>
        <v>2022-08</v>
      </c>
    </row>
    <row r="2415" spans="1:10" x14ac:dyDescent="0.2">
      <c r="A2415" s="2" t="s">
        <v>2144</v>
      </c>
      <c r="B2415" s="2" t="s">
        <v>15</v>
      </c>
      <c r="C2415" s="2" t="s">
        <v>26</v>
      </c>
      <c r="D2415" s="2">
        <v>20</v>
      </c>
      <c r="E2415" s="5">
        <v>44781</v>
      </c>
      <c r="F2415" s="2">
        <v>76</v>
      </c>
      <c r="G2415" s="2" t="s">
        <v>17</v>
      </c>
      <c r="H2415" s="2" t="s">
        <v>18</v>
      </c>
      <c r="I2415" s="6">
        <v>0.05</v>
      </c>
      <c r="J2415" s="2" t="str">
        <f t="shared" si="37"/>
        <v>2022-08</v>
      </c>
    </row>
    <row r="2416" spans="1:10" x14ac:dyDescent="0.2">
      <c r="A2416" s="2" t="s">
        <v>2145</v>
      </c>
      <c r="B2416" s="2" t="s">
        <v>25</v>
      </c>
      <c r="C2416" s="2" t="s">
        <v>11</v>
      </c>
      <c r="D2416" s="2" t="s">
        <v>2954</v>
      </c>
      <c r="E2416" s="5">
        <v>44781</v>
      </c>
      <c r="F2416" s="2">
        <v>120</v>
      </c>
      <c r="G2416" s="2" t="s">
        <v>75</v>
      </c>
      <c r="H2416" s="2" t="s">
        <v>23</v>
      </c>
      <c r="I2416" s="6">
        <v>0.15</v>
      </c>
      <c r="J2416" s="2" t="str">
        <f t="shared" si="37"/>
        <v>2022-08</v>
      </c>
    </row>
    <row r="2417" spans="1:10" x14ac:dyDescent="0.2">
      <c r="A2417" s="2" t="s">
        <v>2103</v>
      </c>
      <c r="B2417" s="2" t="s">
        <v>89</v>
      </c>
      <c r="C2417" s="2" t="s">
        <v>243</v>
      </c>
      <c r="D2417" s="2" t="s">
        <v>2954</v>
      </c>
      <c r="E2417" s="5">
        <v>44781</v>
      </c>
      <c r="F2417" s="2">
        <v>1000</v>
      </c>
      <c r="G2417" s="2" t="s">
        <v>58</v>
      </c>
      <c r="H2417" s="2" t="s">
        <v>23</v>
      </c>
      <c r="I2417" s="6" t="s">
        <v>2954</v>
      </c>
      <c r="J2417" s="2" t="str">
        <f t="shared" si="37"/>
        <v>2022-08</v>
      </c>
    </row>
    <row r="2418" spans="1:10" x14ac:dyDescent="0.2">
      <c r="A2418" s="2" t="s">
        <v>365</v>
      </c>
      <c r="B2418" s="2" t="s">
        <v>89</v>
      </c>
      <c r="C2418" s="2" t="s">
        <v>35</v>
      </c>
      <c r="D2418" s="2">
        <v>140</v>
      </c>
      <c r="E2418" s="5">
        <v>44778</v>
      </c>
      <c r="F2418" s="2">
        <v>30</v>
      </c>
      <c r="G2418" s="2" t="s">
        <v>45</v>
      </c>
      <c r="H2418" s="2" t="s">
        <v>23</v>
      </c>
      <c r="I2418" s="6">
        <v>0.1</v>
      </c>
      <c r="J2418" s="2" t="str">
        <f t="shared" si="37"/>
        <v>2022-08</v>
      </c>
    </row>
    <row r="2419" spans="1:10" x14ac:dyDescent="0.2">
      <c r="A2419" s="2" t="s">
        <v>2146</v>
      </c>
      <c r="B2419" s="2" t="s">
        <v>335</v>
      </c>
      <c r="C2419" s="2" t="s">
        <v>142</v>
      </c>
      <c r="D2419" s="2">
        <v>50</v>
      </c>
      <c r="E2419" s="5">
        <v>44778</v>
      </c>
      <c r="F2419" s="2">
        <v>28</v>
      </c>
      <c r="G2419" s="2" t="s">
        <v>37</v>
      </c>
      <c r="H2419" s="2" t="s">
        <v>106</v>
      </c>
      <c r="I2419" s="6">
        <v>0.1</v>
      </c>
      <c r="J2419" s="2" t="str">
        <f t="shared" si="37"/>
        <v>2022-08</v>
      </c>
    </row>
    <row r="2420" spans="1:10" x14ac:dyDescent="0.2">
      <c r="A2420" s="2" t="s">
        <v>2147</v>
      </c>
      <c r="B2420" s="2" t="s">
        <v>335</v>
      </c>
      <c r="C2420" s="2" t="s">
        <v>26</v>
      </c>
      <c r="D2420" s="2">
        <v>31</v>
      </c>
      <c r="E2420" s="5">
        <v>44778</v>
      </c>
      <c r="F2420" s="2">
        <v>42</v>
      </c>
      <c r="G2420" s="2" t="s">
        <v>41</v>
      </c>
      <c r="H2420" s="2" t="s">
        <v>106</v>
      </c>
      <c r="I2420" s="6">
        <v>0.17</v>
      </c>
      <c r="J2420" s="2" t="str">
        <f t="shared" si="37"/>
        <v>2022-08</v>
      </c>
    </row>
    <row r="2421" spans="1:10" x14ac:dyDescent="0.2">
      <c r="A2421" s="2" t="s">
        <v>622</v>
      </c>
      <c r="B2421" s="2" t="s">
        <v>406</v>
      </c>
      <c r="C2421" s="2" t="s">
        <v>170</v>
      </c>
      <c r="D2421" s="2" t="s">
        <v>2954</v>
      </c>
      <c r="E2421" s="5">
        <v>44778</v>
      </c>
      <c r="F2421" s="2">
        <v>76</v>
      </c>
      <c r="G2421" s="2" t="s">
        <v>37</v>
      </c>
      <c r="H2421" s="2" t="s">
        <v>23</v>
      </c>
      <c r="I2421" s="6" t="s">
        <v>2954</v>
      </c>
      <c r="J2421" s="2" t="str">
        <f t="shared" si="37"/>
        <v>2022-08</v>
      </c>
    </row>
    <row r="2422" spans="1:10" x14ac:dyDescent="0.2">
      <c r="A2422" s="2" t="s">
        <v>698</v>
      </c>
      <c r="B2422" s="2" t="s">
        <v>34</v>
      </c>
      <c r="C2422" s="2" t="s">
        <v>113</v>
      </c>
      <c r="D2422" s="2" t="s">
        <v>2954</v>
      </c>
      <c r="E2422" s="5">
        <v>44778</v>
      </c>
      <c r="F2422" s="2">
        <v>497</v>
      </c>
      <c r="G2422" s="2" t="s">
        <v>75</v>
      </c>
      <c r="H2422" s="2" t="s">
        <v>23</v>
      </c>
      <c r="I2422" s="6" t="s">
        <v>2954</v>
      </c>
      <c r="J2422" s="2" t="str">
        <f t="shared" si="37"/>
        <v>2022-08</v>
      </c>
    </row>
    <row r="2423" spans="1:10" x14ac:dyDescent="0.2">
      <c r="A2423" s="2" t="s">
        <v>1740</v>
      </c>
      <c r="B2423" s="2" t="s">
        <v>34</v>
      </c>
      <c r="C2423" s="2" t="s">
        <v>16</v>
      </c>
      <c r="D2423" s="2">
        <v>250</v>
      </c>
      <c r="E2423" s="5">
        <v>44777</v>
      </c>
      <c r="F2423" s="2">
        <v>679</v>
      </c>
      <c r="G2423" s="2" t="s">
        <v>17</v>
      </c>
      <c r="H2423" s="2" t="s">
        <v>23</v>
      </c>
      <c r="I2423" s="6">
        <v>0.13</v>
      </c>
      <c r="J2423" s="2" t="str">
        <f t="shared" si="37"/>
        <v>2022-08</v>
      </c>
    </row>
    <row r="2424" spans="1:10" x14ac:dyDescent="0.2">
      <c r="A2424" s="2" t="s">
        <v>2148</v>
      </c>
      <c r="B2424" s="2" t="s">
        <v>183</v>
      </c>
      <c r="C2424" s="2" t="s">
        <v>142</v>
      </c>
      <c r="D2424" s="2">
        <v>216</v>
      </c>
      <c r="E2424" s="5">
        <v>44777</v>
      </c>
      <c r="F2424" s="2" t="s">
        <v>2954</v>
      </c>
      <c r="G2424" s="2" t="s">
        <v>37</v>
      </c>
      <c r="H2424" s="2" t="s">
        <v>106</v>
      </c>
      <c r="I2424" s="6">
        <v>0.17</v>
      </c>
      <c r="J2424" s="2" t="str">
        <f t="shared" si="37"/>
        <v>2022-08</v>
      </c>
    </row>
    <row r="2425" spans="1:10" x14ac:dyDescent="0.2">
      <c r="A2425" s="2" t="s">
        <v>2149</v>
      </c>
      <c r="B2425" s="2" t="s">
        <v>47</v>
      </c>
      <c r="C2425" s="2" t="s">
        <v>35</v>
      </c>
      <c r="D2425" s="2">
        <v>200</v>
      </c>
      <c r="E2425" s="5">
        <v>44777</v>
      </c>
      <c r="F2425" s="2">
        <v>652</v>
      </c>
      <c r="G2425" s="2" t="s">
        <v>12</v>
      </c>
      <c r="H2425" s="2" t="s">
        <v>23</v>
      </c>
      <c r="I2425" s="6">
        <v>0.17</v>
      </c>
      <c r="J2425" s="2" t="str">
        <f t="shared" si="37"/>
        <v>2022-08</v>
      </c>
    </row>
    <row r="2426" spans="1:10" x14ac:dyDescent="0.2">
      <c r="A2426" s="2" t="s">
        <v>2150</v>
      </c>
      <c r="B2426" s="2" t="s">
        <v>34</v>
      </c>
      <c r="C2426" s="2" t="s">
        <v>32</v>
      </c>
      <c r="D2426" s="2">
        <v>100</v>
      </c>
      <c r="E2426" s="5">
        <v>44777</v>
      </c>
      <c r="F2426" s="2">
        <v>242</v>
      </c>
      <c r="G2426" s="2" t="s">
        <v>17</v>
      </c>
      <c r="H2426" s="2" t="s">
        <v>23</v>
      </c>
      <c r="I2426" s="6">
        <v>0.08</v>
      </c>
      <c r="J2426" s="2" t="str">
        <f t="shared" si="37"/>
        <v>2022-08</v>
      </c>
    </row>
    <row r="2427" spans="1:10" x14ac:dyDescent="0.2">
      <c r="A2427" s="2" t="s">
        <v>1629</v>
      </c>
      <c r="B2427" s="2" t="s">
        <v>538</v>
      </c>
      <c r="C2427" s="2" t="s">
        <v>61</v>
      </c>
      <c r="D2427" s="2">
        <v>80</v>
      </c>
      <c r="E2427" s="5">
        <v>44777</v>
      </c>
      <c r="F2427" s="2">
        <v>166</v>
      </c>
      <c r="G2427" s="2" t="s">
        <v>128</v>
      </c>
      <c r="H2427" s="2" t="s">
        <v>98</v>
      </c>
      <c r="I2427" s="6">
        <v>0.04</v>
      </c>
      <c r="J2427" s="2" t="str">
        <f t="shared" si="37"/>
        <v>2022-08</v>
      </c>
    </row>
    <row r="2428" spans="1:10" x14ac:dyDescent="0.2">
      <c r="A2428" s="2" t="s">
        <v>1048</v>
      </c>
      <c r="B2428" s="2" t="s">
        <v>34</v>
      </c>
      <c r="C2428" s="2" t="s">
        <v>113</v>
      </c>
      <c r="D2428" s="2">
        <v>80</v>
      </c>
      <c r="E2428" s="5">
        <v>44777</v>
      </c>
      <c r="F2428" s="2">
        <v>85</v>
      </c>
      <c r="G2428" s="2" t="s">
        <v>45</v>
      </c>
      <c r="H2428" s="2" t="s">
        <v>23</v>
      </c>
      <c r="I2428" s="6" t="s">
        <v>2954</v>
      </c>
      <c r="J2428" s="2" t="str">
        <f t="shared" si="37"/>
        <v>2022-08</v>
      </c>
    </row>
    <row r="2429" spans="1:10" x14ac:dyDescent="0.2">
      <c r="A2429" s="2" t="s">
        <v>2151</v>
      </c>
      <c r="B2429" s="2" t="s">
        <v>34</v>
      </c>
      <c r="C2429" s="2" t="s">
        <v>61</v>
      </c>
      <c r="D2429" s="2">
        <v>73</v>
      </c>
      <c r="E2429" s="5">
        <v>44777</v>
      </c>
      <c r="F2429" s="2">
        <v>20</v>
      </c>
      <c r="G2429" s="2" t="s">
        <v>41</v>
      </c>
      <c r="H2429" s="2" t="s">
        <v>23</v>
      </c>
      <c r="I2429" s="6">
        <v>0.33</v>
      </c>
      <c r="J2429" s="2" t="str">
        <f t="shared" si="37"/>
        <v>2022-08</v>
      </c>
    </row>
    <row r="2430" spans="1:10" x14ac:dyDescent="0.2">
      <c r="A2430" s="2" t="s">
        <v>1147</v>
      </c>
      <c r="B2430" s="2" t="s">
        <v>188</v>
      </c>
      <c r="C2430" s="2" t="s">
        <v>363</v>
      </c>
      <c r="D2430" s="2">
        <v>70</v>
      </c>
      <c r="E2430" s="5">
        <v>44777</v>
      </c>
      <c r="F2430" s="2">
        <v>163</v>
      </c>
      <c r="G2430" s="2" t="s">
        <v>37</v>
      </c>
      <c r="H2430" s="2" t="s">
        <v>106</v>
      </c>
      <c r="I2430" s="6">
        <v>0.12</v>
      </c>
      <c r="J2430" s="2" t="str">
        <f t="shared" si="37"/>
        <v>2022-08</v>
      </c>
    </row>
    <row r="2431" spans="1:10" x14ac:dyDescent="0.2">
      <c r="A2431" s="2" t="s">
        <v>1577</v>
      </c>
      <c r="B2431" s="2" t="s">
        <v>34</v>
      </c>
      <c r="C2431" s="2" t="s">
        <v>113</v>
      </c>
      <c r="D2431" s="2">
        <v>50</v>
      </c>
      <c r="E2431" s="5">
        <v>44777</v>
      </c>
      <c r="F2431" s="2">
        <v>44</v>
      </c>
      <c r="G2431" s="2" t="s">
        <v>17</v>
      </c>
      <c r="H2431" s="2" t="s">
        <v>23</v>
      </c>
      <c r="I2431" s="6" t="s">
        <v>2954</v>
      </c>
      <c r="J2431" s="2" t="str">
        <f t="shared" si="37"/>
        <v>2022-08</v>
      </c>
    </row>
    <row r="2432" spans="1:10" x14ac:dyDescent="0.2">
      <c r="A2432" s="2" t="s">
        <v>1414</v>
      </c>
      <c r="B2432" s="2" t="s">
        <v>25</v>
      </c>
      <c r="C2432" s="2" t="s">
        <v>32</v>
      </c>
      <c r="D2432" s="2" t="s">
        <v>2954</v>
      </c>
      <c r="E2432" s="5">
        <v>44777</v>
      </c>
      <c r="F2432" s="2">
        <v>100</v>
      </c>
      <c r="G2432" s="2" t="s">
        <v>66</v>
      </c>
      <c r="H2432" s="2" t="s">
        <v>23</v>
      </c>
      <c r="I2432" s="6">
        <v>0.16</v>
      </c>
      <c r="J2432" s="2" t="str">
        <f t="shared" si="37"/>
        <v>2022-08</v>
      </c>
    </row>
    <row r="2433" spans="1:10" x14ac:dyDescent="0.2">
      <c r="A2433" s="2" t="s">
        <v>2152</v>
      </c>
      <c r="B2433" s="2" t="s">
        <v>661</v>
      </c>
      <c r="C2433" s="2" t="s">
        <v>16</v>
      </c>
      <c r="D2433" s="2" t="s">
        <v>2954</v>
      </c>
      <c r="E2433" s="5">
        <v>44777</v>
      </c>
      <c r="F2433" s="2">
        <v>290</v>
      </c>
      <c r="G2433" s="2" t="s">
        <v>37</v>
      </c>
      <c r="H2433" s="2" t="s">
        <v>662</v>
      </c>
      <c r="I2433" s="6">
        <v>0.2</v>
      </c>
      <c r="J2433" s="2" t="str">
        <f t="shared" si="37"/>
        <v>2022-08</v>
      </c>
    </row>
    <row r="2434" spans="1:10" x14ac:dyDescent="0.2">
      <c r="A2434" s="2" t="s">
        <v>2153</v>
      </c>
      <c r="B2434" s="2" t="s">
        <v>34</v>
      </c>
      <c r="C2434" s="2" t="s">
        <v>35</v>
      </c>
      <c r="D2434" s="2" t="s">
        <v>2954</v>
      </c>
      <c r="E2434" s="5">
        <v>44777</v>
      </c>
      <c r="F2434" s="2">
        <v>59</v>
      </c>
      <c r="G2434" s="2" t="s">
        <v>45</v>
      </c>
      <c r="H2434" s="2" t="s">
        <v>23</v>
      </c>
      <c r="I2434" s="6" t="s">
        <v>2954</v>
      </c>
      <c r="J2434" s="2" t="str">
        <f t="shared" si="37"/>
        <v>2022-08</v>
      </c>
    </row>
    <row r="2435" spans="1:10" x14ac:dyDescent="0.2">
      <c r="A2435" s="2" t="s">
        <v>1741</v>
      </c>
      <c r="B2435" s="2" t="s">
        <v>47</v>
      </c>
      <c r="C2435" s="2" t="s">
        <v>29</v>
      </c>
      <c r="D2435" s="2" t="s">
        <v>2954</v>
      </c>
      <c r="E2435" s="5">
        <v>44777</v>
      </c>
      <c r="F2435" s="2" t="s">
        <v>2954</v>
      </c>
      <c r="G2435" s="2" t="s">
        <v>45</v>
      </c>
      <c r="H2435" s="2" t="s">
        <v>23</v>
      </c>
      <c r="I2435" s="6">
        <v>0.1</v>
      </c>
      <c r="J2435" s="2" t="str">
        <f t="shared" ref="J2435:J2498" si="38">TEXT(E2435,"YYYY-MM")</f>
        <v>2022-08</v>
      </c>
    </row>
    <row r="2436" spans="1:10" x14ac:dyDescent="0.2">
      <c r="A2436" s="2" t="s">
        <v>2154</v>
      </c>
      <c r="B2436" s="2" t="s">
        <v>398</v>
      </c>
      <c r="C2436" s="2" t="s">
        <v>61</v>
      </c>
      <c r="D2436" s="2" t="s">
        <v>2954</v>
      </c>
      <c r="E2436" s="5">
        <v>44777</v>
      </c>
      <c r="F2436" s="2">
        <v>20</v>
      </c>
      <c r="G2436" s="2" t="s">
        <v>37</v>
      </c>
      <c r="H2436" s="2" t="s">
        <v>399</v>
      </c>
      <c r="I2436" s="6">
        <v>0.3</v>
      </c>
      <c r="J2436" s="2" t="str">
        <f t="shared" si="38"/>
        <v>2022-08</v>
      </c>
    </row>
    <row r="2437" spans="1:10" x14ac:dyDescent="0.2">
      <c r="A2437" s="2" t="s">
        <v>2155</v>
      </c>
      <c r="B2437" s="2" t="s">
        <v>194</v>
      </c>
      <c r="C2437" s="2" t="s">
        <v>32</v>
      </c>
      <c r="D2437" s="2">
        <v>149</v>
      </c>
      <c r="E2437" s="5">
        <v>44776</v>
      </c>
      <c r="F2437" s="2">
        <v>244</v>
      </c>
      <c r="G2437" s="2" t="s">
        <v>66</v>
      </c>
      <c r="H2437" s="2" t="s">
        <v>23</v>
      </c>
      <c r="I2437" s="6" t="s">
        <v>2954</v>
      </c>
      <c r="J2437" s="2" t="str">
        <f t="shared" si="38"/>
        <v>2022-08</v>
      </c>
    </row>
    <row r="2438" spans="1:10" x14ac:dyDescent="0.2">
      <c r="A2438" s="2" t="s">
        <v>2156</v>
      </c>
      <c r="B2438" s="2" t="s">
        <v>183</v>
      </c>
      <c r="C2438" s="2" t="s">
        <v>26</v>
      </c>
      <c r="D2438" s="2">
        <v>47</v>
      </c>
      <c r="E2438" s="5">
        <v>44776</v>
      </c>
      <c r="F2438" s="2">
        <v>39</v>
      </c>
      <c r="G2438" s="2" t="s">
        <v>41</v>
      </c>
      <c r="H2438" s="2" t="s">
        <v>106</v>
      </c>
      <c r="I2438" s="6">
        <v>0.2</v>
      </c>
      <c r="J2438" s="2" t="str">
        <f t="shared" si="38"/>
        <v>2022-08</v>
      </c>
    </row>
    <row r="2439" spans="1:10" x14ac:dyDescent="0.2">
      <c r="A2439" s="2" t="s">
        <v>601</v>
      </c>
      <c r="B2439" s="2" t="s">
        <v>47</v>
      </c>
      <c r="C2439" s="2" t="s">
        <v>11</v>
      </c>
      <c r="D2439" s="2">
        <v>40</v>
      </c>
      <c r="E2439" s="5">
        <v>44776</v>
      </c>
      <c r="F2439" s="2">
        <v>122</v>
      </c>
      <c r="G2439" s="2" t="s">
        <v>17</v>
      </c>
      <c r="H2439" s="2" t="s">
        <v>23</v>
      </c>
      <c r="I2439" s="6">
        <v>0.04</v>
      </c>
      <c r="J2439" s="2" t="str">
        <f t="shared" si="38"/>
        <v>2022-08</v>
      </c>
    </row>
    <row r="2440" spans="1:10" x14ac:dyDescent="0.2">
      <c r="A2440" s="2" t="s">
        <v>2157</v>
      </c>
      <c r="B2440" s="2" t="s">
        <v>97</v>
      </c>
      <c r="C2440" s="2" t="s">
        <v>68</v>
      </c>
      <c r="D2440" s="2">
        <v>13</v>
      </c>
      <c r="E2440" s="5">
        <v>44776</v>
      </c>
      <c r="F2440" s="2">
        <v>39</v>
      </c>
      <c r="G2440" s="2" t="s">
        <v>37</v>
      </c>
      <c r="H2440" s="2" t="s">
        <v>23</v>
      </c>
      <c r="I2440" s="6" t="s">
        <v>2954</v>
      </c>
      <c r="J2440" s="2" t="str">
        <f t="shared" si="38"/>
        <v>2022-08</v>
      </c>
    </row>
    <row r="2441" spans="1:10" x14ac:dyDescent="0.2">
      <c r="A2441" s="2" t="s">
        <v>2158</v>
      </c>
      <c r="B2441" s="2" t="s">
        <v>255</v>
      </c>
      <c r="C2441" s="2" t="s">
        <v>52</v>
      </c>
      <c r="D2441" s="2" t="s">
        <v>2954</v>
      </c>
      <c r="E2441" s="5">
        <v>44776</v>
      </c>
      <c r="F2441" s="2">
        <v>497</v>
      </c>
      <c r="G2441" s="2" t="s">
        <v>128</v>
      </c>
      <c r="H2441" s="2" t="s">
        <v>98</v>
      </c>
      <c r="I2441" s="6" t="s">
        <v>2954</v>
      </c>
      <c r="J2441" s="2" t="str">
        <f t="shared" si="38"/>
        <v>2022-08</v>
      </c>
    </row>
    <row r="2442" spans="1:10" x14ac:dyDescent="0.2">
      <c r="A2442" s="2" t="s">
        <v>2159</v>
      </c>
      <c r="B2442" s="2" t="s">
        <v>43</v>
      </c>
      <c r="C2442" s="2" t="s">
        <v>48</v>
      </c>
      <c r="D2442" s="2" t="s">
        <v>2954</v>
      </c>
      <c r="E2442" s="5">
        <v>44776</v>
      </c>
      <c r="F2442" s="2">
        <v>189</v>
      </c>
      <c r="G2442" s="2" t="s">
        <v>45</v>
      </c>
      <c r="H2442" s="2" t="s">
        <v>23</v>
      </c>
      <c r="I2442" s="6">
        <v>0.15</v>
      </c>
      <c r="J2442" s="2" t="str">
        <f t="shared" si="38"/>
        <v>2022-08</v>
      </c>
    </row>
    <row r="2443" spans="1:10" x14ac:dyDescent="0.2">
      <c r="A2443" s="2" t="s">
        <v>1068</v>
      </c>
      <c r="B2443" s="2" t="s">
        <v>74</v>
      </c>
      <c r="C2443" s="2" t="s">
        <v>35</v>
      </c>
      <c r="D2443" s="2" t="s">
        <v>2954</v>
      </c>
      <c r="E2443" s="5">
        <v>44776</v>
      </c>
      <c r="F2443" s="2">
        <v>542</v>
      </c>
      <c r="G2443" s="2" t="s">
        <v>12</v>
      </c>
      <c r="H2443" s="2" t="s">
        <v>76</v>
      </c>
      <c r="I2443" s="6">
        <v>0.2</v>
      </c>
      <c r="J2443" s="2" t="str">
        <f t="shared" si="38"/>
        <v>2022-08</v>
      </c>
    </row>
    <row r="2444" spans="1:10" x14ac:dyDescent="0.2">
      <c r="A2444" s="2" t="s">
        <v>2160</v>
      </c>
      <c r="B2444" s="2" t="s">
        <v>873</v>
      </c>
      <c r="C2444" s="2" t="s">
        <v>26</v>
      </c>
      <c r="D2444" s="2" t="s">
        <v>2954</v>
      </c>
      <c r="E2444" s="5">
        <v>44776</v>
      </c>
      <c r="F2444" s="2">
        <v>9</v>
      </c>
      <c r="G2444" s="2" t="s">
        <v>199</v>
      </c>
      <c r="H2444" s="2" t="s">
        <v>873</v>
      </c>
      <c r="I2444" s="6">
        <v>0.15</v>
      </c>
      <c r="J2444" s="2" t="str">
        <f t="shared" si="38"/>
        <v>2022-08</v>
      </c>
    </row>
    <row r="2445" spans="1:10" x14ac:dyDescent="0.2">
      <c r="A2445" s="2" t="s">
        <v>708</v>
      </c>
      <c r="B2445" s="2" t="s">
        <v>34</v>
      </c>
      <c r="C2445" s="2" t="s">
        <v>16</v>
      </c>
      <c r="D2445" s="2">
        <v>713</v>
      </c>
      <c r="E2445" s="5">
        <v>44775</v>
      </c>
      <c r="F2445" s="2">
        <v>5600</v>
      </c>
      <c r="G2445" s="2" t="s">
        <v>17</v>
      </c>
      <c r="H2445" s="2" t="s">
        <v>23</v>
      </c>
      <c r="I2445" s="6">
        <v>0.23</v>
      </c>
      <c r="J2445" s="2" t="str">
        <f t="shared" si="38"/>
        <v>2022-08</v>
      </c>
    </row>
    <row r="2446" spans="1:10" x14ac:dyDescent="0.2">
      <c r="A2446" s="2" t="s">
        <v>924</v>
      </c>
      <c r="B2446" s="2" t="s">
        <v>25</v>
      </c>
      <c r="C2446" s="2" t="s">
        <v>195</v>
      </c>
      <c r="D2446" s="2">
        <v>115</v>
      </c>
      <c r="E2446" s="5">
        <v>44775</v>
      </c>
      <c r="F2446" s="2">
        <v>342</v>
      </c>
      <c r="G2446" s="2" t="s">
        <v>17</v>
      </c>
      <c r="H2446" s="2" t="s">
        <v>23</v>
      </c>
      <c r="I2446" s="6">
        <v>0.37</v>
      </c>
      <c r="J2446" s="2" t="str">
        <f t="shared" si="38"/>
        <v>2022-08</v>
      </c>
    </row>
    <row r="2447" spans="1:10" x14ac:dyDescent="0.2">
      <c r="A2447" s="2" t="s">
        <v>1731</v>
      </c>
      <c r="B2447" s="2" t="s">
        <v>100</v>
      </c>
      <c r="C2447" s="2" t="s">
        <v>61</v>
      </c>
      <c r="D2447" s="2">
        <v>100</v>
      </c>
      <c r="E2447" s="5">
        <v>44775</v>
      </c>
      <c r="F2447" s="2">
        <v>292</v>
      </c>
      <c r="G2447" s="2" t="s">
        <v>128</v>
      </c>
      <c r="H2447" s="2" t="s">
        <v>98</v>
      </c>
      <c r="I2447" s="6" t="s">
        <v>2954</v>
      </c>
      <c r="J2447" s="2" t="str">
        <f t="shared" si="38"/>
        <v>2022-08</v>
      </c>
    </row>
    <row r="2448" spans="1:10" x14ac:dyDescent="0.2">
      <c r="A2448" s="2" t="s">
        <v>2161</v>
      </c>
      <c r="B2448" s="2" t="s">
        <v>92</v>
      </c>
      <c r="C2448" s="2" t="s">
        <v>170</v>
      </c>
      <c r="D2448" s="2">
        <v>90</v>
      </c>
      <c r="E2448" s="5">
        <v>44775</v>
      </c>
      <c r="F2448" s="2">
        <v>107</v>
      </c>
      <c r="G2448" s="2" t="s">
        <v>12</v>
      </c>
      <c r="H2448" s="2" t="s">
        <v>23</v>
      </c>
      <c r="I2448" s="6" t="s">
        <v>2954</v>
      </c>
      <c r="J2448" s="2" t="str">
        <f t="shared" si="38"/>
        <v>2022-08</v>
      </c>
    </row>
    <row r="2449" spans="1:10" x14ac:dyDescent="0.2">
      <c r="A2449" s="2" t="s">
        <v>2162</v>
      </c>
      <c r="B2449" s="2" t="s">
        <v>34</v>
      </c>
      <c r="C2449" s="2" t="s">
        <v>78</v>
      </c>
      <c r="D2449" s="2">
        <v>80</v>
      </c>
      <c r="E2449" s="5">
        <v>44775</v>
      </c>
      <c r="F2449" s="2">
        <v>175</v>
      </c>
      <c r="G2449" s="2" t="s">
        <v>66</v>
      </c>
      <c r="H2449" s="2" t="s">
        <v>23</v>
      </c>
      <c r="I2449" s="6">
        <v>0.25</v>
      </c>
      <c r="J2449" s="2" t="str">
        <f t="shared" si="38"/>
        <v>2022-08</v>
      </c>
    </row>
    <row r="2450" spans="1:10" x14ac:dyDescent="0.2">
      <c r="A2450" s="2" t="s">
        <v>710</v>
      </c>
      <c r="B2450" s="2" t="s">
        <v>28</v>
      </c>
      <c r="C2450" s="2" t="s">
        <v>50</v>
      </c>
      <c r="D2450" s="2">
        <v>60</v>
      </c>
      <c r="E2450" s="5">
        <v>44775</v>
      </c>
      <c r="F2450" s="2">
        <v>489</v>
      </c>
      <c r="G2450" s="2" t="s">
        <v>58</v>
      </c>
      <c r="H2450" s="2" t="s">
        <v>23</v>
      </c>
      <c r="I2450" s="6">
        <v>0.05</v>
      </c>
      <c r="J2450" s="2" t="str">
        <f t="shared" si="38"/>
        <v>2022-08</v>
      </c>
    </row>
    <row r="2451" spans="1:10" x14ac:dyDescent="0.2">
      <c r="A2451" s="2" t="s">
        <v>824</v>
      </c>
      <c r="B2451" s="2" t="s">
        <v>779</v>
      </c>
      <c r="C2451" s="2" t="s">
        <v>170</v>
      </c>
      <c r="D2451" s="2">
        <v>54</v>
      </c>
      <c r="E2451" s="5">
        <v>44775</v>
      </c>
      <c r="F2451" s="2">
        <v>26</v>
      </c>
      <c r="G2451" s="2" t="s">
        <v>37</v>
      </c>
      <c r="H2451" s="2" t="s">
        <v>780</v>
      </c>
      <c r="I2451" s="6">
        <v>0.2</v>
      </c>
      <c r="J2451" s="2" t="str">
        <f t="shared" si="38"/>
        <v>2022-08</v>
      </c>
    </row>
    <row r="2452" spans="1:10" x14ac:dyDescent="0.2">
      <c r="A2452" s="2" t="s">
        <v>2163</v>
      </c>
      <c r="B2452" s="2" t="s">
        <v>89</v>
      </c>
      <c r="C2452" s="2" t="s">
        <v>68</v>
      </c>
      <c r="D2452" s="2">
        <v>40</v>
      </c>
      <c r="E2452" s="5">
        <v>44775</v>
      </c>
      <c r="F2452" s="2">
        <v>71</v>
      </c>
      <c r="G2452" s="2" t="s">
        <v>45</v>
      </c>
      <c r="H2452" s="2" t="s">
        <v>23</v>
      </c>
      <c r="I2452" s="6" t="s">
        <v>2954</v>
      </c>
      <c r="J2452" s="2" t="str">
        <f t="shared" si="38"/>
        <v>2022-08</v>
      </c>
    </row>
    <row r="2453" spans="1:10" x14ac:dyDescent="0.2">
      <c r="A2453" s="2" t="s">
        <v>824</v>
      </c>
      <c r="B2453" s="2" t="s">
        <v>779</v>
      </c>
      <c r="C2453" s="2" t="s">
        <v>170</v>
      </c>
      <c r="D2453" s="2">
        <v>30</v>
      </c>
      <c r="E2453" s="5">
        <v>44775</v>
      </c>
      <c r="F2453" s="2">
        <v>26</v>
      </c>
      <c r="G2453" s="2" t="s">
        <v>37</v>
      </c>
      <c r="H2453" s="2" t="s">
        <v>780</v>
      </c>
      <c r="I2453" s="6">
        <v>0.1</v>
      </c>
      <c r="J2453" s="2" t="str">
        <f t="shared" si="38"/>
        <v>2022-08</v>
      </c>
    </row>
    <row r="2454" spans="1:10" x14ac:dyDescent="0.2">
      <c r="A2454" s="2" t="s">
        <v>2164</v>
      </c>
      <c r="B2454" s="2" t="s">
        <v>284</v>
      </c>
      <c r="C2454" s="2" t="s">
        <v>78</v>
      </c>
      <c r="D2454" s="2">
        <v>23</v>
      </c>
      <c r="E2454" s="5">
        <v>44775</v>
      </c>
      <c r="F2454" s="2">
        <v>75</v>
      </c>
      <c r="G2454" s="2" t="s">
        <v>37</v>
      </c>
      <c r="H2454" s="2" t="s">
        <v>23</v>
      </c>
      <c r="I2454" s="6">
        <v>0.3</v>
      </c>
      <c r="J2454" s="2" t="str">
        <f t="shared" si="38"/>
        <v>2022-08</v>
      </c>
    </row>
    <row r="2455" spans="1:10" x14ac:dyDescent="0.2">
      <c r="A2455" s="2" t="s">
        <v>2165</v>
      </c>
      <c r="B2455" s="2" t="s">
        <v>25</v>
      </c>
      <c r="C2455" s="2" t="s">
        <v>142</v>
      </c>
      <c r="D2455" s="2">
        <v>19</v>
      </c>
      <c r="E2455" s="5">
        <v>44775</v>
      </c>
      <c r="F2455" s="2">
        <v>266</v>
      </c>
      <c r="G2455" s="2" t="s">
        <v>128</v>
      </c>
      <c r="H2455" s="2" t="s">
        <v>23</v>
      </c>
      <c r="I2455" s="6">
        <v>0.08</v>
      </c>
      <c r="J2455" s="2" t="str">
        <f t="shared" si="38"/>
        <v>2022-08</v>
      </c>
    </row>
    <row r="2456" spans="1:10" x14ac:dyDescent="0.2">
      <c r="A2456" s="2" t="s">
        <v>1666</v>
      </c>
      <c r="B2456" s="2" t="s">
        <v>1475</v>
      </c>
      <c r="C2456" s="2" t="s">
        <v>32</v>
      </c>
      <c r="D2456" s="2" t="s">
        <v>2954</v>
      </c>
      <c r="E2456" s="5">
        <v>44775</v>
      </c>
      <c r="F2456" s="2">
        <v>530</v>
      </c>
      <c r="G2456" s="2" t="s">
        <v>17</v>
      </c>
      <c r="H2456" s="2" t="s">
        <v>23</v>
      </c>
      <c r="I2456" s="6">
        <v>0.1</v>
      </c>
      <c r="J2456" s="2" t="str">
        <f t="shared" si="38"/>
        <v>2022-08</v>
      </c>
    </row>
    <row r="2457" spans="1:10" x14ac:dyDescent="0.2">
      <c r="A2457" s="2" t="s">
        <v>2166</v>
      </c>
      <c r="B2457" s="2" t="s">
        <v>25</v>
      </c>
      <c r="C2457" s="2" t="s">
        <v>235</v>
      </c>
      <c r="D2457" s="2" t="s">
        <v>2954</v>
      </c>
      <c r="E2457" s="5">
        <v>44775</v>
      </c>
      <c r="F2457" s="2">
        <v>151</v>
      </c>
      <c r="G2457" s="2" t="s">
        <v>17</v>
      </c>
      <c r="H2457" s="2" t="s">
        <v>23</v>
      </c>
      <c r="I2457" s="6" t="s">
        <v>2954</v>
      </c>
      <c r="J2457" s="2" t="str">
        <f t="shared" si="38"/>
        <v>2022-08</v>
      </c>
    </row>
    <row r="2458" spans="1:10" x14ac:dyDescent="0.2">
      <c r="A2458" s="2" t="s">
        <v>2167</v>
      </c>
      <c r="B2458" s="2" t="s">
        <v>661</v>
      </c>
      <c r="C2458" s="2" t="s">
        <v>16</v>
      </c>
      <c r="D2458" s="2">
        <v>58</v>
      </c>
      <c r="E2458" s="5">
        <v>44774</v>
      </c>
      <c r="F2458" s="2">
        <v>58</v>
      </c>
      <c r="G2458" s="2" t="s">
        <v>66</v>
      </c>
      <c r="H2458" s="2" t="s">
        <v>662</v>
      </c>
      <c r="I2458" s="6">
        <v>0.5</v>
      </c>
      <c r="J2458" s="2" t="str">
        <f t="shared" si="38"/>
        <v>2022-08</v>
      </c>
    </row>
    <row r="2459" spans="1:10" x14ac:dyDescent="0.2">
      <c r="A2459" s="2" t="s">
        <v>2168</v>
      </c>
      <c r="B2459" s="2" t="s">
        <v>314</v>
      </c>
      <c r="C2459" s="2" t="s">
        <v>61</v>
      </c>
      <c r="D2459" s="2" t="s">
        <v>2954</v>
      </c>
      <c r="E2459" s="5">
        <v>44774</v>
      </c>
      <c r="F2459" s="2">
        <v>1</v>
      </c>
      <c r="G2459" s="2" t="s">
        <v>132</v>
      </c>
      <c r="H2459" s="2" t="s">
        <v>23</v>
      </c>
      <c r="I2459" s="6" t="s">
        <v>2954</v>
      </c>
      <c r="J2459" s="2" t="str">
        <f t="shared" si="38"/>
        <v>2022-08</v>
      </c>
    </row>
    <row r="2460" spans="1:10" x14ac:dyDescent="0.2">
      <c r="A2460" s="2" t="s">
        <v>1597</v>
      </c>
      <c r="B2460" s="2" t="s">
        <v>255</v>
      </c>
      <c r="C2460" s="2" t="s">
        <v>11</v>
      </c>
      <c r="D2460" s="2" t="s">
        <v>2954</v>
      </c>
      <c r="E2460" s="5">
        <v>44774</v>
      </c>
      <c r="F2460" s="2">
        <v>194</v>
      </c>
      <c r="G2460" s="2" t="s">
        <v>75</v>
      </c>
      <c r="H2460" s="2" t="s">
        <v>98</v>
      </c>
      <c r="I2460" s="6" t="s">
        <v>2954</v>
      </c>
      <c r="J2460" s="2" t="str">
        <f t="shared" si="38"/>
        <v>2022-08</v>
      </c>
    </row>
    <row r="2461" spans="1:10" x14ac:dyDescent="0.2">
      <c r="A2461" s="2" t="s">
        <v>2169</v>
      </c>
      <c r="B2461" s="2" t="s">
        <v>54</v>
      </c>
      <c r="C2461" s="2" t="s">
        <v>235</v>
      </c>
      <c r="D2461" s="2" t="s">
        <v>2954</v>
      </c>
      <c r="E2461" s="5">
        <v>44774</v>
      </c>
      <c r="F2461" s="2" t="s">
        <v>2954</v>
      </c>
      <c r="G2461" s="2" t="s">
        <v>12</v>
      </c>
      <c r="H2461" s="2" t="s">
        <v>55</v>
      </c>
      <c r="I2461" s="6" t="s">
        <v>2954</v>
      </c>
      <c r="J2461" s="2" t="str">
        <f t="shared" si="38"/>
        <v>2022-08</v>
      </c>
    </row>
    <row r="2462" spans="1:10" x14ac:dyDescent="0.2">
      <c r="A2462" s="2" t="s">
        <v>1582</v>
      </c>
      <c r="B2462" s="2" t="s">
        <v>34</v>
      </c>
      <c r="C2462" s="2" t="s">
        <v>29</v>
      </c>
      <c r="D2462" s="2" t="s">
        <v>2954</v>
      </c>
      <c r="E2462" s="5">
        <v>44774</v>
      </c>
      <c r="F2462" s="2" t="s">
        <v>2954</v>
      </c>
      <c r="G2462" s="2" t="s">
        <v>17</v>
      </c>
      <c r="H2462" s="2" t="s">
        <v>23</v>
      </c>
      <c r="I2462" s="6" t="s">
        <v>2954</v>
      </c>
      <c r="J2462" s="2" t="str">
        <f t="shared" si="38"/>
        <v>2022-08</v>
      </c>
    </row>
    <row r="2463" spans="1:10" x14ac:dyDescent="0.2">
      <c r="A2463" s="2" t="s">
        <v>2170</v>
      </c>
      <c r="B2463" s="2" t="s">
        <v>89</v>
      </c>
      <c r="C2463" s="2" t="s">
        <v>52</v>
      </c>
      <c r="D2463" s="2" t="s">
        <v>2954</v>
      </c>
      <c r="E2463" s="5">
        <v>44774</v>
      </c>
      <c r="F2463" s="2">
        <v>20</v>
      </c>
      <c r="G2463" s="2" t="s">
        <v>41</v>
      </c>
      <c r="H2463" s="2" t="s">
        <v>23</v>
      </c>
      <c r="I2463" s="6">
        <v>1</v>
      </c>
      <c r="J2463" s="2" t="str">
        <f t="shared" si="38"/>
        <v>2022-08</v>
      </c>
    </row>
    <row r="2464" spans="1:10" x14ac:dyDescent="0.2">
      <c r="A2464" s="2" t="s">
        <v>2171</v>
      </c>
      <c r="B2464" s="2" t="s">
        <v>10</v>
      </c>
      <c r="C2464" s="2" t="s">
        <v>29</v>
      </c>
      <c r="D2464" s="2" t="s">
        <v>2954</v>
      </c>
      <c r="E2464" s="5">
        <v>44774</v>
      </c>
      <c r="F2464" s="2">
        <v>10</v>
      </c>
      <c r="G2464" s="2" t="s">
        <v>41</v>
      </c>
      <c r="H2464" s="2" t="s">
        <v>13</v>
      </c>
      <c r="I2464" s="6" t="s">
        <v>2954</v>
      </c>
      <c r="J2464" s="2" t="str">
        <f t="shared" si="38"/>
        <v>2022-08</v>
      </c>
    </row>
    <row r="2465" spans="1:10" x14ac:dyDescent="0.2">
      <c r="A2465" s="2" t="s">
        <v>2172</v>
      </c>
      <c r="B2465" s="2" t="s">
        <v>273</v>
      </c>
      <c r="C2465" s="2" t="s">
        <v>26</v>
      </c>
      <c r="D2465" s="2">
        <v>75</v>
      </c>
      <c r="E2465" s="5">
        <v>44773</v>
      </c>
      <c r="F2465" s="2">
        <v>18</v>
      </c>
      <c r="G2465" s="2" t="s">
        <v>37</v>
      </c>
      <c r="H2465" s="2" t="s">
        <v>274</v>
      </c>
      <c r="I2465" s="6">
        <v>1</v>
      </c>
      <c r="J2465" s="2" t="str">
        <f t="shared" si="38"/>
        <v>2022-07</v>
      </c>
    </row>
    <row r="2466" spans="1:10" x14ac:dyDescent="0.2">
      <c r="A2466" s="2" t="s">
        <v>1961</v>
      </c>
      <c r="B2466" s="2" t="s">
        <v>15</v>
      </c>
      <c r="C2466" s="2" t="s">
        <v>68</v>
      </c>
      <c r="D2466" s="2">
        <v>16</v>
      </c>
      <c r="E2466" s="5">
        <v>44773</v>
      </c>
      <c r="F2466" s="2">
        <v>15</v>
      </c>
      <c r="G2466" s="2" t="s">
        <v>132</v>
      </c>
      <c r="H2466" s="2" t="s">
        <v>18</v>
      </c>
      <c r="I2466" s="6">
        <v>0.32</v>
      </c>
      <c r="J2466" s="2" t="str">
        <f t="shared" si="38"/>
        <v>2022-07</v>
      </c>
    </row>
    <row r="2467" spans="1:10" x14ac:dyDescent="0.2">
      <c r="A2467" s="2" t="s">
        <v>2173</v>
      </c>
      <c r="B2467" s="2" t="s">
        <v>115</v>
      </c>
      <c r="C2467" s="2" t="s">
        <v>26</v>
      </c>
      <c r="D2467" s="2" t="s">
        <v>2954</v>
      </c>
      <c r="E2467" s="5">
        <v>44773</v>
      </c>
      <c r="F2467" s="2" t="s">
        <v>2954</v>
      </c>
      <c r="G2467" s="2" t="s">
        <v>12</v>
      </c>
      <c r="H2467" s="2" t="s">
        <v>23</v>
      </c>
      <c r="I2467" s="6">
        <v>0.5</v>
      </c>
      <c r="J2467" s="2" t="str">
        <f t="shared" si="38"/>
        <v>2022-07</v>
      </c>
    </row>
    <row r="2468" spans="1:10" x14ac:dyDescent="0.2">
      <c r="A2468" s="2" t="s">
        <v>129</v>
      </c>
      <c r="B2468" s="2" t="s">
        <v>100</v>
      </c>
      <c r="C2468" s="2" t="s">
        <v>52</v>
      </c>
      <c r="D2468" s="2">
        <v>1000</v>
      </c>
      <c r="E2468" s="5">
        <v>44771</v>
      </c>
      <c r="F2468" s="2">
        <v>5000</v>
      </c>
      <c r="G2468" s="2" t="s">
        <v>130</v>
      </c>
      <c r="H2468" s="2" t="s">
        <v>98</v>
      </c>
      <c r="I2468" s="6" t="s">
        <v>2954</v>
      </c>
      <c r="J2468" s="2" t="str">
        <f t="shared" si="38"/>
        <v>2022-07</v>
      </c>
    </row>
    <row r="2469" spans="1:10" x14ac:dyDescent="0.2">
      <c r="A2469" s="2" t="s">
        <v>2174</v>
      </c>
      <c r="B2469" s="2" t="s">
        <v>335</v>
      </c>
      <c r="C2469" s="2" t="s">
        <v>16</v>
      </c>
      <c r="D2469" s="2">
        <v>125</v>
      </c>
      <c r="E2469" s="5">
        <v>44771</v>
      </c>
      <c r="F2469" s="2">
        <v>681</v>
      </c>
      <c r="G2469" s="2" t="s">
        <v>66</v>
      </c>
      <c r="H2469" s="2" t="s">
        <v>106</v>
      </c>
      <c r="I2469" s="6">
        <v>0.25</v>
      </c>
      <c r="J2469" s="2" t="str">
        <f t="shared" si="38"/>
        <v>2022-07</v>
      </c>
    </row>
    <row r="2470" spans="1:10" x14ac:dyDescent="0.2">
      <c r="A2470" s="2" t="s">
        <v>2175</v>
      </c>
      <c r="B2470" s="2" t="s">
        <v>34</v>
      </c>
      <c r="C2470" s="2" t="s">
        <v>11</v>
      </c>
      <c r="D2470" s="2">
        <v>50</v>
      </c>
      <c r="E2470" s="5">
        <v>44771</v>
      </c>
      <c r="F2470" s="2">
        <v>229</v>
      </c>
      <c r="G2470" s="2" t="s">
        <v>75</v>
      </c>
      <c r="H2470" s="2" t="s">
        <v>23</v>
      </c>
      <c r="I2470" s="6" t="s">
        <v>2954</v>
      </c>
      <c r="J2470" s="2" t="str">
        <f t="shared" si="38"/>
        <v>2022-07</v>
      </c>
    </row>
    <row r="2471" spans="1:10" x14ac:dyDescent="0.2">
      <c r="A2471" s="2" t="s">
        <v>2176</v>
      </c>
      <c r="B2471" s="2" t="s">
        <v>28</v>
      </c>
      <c r="C2471" s="2" t="s">
        <v>11</v>
      </c>
      <c r="D2471" s="2">
        <v>43</v>
      </c>
      <c r="E2471" s="5">
        <v>44771</v>
      </c>
      <c r="F2471" s="2">
        <v>58</v>
      </c>
      <c r="G2471" s="2" t="s">
        <v>37</v>
      </c>
      <c r="H2471" s="2" t="s">
        <v>23</v>
      </c>
      <c r="I2471" s="6" t="s">
        <v>2954</v>
      </c>
      <c r="J2471" s="2" t="str">
        <f t="shared" si="38"/>
        <v>2022-07</v>
      </c>
    </row>
    <row r="2472" spans="1:10" x14ac:dyDescent="0.2">
      <c r="A2472" s="2" t="s">
        <v>2177</v>
      </c>
      <c r="B2472" s="2" t="s">
        <v>34</v>
      </c>
      <c r="C2472" s="2" t="s">
        <v>26</v>
      </c>
      <c r="D2472" s="2">
        <v>40</v>
      </c>
      <c r="E2472" s="5">
        <v>44771</v>
      </c>
      <c r="F2472" s="2">
        <v>65</v>
      </c>
      <c r="G2472" s="2" t="s">
        <v>66</v>
      </c>
      <c r="H2472" s="2" t="s">
        <v>23</v>
      </c>
      <c r="I2472" s="6">
        <v>0.06</v>
      </c>
      <c r="J2472" s="2" t="str">
        <f t="shared" si="38"/>
        <v>2022-07</v>
      </c>
    </row>
    <row r="2473" spans="1:10" x14ac:dyDescent="0.2">
      <c r="A2473" s="2" t="s">
        <v>2178</v>
      </c>
      <c r="B2473" s="2" t="s">
        <v>335</v>
      </c>
      <c r="C2473" s="2" t="s">
        <v>44</v>
      </c>
      <c r="D2473" s="2">
        <v>22</v>
      </c>
      <c r="E2473" s="5">
        <v>44771</v>
      </c>
      <c r="F2473" s="2">
        <v>11</v>
      </c>
      <c r="G2473" s="2" t="s">
        <v>12</v>
      </c>
      <c r="H2473" s="2" t="s">
        <v>106</v>
      </c>
      <c r="I2473" s="6" t="s">
        <v>2954</v>
      </c>
      <c r="J2473" s="2" t="str">
        <f t="shared" si="38"/>
        <v>2022-07</v>
      </c>
    </row>
    <row r="2474" spans="1:10" x14ac:dyDescent="0.2">
      <c r="A2474" s="2" t="s">
        <v>2179</v>
      </c>
      <c r="B2474" s="2" t="s">
        <v>2180</v>
      </c>
      <c r="C2474" s="2" t="s">
        <v>22</v>
      </c>
      <c r="D2474" s="2" t="s">
        <v>2954</v>
      </c>
      <c r="E2474" s="5">
        <v>44771</v>
      </c>
      <c r="F2474" s="2">
        <v>11</v>
      </c>
      <c r="G2474" s="2" t="s">
        <v>12</v>
      </c>
      <c r="H2474" s="2" t="s">
        <v>1676</v>
      </c>
      <c r="I2474" s="6" t="s">
        <v>2954</v>
      </c>
      <c r="J2474" s="2" t="str">
        <f t="shared" si="38"/>
        <v>2022-07</v>
      </c>
    </row>
    <row r="2475" spans="1:10" x14ac:dyDescent="0.2">
      <c r="A2475" s="2" t="s">
        <v>2181</v>
      </c>
      <c r="B2475" s="2" t="s">
        <v>595</v>
      </c>
      <c r="C2475" s="2" t="s">
        <v>11</v>
      </c>
      <c r="D2475" s="2" t="s">
        <v>2954</v>
      </c>
      <c r="E2475" s="5">
        <v>44771</v>
      </c>
      <c r="F2475" s="2">
        <v>1700</v>
      </c>
      <c r="G2475" s="2" t="s">
        <v>17</v>
      </c>
      <c r="H2475" s="2" t="s">
        <v>224</v>
      </c>
      <c r="I2475" s="6" t="s">
        <v>2954</v>
      </c>
      <c r="J2475" s="2" t="str">
        <f t="shared" si="38"/>
        <v>2022-07</v>
      </c>
    </row>
    <row r="2476" spans="1:10" x14ac:dyDescent="0.2">
      <c r="A2476" s="2" t="s">
        <v>2182</v>
      </c>
      <c r="B2476" s="2" t="s">
        <v>273</v>
      </c>
      <c r="C2476" s="2" t="s">
        <v>148</v>
      </c>
      <c r="D2476" s="2" t="s">
        <v>2954</v>
      </c>
      <c r="E2476" s="5">
        <v>44771</v>
      </c>
      <c r="F2476" s="2">
        <v>6</v>
      </c>
      <c r="G2476" s="2" t="s">
        <v>12</v>
      </c>
      <c r="H2476" s="2" t="s">
        <v>274</v>
      </c>
      <c r="I2476" s="6">
        <v>1</v>
      </c>
      <c r="J2476" s="2" t="str">
        <f t="shared" si="38"/>
        <v>2022-07</v>
      </c>
    </row>
    <row r="2477" spans="1:10" x14ac:dyDescent="0.2">
      <c r="A2477" s="2" t="s">
        <v>1875</v>
      </c>
      <c r="B2477" s="2" t="s">
        <v>25</v>
      </c>
      <c r="C2477" s="2" t="s">
        <v>148</v>
      </c>
      <c r="D2477" s="2">
        <v>136</v>
      </c>
      <c r="E2477" s="5">
        <v>44770</v>
      </c>
      <c r="F2477" s="2">
        <v>405</v>
      </c>
      <c r="G2477" s="2" t="s">
        <v>66</v>
      </c>
      <c r="H2477" s="2" t="s">
        <v>23</v>
      </c>
      <c r="I2477" s="6" t="s">
        <v>2954</v>
      </c>
      <c r="J2477" s="2" t="str">
        <f t="shared" si="38"/>
        <v>2022-07</v>
      </c>
    </row>
    <row r="2478" spans="1:10" x14ac:dyDescent="0.2">
      <c r="A2478" s="2" t="s">
        <v>1615</v>
      </c>
      <c r="B2478" s="2" t="s">
        <v>34</v>
      </c>
      <c r="C2478" s="2" t="s">
        <v>61</v>
      </c>
      <c r="D2478" s="2">
        <v>60</v>
      </c>
      <c r="E2478" s="5">
        <v>44770</v>
      </c>
      <c r="F2478" s="2">
        <v>51</v>
      </c>
      <c r="G2478" s="2" t="s">
        <v>37</v>
      </c>
      <c r="H2478" s="2" t="s">
        <v>23</v>
      </c>
      <c r="I2478" s="6">
        <v>0.33</v>
      </c>
      <c r="J2478" s="2" t="str">
        <f t="shared" si="38"/>
        <v>2022-07</v>
      </c>
    </row>
    <row r="2479" spans="1:10" x14ac:dyDescent="0.2">
      <c r="A2479" s="2" t="s">
        <v>2183</v>
      </c>
      <c r="B2479" s="2" t="s">
        <v>34</v>
      </c>
      <c r="C2479" s="2" t="s">
        <v>16</v>
      </c>
      <c r="D2479" s="2">
        <v>60</v>
      </c>
      <c r="E2479" s="5">
        <v>44770</v>
      </c>
      <c r="F2479" s="2">
        <v>510</v>
      </c>
      <c r="G2479" s="2" t="s">
        <v>45</v>
      </c>
      <c r="H2479" s="2" t="s">
        <v>23</v>
      </c>
      <c r="I2479" s="6">
        <v>0.2</v>
      </c>
      <c r="J2479" s="2" t="str">
        <f t="shared" si="38"/>
        <v>2022-07</v>
      </c>
    </row>
    <row r="2480" spans="1:10" x14ac:dyDescent="0.2">
      <c r="A2480" s="2" t="s">
        <v>1261</v>
      </c>
      <c r="B2480" s="2" t="s">
        <v>858</v>
      </c>
      <c r="C2480" s="2" t="s">
        <v>16</v>
      </c>
      <c r="D2480" s="2">
        <v>45</v>
      </c>
      <c r="E2480" s="5">
        <v>44770</v>
      </c>
      <c r="F2480" s="2">
        <v>130</v>
      </c>
      <c r="G2480" s="2" t="s">
        <v>17</v>
      </c>
      <c r="H2480" s="2" t="s">
        <v>859</v>
      </c>
      <c r="I2480" s="6" t="s">
        <v>2954</v>
      </c>
      <c r="J2480" s="2" t="str">
        <f t="shared" si="38"/>
        <v>2022-07</v>
      </c>
    </row>
    <row r="2481" spans="1:10" x14ac:dyDescent="0.2">
      <c r="A2481" s="2" t="s">
        <v>2184</v>
      </c>
      <c r="B2481" s="2" t="s">
        <v>34</v>
      </c>
      <c r="C2481" s="2" t="s">
        <v>142</v>
      </c>
      <c r="D2481" s="2">
        <v>23</v>
      </c>
      <c r="E2481" s="5">
        <v>44770</v>
      </c>
      <c r="F2481" s="2">
        <v>202</v>
      </c>
      <c r="G2481" s="2" t="s">
        <v>17</v>
      </c>
      <c r="H2481" s="2" t="s">
        <v>23</v>
      </c>
      <c r="I2481" s="6" t="s">
        <v>2954</v>
      </c>
      <c r="J2481" s="2" t="str">
        <f t="shared" si="38"/>
        <v>2022-07</v>
      </c>
    </row>
    <row r="2482" spans="1:10" x14ac:dyDescent="0.2">
      <c r="A2482" s="2" t="s">
        <v>2185</v>
      </c>
      <c r="B2482" s="2" t="s">
        <v>1464</v>
      </c>
      <c r="C2482" s="2" t="s">
        <v>35</v>
      </c>
      <c r="D2482" s="2">
        <v>22</v>
      </c>
      <c r="E2482" s="5">
        <v>44770</v>
      </c>
      <c r="F2482" s="2">
        <v>1</v>
      </c>
      <c r="G2482" s="2" t="s">
        <v>132</v>
      </c>
      <c r="H2482" s="2" t="s">
        <v>106</v>
      </c>
      <c r="I2482" s="6" t="s">
        <v>2954</v>
      </c>
      <c r="J2482" s="2" t="str">
        <f t="shared" si="38"/>
        <v>2022-07</v>
      </c>
    </row>
    <row r="2483" spans="1:10" x14ac:dyDescent="0.2">
      <c r="A2483" s="2" t="s">
        <v>400</v>
      </c>
      <c r="B2483" s="2" t="s">
        <v>401</v>
      </c>
      <c r="C2483" s="2" t="s">
        <v>61</v>
      </c>
      <c r="D2483" s="2" t="s">
        <v>2954</v>
      </c>
      <c r="E2483" s="5">
        <v>44770</v>
      </c>
      <c r="F2483" s="2">
        <v>426</v>
      </c>
      <c r="G2483" s="2" t="s">
        <v>17</v>
      </c>
      <c r="H2483" s="2" t="s">
        <v>23</v>
      </c>
      <c r="I2483" s="6">
        <v>0.2</v>
      </c>
      <c r="J2483" s="2" t="str">
        <f t="shared" si="38"/>
        <v>2022-07</v>
      </c>
    </row>
    <row r="2484" spans="1:10" x14ac:dyDescent="0.2">
      <c r="A2484" s="2" t="s">
        <v>2186</v>
      </c>
      <c r="B2484" s="2" t="s">
        <v>100</v>
      </c>
      <c r="C2484" s="2" t="s">
        <v>142</v>
      </c>
      <c r="D2484" s="2" t="s">
        <v>2954</v>
      </c>
      <c r="E2484" s="5">
        <v>44770</v>
      </c>
      <c r="F2484" s="2">
        <v>12</v>
      </c>
      <c r="G2484" s="2" t="s">
        <v>41</v>
      </c>
      <c r="H2484" s="2" t="s">
        <v>98</v>
      </c>
      <c r="I2484" s="6" t="s">
        <v>2954</v>
      </c>
      <c r="J2484" s="2" t="str">
        <f t="shared" si="38"/>
        <v>2022-07</v>
      </c>
    </row>
    <row r="2485" spans="1:10" x14ac:dyDescent="0.2">
      <c r="A2485" s="2" t="s">
        <v>2187</v>
      </c>
      <c r="B2485" s="2" t="s">
        <v>47</v>
      </c>
      <c r="C2485" s="2" t="s">
        <v>50</v>
      </c>
      <c r="D2485" s="2" t="s">
        <v>2954</v>
      </c>
      <c r="E2485" s="5">
        <v>44770</v>
      </c>
      <c r="F2485" s="2">
        <v>12</v>
      </c>
      <c r="G2485" s="2" t="s">
        <v>41</v>
      </c>
      <c r="H2485" s="2" t="s">
        <v>23</v>
      </c>
      <c r="I2485" s="6" t="s">
        <v>2954</v>
      </c>
      <c r="J2485" s="2" t="str">
        <f t="shared" si="38"/>
        <v>2022-07</v>
      </c>
    </row>
    <row r="2486" spans="1:10" x14ac:dyDescent="0.2">
      <c r="A2486" s="2" t="s">
        <v>2188</v>
      </c>
      <c r="B2486" s="2" t="s">
        <v>34</v>
      </c>
      <c r="C2486" s="2" t="s">
        <v>29</v>
      </c>
      <c r="D2486" s="2" t="s">
        <v>2954</v>
      </c>
      <c r="E2486" s="5">
        <v>44770</v>
      </c>
      <c r="F2486" s="2">
        <v>72</v>
      </c>
      <c r="G2486" s="2" t="s">
        <v>75</v>
      </c>
      <c r="H2486" s="2" t="s">
        <v>23</v>
      </c>
      <c r="I2486" s="6">
        <v>0.19</v>
      </c>
      <c r="J2486" s="2" t="str">
        <f t="shared" si="38"/>
        <v>2022-07</v>
      </c>
    </row>
    <row r="2487" spans="1:10" x14ac:dyDescent="0.2">
      <c r="A2487" s="2" t="s">
        <v>2189</v>
      </c>
      <c r="B2487" s="2" t="s">
        <v>34</v>
      </c>
      <c r="C2487" s="2" t="s">
        <v>235</v>
      </c>
      <c r="D2487" s="2" t="s">
        <v>2954</v>
      </c>
      <c r="E2487" s="5">
        <v>44770</v>
      </c>
      <c r="F2487" s="2">
        <v>17</v>
      </c>
      <c r="G2487" s="2" t="s">
        <v>45</v>
      </c>
      <c r="H2487" s="2" t="s">
        <v>23</v>
      </c>
      <c r="I2487" s="6" t="s">
        <v>2954</v>
      </c>
      <c r="J2487" s="2" t="str">
        <f t="shared" si="38"/>
        <v>2022-07</v>
      </c>
    </row>
    <row r="2488" spans="1:10" x14ac:dyDescent="0.2">
      <c r="A2488" s="2" t="s">
        <v>2190</v>
      </c>
      <c r="B2488" s="2" t="s">
        <v>34</v>
      </c>
      <c r="C2488" s="2" t="s">
        <v>109</v>
      </c>
      <c r="D2488" s="2" t="s">
        <v>2954</v>
      </c>
      <c r="E2488" s="5">
        <v>44770</v>
      </c>
      <c r="F2488" s="2">
        <v>491</v>
      </c>
      <c r="G2488" s="2" t="s">
        <v>12</v>
      </c>
      <c r="H2488" s="2" t="s">
        <v>23</v>
      </c>
      <c r="I2488" s="6">
        <v>0.2</v>
      </c>
      <c r="J2488" s="2" t="str">
        <f t="shared" si="38"/>
        <v>2022-07</v>
      </c>
    </row>
    <row r="2489" spans="1:10" x14ac:dyDescent="0.2">
      <c r="A2489" s="2" t="s">
        <v>93</v>
      </c>
      <c r="B2489" s="2" t="s">
        <v>158</v>
      </c>
      <c r="C2489" s="2" t="s">
        <v>52</v>
      </c>
      <c r="D2489" s="2">
        <v>840</v>
      </c>
      <c r="E2489" s="5">
        <v>44769</v>
      </c>
      <c r="F2489" s="2">
        <v>10700</v>
      </c>
      <c r="G2489" s="2" t="s">
        <v>17</v>
      </c>
      <c r="H2489" s="2" t="s">
        <v>23</v>
      </c>
      <c r="I2489" s="6">
        <v>0.06</v>
      </c>
      <c r="J2489" s="2" t="str">
        <f t="shared" si="38"/>
        <v>2022-07</v>
      </c>
    </row>
    <row r="2490" spans="1:10" x14ac:dyDescent="0.2">
      <c r="A2490" s="2" t="s">
        <v>543</v>
      </c>
      <c r="B2490" s="2" t="s">
        <v>401</v>
      </c>
      <c r="C2490" s="2" t="s">
        <v>235</v>
      </c>
      <c r="D2490" s="2">
        <v>39</v>
      </c>
      <c r="E2490" s="5">
        <v>44769</v>
      </c>
      <c r="F2490" s="2">
        <v>307</v>
      </c>
      <c r="G2490" s="2" t="s">
        <v>62</v>
      </c>
      <c r="H2490" s="2" t="s">
        <v>23</v>
      </c>
      <c r="I2490" s="6">
        <v>0.02</v>
      </c>
      <c r="J2490" s="2" t="str">
        <f t="shared" si="38"/>
        <v>2022-07</v>
      </c>
    </row>
    <row r="2491" spans="1:10" x14ac:dyDescent="0.2">
      <c r="A2491" s="2" t="s">
        <v>2191</v>
      </c>
      <c r="B2491" s="2" t="s">
        <v>335</v>
      </c>
      <c r="C2491" s="2" t="s">
        <v>22</v>
      </c>
      <c r="D2491" s="2">
        <v>30</v>
      </c>
      <c r="E2491" s="5">
        <v>44769</v>
      </c>
      <c r="F2491" s="2">
        <v>98</v>
      </c>
      <c r="G2491" s="2" t="s">
        <v>12</v>
      </c>
      <c r="H2491" s="2" t="s">
        <v>106</v>
      </c>
      <c r="I2491" s="6">
        <v>0.24</v>
      </c>
      <c r="J2491" s="2" t="str">
        <f t="shared" si="38"/>
        <v>2022-07</v>
      </c>
    </row>
    <row r="2492" spans="1:10" x14ac:dyDescent="0.2">
      <c r="A2492" s="2" t="s">
        <v>2192</v>
      </c>
      <c r="B2492" s="2" t="s">
        <v>15</v>
      </c>
      <c r="C2492" s="2" t="s">
        <v>26</v>
      </c>
      <c r="D2492" s="2">
        <v>30</v>
      </c>
      <c r="E2492" s="5">
        <v>44769</v>
      </c>
      <c r="F2492" s="2">
        <v>60</v>
      </c>
      <c r="G2492" s="2" t="s">
        <v>128</v>
      </c>
      <c r="H2492" s="2" t="s">
        <v>18</v>
      </c>
      <c r="I2492" s="6">
        <v>0.04</v>
      </c>
      <c r="J2492" s="2" t="str">
        <f t="shared" si="38"/>
        <v>2022-07</v>
      </c>
    </row>
    <row r="2493" spans="1:10" x14ac:dyDescent="0.2">
      <c r="A2493" s="2" t="s">
        <v>1111</v>
      </c>
      <c r="B2493" s="2" t="s">
        <v>105</v>
      </c>
      <c r="C2493" s="2" t="s">
        <v>142</v>
      </c>
      <c r="D2493" s="2">
        <v>1000</v>
      </c>
      <c r="E2493" s="5">
        <v>44768</v>
      </c>
      <c r="F2493" s="2">
        <v>122</v>
      </c>
      <c r="G2493" s="2" t="s">
        <v>17</v>
      </c>
      <c r="H2493" s="2" t="s">
        <v>106</v>
      </c>
      <c r="I2493" s="6">
        <v>0.1</v>
      </c>
      <c r="J2493" s="2" t="str">
        <f t="shared" si="38"/>
        <v>2022-07</v>
      </c>
    </row>
    <row r="2494" spans="1:10" x14ac:dyDescent="0.2">
      <c r="A2494" s="2" t="s">
        <v>553</v>
      </c>
      <c r="B2494" s="2" t="s">
        <v>74</v>
      </c>
      <c r="C2494" s="2" t="s">
        <v>148</v>
      </c>
      <c r="D2494" s="2">
        <v>90</v>
      </c>
      <c r="E2494" s="5">
        <v>44768</v>
      </c>
      <c r="F2494" s="2">
        <v>214</v>
      </c>
      <c r="G2494" s="2" t="s">
        <v>12</v>
      </c>
      <c r="H2494" s="2" t="s">
        <v>76</v>
      </c>
      <c r="I2494" s="6" t="s">
        <v>2954</v>
      </c>
      <c r="J2494" s="2" t="str">
        <f t="shared" si="38"/>
        <v>2022-07</v>
      </c>
    </row>
    <row r="2495" spans="1:10" x14ac:dyDescent="0.2">
      <c r="A2495" s="2" t="s">
        <v>2193</v>
      </c>
      <c r="B2495" s="2" t="s">
        <v>15</v>
      </c>
      <c r="C2495" s="2" t="s">
        <v>29</v>
      </c>
      <c r="D2495" s="2">
        <v>60</v>
      </c>
      <c r="E2495" s="5">
        <v>44768</v>
      </c>
      <c r="F2495" s="2">
        <v>111</v>
      </c>
      <c r="G2495" s="2" t="s">
        <v>17</v>
      </c>
      <c r="H2495" s="2" t="s">
        <v>18</v>
      </c>
      <c r="I2495" s="6">
        <v>0.08</v>
      </c>
      <c r="J2495" s="2" t="str">
        <f t="shared" si="38"/>
        <v>2022-07</v>
      </c>
    </row>
    <row r="2496" spans="1:10" x14ac:dyDescent="0.2">
      <c r="A2496" s="2" t="s">
        <v>2194</v>
      </c>
      <c r="B2496" s="2" t="s">
        <v>273</v>
      </c>
      <c r="C2496" s="2" t="s">
        <v>16</v>
      </c>
      <c r="D2496" s="2">
        <v>40</v>
      </c>
      <c r="E2496" s="5">
        <v>44768</v>
      </c>
      <c r="F2496" s="2">
        <v>41</v>
      </c>
      <c r="G2496" s="2" t="s">
        <v>37</v>
      </c>
      <c r="H2496" s="2" t="s">
        <v>274</v>
      </c>
      <c r="I2496" s="6">
        <v>0.17</v>
      </c>
      <c r="J2496" s="2" t="str">
        <f t="shared" si="38"/>
        <v>2022-07</v>
      </c>
    </row>
    <row r="2497" spans="1:10" x14ac:dyDescent="0.2">
      <c r="A2497" s="2" t="s">
        <v>1042</v>
      </c>
      <c r="B2497" s="2" t="s">
        <v>25</v>
      </c>
      <c r="C2497" s="2" t="s">
        <v>26</v>
      </c>
      <c r="D2497" s="2">
        <v>38</v>
      </c>
      <c r="E2497" s="5">
        <v>44768</v>
      </c>
      <c r="F2497" s="2">
        <v>394</v>
      </c>
      <c r="G2497" s="2" t="s">
        <v>17</v>
      </c>
      <c r="H2497" s="2" t="s">
        <v>23</v>
      </c>
      <c r="I2497" s="6">
        <v>0.03</v>
      </c>
      <c r="J2497" s="2" t="str">
        <f t="shared" si="38"/>
        <v>2022-07</v>
      </c>
    </row>
    <row r="2498" spans="1:10" x14ac:dyDescent="0.2">
      <c r="A2498" s="2" t="s">
        <v>21</v>
      </c>
      <c r="B2498" s="2" t="s">
        <v>34</v>
      </c>
      <c r="C2498" s="2" t="s">
        <v>84</v>
      </c>
      <c r="D2498" s="2">
        <v>23</v>
      </c>
      <c r="E2498" s="5">
        <v>44768</v>
      </c>
      <c r="F2498" s="2">
        <v>22</v>
      </c>
      <c r="G2498" s="2" t="s">
        <v>41</v>
      </c>
      <c r="H2498" s="2" t="s">
        <v>23</v>
      </c>
      <c r="I2498" s="6">
        <v>0.3</v>
      </c>
      <c r="J2498" s="2" t="str">
        <f t="shared" si="38"/>
        <v>2022-07</v>
      </c>
    </row>
    <row r="2499" spans="1:10" x14ac:dyDescent="0.2">
      <c r="A2499" s="2" t="s">
        <v>1348</v>
      </c>
      <c r="B2499" s="2" t="s">
        <v>273</v>
      </c>
      <c r="C2499" s="2" t="s">
        <v>22</v>
      </c>
      <c r="D2499" s="2">
        <v>20</v>
      </c>
      <c r="E2499" s="5">
        <v>44768</v>
      </c>
      <c r="F2499" s="2">
        <v>279</v>
      </c>
      <c r="G2499" s="2" t="s">
        <v>66</v>
      </c>
      <c r="H2499" s="2" t="s">
        <v>274</v>
      </c>
      <c r="I2499" s="6">
        <v>0.06</v>
      </c>
      <c r="J2499" s="2" t="str">
        <f t="shared" ref="J2499:J2562" si="39">TEXT(E2499,"YYYY-MM")</f>
        <v>2022-07</v>
      </c>
    </row>
    <row r="2500" spans="1:10" x14ac:dyDescent="0.2">
      <c r="A2500" s="2" t="s">
        <v>1122</v>
      </c>
      <c r="B2500" s="2" t="s">
        <v>34</v>
      </c>
      <c r="C2500" s="2" t="s">
        <v>29</v>
      </c>
      <c r="D2500" s="2">
        <v>80</v>
      </c>
      <c r="E2500" s="5">
        <v>44767</v>
      </c>
      <c r="F2500" s="2">
        <v>974</v>
      </c>
      <c r="G2500" s="2" t="s">
        <v>45</v>
      </c>
      <c r="H2500" s="2" t="s">
        <v>23</v>
      </c>
      <c r="I2500" s="6" t="s">
        <v>2954</v>
      </c>
      <c r="J2500" s="2" t="str">
        <f t="shared" si="39"/>
        <v>2022-07</v>
      </c>
    </row>
    <row r="2501" spans="1:10" x14ac:dyDescent="0.2">
      <c r="A2501" s="2" t="s">
        <v>2195</v>
      </c>
      <c r="B2501" s="2" t="s">
        <v>89</v>
      </c>
      <c r="C2501" s="2" t="s">
        <v>32</v>
      </c>
      <c r="D2501" s="2">
        <v>25</v>
      </c>
      <c r="E2501" s="5">
        <v>44767</v>
      </c>
      <c r="F2501" s="2">
        <v>409</v>
      </c>
      <c r="G2501" s="2" t="s">
        <v>17</v>
      </c>
      <c r="H2501" s="2" t="s">
        <v>23</v>
      </c>
      <c r="I2501" s="6">
        <v>0.09</v>
      </c>
      <c r="J2501" s="2" t="str">
        <f t="shared" si="39"/>
        <v>2022-07</v>
      </c>
    </row>
    <row r="2502" spans="1:10" x14ac:dyDescent="0.2">
      <c r="A2502" s="2" t="s">
        <v>2196</v>
      </c>
      <c r="B2502" s="2" t="s">
        <v>34</v>
      </c>
      <c r="C2502" s="2" t="s">
        <v>32</v>
      </c>
      <c r="D2502" s="2" t="s">
        <v>2954</v>
      </c>
      <c r="E2502" s="5">
        <v>44767</v>
      </c>
      <c r="F2502" s="2">
        <v>272</v>
      </c>
      <c r="G2502" s="2" t="s">
        <v>128</v>
      </c>
      <c r="H2502" s="2" t="s">
        <v>23</v>
      </c>
      <c r="I2502" s="6">
        <v>0.06</v>
      </c>
      <c r="J2502" s="2" t="str">
        <f t="shared" si="39"/>
        <v>2022-07</v>
      </c>
    </row>
    <row r="2503" spans="1:10" x14ac:dyDescent="0.2">
      <c r="A2503" s="2" t="s">
        <v>2197</v>
      </c>
      <c r="B2503" s="2" t="s">
        <v>15</v>
      </c>
      <c r="C2503" s="2" t="s">
        <v>113</v>
      </c>
      <c r="D2503" s="2">
        <v>120</v>
      </c>
      <c r="E2503" s="5">
        <v>44766</v>
      </c>
      <c r="F2503" s="2">
        <v>18</v>
      </c>
      <c r="G2503" s="2" t="s">
        <v>45</v>
      </c>
      <c r="H2503" s="2" t="s">
        <v>18</v>
      </c>
      <c r="I2503" s="6">
        <v>1</v>
      </c>
      <c r="J2503" s="2" t="str">
        <f t="shared" si="39"/>
        <v>2022-07</v>
      </c>
    </row>
    <row r="2504" spans="1:10" x14ac:dyDescent="0.2">
      <c r="A2504" s="2" t="s">
        <v>2198</v>
      </c>
      <c r="B2504" s="2" t="s">
        <v>273</v>
      </c>
      <c r="C2504" s="2" t="s">
        <v>32</v>
      </c>
      <c r="D2504" s="2">
        <v>50</v>
      </c>
      <c r="E2504" s="5">
        <v>44764</v>
      </c>
      <c r="F2504" s="2">
        <v>69</v>
      </c>
      <c r="G2504" s="2" t="s">
        <v>66</v>
      </c>
      <c r="H2504" s="2" t="s">
        <v>23</v>
      </c>
      <c r="I2504" s="6">
        <v>0.2</v>
      </c>
      <c r="J2504" s="2" t="str">
        <f t="shared" si="39"/>
        <v>2022-07</v>
      </c>
    </row>
    <row r="2505" spans="1:10" x14ac:dyDescent="0.2">
      <c r="A2505" s="2" t="s">
        <v>2199</v>
      </c>
      <c r="B2505" s="2" t="s">
        <v>34</v>
      </c>
      <c r="C2505" s="2" t="s">
        <v>68</v>
      </c>
      <c r="D2505" s="2">
        <v>45</v>
      </c>
      <c r="E2505" s="5">
        <v>44764</v>
      </c>
      <c r="F2505" s="2">
        <v>58</v>
      </c>
      <c r="G2505" s="2" t="s">
        <v>37</v>
      </c>
      <c r="H2505" s="2" t="s">
        <v>23</v>
      </c>
      <c r="I2505" s="6" t="s">
        <v>2954</v>
      </c>
      <c r="J2505" s="2" t="str">
        <f t="shared" si="39"/>
        <v>2022-07</v>
      </c>
    </row>
    <row r="2506" spans="1:10" x14ac:dyDescent="0.2">
      <c r="A2506" s="2" t="s">
        <v>1085</v>
      </c>
      <c r="B2506" s="2" t="s">
        <v>661</v>
      </c>
      <c r="C2506" s="2" t="s">
        <v>16</v>
      </c>
      <c r="D2506" s="2">
        <v>28</v>
      </c>
      <c r="E2506" s="5">
        <v>44764</v>
      </c>
      <c r="F2506" s="2">
        <v>15</v>
      </c>
      <c r="G2506" s="2" t="s">
        <v>41</v>
      </c>
      <c r="H2506" s="2" t="s">
        <v>662</v>
      </c>
      <c r="I2506" s="6">
        <v>0.22</v>
      </c>
      <c r="J2506" s="2" t="str">
        <f t="shared" si="39"/>
        <v>2022-07</v>
      </c>
    </row>
    <row r="2507" spans="1:10" x14ac:dyDescent="0.2">
      <c r="A2507" s="2" t="s">
        <v>2200</v>
      </c>
      <c r="B2507" s="2" t="s">
        <v>34</v>
      </c>
      <c r="C2507" s="2" t="s">
        <v>32</v>
      </c>
      <c r="D2507" s="2">
        <v>15</v>
      </c>
      <c r="E2507" s="5">
        <v>44764</v>
      </c>
      <c r="F2507" s="2">
        <v>328</v>
      </c>
      <c r="G2507" s="2" t="s">
        <v>75</v>
      </c>
      <c r="H2507" s="2" t="s">
        <v>23</v>
      </c>
      <c r="I2507" s="6">
        <v>0.05</v>
      </c>
      <c r="J2507" s="2" t="str">
        <f t="shared" si="39"/>
        <v>2022-07</v>
      </c>
    </row>
    <row r="2508" spans="1:10" x14ac:dyDescent="0.2">
      <c r="A2508" s="2" t="s">
        <v>2201</v>
      </c>
      <c r="B2508" s="2" t="s">
        <v>194</v>
      </c>
      <c r="C2508" s="2" t="s">
        <v>195</v>
      </c>
      <c r="D2508" s="2" t="s">
        <v>2954</v>
      </c>
      <c r="E2508" s="5">
        <v>44764</v>
      </c>
      <c r="F2508" s="2" t="s">
        <v>2954</v>
      </c>
      <c r="G2508" s="2" t="s">
        <v>12</v>
      </c>
      <c r="H2508" s="2" t="s">
        <v>23</v>
      </c>
      <c r="I2508" s="6" t="s">
        <v>2954</v>
      </c>
      <c r="J2508" s="2" t="str">
        <f t="shared" si="39"/>
        <v>2022-07</v>
      </c>
    </row>
    <row r="2509" spans="1:10" x14ac:dyDescent="0.2">
      <c r="A2509" s="2" t="s">
        <v>2202</v>
      </c>
      <c r="B2509" s="2" t="s">
        <v>47</v>
      </c>
      <c r="C2509" s="2" t="s">
        <v>142</v>
      </c>
      <c r="D2509" s="2" t="s">
        <v>2954</v>
      </c>
      <c r="E2509" s="5">
        <v>44764</v>
      </c>
      <c r="F2509" s="2">
        <v>137</v>
      </c>
      <c r="G2509" s="2" t="s">
        <v>37</v>
      </c>
      <c r="H2509" s="2" t="s">
        <v>23</v>
      </c>
      <c r="I2509" s="6">
        <v>0.05</v>
      </c>
      <c r="J2509" s="2" t="str">
        <f t="shared" si="39"/>
        <v>2022-07</v>
      </c>
    </row>
    <row r="2510" spans="1:10" x14ac:dyDescent="0.2">
      <c r="A2510" s="2" t="s">
        <v>2203</v>
      </c>
      <c r="B2510" s="2" t="s">
        <v>229</v>
      </c>
      <c r="C2510" s="2" t="s">
        <v>32</v>
      </c>
      <c r="D2510" s="2" t="s">
        <v>2954</v>
      </c>
      <c r="E2510" s="5">
        <v>44764</v>
      </c>
      <c r="F2510" s="2">
        <v>178</v>
      </c>
      <c r="G2510" s="2" t="s">
        <v>17</v>
      </c>
      <c r="H2510" s="2" t="s">
        <v>23</v>
      </c>
      <c r="I2510" s="6" t="s">
        <v>2954</v>
      </c>
      <c r="J2510" s="2" t="str">
        <f t="shared" si="39"/>
        <v>2022-07</v>
      </c>
    </row>
    <row r="2511" spans="1:10" x14ac:dyDescent="0.2">
      <c r="A2511" s="2" t="s">
        <v>2204</v>
      </c>
      <c r="B2511" s="2" t="s">
        <v>34</v>
      </c>
      <c r="C2511" s="2" t="s">
        <v>50</v>
      </c>
      <c r="D2511" s="2" t="s">
        <v>2954</v>
      </c>
      <c r="E2511" s="5">
        <v>44764</v>
      </c>
      <c r="F2511" s="2">
        <v>200</v>
      </c>
      <c r="G2511" s="2" t="s">
        <v>75</v>
      </c>
      <c r="H2511" s="2" t="s">
        <v>23</v>
      </c>
      <c r="I2511" s="6" t="s">
        <v>2954</v>
      </c>
      <c r="J2511" s="2" t="str">
        <f t="shared" si="39"/>
        <v>2022-07</v>
      </c>
    </row>
    <row r="2512" spans="1:10" x14ac:dyDescent="0.2">
      <c r="A2512" s="2" t="s">
        <v>2205</v>
      </c>
      <c r="B2512" s="2" t="s">
        <v>34</v>
      </c>
      <c r="C2512" s="2" t="s">
        <v>78</v>
      </c>
      <c r="D2512" s="2" t="s">
        <v>2954</v>
      </c>
      <c r="E2512" s="5">
        <v>44764</v>
      </c>
      <c r="F2512" s="2">
        <v>62</v>
      </c>
      <c r="G2512" s="2" t="s">
        <v>45</v>
      </c>
      <c r="H2512" s="2" t="s">
        <v>23</v>
      </c>
      <c r="I2512" s="6" t="s">
        <v>2954</v>
      </c>
      <c r="J2512" s="2" t="str">
        <f t="shared" si="39"/>
        <v>2022-07</v>
      </c>
    </row>
    <row r="2513" spans="1:10" x14ac:dyDescent="0.2">
      <c r="A2513" s="2" t="s">
        <v>1609</v>
      </c>
      <c r="B2513" s="2" t="s">
        <v>54</v>
      </c>
      <c r="C2513" s="2" t="s">
        <v>22</v>
      </c>
      <c r="D2513" s="2">
        <v>150</v>
      </c>
      <c r="E2513" s="5">
        <v>44763</v>
      </c>
      <c r="F2513" s="2">
        <v>490</v>
      </c>
      <c r="G2513" s="2" t="s">
        <v>75</v>
      </c>
      <c r="H2513" s="2" t="s">
        <v>55</v>
      </c>
      <c r="I2513" s="6">
        <v>0.25</v>
      </c>
      <c r="J2513" s="2" t="str">
        <f t="shared" si="39"/>
        <v>2022-07</v>
      </c>
    </row>
    <row r="2514" spans="1:10" x14ac:dyDescent="0.2">
      <c r="A2514" s="2" t="s">
        <v>1962</v>
      </c>
      <c r="B2514" s="2" t="s">
        <v>34</v>
      </c>
      <c r="C2514" s="2" t="s">
        <v>235</v>
      </c>
      <c r="D2514" s="2">
        <v>140</v>
      </c>
      <c r="E2514" s="5">
        <v>44763</v>
      </c>
      <c r="F2514" s="2" t="s">
        <v>2954</v>
      </c>
      <c r="G2514" s="2" t="s">
        <v>75</v>
      </c>
      <c r="H2514" s="2" t="s">
        <v>23</v>
      </c>
      <c r="I2514" s="7" t="s">
        <v>1402</v>
      </c>
      <c r="J2514" s="2" t="str">
        <f t="shared" si="39"/>
        <v>2022-07</v>
      </c>
    </row>
    <row r="2515" spans="1:10" x14ac:dyDescent="0.2">
      <c r="A2515" s="2" t="s">
        <v>2206</v>
      </c>
      <c r="B2515" s="2" t="s">
        <v>194</v>
      </c>
      <c r="C2515" s="2" t="s">
        <v>195</v>
      </c>
      <c r="D2515" s="2">
        <v>130</v>
      </c>
      <c r="E2515" s="5">
        <v>44763</v>
      </c>
      <c r="F2515" s="2" t="s">
        <v>2954</v>
      </c>
      <c r="G2515" s="2" t="s">
        <v>17</v>
      </c>
      <c r="H2515" s="2" t="s">
        <v>23</v>
      </c>
      <c r="I2515" s="6">
        <v>0.22</v>
      </c>
      <c r="J2515" s="2" t="str">
        <f t="shared" si="39"/>
        <v>2022-07</v>
      </c>
    </row>
    <row r="2516" spans="1:10" x14ac:dyDescent="0.2">
      <c r="A2516" s="2" t="s">
        <v>1636</v>
      </c>
      <c r="B2516" s="2" t="s">
        <v>89</v>
      </c>
      <c r="C2516" s="2" t="s">
        <v>117</v>
      </c>
      <c r="D2516" s="2">
        <v>95</v>
      </c>
      <c r="E2516" s="5">
        <v>44763</v>
      </c>
      <c r="F2516" s="2">
        <v>404</v>
      </c>
      <c r="G2516" s="2" t="s">
        <v>62</v>
      </c>
      <c r="H2516" s="2" t="s">
        <v>23</v>
      </c>
      <c r="I2516" s="6">
        <v>0.15</v>
      </c>
      <c r="J2516" s="2" t="str">
        <f t="shared" si="39"/>
        <v>2022-07</v>
      </c>
    </row>
    <row r="2517" spans="1:10" x14ac:dyDescent="0.2">
      <c r="A2517" s="2" t="s">
        <v>2207</v>
      </c>
      <c r="B2517" s="2" t="s">
        <v>28</v>
      </c>
      <c r="C2517" s="2" t="s">
        <v>52</v>
      </c>
      <c r="D2517" s="2">
        <v>63</v>
      </c>
      <c r="E2517" s="5">
        <v>44763</v>
      </c>
      <c r="F2517" s="2">
        <v>329</v>
      </c>
      <c r="G2517" s="2" t="s">
        <v>75</v>
      </c>
      <c r="H2517" s="2" t="s">
        <v>23</v>
      </c>
      <c r="I2517" s="6">
        <v>0.1</v>
      </c>
      <c r="J2517" s="2" t="str">
        <f t="shared" si="39"/>
        <v>2022-07</v>
      </c>
    </row>
    <row r="2518" spans="1:10" x14ac:dyDescent="0.2">
      <c r="A2518" s="2" t="s">
        <v>2208</v>
      </c>
      <c r="B2518" s="2" t="s">
        <v>25</v>
      </c>
      <c r="C2518" s="2" t="s">
        <v>11</v>
      </c>
      <c r="D2518" s="2">
        <v>60</v>
      </c>
      <c r="E2518" s="5">
        <v>44763</v>
      </c>
      <c r="F2518" s="2">
        <v>72</v>
      </c>
      <c r="G2518" s="2" t="s">
        <v>37</v>
      </c>
      <c r="H2518" s="2" t="s">
        <v>23</v>
      </c>
      <c r="I2518" s="6">
        <v>0.33</v>
      </c>
      <c r="J2518" s="2" t="str">
        <f t="shared" si="39"/>
        <v>2022-07</v>
      </c>
    </row>
    <row r="2519" spans="1:10" x14ac:dyDescent="0.2">
      <c r="A2519" s="2" t="s">
        <v>2209</v>
      </c>
      <c r="B2519" s="2" t="s">
        <v>28</v>
      </c>
      <c r="C2519" s="2" t="s">
        <v>32</v>
      </c>
      <c r="D2519" s="2">
        <v>11</v>
      </c>
      <c r="E2519" s="5">
        <v>44763</v>
      </c>
      <c r="F2519" s="2">
        <v>42</v>
      </c>
      <c r="G2519" s="2" t="s">
        <v>37</v>
      </c>
      <c r="H2519" s="2" t="s">
        <v>23</v>
      </c>
      <c r="I2519" s="6">
        <v>0.05</v>
      </c>
      <c r="J2519" s="2" t="str">
        <f t="shared" si="39"/>
        <v>2022-07</v>
      </c>
    </row>
    <row r="2520" spans="1:10" x14ac:dyDescent="0.2">
      <c r="A2520" s="2" t="s">
        <v>144</v>
      </c>
      <c r="B2520" s="2" t="s">
        <v>28</v>
      </c>
      <c r="C2520" s="2" t="s">
        <v>32</v>
      </c>
      <c r="D2520" s="2" t="s">
        <v>2954</v>
      </c>
      <c r="E2520" s="5">
        <v>44763</v>
      </c>
      <c r="F2520" s="2">
        <v>247</v>
      </c>
      <c r="G2520" s="2" t="s">
        <v>128</v>
      </c>
      <c r="H2520" s="2" t="s">
        <v>23</v>
      </c>
      <c r="I2520" s="6">
        <v>0.1</v>
      </c>
      <c r="J2520" s="2" t="str">
        <f t="shared" si="39"/>
        <v>2022-07</v>
      </c>
    </row>
    <row r="2521" spans="1:10" x14ac:dyDescent="0.2">
      <c r="A2521" s="2" t="s">
        <v>2210</v>
      </c>
      <c r="B2521" s="2" t="s">
        <v>25</v>
      </c>
      <c r="C2521" s="2" t="s">
        <v>113</v>
      </c>
      <c r="D2521" s="2" t="s">
        <v>2954</v>
      </c>
      <c r="E2521" s="5">
        <v>44763</v>
      </c>
      <c r="F2521" s="2">
        <v>45</v>
      </c>
      <c r="G2521" s="2" t="s">
        <v>37</v>
      </c>
      <c r="H2521" s="2" t="s">
        <v>23</v>
      </c>
      <c r="I2521" s="6" t="s">
        <v>2954</v>
      </c>
      <c r="J2521" s="2" t="str">
        <f t="shared" si="39"/>
        <v>2022-07</v>
      </c>
    </row>
    <row r="2522" spans="1:10" x14ac:dyDescent="0.2">
      <c r="A2522" s="2" t="s">
        <v>471</v>
      </c>
      <c r="B2522" s="2" t="s">
        <v>25</v>
      </c>
      <c r="C2522" s="2" t="s">
        <v>78</v>
      </c>
      <c r="D2522" s="2" t="s">
        <v>2954</v>
      </c>
      <c r="E2522" s="5">
        <v>44763</v>
      </c>
      <c r="F2522" s="2">
        <v>356</v>
      </c>
      <c r="G2522" s="2" t="s">
        <v>62</v>
      </c>
      <c r="H2522" s="2" t="s">
        <v>23</v>
      </c>
      <c r="I2522" s="6">
        <v>0.5</v>
      </c>
      <c r="J2522" s="2" t="str">
        <f t="shared" si="39"/>
        <v>2022-07</v>
      </c>
    </row>
    <row r="2523" spans="1:10" x14ac:dyDescent="0.2">
      <c r="A2523" s="2" t="s">
        <v>1040</v>
      </c>
      <c r="B2523" s="2" t="s">
        <v>34</v>
      </c>
      <c r="C2523" s="2" t="s">
        <v>78</v>
      </c>
      <c r="D2523" s="2" t="s">
        <v>2954</v>
      </c>
      <c r="E2523" s="5">
        <v>44763</v>
      </c>
      <c r="F2523" s="2">
        <v>192</v>
      </c>
      <c r="G2523" s="2" t="s">
        <v>66</v>
      </c>
      <c r="H2523" s="2" t="s">
        <v>23</v>
      </c>
      <c r="I2523" s="6" t="s">
        <v>2954</v>
      </c>
      <c r="J2523" s="2" t="str">
        <f t="shared" si="39"/>
        <v>2022-07</v>
      </c>
    </row>
    <row r="2524" spans="1:10" x14ac:dyDescent="0.2">
      <c r="A2524" s="2" t="s">
        <v>2211</v>
      </c>
      <c r="B2524" s="2" t="s">
        <v>43</v>
      </c>
      <c r="C2524" s="2" t="s">
        <v>29</v>
      </c>
      <c r="D2524" s="2" t="s">
        <v>2954</v>
      </c>
      <c r="E2524" s="5">
        <v>44763</v>
      </c>
      <c r="F2524" s="2" t="s">
        <v>2954</v>
      </c>
      <c r="G2524" s="2" t="s">
        <v>199</v>
      </c>
      <c r="H2524" s="2" t="s">
        <v>23</v>
      </c>
      <c r="I2524" s="6" t="s">
        <v>2954</v>
      </c>
      <c r="J2524" s="2" t="str">
        <f t="shared" si="39"/>
        <v>2022-07</v>
      </c>
    </row>
    <row r="2525" spans="1:10" x14ac:dyDescent="0.2">
      <c r="A2525" s="2" t="s">
        <v>2212</v>
      </c>
      <c r="B2525" s="2" t="s">
        <v>245</v>
      </c>
      <c r="C2525" s="2" t="s">
        <v>11</v>
      </c>
      <c r="D2525" s="2">
        <v>390</v>
      </c>
      <c r="E2525" s="5">
        <v>44762</v>
      </c>
      <c r="F2525" s="2">
        <v>2800</v>
      </c>
      <c r="G2525" s="2" t="s">
        <v>17</v>
      </c>
      <c r="H2525" s="2" t="s">
        <v>246</v>
      </c>
      <c r="I2525" s="6" t="s">
        <v>2954</v>
      </c>
      <c r="J2525" s="2" t="str">
        <f t="shared" si="39"/>
        <v>2022-07</v>
      </c>
    </row>
    <row r="2526" spans="1:10" x14ac:dyDescent="0.2">
      <c r="A2526" s="2" t="s">
        <v>502</v>
      </c>
      <c r="B2526" s="2" t="s">
        <v>28</v>
      </c>
      <c r="C2526" s="2" t="s">
        <v>148</v>
      </c>
      <c r="D2526" s="2">
        <v>200</v>
      </c>
      <c r="E2526" s="5">
        <v>44762</v>
      </c>
      <c r="F2526" s="2">
        <v>310</v>
      </c>
      <c r="G2526" s="2" t="s">
        <v>66</v>
      </c>
      <c r="H2526" s="2" t="s">
        <v>23</v>
      </c>
      <c r="I2526" s="6">
        <v>0.2</v>
      </c>
      <c r="J2526" s="2" t="str">
        <f t="shared" si="39"/>
        <v>2022-07</v>
      </c>
    </row>
    <row r="2527" spans="1:10" x14ac:dyDescent="0.2">
      <c r="A2527" s="2" t="s">
        <v>1096</v>
      </c>
      <c r="B2527" s="2" t="s">
        <v>34</v>
      </c>
      <c r="C2527" s="2" t="s">
        <v>16</v>
      </c>
      <c r="D2527" s="2">
        <v>75</v>
      </c>
      <c r="E2527" s="5">
        <v>44762</v>
      </c>
      <c r="F2527" s="2">
        <v>992</v>
      </c>
      <c r="G2527" s="2" t="s">
        <v>128</v>
      </c>
      <c r="H2527" s="2" t="s">
        <v>23</v>
      </c>
      <c r="I2527" s="6" t="s">
        <v>2954</v>
      </c>
      <c r="J2527" s="2" t="str">
        <f t="shared" si="39"/>
        <v>2022-07</v>
      </c>
    </row>
    <row r="2528" spans="1:10" x14ac:dyDescent="0.2">
      <c r="A2528" s="2" t="s">
        <v>2213</v>
      </c>
      <c r="B2528" s="2" t="s">
        <v>34</v>
      </c>
      <c r="C2528" s="2" t="s">
        <v>29</v>
      </c>
      <c r="D2528" s="2">
        <v>60</v>
      </c>
      <c r="E2528" s="5">
        <v>44762</v>
      </c>
      <c r="F2528" s="2">
        <v>48</v>
      </c>
      <c r="G2528" s="2" t="s">
        <v>66</v>
      </c>
      <c r="H2528" s="2" t="s">
        <v>23</v>
      </c>
      <c r="I2528" s="6" t="s">
        <v>2954</v>
      </c>
      <c r="J2528" s="2" t="str">
        <f t="shared" si="39"/>
        <v>2022-07</v>
      </c>
    </row>
    <row r="2529" spans="1:10" x14ac:dyDescent="0.2">
      <c r="A2529" s="2" t="s">
        <v>1151</v>
      </c>
      <c r="B2529" s="2" t="s">
        <v>34</v>
      </c>
      <c r="C2529" s="2" t="s">
        <v>52</v>
      </c>
      <c r="D2529" s="2">
        <v>60</v>
      </c>
      <c r="E2529" s="5">
        <v>44762</v>
      </c>
      <c r="F2529" s="2">
        <v>4900</v>
      </c>
      <c r="G2529" s="2" t="s">
        <v>17</v>
      </c>
      <c r="H2529" s="2" t="s">
        <v>23</v>
      </c>
      <c r="I2529" s="6">
        <v>0.02</v>
      </c>
      <c r="J2529" s="2" t="str">
        <f t="shared" si="39"/>
        <v>2022-07</v>
      </c>
    </row>
    <row r="2530" spans="1:10" x14ac:dyDescent="0.2">
      <c r="A2530" s="2" t="s">
        <v>2214</v>
      </c>
      <c r="B2530" s="2" t="s">
        <v>2215</v>
      </c>
      <c r="C2530" s="2" t="s">
        <v>50</v>
      </c>
      <c r="D2530" s="2">
        <v>57</v>
      </c>
      <c r="E2530" s="5">
        <v>44762</v>
      </c>
      <c r="F2530" s="2">
        <v>125</v>
      </c>
      <c r="G2530" s="2" t="s">
        <v>66</v>
      </c>
      <c r="H2530" s="2" t="s">
        <v>106</v>
      </c>
      <c r="I2530" s="6">
        <v>0.16</v>
      </c>
      <c r="J2530" s="2" t="str">
        <f t="shared" si="39"/>
        <v>2022-07</v>
      </c>
    </row>
    <row r="2531" spans="1:10" x14ac:dyDescent="0.2">
      <c r="A2531" s="2" t="s">
        <v>2216</v>
      </c>
      <c r="B2531" s="2" t="s">
        <v>15</v>
      </c>
      <c r="C2531" s="2" t="s">
        <v>29</v>
      </c>
      <c r="D2531" s="2">
        <v>30</v>
      </c>
      <c r="E2531" s="5">
        <v>44762</v>
      </c>
      <c r="F2531" s="2">
        <v>51</v>
      </c>
      <c r="G2531" s="2" t="s">
        <v>12</v>
      </c>
      <c r="H2531" s="2" t="s">
        <v>18</v>
      </c>
      <c r="I2531" s="6">
        <v>0.2</v>
      </c>
      <c r="J2531" s="2" t="str">
        <f t="shared" si="39"/>
        <v>2022-07</v>
      </c>
    </row>
    <row r="2532" spans="1:10" x14ac:dyDescent="0.2">
      <c r="A2532" s="2" t="s">
        <v>2217</v>
      </c>
      <c r="B2532" s="2" t="s">
        <v>25</v>
      </c>
      <c r="C2532" s="2" t="s">
        <v>235</v>
      </c>
      <c r="D2532" s="2">
        <v>23</v>
      </c>
      <c r="E2532" s="5">
        <v>44762</v>
      </c>
      <c r="F2532" s="2">
        <v>159</v>
      </c>
      <c r="G2532" s="2" t="s">
        <v>75</v>
      </c>
      <c r="H2532" s="2" t="s">
        <v>23</v>
      </c>
      <c r="I2532" s="6" t="s">
        <v>2954</v>
      </c>
      <c r="J2532" s="2" t="str">
        <f t="shared" si="39"/>
        <v>2022-07</v>
      </c>
    </row>
    <row r="2533" spans="1:10" x14ac:dyDescent="0.2">
      <c r="A2533" s="2" t="s">
        <v>2218</v>
      </c>
      <c r="B2533" s="2" t="s">
        <v>335</v>
      </c>
      <c r="C2533" s="2" t="s">
        <v>50</v>
      </c>
      <c r="D2533" s="2">
        <v>15</v>
      </c>
      <c r="E2533" s="5">
        <v>44762</v>
      </c>
      <c r="F2533" s="2">
        <v>58</v>
      </c>
      <c r="G2533" s="2" t="s">
        <v>37</v>
      </c>
      <c r="H2533" s="2" t="s">
        <v>106</v>
      </c>
      <c r="I2533" s="6">
        <v>0.09</v>
      </c>
      <c r="J2533" s="2" t="str">
        <f t="shared" si="39"/>
        <v>2022-07</v>
      </c>
    </row>
    <row r="2534" spans="1:10" x14ac:dyDescent="0.2">
      <c r="A2534" s="2" t="s">
        <v>2219</v>
      </c>
      <c r="B2534" s="2" t="s">
        <v>34</v>
      </c>
      <c r="C2534" s="2" t="s">
        <v>68</v>
      </c>
      <c r="D2534" s="2">
        <v>13</v>
      </c>
      <c r="E2534" s="5">
        <v>44762</v>
      </c>
      <c r="F2534" s="2">
        <v>1</v>
      </c>
      <c r="G2534" s="2" t="s">
        <v>132</v>
      </c>
      <c r="H2534" s="2" t="s">
        <v>23</v>
      </c>
      <c r="I2534" s="6" t="s">
        <v>2954</v>
      </c>
      <c r="J2534" s="2" t="str">
        <f t="shared" si="39"/>
        <v>2022-07</v>
      </c>
    </row>
    <row r="2535" spans="1:10" x14ac:dyDescent="0.2">
      <c r="A2535" s="2" t="s">
        <v>504</v>
      </c>
      <c r="B2535" s="2" t="s">
        <v>34</v>
      </c>
      <c r="C2535" s="2" t="s">
        <v>32</v>
      </c>
      <c r="D2535" s="2">
        <v>1000</v>
      </c>
      <c r="E2535" s="5">
        <v>44761</v>
      </c>
      <c r="F2535" s="2">
        <v>2000</v>
      </c>
      <c r="G2535" s="2" t="s">
        <v>17</v>
      </c>
      <c r="H2535" s="2" t="s">
        <v>23</v>
      </c>
      <c r="I2535" s="6" t="s">
        <v>2954</v>
      </c>
      <c r="J2535" s="2" t="str">
        <f t="shared" si="39"/>
        <v>2022-07</v>
      </c>
    </row>
    <row r="2536" spans="1:10" x14ac:dyDescent="0.2">
      <c r="A2536" s="2" t="s">
        <v>611</v>
      </c>
      <c r="B2536" s="2" t="s">
        <v>414</v>
      </c>
      <c r="C2536" s="2" t="s">
        <v>32</v>
      </c>
      <c r="D2536" s="2">
        <v>450</v>
      </c>
      <c r="E2536" s="5">
        <v>44761</v>
      </c>
      <c r="F2536" s="2">
        <v>856</v>
      </c>
      <c r="G2536" s="2" t="s">
        <v>81</v>
      </c>
      <c r="H2536" s="2" t="s">
        <v>23</v>
      </c>
      <c r="I2536" s="6">
        <v>0.31</v>
      </c>
      <c r="J2536" s="2" t="str">
        <f t="shared" si="39"/>
        <v>2022-07</v>
      </c>
    </row>
    <row r="2537" spans="1:10" x14ac:dyDescent="0.2">
      <c r="A2537" s="2" t="s">
        <v>2220</v>
      </c>
      <c r="B2537" s="2" t="s">
        <v>314</v>
      </c>
      <c r="C2537" s="2" t="s">
        <v>16</v>
      </c>
      <c r="D2537" s="2">
        <v>38</v>
      </c>
      <c r="E2537" s="5">
        <v>44761</v>
      </c>
      <c r="F2537" s="2">
        <v>323</v>
      </c>
      <c r="G2537" s="2" t="s">
        <v>128</v>
      </c>
      <c r="H2537" s="2" t="s">
        <v>23</v>
      </c>
      <c r="I2537" s="6" t="s">
        <v>2954</v>
      </c>
      <c r="J2537" s="2" t="str">
        <f t="shared" si="39"/>
        <v>2022-07</v>
      </c>
    </row>
    <row r="2538" spans="1:10" x14ac:dyDescent="0.2">
      <c r="A2538" s="2" t="s">
        <v>2221</v>
      </c>
      <c r="B2538" s="2" t="s">
        <v>74</v>
      </c>
      <c r="C2538" s="2" t="s">
        <v>142</v>
      </c>
      <c r="D2538" s="2">
        <v>28</v>
      </c>
      <c r="E2538" s="5">
        <v>44761</v>
      </c>
      <c r="F2538" s="2">
        <v>766</v>
      </c>
      <c r="G2538" s="2" t="s">
        <v>12</v>
      </c>
      <c r="H2538" s="2" t="s">
        <v>76</v>
      </c>
      <c r="I2538" s="6" t="s">
        <v>2954</v>
      </c>
      <c r="J2538" s="2" t="str">
        <f t="shared" si="39"/>
        <v>2022-07</v>
      </c>
    </row>
    <row r="2539" spans="1:10" x14ac:dyDescent="0.2">
      <c r="A2539" s="2" t="s">
        <v>2222</v>
      </c>
      <c r="B2539" s="2" t="s">
        <v>54</v>
      </c>
      <c r="C2539" s="2" t="s">
        <v>68</v>
      </c>
      <c r="D2539" s="2">
        <v>28</v>
      </c>
      <c r="E2539" s="5">
        <v>44761</v>
      </c>
      <c r="F2539" s="2" t="s">
        <v>2954</v>
      </c>
      <c r="G2539" s="2" t="s">
        <v>12</v>
      </c>
      <c r="H2539" s="2" t="s">
        <v>55</v>
      </c>
      <c r="I2539" s="6">
        <v>0.2</v>
      </c>
      <c r="J2539" s="2" t="str">
        <f t="shared" si="39"/>
        <v>2022-07</v>
      </c>
    </row>
    <row r="2540" spans="1:10" x14ac:dyDescent="0.2">
      <c r="A2540" s="2" t="s">
        <v>2223</v>
      </c>
      <c r="B2540" s="2" t="s">
        <v>25</v>
      </c>
      <c r="C2540" s="2" t="s">
        <v>32</v>
      </c>
      <c r="D2540" s="2" t="s">
        <v>2954</v>
      </c>
      <c r="E2540" s="5">
        <v>44761</v>
      </c>
      <c r="F2540" s="2">
        <v>570</v>
      </c>
      <c r="G2540" s="2" t="s">
        <v>75</v>
      </c>
      <c r="H2540" s="2" t="s">
        <v>23</v>
      </c>
      <c r="I2540" s="6">
        <v>0.13</v>
      </c>
      <c r="J2540" s="2" t="str">
        <f t="shared" si="39"/>
        <v>2022-07</v>
      </c>
    </row>
    <row r="2541" spans="1:10" x14ac:dyDescent="0.2">
      <c r="A2541" s="2" t="s">
        <v>2224</v>
      </c>
      <c r="B2541" s="2" t="s">
        <v>34</v>
      </c>
      <c r="C2541" s="2" t="s">
        <v>32</v>
      </c>
      <c r="D2541" s="2">
        <v>94</v>
      </c>
      <c r="E2541" s="5">
        <v>44760</v>
      </c>
      <c r="F2541" s="2">
        <v>200</v>
      </c>
      <c r="G2541" s="2" t="s">
        <v>66</v>
      </c>
      <c r="H2541" s="2" t="s">
        <v>23</v>
      </c>
      <c r="I2541" s="6" t="s">
        <v>2954</v>
      </c>
      <c r="J2541" s="2" t="str">
        <f t="shared" si="39"/>
        <v>2022-07</v>
      </c>
    </row>
    <row r="2542" spans="1:10" x14ac:dyDescent="0.2">
      <c r="A2542" s="2" t="s">
        <v>1521</v>
      </c>
      <c r="B2542" s="2" t="s">
        <v>25</v>
      </c>
      <c r="C2542" s="2" t="s">
        <v>22</v>
      </c>
      <c r="D2542" s="2">
        <v>68</v>
      </c>
      <c r="E2542" s="5">
        <v>44760</v>
      </c>
      <c r="F2542" s="2">
        <v>423</v>
      </c>
      <c r="G2542" s="2" t="s">
        <v>12</v>
      </c>
      <c r="H2542" s="2" t="s">
        <v>23</v>
      </c>
      <c r="I2542" s="6">
        <v>7.0000000000000007E-2</v>
      </c>
      <c r="J2542" s="2" t="str">
        <f t="shared" si="39"/>
        <v>2022-07</v>
      </c>
    </row>
    <row r="2543" spans="1:10" x14ac:dyDescent="0.2">
      <c r="A2543" s="2" t="s">
        <v>2225</v>
      </c>
      <c r="B2543" s="2" t="s">
        <v>25</v>
      </c>
      <c r="C2543" s="2" t="s">
        <v>26</v>
      </c>
      <c r="D2543" s="2">
        <v>30</v>
      </c>
      <c r="E2543" s="5">
        <v>44760</v>
      </c>
      <c r="F2543" s="2">
        <v>245</v>
      </c>
      <c r="G2543" s="2" t="s">
        <v>37</v>
      </c>
      <c r="H2543" s="2" t="s">
        <v>23</v>
      </c>
      <c r="I2543" s="6">
        <v>0.1</v>
      </c>
      <c r="J2543" s="2" t="str">
        <f t="shared" si="39"/>
        <v>2022-07</v>
      </c>
    </row>
    <row r="2544" spans="1:10" x14ac:dyDescent="0.2">
      <c r="A2544" s="2" t="s">
        <v>1753</v>
      </c>
      <c r="B2544" s="2" t="s">
        <v>34</v>
      </c>
      <c r="C2544" s="2" t="s">
        <v>32</v>
      </c>
      <c r="D2544" s="2" t="s">
        <v>2954</v>
      </c>
      <c r="E2544" s="5">
        <v>44760</v>
      </c>
      <c r="F2544" s="2">
        <v>323</v>
      </c>
      <c r="G2544" s="2" t="s">
        <v>37</v>
      </c>
      <c r="H2544" s="2" t="s">
        <v>23</v>
      </c>
      <c r="I2544" s="6" t="s">
        <v>2954</v>
      </c>
      <c r="J2544" s="2" t="str">
        <f t="shared" si="39"/>
        <v>2022-07</v>
      </c>
    </row>
    <row r="2545" spans="1:10" x14ac:dyDescent="0.2">
      <c r="A2545" s="2" t="s">
        <v>1705</v>
      </c>
      <c r="B2545" s="2" t="s">
        <v>25</v>
      </c>
      <c r="C2545" s="2" t="s">
        <v>11</v>
      </c>
      <c r="D2545" s="2" t="s">
        <v>2954</v>
      </c>
      <c r="E2545" s="5">
        <v>44760</v>
      </c>
      <c r="F2545" s="2">
        <v>107</v>
      </c>
      <c r="G2545" s="2" t="s">
        <v>45</v>
      </c>
      <c r="H2545" s="2" t="s">
        <v>23</v>
      </c>
      <c r="I2545" s="6">
        <v>0.25</v>
      </c>
      <c r="J2545" s="2" t="str">
        <f t="shared" si="39"/>
        <v>2022-07</v>
      </c>
    </row>
    <row r="2546" spans="1:10" x14ac:dyDescent="0.2">
      <c r="A2546" s="2" t="s">
        <v>1535</v>
      </c>
      <c r="B2546" s="2" t="s">
        <v>89</v>
      </c>
      <c r="C2546" s="2" t="s">
        <v>117</v>
      </c>
      <c r="D2546" s="2" t="s">
        <v>2954</v>
      </c>
      <c r="E2546" s="5">
        <v>44760</v>
      </c>
      <c r="F2546" s="2">
        <v>269</v>
      </c>
      <c r="G2546" s="2" t="s">
        <v>75</v>
      </c>
      <c r="H2546" s="2" t="s">
        <v>23</v>
      </c>
      <c r="I2546" s="7" t="s">
        <v>1402</v>
      </c>
      <c r="J2546" s="2" t="str">
        <f t="shared" si="39"/>
        <v>2022-07</v>
      </c>
    </row>
    <row r="2547" spans="1:10" x14ac:dyDescent="0.2">
      <c r="A2547" s="2" t="s">
        <v>166</v>
      </c>
      <c r="B2547" s="2" t="s">
        <v>47</v>
      </c>
      <c r="C2547" s="2" t="s">
        <v>35</v>
      </c>
      <c r="D2547" s="2" t="s">
        <v>2954</v>
      </c>
      <c r="E2547" s="5">
        <v>44760</v>
      </c>
      <c r="F2547" s="2" t="s">
        <v>2954</v>
      </c>
      <c r="G2547" s="2" t="s">
        <v>45</v>
      </c>
      <c r="H2547" s="2" t="s">
        <v>23</v>
      </c>
      <c r="I2547" s="6" t="s">
        <v>2954</v>
      </c>
      <c r="J2547" s="2" t="str">
        <f t="shared" si="39"/>
        <v>2022-07</v>
      </c>
    </row>
    <row r="2548" spans="1:10" x14ac:dyDescent="0.2">
      <c r="A2548" s="2" t="s">
        <v>1667</v>
      </c>
      <c r="B2548" s="2" t="s">
        <v>25</v>
      </c>
      <c r="C2548" s="2" t="s">
        <v>35</v>
      </c>
      <c r="D2548" s="2" t="s">
        <v>2954</v>
      </c>
      <c r="E2548" s="5">
        <v>44760</v>
      </c>
      <c r="F2548" s="2">
        <v>450</v>
      </c>
      <c r="G2548" s="2" t="s">
        <v>17</v>
      </c>
      <c r="H2548" s="2" t="s">
        <v>23</v>
      </c>
      <c r="I2548" s="6">
        <v>0.06</v>
      </c>
      <c r="J2548" s="2" t="str">
        <f t="shared" si="39"/>
        <v>2022-07</v>
      </c>
    </row>
    <row r="2549" spans="1:10" x14ac:dyDescent="0.2">
      <c r="A2549" s="2" t="s">
        <v>2226</v>
      </c>
      <c r="B2549" s="2" t="s">
        <v>100</v>
      </c>
      <c r="C2549" s="2" t="s">
        <v>16</v>
      </c>
      <c r="D2549" s="2">
        <v>100</v>
      </c>
      <c r="E2549" s="5">
        <v>44757</v>
      </c>
      <c r="F2549" s="2">
        <v>31</v>
      </c>
      <c r="G2549" s="2" t="s">
        <v>41</v>
      </c>
      <c r="H2549" s="2" t="s">
        <v>98</v>
      </c>
      <c r="I2549" s="6">
        <v>0.5</v>
      </c>
      <c r="J2549" s="2" t="str">
        <f t="shared" si="39"/>
        <v>2022-07</v>
      </c>
    </row>
    <row r="2550" spans="1:10" x14ac:dyDescent="0.2">
      <c r="A2550" s="2" t="s">
        <v>718</v>
      </c>
      <c r="B2550" s="2" t="s">
        <v>314</v>
      </c>
      <c r="C2550" s="2" t="s">
        <v>170</v>
      </c>
      <c r="D2550" s="2">
        <v>63</v>
      </c>
      <c r="E2550" s="5">
        <v>44757</v>
      </c>
      <c r="F2550" s="2">
        <v>817</v>
      </c>
      <c r="G2550" s="2" t="s">
        <v>12</v>
      </c>
      <c r="H2550" s="2" t="s">
        <v>23</v>
      </c>
      <c r="I2550" s="6">
        <v>0.05</v>
      </c>
      <c r="J2550" s="2" t="str">
        <f t="shared" si="39"/>
        <v>2022-07</v>
      </c>
    </row>
    <row r="2551" spans="1:10" x14ac:dyDescent="0.2">
      <c r="A2551" s="2" t="s">
        <v>2227</v>
      </c>
      <c r="B2551" s="2" t="s">
        <v>54</v>
      </c>
      <c r="C2551" s="2" t="s">
        <v>142</v>
      </c>
      <c r="D2551" s="2">
        <v>24</v>
      </c>
      <c r="E2551" s="5">
        <v>44757</v>
      </c>
      <c r="F2551" s="2">
        <v>265</v>
      </c>
      <c r="G2551" s="2" t="s">
        <v>12</v>
      </c>
      <c r="H2551" s="2" t="s">
        <v>23</v>
      </c>
      <c r="I2551" s="6">
        <v>0.2</v>
      </c>
      <c r="J2551" s="2" t="str">
        <f t="shared" si="39"/>
        <v>2022-07</v>
      </c>
    </row>
    <row r="2552" spans="1:10" x14ac:dyDescent="0.2">
      <c r="A2552" s="2" t="s">
        <v>2228</v>
      </c>
      <c r="B2552" s="2" t="s">
        <v>34</v>
      </c>
      <c r="C2552" s="2" t="s">
        <v>26</v>
      </c>
      <c r="D2552" s="2">
        <v>23</v>
      </c>
      <c r="E2552" s="5">
        <v>44757</v>
      </c>
      <c r="F2552" s="2">
        <v>27</v>
      </c>
      <c r="G2552" s="2" t="s">
        <v>41</v>
      </c>
      <c r="H2552" s="2" t="s">
        <v>23</v>
      </c>
      <c r="I2552" s="6" t="s">
        <v>2954</v>
      </c>
      <c r="J2552" s="2" t="str">
        <f t="shared" si="39"/>
        <v>2022-07</v>
      </c>
    </row>
    <row r="2553" spans="1:10" x14ac:dyDescent="0.2">
      <c r="A2553" s="2" t="s">
        <v>817</v>
      </c>
      <c r="B2553" s="2" t="s">
        <v>34</v>
      </c>
      <c r="C2553" s="2" t="s">
        <v>35</v>
      </c>
      <c r="D2553" s="2" t="s">
        <v>2954</v>
      </c>
      <c r="E2553" s="5">
        <v>44757</v>
      </c>
      <c r="F2553" s="2">
        <v>40</v>
      </c>
      <c r="G2553" s="2" t="s">
        <v>66</v>
      </c>
      <c r="H2553" s="2" t="s">
        <v>23</v>
      </c>
      <c r="I2553" s="6">
        <v>0.17</v>
      </c>
      <c r="J2553" s="2" t="str">
        <f t="shared" si="39"/>
        <v>2022-07</v>
      </c>
    </row>
    <row r="2554" spans="1:10" x14ac:dyDescent="0.2">
      <c r="A2554" s="2" t="s">
        <v>2229</v>
      </c>
      <c r="B2554" s="2" t="s">
        <v>54</v>
      </c>
      <c r="C2554" s="2" t="s">
        <v>16</v>
      </c>
      <c r="D2554" s="2">
        <v>85</v>
      </c>
      <c r="E2554" s="5">
        <v>44756</v>
      </c>
      <c r="F2554" s="2">
        <v>202</v>
      </c>
      <c r="G2554" s="2" t="s">
        <v>66</v>
      </c>
      <c r="H2554" s="2" t="s">
        <v>55</v>
      </c>
      <c r="I2554" s="6">
        <v>0.17</v>
      </c>
      <c r="J2554" s="2" t="str">
        <f t="shared" si="39"/>
        <v>2022-07</v>
      </c>
    </row>
    <row r="2555" spans="1:10" x14ac:dyDescent="0.2">
      <c r="A2555" s="2" t="s">
        <v>2230</v>
      </c>
      <c r="B2555" s="2" t="s">
        <v>314</v>
      </c>
      <c r="C2555" s="2" t="s">
        <v>68</v>
      </c>
      <c r="D2555" s="2">
        <v>54</v>
      </c>
      <c r="E2555" s="5">
        <v>44756</v>
      </c>
      <c r="F2555" s="2">
        <v>115</v>
      </c>
      <c r="G2555" s="2" t="s">
        <v>66</v>
      </c>
      <c r="H2555" s="2" t="s">
        <v>23</v>
      </c>
      <c r="I2555" s="6">
        <v>0.15</v>
      </c>
      <c r="J2555" s="2" t="str">
        <f t="shared" si="39"/>
        <v>2022-07</v>
      </c>
    </row>
    <row r="2556" spans="1:10" x14ac:dyDescent="0.2">
      <c r="A2556" s="2" t="s">
        <v>2231</v>
      </c>
      <c r="B2556" s="2" t="s">
        <v>34</v>
      </c>
      <c r="C2556" s="2" t="s">
        <v>22</v>
      </c>
      <c r="D2556" s="2">
        <v>42</v>
      </c>
      <c r="E2556" s="5">
        <v>44756</v>
      </c>
      <c r="F2556" s="2">
        <v>7</v>
      </c>
      <c r="G2556" s="2" t="s">
        <v>37</v>
      </c>
      <c r="H2556" s="2" t="s">
        <v>23</v>
      </c>
      <c r="I2556" s="6">
        <v>0.25</v>
      </c>
      <c r="J2556" s="2" t="str">
        <f t="shared" si="39"/>
        <v>2022-07</v>
      </c>
    </row>
    <row r="2557" spans="1:10" x14ac:dyDescent="0.2">
      <c r="A2557" s="2" t="s">
        <v>2232</v>
      </c>
      <c r="B2557" s="2" t="s">
        <v>34</v>
      </c>
      <c r="C2557" s="2" t="s">
        <v>148</v>
      </c>
      <c r="D2557" s="2">
        <v>39</v>
      </c>
      <c r="E2557" s="5">
        <v>44756</v>
      </c>
      <c r="F2557" s="2">
        <v>240</v>
      </c>
      <c r="G2557" s="2" t="s">
        <v>128</v>
      </c>
      <c r="H2557" s="2" t="s">
        <v>23</v>
      </c>
      <c r="I2557" s="6">
        <v>7.0000000000000007E-2</v>
      </c>
      <c r="J2557" s="2" t="str">
        <f t="shared" si="39"/>
        <v>2022-07</v>
      </c>
    </row>
    <row r="2558" spans="1:10" x14ac:dyDescent="0.2">
      <c r="A2558" s="2" t="s">
        <v>2233</v>
      </c>
      <c r="B2558" s="2" t="s">
        <v>34</v>
      </c>
      <c r="C2558" s="2" t="s">
        <v>32</v>
      </c>
      <c r="D2558" s="2" t="s">
        <v>2954</v>
      </c>
      <c r="E2558" s="5">
        <v>44756</v>
      </c>
      <c r="F2558" s="2">
        <v>560</v>
      </c>
      <c r="G2558" s="2" t="s">
        <v>128</v>
      </c>
      <c r="H2558" s="2" t="s">
        <v>23</v>
      </c>
      <c r="I2558" s="6" t="s">
        <v>2954</v>
      </c>
      <c r="J2558" s="2" t="str">
        <f t="shared" si="39"/>
        <v>2022-07</v>
      </c>
    </row>
    <row r="2559" spans="1:10" x14ac:dyDescent="0.2">
      <c r="A2559" s="2" t="s">
        <v>2234</v>
      </c>
      <c r="B2559" s="2" t="s">
        <v>74</v>
      </c>
      <c r="C2559" s="2" t="s">
        <v>363</v>
      </c>
      <c r="D2559" s="2" t="s">
        <v>2954</v>
      </c>
      <c r="E2559" s="5">
        <v>44756</v>
      </c>
      <c r="F2559" s="2">
        <v>45</v>
      </c>
      <c r="G2559" s="2" t="s">
        <v>37</v>
      </c>
      <c r="H2559" s="2" t="s">
        <v>76</v>
      </c>
      <c r="I2559" s="6" t="s">
        <v>2954</v>
      </c>
      <c r="J2559" s="2" t="str">
        <f t="shared" si="39"/>
        <v>2022-07</v>
      </c>
    </row>
    <row r="2560" spans="1:10" x14ac:dyDescent="0.2">
      <c r="A2560" s="2" t="s">
        <v>599</v>
      </c>
      <c r="B2560" s="2" t="s">
        <v>25</v>
      </c>
      <c r="C2560" s="2" t="s">
        <v>22</v>
      </c>
      <c r="D2560" s="2" t="s">
        <v>2954</v>
      </c>
      <c r="E2560" s="5">
        <v>44756</v>
      </c>
      <c r="F2560" s="2">
        <v>427</v>
      </c>
      <c r="G2560" s="2" t="s">
        <v>66</v>
      </c>
      <c r="H2560" s="2" t="s">
        <v>23</v>
      </c>
      <c r="I2560" s="6">
        <v>0.2</v>
      </c>
      <c r="J2560" s="2" t="str">
        <f t="shared" si="39"/>
        <v>2022-07</v>
      </c>
    </row>
    <row r="2561" spans="1:10" x14ac:dyDescent="0.2">
      <c r="A2561" s="2" t="s">
        <v>2235</v>
      </c>
      <c r="B2561" s="2" t="s">
        <v>2236</v>
      </c>
      <c r="C2561" s="2" t="s">
        <v>16</v>
      </c>
      <c r="D2561" s="2">
        <v>300</v>
      </c>
      <c r="E2561" s="5">
        <v>44755</v>
      </c>
      <c r="F2561" s="2">
        <v>292</v>
      </c>
      <c r="G2561" s="2" t="s">
        <v>41</v>
      </c>
      <c r="H2561" s="2" t="s">
        <v>2237</v>
      </c>
      <c r="I2561" s="6">
        <v>0.15</v>
      </c>
      <c r="J2561" s="2" t="str">
        <f t="shared" si="39"/>
        <v>2022-07</v>
      </c>
    </row>
    <row r="2562" spans="1:10" x14ac:dyDescent="0.2">
      <c r="A2562" s="2" t="s">
        <v>2238</v>
      </c>
      <c r="B2562" s="2" t="s">
        <v>34</v>
      </c>
      <c r="C2562" s="2" t="s">
        <v>117</v>
      </c>
      <c r="D2562" s="2">
        <v>262</v>
      </c>
      <c r="E2562" s="5">
        <v>44755</v>
      </c>
      <c r="F2562" s="2">
        <v>450</v>
      </c>
      <c r="G2562" s="2" t="s">
        <v>128</v>
      </c>
      <c r="H2562" s="2" t="s">
        <v>23</v>
      </c>
      <c r="I2562" s="7" t="s">
        <v>1402</v>
      </c>
      <c r="J2562" s="2" t="str">
        <f t="shared" si="39"/>
        <v>2022-07</v>
      </c>
    </row>
    <row r="2563" spans="1:10" x14ac:dyDescent="0.2">
      <c r="A2563" s="2" t="s">
        <v>169</v>
      </c>
      <c r="B2563" s="2" t="s">
        <v>25</v>
      </c>
      <c r="C2563" s="2" t="s">
        <v>170</v>
      </c>
      <c r="D2563" s="2">
        <v>120</v>
      </c>
      <c r="E2563" s="5">
        <v>44755</v>
      </c>
      <c r="F2563" s="2">
        <v>336</v>
      </c>
      <c r="G2563" s="2" t="s">
        <v>66</v>
      </c>
      <c r="H2563" s="2" t="s">
        <v>23</v>
      </c>
      <c r="I2563" s="6">
        <v>0.4</v>
      </c>
      <c r="J2563" s="2" t="str">
        <f t="shared" ref="J2563:J2626" si="40">TEXT(E2563,"YYYY-MM")</f>
        <v>2022-07</v>
      </c>
    </row>
    <row r="2564" spans="1:10" x14ac:dyDescent="0.2">
      <c r="A2564" s="2" t="s">
        <v>2239</v>
      </c>
      <c r="B2564" s="2" t="s">
        <v>74</v>
      </c>
      <c r="C2564" s="2" t="s">
        <v>78</v>
      </c>
      <c r="D2564" s="2">
        <v>100</v>
      </c>
      <c r="E2564" s="5">
        <v>44755</v>
      </c>
      <c r="F2564" s="2">
        <v>89</v>
      </c>
      <c r="G2564" s="2" t="s">
        <v>37</v>
      </c>
      <c r="H2564" s="2" t="s">
        <v>76</v>
      </c>
      <c r="I2564" s="6">
        <v>0.3</v>
      </c>
      <c r="J2564" s="2" t="str">
        <f t="shared" si="40"/>
        <v>2022-07</v>
      </c>
    </row>
    <row r="2565" spans="1:10" x14ac:dyDescent="0.2">
      <c r="A2565" s="2" t="s">
        <v>209</v>
      </c>
      <c r="B2565" s="2" t="s">
        <v>47</v>
      </c>
      <c r="C2565" s="2" t="s">
        <v>11</v>
      </c>
      <c r="D2565" s="2">
        <v>100</v>
      </c>
      <c r="E2565" s="5">
        <v>44755</v>
      </c>
      <c r="F2565" s="2">
        <v>64</v>
      </c>
      <c r="G2565" s="2" t="s">
        <v>66</v>
      </c>
      <c r="H2565" s="2" t="s">
        <v>23</v>
      </c>
      <c r="I2565" s="6">
        <v>0.2</v>
      </c>
      <c r="J2565" s="2" t="str">
        <f t="shared" si="40"/>
        <v>2022-07</v>
      </c>
    </row>
    <row r="2566" spans="1:10" x14ac:dyDescent="0.2">
      <c r="A2566" s="2" t="s">
        <v>2240</v>
      </c>
      <c r="B2566" s="2" t="s">
        <v>2241</v>
      </c>
      <c r="C2566" s="2" t="s">
        <v>142</v>
      </c>
      <c r="D2566" s="2">
        <v>70</v>
      </c>
      <c r="E2566" s="5">
        <v>44755</v>
      </c>
      <c r="F2566" s="2">
        <v>23</v>
      </c>
      <c r="G2566" s="2" t="s">
        <v>12</v>
      </c>
      <c r="H2566" s="2" t="s">
        <v>662</v>
      </c>
      <c r="I2566" s="6">
        <v>0.18</v>
      </c>
      <c r="J2566" s="2" t="str">
        <f t="shared" si="40"/>
        <v>2022-07</v>
      </c>
    </row>
    <row r="2567" spans="1:10" x14ac:dyDescent="0.2">
      <c r="A2567" s="2" t="s">
        <v>1634</v>
      </c>
      <c r="B2567" s="2" t="s">
        <v>47</v>
      </c>
      <c r="C2567" s="2" t="s">
        <v>35</v>
      </c>
      <c r="D2567" s="2">
        <v>12</v>
      </c>
      <c r="E2567" s="5">
        <v>44755</v>
      </c>
      <c r="F2567" s="2">
        <v>120</v>
      </c>
      <c r="G2567" s="2" t="s">
        <v>66</v>
      </c>
      <c r="H2567" s="2" t="s">
        <v>23</v>
      </c>
      <c r="I2567" s="6" t="s">
        <v>2954</v>
      </c>
      <c r="J2567" s="2" t="str">
        <f t="shared" si="40"/>
        <v>2022-07</v>
      </c>
    </row>
    <row r="2568" spans="1:10" x14ac:dyDescent="0.2">
      <c r="A2568" s="2" t="s">
        <v>1087</v>
      </c>
      <c r="B2568" s="2" t="s">
        <v>34</v>
      </c>
      <c r="C2568" s="2" t="s">
        <v>52</v>
      </c>
      <c r="D2568" s="2">
        <v>7</v>
      </c>
      <c r="E2568" s="5">
        <v>44755</v>
      </c>
      <c r="F2568" s="2">
        <v>2100</v>
      </c>
      <c r="G2568" s="2" t="s">
        <v>75</v>
      </c>
      <c r="H2568" s="2" t="s">
        <v>23</v>
      </c>
      <c r="I2568" s="6" t="s">
        <v>2954</v>
      </c>
      <c r="J2568" s="2" t="str">
        <f t="shared" si="40"/>
        <v>2022-07</v>
      </c>
    </row>
    <row r="2569" spans="1:10" x14ac:dyDescent="0.2">
      <c r="A2569" s="2" t="s">
        <v>676</v>
      </c>
      <c r="B2569" s="2" t="s">
        <v>54</v>
      </c>
      <c r="C2569" s="2" t="s">
        <v>52</v>
      </c>
      <c r="D2569" s="2" t="s">
        <v>2954</v>
      </c>
      <c r="E2569" s="5">
        <v>44755</v>
      </c>
      <c r="F2569" s="2">
        <v>629</v>
      </c>
      <c r="G2569" s="2" t="s">
        <v>17</v>
      </c>
      <c r="H2569" s="2" t="s">
        <v>55</v>
      </c>
      <c r="I2569" s="6">
        <v>0.3</v>
      </c>
      <c r="J2569" s="2" t="str">
        <f t="shared" si="40"/>
        <v>2022-07</v>
      </c>
    </row>
    <row r="2570" spans="1:10" x14ac:dyDescent="0.2">
      <c r="A2570" s="2" t="s">
        <v>2242</v>
      </c>
      <c r="B2570" s="2" t="s">
        <v>34</v>
      </c>
      <c r="C2570" s="2" t="s">
        <v>16</v>
      </c>
      <c r="D2570" s="2" t="s">
        <v>2954</v>
      </c>
      <c r="E2570" s="5">
        <v>44755</v>
      </c>
      <c r="F2570" s="2">
        <v>53</v>
      </c>
      <c r="G2570" s="2" t="s">
        <v>66</v>
      </c>
      <c r="H2570" s="2" t="s">
        <v>23</v>
      </c>
      <c r="I2570" s="6" t="s">
        <v>2954</v>
      </c>
      <c r="J2570" s="2" t="str">
        <f t="shared" si="40"/>
        <v>2022-07</v>
      </c>
    </row>
    <row r="2571" spans="1:10" x14ac:dyDescent="0.2">
      <c r="A2571" s="2" t="s">
        <v>2243</v>
      </c>
      <c r="B2571" s="2" t="s">
        <v>194</v>
      </c>
      <c r="C2571" s="2" t="s">
        <v>29</v>
      </c>
      <c r="D2571" s="2" t="s">
        <v>2954</v>
      </c>
      <c r="E2571" s="5">
        <v>44755</v>
      </c>
      <c r="F2571" s="2">
        <v>241</v>
      </c>
      <c r="G2571" s="2" t="s">
        <v>75</v>
      </c>
      <c r="H2571" s="2" t="s">
        <v>23</v>
      </c>
      <c r="I2571" s="6">
        <v>0.15</v>
      </c>
      <c r="J2571" s="2" t="str">
        <f t="shared" si="40"/>
        <v>2022-07</v>
      </c>
    </row>
    <row r="2572" spans="1:10" x14ac:dyDescent="0.2">
      <c r="A2572" s="2" t="s">
        <v>79</v>
      </c>
      <c r="B2572" s="2" t="s">
        <v>80</v>
      </c>
      <c r="C2572" s="2" t="s">
        <v>11</v>
      </c>
      <c r="D2572" s="2">
        <v>1500</v>
      </c>
      <c r="E2572" s="5">
        <v>44754</v>
      </c>
      <c r="F2572" s="2">
        <v>3400</v>
      </c>
      <c r="G2572" s="2" t="s">
        <v>81</v>
      </c>
      <c r="H2572" s="2" t="s">
        <v>23</v>
      </c>
      <c r="I2572" s="6">
        <v>0.1</v>
      </c>
      <c r="J2572" s="2" t="str">
        <f t="shared" si="40"/>
        <v>2022-07</v>
      </c>
    </row>
    <row r="2573" spans="1:10" x14ac:dyDescent="0.2">
      <c r="A2573" s="2" t="s">
        <v>2244</v>
      </c>
      <c r="B2573" s="2" t="s">
        <v>538</v>
      </c>
      <c r="C2573" s="2" t="s">
        <v>11</v>
      </c>
      <c r="D2573" s="2">
        <v>150</v>
      </c>
      <c r="E2573" s="5">
        <v>44754</v>
      </c>
      <c r="F2573" s="2">
        <v>63</v>
      </c>
      <c r="G2573" s="2" t="s">
        <v>37</v>
      </c>
      <c r="H2573" s="2" t="s">
        <v>98</v>
      </c>
      <c r="I2573" s="6" t="s">
        <v>2954</v>
      </c>
      <c r="J2573" s="2" t="str">
        <f t="shared" si="40"/>
        <v>2022-07</v>
      </c>
    </row>
    <row r="2574" spans="1:10" x14ac:dyDescent="0.2">
      <c r="A2574" s="2" t="s">
        <v>2245</v>
      </c>
      <c r="B2574" s="2" t="s">
        <v>54</v>
      </c>
      <c r="C2574" s="2" t="s">
        <v>32</v>
      </c>
      <c r="D2574" s="2">
        <v>100</v>
      </c>
      <c r="E2574" s="5">
        <v>44754</v>
      </c>
      <c r="F2574" s="2">
        <v>1100</v>
      </c>
      <c r="G2574" s="2" t="s">
        <v>17</v>
      </c>
      <c r="H2574" s="2" t="s">
        <v>55</v>
      </c>
      <c r="I2574" s="6" t="s">
        <v>2954</v>
      </c>
      <c r="J2574" s="2" t="str">
        <f t="shared" si="40"/>
        <v>2022-07</v>
      </c>
    </row>
    <row r="2575" spans="1:10" x14ac:dyDescent="0.2">
      <c r="A2575" s="2" t="s">
        <v>613</v>
      </c>
      <c r="B2575" s="2" t="s">
        <v>34</v>
      </c>
      <c r="C2575" s="2" t="s">
        <v>26</v>
      </c>
      <c r="D2575" s="2">
        <v>45</v>
      </c>
      <c r="E2575" s="5">
        <v>44754</v>
      </c>
      <c r="F2575" s="2">
        <v>153</v>
      </c>
      <c r="G2575" s="2" t="s">
        <v>37</v>
      </c>
      <c r="H2575" s="2" t="s">
        <v>23</v>
      </c>
      <c r="I2575" s="6">
        <v>0.12</v>
      </c>
      <c r="J2575" s="2" t="str">
        <f t="shared" si="40"/>
        <v>2022-07</v>
      </c>
    </row>
    <row r="2576" spans="1:10" x14ac:dyDescent="0.2">
      <c r="A2576" s="2" t="s">
        <v>2246</v>
      </c>
      <c r="B2576" s="2" t="s">
        <v>2247</v>
      </c>
      <c r="C2576" s="2" t="s">
        <v>170</v>
      </c>
      <c r="D2576" s="2" t="s">
        <v>2954</v>
      </c>
      <c r="E2576" s="5">
        <v>44754</v>
      </c>
      <c r="F2576" s="2">
        <v>109</v>
      </c>
      <c r="G2576" s="2" t="s">
        <v>37</v>
      </c>
      <c r="H2576" s="2" t="s">
        <v>421</v>
      </c>
      <c r="I2576" s="6">
        <v>1</v>
      </c>
      <c r="J2576" s="2" t="str">
        <f t="shared" si="40"/>
        <v>2022-07</v>
      </c>
    </row>
    <row r="2577" spans="1:10" x14ac:dyDescent="0.2">
      <c r="A2577" s="2" t="s">
        <v>27</v>
      </c>
      <c r="B2577" s="2" t="s">
        <v>28</v>
      </c>
      <c r="C2577" s="2" t="s">
        <v>29</v>
      </c>
      <c r="D2577" s="2" t="s">
        <v>2954</v>
      </c>
      <c r="E2577" s="5">
        <v>44754</v>
      </c>
      <c r="F2577" s="2">
        <v>1</v>
      </c>
      <c r="G2577" s="2" t="s">
        <v>17</v>
      </c>
      <c r="H2577" s="2" t="s">
        <v>23</v>
      </c>
      <c r="I2577" s="6" t="s">
        <v>2954</v>
      </c>
      <c r="J2577" s="2" t="str">
        <f t="shared" si="40"/>
        <v>2022-07</v>
      </c>
    </row>
    <row r="2578" spans="1:10" x14ac:dyDescent="0.2">
      <c r="A2578" s="2" t="s">
        <v>2248</v>
      </c>
      <c r="B2578" s="2" t="s">
        <v>34</v>
      </c>
      <c r="C2578" s="2" t="s">
        <v>142</v>
      </c>
      <c r="D2578" s="2" t="s">
        <v>2954</v>
      </c>
      <c r="E2578" s="5">
        <v>44754</v>
      </c>
      <c r="F2578" s="2">
        <v>61</v>
      </c>
      <c r="G2578" s="2" t="s">
        <v>12</v>
      </c>
      <c r="H2578" s="2" t="s">
        <v>23</v>
      </c>
      <c r="I2578" s="6" t="s">
        <v>2954</v>
      </c>
      <c r="J2578" s="2" t="str">
        <f t="shared" si="40"/>
        <v>2022-07</v>
      </c>
    </row>
    <row r="2579" spans="1:10" x14ac:dyDescent="0.2">
      <c r="A2579" s="2" t="s">
        <v>107</v>
      </c>
      <c r="B2579" s="2" t="s">
        <v>54</v>
      </c>
      <c r="C2579" s="2" t="s">
        <v>29</v>
      </c>
      <c r="D2579" s="2">
        <v>242</v>
      </c>
      <c r="E2579" s="5">
        <v>44753</v>
      </c>
      <c r="F2579" s="2">
        <v>1000</v>
      </c>
      <c r="G2579" s="2" t="s">
        <v>75</v>
      </c>
      <c r="H2579" s="2" t="s">
        <v>55</v>
      </c>
      <c r="I2579" s="6">
        <v>0.28999999999999998</v>
      </c>
      <c r="J2579" s="2" t="str">
        <f t="shared" si="40"/>
        <v>2022-07</v>
      </c>
    </row>
    <row r="2580" spans="1:10" x14ac:dyDescent="0.2">
      <c r="A2580" s="2" t="s">
        <v>1715</v>
      </c>
      <c r="B2580" s="2" t="s">
        <v>661</v>
      </c>
      <c r="C2580" s="2" t="s">
        <v>32</v>
      </c>
      <c r="D2580" s="2">
        <v>63</v>
      </c>
      <c r="E2580" s="5">
        <v>44753</v>
      </c>
      <c r="F2580" s="2">
        <v>174</v>
      </c>
      <c r="G2580" s="2" t="s">
        <v>66</v>
      </c>
      <c r="H2580" s="2" t="s">
        <v>662</v>
      </c>
      <c r="I2580" s="6" t="s">
        <v>2954</v>
      </c>
      <c r="J2580" s="2" t="str">
        <f t="shared" si="40"/>
        <v>2022-07</v>
      </c>
    </row>
    <row r="2581" spans="1:10" x14ac:dyDescent="0.2">
      <c r="A2581" s="2" t="s">
        <v>2249</v>
      </c>
      <c r="B2581" s="2" t="s">
        <v>25</v>
      </c>
      <c r="C2581" s="2" t="s">
        <v>26</v>
      </c>
      <c r="D2581" s="2">
        <v>24</v>
      </c>
      <c r="E2581" s="5">
        <v>44753</v>
      </c>
      <c r="F2581" s="2">
        <v>74</v>
      </c>
      <c r="G2581" s="2" t="s">
        <v>75</v>
      </c>
      <c r="H2581" s="2" t="s">
        <v>23</v>
      </c>
      <c r="I2581" s="6">
        <v>0.13</v>
      </c>
      <c r="J2581" s="2" t="str">
        <f t="shared" si="40"/>
        <v>2022-07</v>
      </c>
    </row>
    <row r="2582" spans="1:10" x14ac:dyDescent="0.2">
      <c r="A2582" s="2" t="s">
        <v>2250</v>
      </c>
      <c r="B2582" s="2" t="s">
        <v>362</v>
      </c>
      <c r="C2582" s="2" t="s">
        <v>11</v>
      </c>
      <c r="D2582" s="2" t="s">
        <v>2954</v>
      </c>
      <c r="E2582" s="5">
        <v>44753</v>
      </c>
      <c r="F2582" s="2">
        <v>640</v>
      </c>
      <c r="G2582" s="2" t="s">
        <v>128</v>
      </c>
      <c r="H2582" s="2" t="s">
        <v>23</v>
      </c>
      <c r="I2582" s="6" t="s">
        <v>2954</v>
      </c>
      <c r="J2582" s="2" t="str">
        <f t="shared" si="40"/>
        <v>2022-07</v>
      </c>
    </row>
    <row r="2583" spans="1:10" x14ac:dyDescent="0.2">
      <c r="A2583" s="2" t="s">
        <v>2251</v>
      </c>
      <c r="B2583" s="2" t="s">
        <v>34</v>
      </c>
      <c r="C2583" s="2" t="s">
        <v>32</v>
      </c>
      <c r="D2583" s="2" t="s">
        <v>2954</v>
      </c>
      <c r="E2583" s="5">
        <v>44753</v>
      </c>
      <c r="F2583" s="2">
        <v>225</v>
      </c>
      <c r="G2583" s="2" t="s">
        <v>75</v>
      </c>
      <c r="H2583" s="2" t="s">
        <v>23</v>
      </c>
      <c r="I2583" s="6">
        <v>0.05</v>
      </c>
      <c r="J2583" s="2" t="str">
        <f t="shared" si="40"/>
        <v>2022-07</v>
      </c>
    </row>
    <row r="2584" spans="1:10" x14ac:dyDescent="0.2">
      <c r="A2584" s="2" t="s">
        <v>2252</v>
      </c>
      <c r="B2584" s="2" t="s">
        <v>34</v>
      </c>
      <c r="C2584" s="2" t="s">
        <v>22</v>
      </c>
      <c r="D2584" s="2" t="s">
        <v>2954</v>
      </c>
      <c r="E2584" s="5">
        <v>44753</v>
      </c>
      <c r="F2584" s="2">
        <v>9</v>
      </c>
      <c r="G2584" s="2" t="s">
        <v>41</v>
      </c>
      <c r="H2584" s="2" t="s">
        <v>23</v>
      </c>
      <c r="I2584" s="6">
        <v>0.5</v>
      </c>
      <c r="J2584" s="2" t="str">
        <f t="shared" si="40"/>
        <v>2022-07</v>
      </c>
    </row>
    <row r="2585" spans="1:10" x14ac:dyDescent="0.2">
      <c r="A2585" s="2" t="s">
        <v>1080</v>
      </c>
      <c r="B2585" s="2" t="s">
        <v>60</v>
      </c>
      <c r="C2585" s="2" t="s">
        <v>11</v>
      </c>
      <c r="D2585" s="2" t="s">
        <v>2954</v>
      </c>
      <c r="E2585" s="5">
        <v>44751</v>
      </c>
      <c r="F2585" s="2">
        <v>150</v>
      </c>
      <c r="G2585" s="2" t="s">
        <v>66</v>
      </c>
      <c r="H2585" s="2" t="s">
        <v>23</v>
      </c>
      <c r="I2585" s="6" t="s">
        <v>2954</v>
      </c>
      <c r="J2585" s="2" t="str">
        <f t="shared" si="40"/>
        <v>2022-07</v>
      </c>
    </row>
    <row r="2586" spans="1:10" x14ac:dyDescent="0.2">
      <c r="A2586" s="2" t="s">
        <v>2253</v>
      </c>
      <c r="B2586" s="2" t="s">
        <v>628</v>
      </c>
      <c r="C2586" s="2" t="s">
        <v>29</v>
      </c>
      <c r="D2586" s="2">
        <v>1500</v>
      </c>
      <c r="E2586" s="5">
        <v>44750</v>
      </c>
      <c r="F2586" s="2">
        <v>184</v>
      </c>
      <c r="G2586" s="2" t="s">
        <v>66</v>
      </c>
      <c r="H2586" s="2" t="s">
        <v>224</v>
      </c>
      <c r="I2586" s="6" t="s">
        <v>2954</v>
      </c>
      <c r="J2586" s="2" t="str">
        <f t="shared" si="40"/>
        <v>2022-07</v>
      </c>
    </row>
    <row r="2587" spans="1:10" x14ac:dyDescent="0.2">
      <c r="A2587" s="2" t="s">
        <v>2254</v>
      </c>
      <c r="B2587" s="2" t="s">
        <v>25</v>
      </c>
      <c r="C2587" s="2" t="s">
        <v>11</v>
      </c>
      <c r="D2587" s="2">
        <v>1000</v>
      </c>
      <c r="E2587" s="5">
        <v>44750</v>
      </c>
      <c r="F2587" s="2">
        <v>50</v>
      </c>
      <c r="G2587" s="2" t="s">
        <v>37</v>
      </c>
      <c r="H2587" s="2" t="s">
        <v>23</v>
      </c>
      <c r="I2587" s="6">
        <v>1</v>
      </c>
      <c r="J2587" s="2" t="str">
        <f t="shared" si="40"/>
        <v>2022-07</v>
      </c>
    </row>
    <row r="2588" spans="1:10" x14ac:dyDescent="0.2">
      <c r="A2588" s="2" t="s">
        <v>1178</v>
      </c>
      <c r="B2588" s="2" t="s">
        <v>25</v>
      </c>
      <c r="C2588" s="2" t="s">
        <v>32</v>
      </c>
      <c r="D2588" s="2">
        <v>156</v>
      </c>
      <c r="E2588" s="5">
        <v>44750</v>
      </c>
      <c r="F2588" s="2">
        <v>127</v>
      </c>
      <c r="G2588" s="2" t="s">
        <v>37</v>
      </c>
      <c r="H2588" s="2" t="s">
        <v>23</v>
      </c>
      <c r="I2588" s="6">
        <v>0.24</v>
      </c>
      <c r="J2588" s="2" t="str">
        <f t="shared" si="40"/>
        <v>2022-07</v>
      </c>
    </row>
    <row r="2589" spans="1:10" x14ac:dyDescent="0.2">
      <c r="A2589" s="2" t="s">
        <v>2039</v>
      </c>
      <c r="B2589" s="2" t="s">
        <v>34</v>
      </c>
      <c r="C2589" s="2" t="s">
        <v>26</v>
      </c>
      <c r="D2589" s="2" t="s">
        <v>2954</v>
      </c>
      <c r="E2589" s="5">
        <v>44750</v>
      </c>
      <c r="F2589" s="2">
        <v>108</v>
      </c>
      <c r="G2589" s="2" t="s">
        <v>12</v>
      </c>
      <c r="H2589" s="2" t="s">
        <v>23</v>
      </c>
      <c r="I2589" s="6">
        <v>0.03</v>
      </c>
      <c r="J2589" s="2" t="str">
        <f t="shared" si="40"/>
        <v>2022-07</v>
      </c>
    </row>
    <row r="2590" spans="1:10" x14ac:dyDescent="0.2">
      <c r="A2590" s="2" t="s">
        <v>1939</v>
      </c>
      <c r="B2590" s="2" t="s">
        <v>92</v>
      </c>
      <c r="C2590" s="2" t="s">
        <v>52</v>
      </c>
      <c r="D2590" s="2">
        <v>150</v>
      </c>
      <c r="E2590" s="5">
        <v>44749</v>
      </c>
      <c r="F2590" s="2">
        <v>3600</v>
      </c>
      <c r="G2590" s="2" t="s">
        <v>12</v>
      </c>
      <c r="H2590" s="2" t="s">
        <v>23</v>
      </c>
      <c r="I2590" s="6">
        <v>0.05</v>
      </c>
      <c r="J2590" s="2" t="str">
        <f t="shared" si="40"/>
        <v>2022-07</v>
      </c>
    </row>
    <row r="2591" spans="1:10" x14ac:dyDescent="0.2">
      <c r="A2591" s="2" t="s">
        <v>2255</v>
      </c>
      <c r="B2591" s="2" t="s">
        <v>34</v>
      </c>
      <c r="C2591" s="2" t="s">
        <v>16</v>
      </c>
      <c r="D2591" s="2">
        <v>150</v>
      </c>
      <c r="E2591" s="5">
        <v>44749</v>
      </c>
      <c r="F2591" s="2">
        <v>881</v>
      </c>
      <c r="G2591" s="2" t="s">
        <v>128</v>
      </c>
      <c r="H2591" s="2" t="s">
        <v>23</v>
      </c>
      <c r="I2591" s="6">
        <v>0.17</v>
      </c>
      <c r="J2591" s="2" t="str">
        <f t="shared" si="40"/>
        <v>2022-07</v>
      </c>
    </row>
    <row r="2592" spans="1:10" x14ac:dyDescent="0.2">
      <c r="A2592" s="2" t="s">
        <v>2256</v>
      </c>
      <c r="B2592" s="2" t="s">
        <v>1579</v>
      </c>
      <c r="C2592" s="2" t="s">
        <v>26</v>
      </c>
      <c r="D2592" s="2">
        <v>40</v>
      </c>
      <c r="E2592" s="5">
        <v>44749</v>
      </c>
      <c r="F2592" s="2">
        <v>20</v>
      </c>
      <c r="G2592" s="2" t="s">
        <v>12</v>
      </c>
      <c r="H2592" s="2" t="s">
        <v>23</v>
      </c>
      <c r="I2592" s="6" t="s">
        <v>2954</v>
      </c>
      <c r="J2592" s="2" t="str">
        <f t="shared" si="40"/>
        <v>2022-07</v>
      </c>
    </row>
    <row r="2593" spans="1:10" x14ac:dyDescent="0.2">
      <c r="A2593" s="2" t="s">
        <v>2257</v>
      </c>
      <c r="B2593" s="2" t="s">
        <v>47</v>
      </c>
      <c r="C2593" s="2" t="s">
        <v>26</v>
      </c>
      <c r="D2593" s="2">
        <v>30</v>
      </c>
      <c r="E2593" s="5">
        <v>44749</v>
      </c>
      <c r="F2593" s="2">
        <v>78</v>
      </c>
      <c r="G2593" s="2" t="s">
        <v>37</v>
      </c>
      <c r="H2593" s="2" t="s">
        <v>23</v>
      </c>
      <c r="I2593" s="6">
        <v>0.18</v>
      </c>
      <c r="J2593" s="2" t="str">
        <f t="shared" si="40"/>
        <v>2022-07</v>
      </c>
    </row>
    <row r="2594" spans="1:10" x14ac:dyDescent="0.2">
      <c r="A2594" s="2" t="s">
        <v>2258</v>
      </c>
      <c r="B2594" s="2" t="s">
        <v>25</v>
      </c>
      <c r="C2594" s="2" t="s">
        <v>32</v>
      </c>
      <c r="D2594" s="2" t="s">
        <v>2954</v>
      </c>
      <c r="E2594" s="5">
        <v>44749</v>
      </c>
      <c r="F2594" s="2">
        <v>351</v>
      </c>
      <c r="G2594" s="2" t="s">
        <v>75</v>
      </c>
      <c r="H2594" s="2" t="s">
        <v>23</v>
      </c>
      <c r="I2594" s="6">
        <v>0.24</v>
      </c>
      <c r="J2594" s="2" t="str">
        <f t="shared" si="40"/>
        <v>2022-07</v>
      </c>
    </row>
    <row r="2595" spans="1:10" x14ac:dyDescent="0.2">
      <c r="A2595" s="2" t="s">
        <v>1330</v>
      </c>
      <c r="B2595" s="2" t="s">
        <v>34</v>
      </c>
      <c r="C2595" s="2" t="s">
        <v>35</v>
      </c>
      <c r="D2595" s="2" t="s">
        <v>2954</v>
      </c>
      <c r="E2595" s="5">
        <v>44749</v>
      </c>
      <c r="F2595" s="2">
        <v>5700</v>
      </c>
      <c r="G2595" s="2" t="s">
        <v>17</v>
      </c>
      <c r="H2595" s="2" t="s">
        <v>23</v>
      </c>
      <c r="I2595" s="6" t="s">
        <v>2954</v>
      </c>
      <c r="J2595" s="2" t="str">
        <f t="shared" si="40"/>
        <v>2022-07</v>
      </c>
    </row>
    <row r="2596" spans="1:10" x14ac:dyDescent="0.2">
      <c r="A2596" s="2" t="s">
        <v>2259</v>
      </c>
      <c r="B2596" s="2" t="s">
        <v>34</v>
      </c>
      <c r="C2596" s="2" t="s">
        <v>68</v>
      </c>
      <c r="D2596" s="2">
        <v>100</v>
      </c>
      <c r="E2596" s="5">
        <v>44748</v>
      </c>
      <c r="F2596" s="2">
        <v>496</v>
      </c>
      <c r="G2596" s="2" t="s">
        <v>66</v>
      </c>
      <c r="H2596" s="2" t="s">
        <v>23</v>
      </c>
      <c r="I2596" s="6">
        <v>0.09</v>
      </c>
      <c r="J2596" s="2" t="str">
        <f t="shared" si="40"/>
        <v>2022-07</v>
      </c>
    </row>
    <row r="2597" spans="1:10" x14ac:dyDescent="0.2">
      <c r="A2597" s="2" t="s">
        <v>1111</v>
      </c>
      <c r="B2597" s="2" t="s">
        <v>105</v>
      </c>
      <c r="C2597" s="2" t="s">
        <v>142</v>
      </c>
      <c r="D2597" s="2">
        <v>50</v>
      </c>
      <c r="E2597" s="5">
        <v>44748</v>
      </c>
      <c r="F2597" s="2">
        <v>122</v>
      </c>
      <c r="G2597" s="2" t="s">
        <v>17</v>
      </c>
      <c r="H2597" s="2" t="s">
        <v>106</v>
      </c>
      <c r="I2597" s="6" t="s">
        <v>2954</v>
      </c>
      <c r="J2597" s="2" t="str">
        <f t="shared" si="40"/>
        <v>2022-07</v>
      </c>
    </row>
    <row r="2598" spans="1:10" x14ac:dyDescent="0.2">
      <c r="A2598" s="2" t="s">
        <v>2260</v>
      </c>
      <c r="B2598" s="2" t="s">
        <v>15</v>
      </c>
      <c r="C2598" s="2" t="s">
        <v>243</v>
      </c>
      <c r="D2598" s="2">
        <v>35</v>
      </c>
      <c r="E2598" s="5">
        <v>44748</v>
      </c>
      <c r="F2598" s="2">
        <v>64</v>
      </c>
      <c r="G2598" s="2" t="s">
        <v>66</v>
      </c>
      <c r="H2598" s="2" t="s">
        <v>23</v>
      </c>
      <c r="I2598" s="6">
        <v>0.27</v>
      </c>
      <c r="J2598" s="2" t="str">
        <f t="shared" si="40"/>
        <v>2022-07</v>
      </c>
    </row>
    <row r="2599" spans="1:10" x14ac:dyDescent="0.2">
      <c r="A2599" s="2" t="s">
        <v>2261</v>
      </c>
      <c r="B2599" s="2" t="s">
        <v>25</v>
      </c>
      <c r="C2599" s="2" t="s">
        <v>243</v>
      </c>
      <c r="D2599" s="2">
        <v>30</v>
      </c>
      <c r="E2599" s="5">
        <v>44748</v>
      </c>
      <c r="F2599" s="2">
        <v>77</v>
      </c>
      <c r="G2599" s="2" t="s">
        <v>37</v>
      </c>
      <c r="H2599" s="2" t="s">
        <v>23</v>
      </c>
      <c r="I2599" s="6">
        <v>0.18</v>
      </c>
      <c r="J2599" s="2" t="str">
        <f t="shared" si="40"/>
        <v>2022-07</v>
      </c>
    </row>
    <row r="2600" spans="1:10" x14ac:dyDescent="0.2">
      <c r="A2600" s="2" t="s">
        <v>2260</v>
      </c>
      <c r="B2600" s="2" t="s">
        <v>15</v>
      </c>
      <c r="C2600" s="2" t="s">
        <v>243</v>
      </c>
      <c r="D2600" s="2">
        <v>15</v>
      </c>
      <c r="E2600" s="5">
        <v>44748</v>
      </c>
      <c r="F2600" s="2">
        <v>64</v>
      </c>
      <c r="G2600" s="2" t="s">
        <v>66</v>
      </c>
      <c r="H2600" s="2" t="s">
        <v>23</v>
      </c>
      <c r="I2600" s="6">
        <v>0.2</v>
      </c>
      <c r="J2600" s="2" t="str">
        <f t="shared" si="40"/>
        <v>2022-07</v>
      </c>
    </row>
    <row r="2601" spans="1:10" x14ac:dyDescent="0.2">
      <c r="A2601" s="2" t="s">
        <v>2262</v>
      </c>
      <c r="B2601" s="2" t="s">
        <v>89</v>
      </c>
      <c r="C2601" s="2" t="s">
        <v>11</v>
      </c>
      <c r="D2601" s="2" t="s">
        <v>2954</v>
      </c>
      <c r="E2601" s="5">
        <v>44748</v>
      </c>
      <c r="F2601" s="2">
        <v>344</v>
      </c>
      <c r="G2601" s="2" t="s">
        <v>37</v>
      </c>
      <c r="H2601" s="2" t="s">
        <v>23</v>
      </c>
      <c r="I2601" s="6" t="s">
        <v>2954</v>
      </c>
      <c r="J2601" s="2" t="str">
        <f t="shared" si="40"/>
        <v>2022-07</v>
      </c>
    </row>
    <row r="2602" spans="1:10" x14ac:dyDescent="0.2">
      <c r="A2602" s="2" t="s">
        <v>1302</v>
      </c>
      <c r="B2602" s="2" t="s">
        <v>661</v>
      </c>
      <c r="C2602" s="2" t="s">
        <v>148</v>
      </c>
      <c r="D2602" s="2">
        <v>384</v>
      </c>
      <c r="E2602" s="5">
        <v>44747</v>
      </c>
      <c r="F2602" s="2">
        <v>788</v>
      </c>
      <c r="G2602" s="2" t="s">
        <v>12</v>
      </c>
      <c r="H2602" s="2" t="s">
        <v>662</v>
      </c>
      <c r="I2602" s="6">
        <v>0.12</v>
      </c>
      <c r="J2602" s="2" t="str">
        <f t="shared" si="40"/>
        <v>2022-07</v>
      </c>
    </row>
    <row r="2603" spans="1:10" x14ac:dyDescent="0.2">
      <c r="A2603" s="2" t="s">
        <v>1764</v>
      </c>
      <c r="B2603" s="2" t="s">
        <v>25</v>
      </c>
      <c r="C2603" s="2" t="s">
        <v>26</v>
      </c>
      <c r="D2603" s="2">
        <v>120</v>
      </c>
      <c r="E2603" s="5">
        <v>44747</v>
      </c>
      <c r="F2603" s="2">
        <v>194</v>
      </c>
      <c r="G2603" s="2" t="s">
        <v>128</v>
      </c>
      <c r="H2603" s="2" t="s">
        <v>23</v>
      </c>
      <c r="I2603" s="6">
        <v>0.3</v>
      </c>
      <c r="J2603" s="2" t="str">
        <f t="shared" si="40"/>
        <v>2022-07</v>
      </c>
    </row>
    <row r="2604" spans="1:10" x14ac:dyDescent="0.2">
      <c r="A2604" s="2" t="s">
        <v>2263</v>
      </c>
      <c r="B2604" s="2" t="s">
        <v>15</v>
      </c>
      <c r="C2604" s="2" t="s">
        <v>16</v>
      </c>
      <c r="D2604" s="2">
        <v>100</v>
      </c>
      <c r="E2604" s="5">
        <v>44747</v>
      </c>
      <c r="F2604" s="2">
        <v>322</v>
      </c>
      <c r="G2604" s="2" t="s">
        <v>12</v>
      </c>
      <c r="H2604" s="2" t="s">
        <v>18</v>
      </c>
      <c r="I2604" s="6">
        <v>0.06</v>
      </c>
      <c r="J2604" s="2" t="str">
        <f t="shared" si="40"/>
        <v>2022-07</v>
      </c>
    </row>
    <row r="2605" spans="1:10" x14ac:dyDescent="0.2">
      <c r="A2605" s="2" t="s">
        <v>248</v>
      </c>
      <c r="B2605" s="2" t="s">
        <v>25</v>
      </c>
      <c r="C2605" s="2" t="s">
        <v>243</v>
      </c>
      <c r="D2605" s="2">
        <v>80</v>
      </c>
      <c r="E2605" s="5">
        <v>44747</v>
      </c>
      <c r="F2605" s="2">
        <v>569</v>
      </c>
      <c r="G2605" s="2" t="s">
        <v>128</v>
      </c>
      <c r="H2605" s="2" t="s">
        <v>23</v>
      </c>
      <c r="I2605" s="6">
        <v>0.1</v>
      </c>
      <c r="J2605" s="2" t="str">
        <f t="shared" si="40"/>
        <v>2022-07</v>
      </c>
    </row>
    <row r="2606" spans="1:10" x14ac:dyDescent="0.2">
      <c r="A2606" s="2" t="s">
        <v>1708</v>
      </c>
      <c r="B2606" s="2" t="s">
        <v>34</v>
      </c>
      <c r="C2606" s="2" t="s">
        <v>61</v>
      </c>
      <c r="D2606" s="2">
        <v>31</v>
      </c>
      <c r="E2606" s="5">
        <v>44747</v>
      </c>
      <c r="F2606" s="2">
        <v>240</v>
      </c>
      <c r="G2606" s="2" t="s">
        <v>75</v>
      </c>
      <c r="H2606" s="2" t="s">
        <v>23</v>
      </c>
      <c r="I2606" s="6">
        <v>0.18</v>
      </c>
      <c r="J2606" s="2" t="str">
        <f t="shared" si="40"/>
        <v>2022-07</v>
      </c>
    </row>
    <row r="2607" spans="1:10" x14ac:dyDescent="0.2">
      <c r="A2607" s="2" t="s">
        <v>2264</v>
      </c>
      <c r="B2607" s="2" t="s">
        <v>768</v>
      </c>
      <c r="C2607" s="2" t="s">
        <v>22</v>
      </c>
      <c r="D2607" s="2">
        <v>30</v>
      </c>
      <c r="E2607" s="5">
        <v>44747</v>
      </c>
      <c r="F2607" s="2">
        <v>300</v>
      </c>
      <c r="G2607" s="2" t="s">
        <v>12</v>
      </c>
      <c r="H2607" s="2" t="s">
        <v>768</v>
      </c>
      <c r="I2607" s="6">
        <v>0.08</v>
      </c>
      <c r="J2607" s="2" t="str">
        <f t="shared" si="40"/>
        <v>2022-07</v>
      </c>
    </row>
    <row r="2608" spans="1:10" x14ac:dyDescent="0.2">
      <c r="A2608" s="2" t="s">
        <v>2265</v>
      </c>
      <c r="B2608" s="2" t="s">
        <v>89</v>
      </c>
      <c r="C2608" s="2" t="s">
        <v>195</v>
      </c>
      <c r="D2608" s="2">
        <v>27</v>
      </c>
      <c r="E2608" s="5">
        <v>44747</v>
      </c>
      <c r="F2608" s="2">
        <v>583</v>
      </c>
      <c r="G2608" s="2" t="s">
        <v>41</v>
      </c>
      <c r="H2608" s="2" t="s">
        <v>23</v>
      </c>
      <c r="I2608" s="6">
        <v>7.0000000000000007E-2</v>
      </c>
      <c r="J2608" s="2" t="str">
        <f t="shared" si="40"/>
        <v>2022-07</v>
      </c>
    </row>
    <row r="2609" spans="1:10" x14ac:dyDescent="0.2">
      <c r="A2609" s="2" t="s">
        <v>2266</v>
      </c>
      <c r="B2609" s="2" t="s">
        <v>25</v>
      </c>
      <c r="C2609" s="2" t="s">
        <v>16</v>
      </c>
      <c r="D2609" s="2">
        <v>20</v>
      </c>
      <c r="E2609" s="5">
        <v>44747</v>
      </c>
      <c r="F2609" s="2">
        <v>28</v>
      </c>
      <c r="G2609" s="2" t="s">
        <v>41</v>
      </c>
      <c r="H2609" s="2" t="s">
        <v>23</v>
      </c>
      <c r="I2609" s="6">
        <v>0.33</v>
      </c>
      <c r="J2609" s="2" t="str">
        <f t="shared" si="40"/>
        <v>2022-07</v>
      </c>
    </row>
    <row r="2610" spans="1:10" x14ac:dyDescent="0.2">
      <c r="A2610" s="2" t="s">
        <v>2267</v>
      </c>
      <c r="B2610" s="2" t="s">
        <v>15</v>
      </c>
      <c r="C2610" s="2" t="s">
        <v>142</v>
      </c>
      <c r="D2610" s="2">
        <v>13</v>
      </c>
      <c r="E2610" s="5">
        <v>44747</v>
      </c>
      <c r="F2610" s="2">
        <v>71</v>
      </c>
      <c r="G2610" s="2" t="s">
        <v>66</v>
      </c>
      <c r="H2610" s="2" t="s">
        <v>18</v>
      </c>
      <c r="I2610" s="6">
        <v>0.08</v>
      </c>
      <c r="J2610" s="2" t="str">
        <f t="shared" si="40"/>
        <v>2022-07</v>
      </c>
    </row>
    <row r="2611" spans="1:10" x14ac:dyDescent="0.2">
      <c r="A2611" s="2" t="s">
        <v>2268</v>
      </c>
      <c r="B2611" s="2" t="s">
        <v>31</v>
      </c>
      <c r="C2611" s="2" t="s">
        <v>35</v>
      </c>
      <c r="D2611" s="2">
        <v>80</v>
      </c>
      <c r="E2611" s="5">
        <v>44746</v>
      </c>
      <c r="F2611" s="2">
        <v>335</v>
      </c>
      <c r="G2611" s="2" t="s">
        <v>75</v>
      </c>
      <c r="H2611" s="2" t="s">
        <v>18</v>
      </c>
      <c r="I2611" s="6">
        <v>0.12</v>
      </c>
      <c r="J2611" s="2" t="str">
        <f t="shared" si="40"/>
        <v>2022-07</v>
      </c>
    </row>
    <row r="2612" spans="1:10" x14ac:dyDescent="0.2">
      <c r="A2612" s="2" t="s">
        <v>2269</v>
      </c>
      <c r="B2612" s="2" t="s">
        <v>54</v>
      </c>
      <c r="C2612" s="2" t="s">
        <v>35</v>
      </c>
      <c r="D2612" s="2">
        <v>29</v>
      </c>
      <c r="E2612" s="5">
        <v>44746</v>
      </c>
      <c r="F2612" s="2">
        <v>0</v>
      </c>
      <c r="G2612" s="2" t="s">
        <v>45</v>
      </c>
      <c r="H2612" s="2" t="s">
        <v>55</v>
      </c>
      <c r="I2612" s="6" t="s">
        <v>2954</v>
      </c>
      <c r="J2612" s="2" t="str">
        <f t="shared" si="40"/>
        <v>2022-07</v>
      </c>
    </row>
    <row r="2613" spans="1:10" x14ac:dyDescent="0.2">
      <c r="A2613" s="2" t="s">
        <v>2270</v>
      </c>
      <c r="B2613" s="2" t="s">
        <v>273</v>
      </c>
      <c r="C2613" s="2" t="s">
        <v>170</v>
      </c>
      <c r="D2613" s="2">
        <v>27</v>
      </c>
      <c r="E2613" s="5">
        <v>44746</v>
      </c>
      <c r="F2613" s="2">
        <v>69</v>
      </c>
      <c r="G2613" s="2" t="s">
        <v>66</v>
      </c>
      <c r="H2613" s="2" t="s">
        <v>274</v>
      </c>
      <c r="I2613" s="6">
        <v>0.12</v>
      </c>
      <c r="J2613" s="2" t="str">
        <f t="shared" si="40"/>
        <v>2022-07</v>
      </c>
    </row>
    <row r="2614" spans="1:10" x14ac:dyDescent="0.2">
      <c r="A2614" s="2" t="s">
        <v>1682</v>
      </c>
      <c r="B2614" s="2" t="s">
        <v>74</v>
      </c>
      <c r="C2614" s="2" t="s">
        <v>29</v>
      </c>
      <c r="D2614" s="2">
        <v>18</v>
      </c>
      <c r="E2614" s="5">
        <v>44746</v>
      </c>
      <c r="F2614" s="2">
        <v>90</v>
      </c>
      <c r="G2614" s="2" t="s">
        <v>41</v>
      </c>
      <c r="H2614" s="2" t="s">
        <v>76</v>
      </c>
      <c r="I2614" s="6">
        <v>0.15</v>
      </c>
      <c r="J2614" s="2" t="str">
        <f t="shared" si="40"/>
        <v>2022-07</v>
      </c>
    </row>
    <row r="2615" spans="1:10" x14ac:dyDescent="0.2">
      <c r="A2615" s="2" t="s">
        <v>1141</v>
      </c>
      <c r="B2615" s="2" t="s">
        <v>273</v>
      </c>
      <c r="C2615" s="2" t="s">
        <v>35</v>
      </c>
      <c r="D2615" s="2" t="s">
        <v>2954</v>
      </c>
      <c r="E2615" s="5">
        <v>44746</v>
      </c>
      <c r="F2615" s="2">
        <v>26</v>
      </c>
      <c r="G2615" s="2" t="s">
        <v>66</v>
      </c>
      <c r="H2615" s="2" t="s">
        <v>274</v>
      </c>
      <c r="I2615" s="6" t="s">
        <v>2954</v>
      </c>
      <c r="J2615" s="2" t="str">
        <f t="shared" si="40"/>
        <v>2022-07</v>
      </c>
    </row>
    <row r="2616" spans="1:10" x14ac:dyDescent="0.2">
      <c r="A2616" s="2" t="s">
        <v>2271</v>
      </c>
      <c r="B2616" s="2" t="s">
        <v>74</v>
      </c>
      <c r="C2616" s="2" t="s">
        <v>11</v>
      </c>
      <c r="D2616" s="2">
        <v>540</v>
      </c>
      <c r="E2616" s="5">
        <v>44745</v>
      </c>
      <c r="F2616" s="2">
        <v>1300</v>
      </c>
      <c r="G2616" s="2" t="s">
        <v>66</v>
      </c>
      <c r="H2616" s="2" t="s">
        <v>76</v>
      </c>
      <c r="I2616" s="6" t="s">
        <v>2954</v>
      </c>
      <c r="J2616" s="2" t="str">
        <f t="shared" si="40"/>
        <v>2022-07</v>
      </c>
    </row>
    <row r="2617" spans="1:10" x14ac:dyDescent="0.2">
      <c r="A2617" s="2" t="s">
        <v>2272</v>
      </c>
      <c r="B2617" s="2" t="s">
        <v>25</v>
      </c>
      <c r="C2617" s="2" t="s">
        <v>22</v>
      </c>
      <c r="D2617" s="2">
        <v>150</v>
      </c>
      <c r="E2617" s="5">
        <v>44745</v>
      </c>
      <c r="F2617" s="2">
        <v>864</v>
      </c>
      <c r="G2617" s="2" t="s">
        <v>37</v>
      </c>
      <c r="H2617" s="2" t="s">
        <v>23</v>
      </c>
      <c r="I2617" s="6">
        <v>0.25</v>
      </c>
      <c r="J2617" s="2" t="str">
        <f t="shared" si="40"/>
        <v>2022-07</v>
      </c>
    </row>
    <row r="2618" spans="1:10" x14ac:dyDescent="0.2">
      <c r="A2618" s="2" t="s">
        <v>2273</v>
      </c>
      <c r="B2618" s="2" t="s">
        <v>25</v>
      </c>
      <c r="C2618" s="2" t="s">
        <v>32</v>
      </c>
      <c r="D2618" s="2" t="s">
        <v>2954</v>
      </c>
      <c r="E2618" s="5">
        <v>44744</v>
      </c>
      <c r="F2618" s="2">
        <v>263</v>
      </c>
      <c r="G2618" s="2" t="s">
        <v>75</v>
      </c>
      <c r="H2618" s="2" t="s">
        <v>23</v>
      </c>
      <c r="I2618" s="6" t="s">
        <v>2954</v>
      </c>
      <c r="J2618" s="2" t="str">
        <f t="shared" si="40"/>
        <v>2022-07</v>
      </c>
    </row>
    <row r="2619" spans="1:10" x14ac:dyDescent="0.2">
      <c r="A2619" s="2" t="s">
        <v>2274</v>
      </c>
      <c r="B2619" s="2" t="s">
        <v>273</v>
      </c>
      <c r="C2619" s="2" t="s">
        <v>32</v>
      </c>
      <c r="D2619" s="2" t="s">
        <v>2954</v>
      </c>
      <c r="E2619" s="5">
        <v>44744</v>
      </c>
      <c r="F2619" s="2">
        <v>2</v>
      </c>
      <c r="G2619" s="2" t="s">
        <v>132</v>
      </c>
      <c r="H2619" s="2" t="s">
        <v>274</v>
      </c>
      <c r="I2619" s="6" t="s">
        <v>2954</v>
      </c>
      <c r="J2619" s="2" t="str">
        <f t="shared" si="40"/>
        <v>2022-07</v>
      </c>
    </row>
    <row r="2620" spans="1:10" x14ac:dyDescent="0.2">
      <c r="A2620" s="2" t="s">
        <v>2275</v>
      </c>
      <c r="B2620" s="2" t="s">
        <v>1106</v>
      </c>
      <c r="C2620" s="2" t="s">
        <v>16</v>
      </c>
      <c r="D2620" s="2" t="s">
        <v>2954</v>
      </c>
      <c r="E2620" s="5">
        <v>44744</v>
      </c>
      <c r="F2620" s="2">
        <v>25</v>
      </c>
      <c r="G2620" s="2" t="s">
        <v>41</v>
      </c>
      <c r="H2620" s="2" t="s">
        <v>274</v>
      </c>
      <c r="I2620" s="6">
        <v>0.1</v>
      </c>
      <c r="J2620" s="2" t="str">
        <f t="shared" si="40"/>
        <v>2022-07</v>
      </c>
    </row>
    <row r="2621" spans="1:10" x14ac:dyDescent="0.2">
      <c r="A2621" s="2" t="s">
        <v>2276</v>
      </c>
      <c r="B2621" s="2" t="s">
        <v>34</v>
      </c>
      <c r="C2621" s="2" t="s">
        <v>44</v>
      </c>
      <c r="D2621" s="2">
        <v>85</v>
      </c>
      <c r="E2621" s="5">
        <v>44743</v>
      </c>
      <c r="F2621" s="2">
        <v>26</v>
      </c>
      <c r="G2621" s="2" t="s">
        <v>37</v>
      </c>
      <c r="H2621" s="2" t="s">
        <v>23</v>
      </c>
      <c r="I2621" s="6">
        <v>1</v>
      </c>
      <c r="J2621" s="2" t="str">
        <f t="shared" si="40"/>
        <v>2022-07</v>
      </c>
    </row>
    <row r="2622" spans="1:10" x14ac:dyDescent="0.2">
      <c r="A2622" s="2" t="s">
        <v>2277</v>
      </c>
      <c r="B2622" s="2" t="s">
        <v>47</v>
      </c>
      <c r="C2622" s="2" t="s">
        <v>52</v>
      </c>
      <c r="D2622" s="2">
        <v>58</v>
      </c>
      <c r="E2622" s="5">
        <v>44743</v>
      </c>
      <c r="F2622" s="2">
        <v>300</v>
      </c>
      <c r="G2622" s="2" t="s">
        <v>17</v>
      </c>
      <c r="H2622" s="2" t="s">
        <v>23</v>
      </c>
      <c r="I2622" s="6">
        <v>0.06</v>
      </c>
      <c r="J2622" s="2" t="str">
        <f t="shared" si="40"/>
        <v>2022-07</v>
      </c>
    </row>
    <row r="2623" spans="1:10" x14ac:dyDescent="0.2">
      <c r="A2623" s="2" t="s">
        <v>2278</v>
      </c>
      <c r="B2623" s="2" t="s">
        <v>2279</v>
      </c>
      <c r="C2623" s="2" t="s">
        <v>32</v>
      </c>
      <c r="D2623" s="2">
        <v>52</v>
      </c>
      <c r="E2623" s="5">
        <v>44743</v>
      </c>
      <c r="F2623" s="2" t="s">
        <v>2954</v>
      </c>
      <c r="G2623" s="2" t="s">
        <v>12</v>
      </c>
      <c r="H2623" s="2" t="s">
        <v>23</v>
      </c>
      <c r="I2623" s="6" t="s">
        <v>2954</v>
      </c>
      <c r="J2623" s="2" t="str">
        <f t="shared" si="40"/>
        <v>2022-07</v>
      </c>
    </row>
    <row r="2624" spans="1:10" x14ac:dyDescent="0.2">
      <c r="A2624" s="2" t="s">
        <v>2280</v>
      </c>
      <c r="B2624" s="2" t="s">
        <v>34</v>
      </c>
      <c r="C2624" s="2" t="s">
        <v>48</v>
      </c>
      <c r="D2624" s="2">
        <v>15</v>
      </c>
      <c r="E2624" s="5">
        <v>44743</v>
      </c>
      <c r="F2624" s="2">
        <v>169</v>
      </c>
      <c r="G2624" s="2" t="s">
        <v>66</v>
      </c>
      <c r="H2624" s="2" t="s">
        <v>23</v>
      </c>
      <c r="I2624" s="6">
        <v>0.06</v>
      </c>
      <c r="J2624" s="2" t="str">
        <f t="shared" si="40"/>
        <v>2022-07</v>
      </c>
    </row>
    <row r="2625" spans="1:10" x14ac:dyDescent="0.2">
      <c r="A2625" s="2" t="s">
        <v>2281</v>
      </c>
      <c r="B2625" s="2" t="s">
        <v>25</v>
      </c>
      <c r="C2625" s="2" t="s">
        <v>113</v>
      </c>
      <c r="D2625" s="2" t="s">
        <v>2954</v>
      </c>
      <c r="E2625" s="5">
        <v>44743</v>
      </c>
      <c r="F2625" s="2">
        <v>38</v>
      </c>
      <c r="G2625" s="2" t="s">
        <v>41</v>
      </c>
      <c r="H2625" s="2" t="s">
        <v>23</v>
      </c>
      <c r="I2625" s="6" t="s">
        <v>2954</v>
      </c>
      <c r="J2625" s="2" t="str">
        <f t="shared" si="40"/>
        <v>2022-07</v>
      </c>
    </row>
    <row r="2626" spans="1:10" x14ac:dyDescent="0.2">
      <c r="A2626" s="2" t="s">
        <v>2282</v>
      </c>
      <c r="B2626" s="2" t="s">
        <v>34</v>
      </c>
      <c r="C2626" s="2" t="s">
        <v>142</v>
      </c>
      <c r="D2626" s="2">
        <v>400</v>
      </c>
      <c r="E2626" s="5">
        <v>44742</v>
      </c>
      <c r="F2626" s="2">
        <v>310</v>
      </c>
      <c r="G2626" s="2" t="s">
        <v>17</v>
      </c>
      <c r="H2626" s="2" t="s">
        <v>23</v>
      </c>
      <c r="I2626" s="6">
        <v>0.18</v>
      </c>
      <c r="J2626" s="2" t="str">
        <f t="shared" si="40"/>
        <v>2022-06</v>
      </c>
    </row>
    <row r="2627" spans="1:10" x14ac:dyDescent="0.2">
      <c r="A2627" s="2" t="s">
        <v>2283</v>
      </c>
      <c r="B2627" s="2" t="s">
        <v>100</v>
      </c>
      <c r="C2627" s="2" t="s">
        <v>61</v>
      </c>
      <c r="D2627" s="2">
        <v>170</v>
      </c>
      <c r="E2627" s="5">
        <v>44742</v>
      </c>
      <c r="F2627" s="2">
        <v>3</v>
      </c>
      <c r="G2627" s="2" t="s">
        <v>132</v>
      </c>
      <c r="H2627" s="2" t="s">
        <v>98</v>
      </c>
      <c r="I2627" s="6">
        <v>1</v>
      </c>
      <c r="J2627" s="2" t="str">
        <f t="shared" ref="J2627:J2690" si="41">TEXT(E2627,"YYYY-MM")</f>
        <v>2022-06</v>
      </c>
    </row>
    <row r="2628" spans="1:10" x14ac:dyDescent="0.2">
      <c r="A2628" s="2" t="s">
        <v>2284</v>
      </c>
      <c r="B2628" s="2" t="s">
        <v>25</v>
      </c>
      <c r="C2628" s="2" t="s">
        <v>16</v>
      </c>
      <c r="D2628" s="2">
        <v>40</v>
      </c>
      <c r="E2628" s="5">
        <v>44742</v>
      </c>
      <c r="F2628" s="2">
        <v>480</v>
      </c>
      <c r="G2628" s="2" t="s">
        <v>12</v>
      </c>
      <c r="H2628" s="2" t="s">
        <v>23</v>
      </c>
      <c r="I2628" s="6">
        <v>0.08</v>
      </c>
      <c r="J2628" s="2" t="str">
        <f t="shared" si="41"/>
        <v>2022-06</v>
      </c>
    </row>
    <row r="2629" spans="1:10" x14ac:dyDescent="0.2">
      <c r="A2629" s="2" t="s">
        <v>1490</v>
      </c>
      <c r="B2629" s="2" t="s">
        <v>25</v>
      </c>
      <c r="C2629" s="2" t="s">
        <v>142</v>
      </c>
      <c r="D2629" s="2">
        <v>30</v>
      </c>
      <c r="E2629" s="5">
        <v>44742</v>
      </c>
      <c r="F2629" s="2">
        <v>47</v>
      </c>
      <c r="G2629" s="2" t="s">
        <v>41</v>
      </c>
      <c r="H2629" s="2" t="s">
        <v>23</v>
      </c>
      <c r="I2629" s="6">
        <v>0.2</v>
      </c>
      <c r="J2629" s="2" t="str">
        <f t="shared" si="41"/>
        <v>2022-06</v>
      </c>
    </row>
    <row r="2630" spans="1:10" x14ac:dyDescent="0.2">
      <c r="A2630" s="2" t="s">
        <v>1181</v>
      </c>
      <c r="B2630" s="2" t="s">
        <v>89</v>
      </c>
      <c r="C2630" s="2" t="s">
        <v>195</v>
      </c>
      <c r="D2630" s="2">
        <v>30</v>
      </c>
      <c r="E2630" s="5">
        <v>44742</v>
      </c>
      <c r="F2630" s="2">
        <v>849</v>
      </c>
      <c r="G2630" s="2" t="s">
        <v>62</v>
      </c>
      <c r="H2630" s="2" t="s">
        <v>23</v>
      </c>
      <c r="I2630" s="6" t="s">
        <v>2954</v>
      </c>
      <c r="J2630" s="2" t="str">
        <f t="shared" si="41"/>
        <v>2022-06</v>
      </c>
    </row>
    <row r="2631" spans="1:10" x14ac:dyDescent="0.2">
      <c r="A2631" s="2" t="s">
        <v>2285</v>
      </c>
      <c r="B2631" s="2" t="s">
        <v>284</v>
      </c>
      <c r="C2631" s="2" t="s">
        <v>78</v>
      </c>
      <c r="D2631" s="2">
        <v>20</v>
      </c>
      <c r="E2631" s="5">
        <v>44742</v>
      </c>
      <c r="F2631" s="2">
        <v>58</v>
      </c>
      <c r="G2631" s="2" t="s">
        <v>37</v>
      </c>
      <c r="H2631" s="2" t="s">
        <v>23</v>
      </c>
      <c r="I2631" s="6">
        <v>0.12</v>
      </c>
      <c r="J2631" s="2" t="str">
        <f t="shared" si="41"/>
        <v>2022-06</v>
      </c>
    </row>
    <row r="2632" spans="1:10" x14ac:dyDescent="0.2">
      <c r="A2632" s="2" t="s">
        <v>2286</v>
      </c>
      <c r="B2632" s="2" t="s">
        <v>425</v>
      </c>
      <c r="C2632" s="2" t="s">
        <v>16</v>
      </c>
      <c r="D2632" s="2">
        <v>14</v>
      </c>
      <c r="E2632" s="5">
        <v>44742</v>
      </c>
      <c r="F2632" s="2">
        <v>22</v>
      </c>
      <c r="G2632" s="2" t="s">
        <v>41</v>
      </c>
      <c r="H2632" s="2" t="s">
        <v>76</v>
      </c>
      <c r="I2632" s="6">
        <v>0.1</v>
      </c>
      <c r="J2632" s="2" t="str">
        <f t="shared" si="41"/>
        <v>2022-06</v>
      </c>
    </row>
    <row r="2633" spans="1:10" x14ac:dyDescent="0.2">
      <c r="A2633" s="2" t="s">
        <v>2287</v>
      </c>
      <c r="B2633" s="2" t="s">
        <v>34</v>
      </c>
      <c r="C2633" s="2" t="s">
        <v>22</v>
      </c>
      <c r="D2633" s="2">
        <v>12</v>
      </c>
      <c r="E2633" s="5">
        <v>44742</v>
      </c>
      <c r="F2633" s="2">
        <v>106</v>
      </c>
      <c r="G2633" s="2" t="s">
        <v>66</v>
      </c>
      <c r="H2633" s="2" t="s">
        <v>23</v>
      </c>
      <c r="I2633" s="6">
        <v>0.05</v>
      </c>
      <c r="J2633" s="2" t="str">
        <f t="shared" si="41"/>
        <v>2022-06</v>
      </c>
    </row>
    <row r="2634" spans="1:10" x14ac:dyDescent="0.2">
      <c r="A2634" s="2" t="s">
        <v>2288</v>
      </c>
      <c r="B2634" s="2" t="s">
        <v>47</v>
      </c>
      <c r="C2634" s="2" t="s">
        <v>632</v>
      </c>
      <c r="D2634" s="2" t="s">
        <v>2954</v>
      </c>
      <c r="E2634" s="5">
        <v>44742</v>
      </c>
      <c r="F2634" s="2">
        <v>5</v>
      </c>
      <c r="G2634" s="2" t="s">
        <v>132</v>
      </c>
      <c r="H2634" s="2" t="s">
        <v>23</v>
      </c>
      <c r="I2634" s="6">
        <v>1</v>
      </c>
      <c r="J2634" s="2" t="str">
        <f t="shared" si="41"/>
        <v>2022-06</v>
      </c>
    </row>
    <row r="2635" spans="1:10" x14ac:dyDescent="0.2">
      <c r="A2635" s="2" t="s">
        <v>2289</v>
      </c>
      <c r="B2635" s="2" t="s">
        <v>34</v>
      </c>
      <c r="C2635" s="2" t="s">
        <v>16</v>
      </c>
      <c r="D2635" s="2" t="s">
        <v>2954</v>
      </c>
      <c r="E2635" s="5">
        <v>44742</v>
      </c>
      <c r="F2635" s="2">
        <v>7</v>
      </c>
      <c r="G2635" s="2" t="s">
        <v>41</v>
      </c>
      <c r="H2635" s="2" t="s">
        <v>23</v>
      </c>
      <c r="I2635" s="6" t="s">
        <v>2954</v>
      </c>
      <c r="J2635" s="2" t="str">
        <f t="shared" si="41"/>
        <v>2022-06</v>
      </c>
    </row>
    <row r="2636" spans="1:10" x14ac:dyDescent="0.2">
      <c r="A2636" s="2" t="s">
        <v>2290</v>
      </c>
      <c r="B2636" s="2" t="s">
        <v>34</v>
      </c>
      <c r="C2636" s="2" t="s">
        <v>148</v>
      </c>
      <c r="D2636" s="2" t="s">
        <v>2954</v>
      </c>
      <c r="E2636" s="5">
        <v>44742</v>
      </c>
      <c r="F2636" s="2">
        <v>135</v>
      </c>
      <c r="G2636" s="2" t="s">
        <v>66</v>
      </c>
      <c r="H2636" s="2" t="s">
        <v>23</v>
      </c>
      <c r="I2636" s="6">
        <v>0.15</v>
      </c>
      <c r="J2636" s="2" t="str">
        <f t="shared" si="41"/>
        <v>2022-06</v>
      </c>
    </row>
    <row r="2637" spans="1:10" x14ac:dyDescent="0.2">
      <c r="A2637" s="2" t="s">
        <v>2291</v>
      </c>
      <c r="B2637" s="2" t="s">
        <v>538</v>
      </c>
      <c r="C2637" s="2" t="s">
        <v>61</v>
      </c>
      <c r="D2637" s="2">
        <v>350</v>
      </c>
      <c r="E2637" s="5">
        <v>44741</v>
      </c>
      <c r="F2637" s="2">
        <v>112</v>
      </c>
      <c r="G2637" s="2" t="s">
        <v>45</v>
      </c>
      <c r="H2637" s="2" t="s">
        <v>98</v>
      </c>
      <c r="I2637" s="6" t="s">
        <v>2954</v>
      </c>
      <c r="J2637" s="2" t="str">
        <f t="shared" si="41"/>
        <v>2022-06</v>
      </c>
    </row>
    <row r="2638" spans="1:10" x14ac:dyDescent="0.2">
      <c r="A2638" s="2" t="s">
        <v>456</v>
      </c>
      <c r="B2638" s="2" t="s">
        <v>34</v>
      </c>
      <c r="C2638" s="2" t="s">
        <v>29</v>
      </c>
      <c r="D2638" s="2">
        <v>200</v>
      </c>
      <c r="E2638" s="5">
        <v>44741</v>
      </c>
      <c r="F2638" s="2">
        <v>1300</v>
      </c>
      <c r="G2638" s="2" t="s">
        <v>17</v>
      </c>
      <c r="H2638" s="2" t="s">
        <v>23</v>
      </c>
      <c r="I2638" s="6">
        <v>0.04</v>
      </c>
      <c r="J2638" s="2" t="str">
        <f t="shared" si="41"/>
        <v>2022-06</v>
      </c>
    </row>
    <row r="2639" spans="1:10" x14ac:dyDescent="0.2">
      <c r="A2639" s="2" t="s">
        <v>811</v>
      </c>
      <c r="B2639" s="2" t="s">
        <v>34</v>
      </c>
      <c r="C2639" s="2" t="s">
        <v>35</v>
      </c>
      <c r="D2639" s="2">
        <v>85</v>
      </c>
      <c r="E2639" s="5">
        <v>44741</v>
      </c>
      <c r="F2639" s="2">
        <v>770</v>
      </c>
      <c r="G2639" s="2" t="s">
        <v>75</v>
      </c>
      <c r="H2639" s="2" t="s">
        <v>23</v>
      </c>
      <c r="I2639" s="6">
        <v>0.08</v>
      </c>
      <c r="J2639" s="2" t="str">
        <f t="shared" si="41"/>
        <v>2022-06</v>
      </c>
    </row>
    <row r="2640" spans="1:10" x14ac:dyDescent="0.2">
      <c r="A2640" s="2" t="s">
        <v>987</v>
      </c>
      <c r="B2640" s="2" t="s">
        <v>47</v>
      </c>
      <c r="C2640" s="2" t="s">
        <v>44</v>
      </c>
      <c r="D2640" s="2">
        <v>80</v>
      </c>
      <c r="E2640" s="5">
        <v>44741</v>
      </c>
      <c r="F2640" s="2">
        <v>811</v>
      </c>
      <c r="G2640" s="2" t="s">
        <v>12</v>
      </c>
      <c r="H2640" s="2" t="s">
        <v>23</v>
      </c>
      <c r="I2640" s="6" t="s">
        <v>2954</v>
      </c>
      <c r="J2640" s="2" t="str">
        <f t="shared" si="41"/>
        <v>2022-06</v>
      </c>
    </row>
    <row r="2641" spans="1:10" x14ac:dyDescent="0.2">
      <c r="A2641" s="2" t="s">
        <v>2292</v>
      </c>
      <c r="B2641" s="2" t="s">
        <v>28</v>
      </c>
      <c r="C2641" s="2" t="s">
        <v>243</v>
      </c>
      <c r="D2641" s="2">
        <v>80</v>
      </c>
      <c r="E2641" s="5">
        <v>44741</v>
      </c>
      <c r="F2641" s="2">
        <v>347</v>
      </c>
      <c r="G2641" s="2" t="s">
        <v>128</v>
      </c>
      <c r="H2641" s="2" t="s">
        <v>23</v>
      </c>
      <c r="I2641" s="6">
        <v>0.19</v>
      </c>
      <c r="J2641" s="2" t="str">
        <f t="shared" si="41"/>
        <v>2022-06</v>
      </c>
    </row>
    <row r="2642" spans="1:10" x14ac:dyDescent="0.2">
      <c r="A2642" s="2" t="s">
        <v>1569</v>
      </c>
      <c r="B2642" s="2" t="s">
        <v>335</v>
      </c>
      <c r="C2642" s="2" t="s">
        <v>52</v>
      </c>
      <c r="D2642" s="2">
        <v>76</v>
      </c>
      <c r="E2642" s="5">
        <v>44741</v>
      </c>
      <c r="F2642" s="2">
        <v>153</v>
      </c>
      <c r="G2642" s="2" t="s">
        <v>37</v>
      </c>
      <c r="H2642" s="2" t="s">
        <v>106</v>
      </c>
      <c r="I2642" s="6">
        <v>0.22</v>
      </c>
      <c r="J2642" s="2" t="str">
        <f t="shared" si="41"/>
        <v>2022-06</v>
      </c>
    </row>
    <row r="2643" spans="1:10" x14ac:dyDescent="0.2">
      <c r="A2643" s="2" t="s">
        <v>2293</v>
      </c>
      <c r="B2643" s="2" t="s">
        <v>1230</v>
      </c>
      <c r="C2643" s="2" t="s">
        <v>48</v>
      </c>
      <c r="D2643" s="2">
        <v>60</v>
      </c>
      <c r="E2643" s="5">
        <v>44741</v>
      </c>
      <c r="F2643" s="2">
        <v>8</v>
      </c>
      <c r="G2643" s="2" t="s">
        <v>12</v>
      </c>
      <c r="H2643" s="2" t="s">
        <v>23</v>
      </c>
      <c r="I2643" s="6" t="s">
        <v>2954</v>
      </c>
      <c r="J2643" s="2" t="str">
        <f t="shared" si="41"/>
        <v>2022-06</v>
      </c>
    </row>
    <row r="2644" spans="1:10" x14ac:dyDescent="0.2">
      <c r="A2644" s="2" t="s">
        <v>2294</v>
      </c>
      <c r="B2644" s="2" t="s">
        <v>97</v>
      </c>
      <c r="C2644" s="2" t="s">
        <v>52</v>
      </c>
      <c r="D2644" s="2">
        <v>40</v>
      </c>
      <c r="E2644" s="5">
        <v>44741</v>
      </c>
      <c r="F2644" s="2">
        <v>13</v>
      </c>
      <c r="G2644" s="2" t="s">
        <v>12</v>
      </c>
      <c r="H2644" s="2" t="s">
        <v>98</v>
      </c>
      <c r="I2644" s="6">
        <v>0.2</v>
      </c>
      <c r="J2644" s="2" t="str">
        <f t="shared" si="41"/>
        <v>2022-06</v>
      </c>
    </row>
    <row r="2645" spans="1:10" x14ac:dyDescent="0.2">
      <c r="A2645" s="2" t="s">
        <v>2295</v>
      </c>
      <c r="B2645" s="2" t="s">
        <v>74</v>
      </c>
      <c r="C2645" s="2" t="s">
        <v>29</v>
      </c>
      <c r="D2645" s="2">
        <v>18</v>
      </c>
      <c r="E2645" s="5">
        <v>44741</v>
      </c>
      <c r="F2645" s="2">
        <v>25</v>
      </c>
      <c r="G2645" s="2" t="s">
        <v>37</v>
      </c>
      <c r="H2645" s="2" t="s">
        <v>76</v>
      </c>
      <c r="I2645" s="6">
        <v>0.3</v>
      </c>
      <c r="J2645" s="2" t="str">
        <f t="shared" si="41"/>
        <v>2022-06</v>
      </c>
    </row>
    <row r="2646" spans="1:10" x14ac:dyDescent="0.2">
      <c r="A2646" s="2" t="s">
        <v>2296</v>
      </c>
      <c r="B2646" s="2" t="s">
        <v>34</v>
      </c>
      <c r="C2646" s="2" t="s">
        <v>52</v>
      </c>
      <c r="D2646" s="2">
        <v>16</v>
      </c>
      <c r="E2646" s="5">
        <v>44741</v>
      </c>
      <c r="F2646" s="2">
        <v>13</v>
      </c>
      <c r="G2646" s="2" t="s">
        <v>41</v>
      </c>
      <c r="H2646" s="2" t="s">
        <v>23</v>
      </c>
      <c r="I2646" s="6">
        <v>0.25</v>
      </c>
      <c r="J2646" s="2" t="str">
        <f t="shared" si="41"/>
        <v>2022-06</v>
      </c>
    </row>
    <row r="2647" spans="1:10" x14ac:dyDescent="0.2">
      <c r="A2647" s="2" t="s">
        <v>2297</v>
      </c>
      <c r="B2647" s="2" t="s">
        <v>34</v>
      </c>
      <c r="C2647" s="2" t="s">
        <v>235</v>
      </c>
      <c r="D2647" s="2">
        <v>13</v>
      </c>
      <c r="E2647" s="5">
        <v>44741</v>
      </c>
      <c r="F2647" s="2">
        <v>82</v>
      </c>
      <c r="G2647" s="2" t="s">
        <v>37</v>
      </c>
      <c r="H2647" s="2" t="s">
        <v>23</v>
      </c>
      <c r="I2647" s="6">
        <v>0.14000000000000001</v>
      </c>
      <c r="J2647" s="2" t="str">
        <f t="shared" si="41"/>
        <v>2022-06</v>
      </c>
    </row>
    <row r="2648" spans="1:10" x14ac:dyDescent="0.2">
      <c r="A2648" s="2" t="s">
        <v>2298</v>
      </c>
      <c r="B2648" s="2" t="s">
        <v>2299</v>
      </c>
      <c r="C2648" s="2" t="s">
        <v>142</v>
      </c>
      <c r="D2648" s="2" t="s">
        <v>2954</v>
      </c>
      <c r="E2648" s="5">
        <v>44741</v>
      </c>
      <c r="F2648" s="2" t="s">
        <v>2954</v>
      </c>
      <c r="G2648" s="2" t="s">
        <v>12</v>
      </c>
      <c r="H2648" s="2" t="s">
        <v>23</v>
      </c>
      <c r="I2648" s="6" t="s">
        <v>2954</v>
      </c>
      <c r="J2648" s="2" t="str">
        <f t="shared" si="41"/>
        <v>2022-06</v>
      </c>
    </row>
    <row r="2649" spans="1:10" x14ac:dyDescent="0.2">
      <c r="A2649" s="2" t="s">
        <v>867</v>
      </c>
      <c r="B2649" s="2" t="s">
        <v>34</v>
      </c>
      <c r="C2649" s="2" t="s">
        <v>61</v>
      </c>
      <c r="D2649" s="2" t="s">
        <v>2954</v>
      </c>
      <c r="E2649" s="5">
        <v>44741</v>
      </c>
      <c r="F2649" s="2">
        <v>411</v>
      </c>
      <c r="G2649" s="2" t="s">
        <v>75</v>
      </c>
      <c r="H2649" s="2" t="s">
        <v>23</v>
      </c>
      <c r="I2649" s="6">
        <v>0.15</v>
      </c>
      <c r="J2649" s="2" t="str">
        <f t="shared" si="41"/>
        <v>2022-06</v>
      </c>
    </row>
    <row r="2650" spans="1:10" x14ac:dyDescent="0.2">
      <c r="A2650" s="2" t="s">
        <v>2300</v>
      </c>
      <c r="B2650" s="2" t="s">
        <v>34</v>
      </c>
      <c r="C2650" s="2" t="s">
        <v>148</v>
      </c>
      <c r="D2650" s="2" t="s">
        <v>2954</v>
      </c>
      <c r="E2650" s="5">
        <v>44741</v>
      </c>
      <c r="F2650" s="2">
        <v>743</v>
      </c>
      <c r="G2650" s="2" t="s">
        <v>75</v>
      </c>
      <c r="H2650" s="2" t="s">
        <v>23</v>
      </c>
      <c r="I2650" s="6">
        <v>0.19</v>
      </c>
      <c r="J2650" s="2" t="str">
        <f t="shared" si="41"/>
        <v>2022-06</v>
      </c>
    </row>
    <row r="2651" spans="1:10" x14ac:dyDescent="0.2">
      <c r="A2651" s="2" t="s">
        <v>2301</v>
      </c>
      <c r="B2651" s="2" t="s">
        <v>34</v>
      </c>
      <c r="C2651" s="2" t="s">
        <v>142</v>
      </c>
      <c r="D2651" s="2" t="s">
        <v>2954</v>
      </c>
      <c r="E2651" s="5">
        <v>44741</v>
      </c>
      <c r="F2651" s="2">
        <v>72</v>
      </c>
      <c r="G2651" s="2" t="s">
        <v>66</v>
      </c>
      <c r="H2651" s="2" t="s">
        <v>23</v>
      </c>
      <c r="I2651" s="6" t="s">
        <v>2954</v>
      </c>
      <c r="J2651" s="2" t="str">
        <f t="shared" si="41"/>
        <v>2022-06</v>
      </c>
    </row>
    <row r="2652" spans="1:10" x14ac:dyDescent="0.2">
      <c r="A2652" s="2" t="s">
        <v>2302</v>
      </c>
      <c r="B2652" s="2" t="s">
        <v>273</v>
      </c>
      <c r="C2652" s="2" t="s">
        <v>16</v>
      </c>
      <c r="D2652" s="2" t="s">
        <v>2954</v>
      </c>
      <c r="E2652" s="5">
        <v>44741</v>
      </c>
      <c r="F2652" s="2">
        <v>90</v>
      </c>
      <c r="G2652" s="2" t="s">
        <v>128</v>
      </c>
      <c r="H2652" s="2" t="s">
        <v>274</v>
      </c>
      <c r="I2652" s="6">
        <v>1</v>
      </c>
      <c r="J2652" s="2" t="str">
        <f t="shared" si="41"/>
        <v>2022-06</v>
      </c>
    </row>
    <row r="2653" spans="1:10" x14ac:dyDescent="0.2">
      <c r="A2653" s="2" t="s">
        <v>1644</v>
      </c>
      <c r="B2653" s="2" t="s">
        <v>595</v>
      </c>
      <c r="C2653" s="2" t="s">
        <v>22</v>
      </c>
      <c r="D2653" s="2">
        <v>300</v>
      </c>
      <c r="E2653" s="5">
        <v>44740</v>
      </c>
      <c r="F2653" s="2">
        <v>2</v>
      </c>
      <c r="G2653" s="2" t="s">
        <v>12</v>
      </c>
      <c r="H2653" s="2" t="s">
        <v>224</v>
      </c>
      <c r="I2653" s="6">
        <v>0.3</v>
      </c>
      <c r="J2653" s="2" t="str">
        <f t="shared" si="41"/>
        <v>2022-06</v>
      </c>
    </row>
    <row r="2654" spans="1:10" x14ac:dyDescent="0.2">
      <c r="A2654" s="2" t="s">
        <v>2303</v>
      </c>
      <c r="B2654" s="2" t="s">
        <v>538</v>
      </c>
      <c r="C2654" s="2" t="s">
        <v>61</v>
      </c>
      <c r="D2654" s="2">
        <v>300</v>
      </c>
      <c r="E2654" s="5">
        <v>44740</v>
      </c>
      <c r="F2654" s="2">
        <v>11</v>
      </c>
      <c r="G2654" s="2" t="s">
        <v>45</v>
      </c>
      <c r="H2654" s="2" t="s">
        <v>98</v>
      </c>
      <c r="I2654" s="6" t="s">
        <v>2954</v>
      </c>
      <c r="J2654" s="2" t="str">
        <f t="shared" si="41"/>
        <v>2022-06</v>
      </c>
    </row>
    <row r="2655" spans="1:10" x14ac:dyDescent="0.2">
      <c r="A2655" s="2" t="s">
        <v>2304</v>
      </c>
      <c r="B2655" s="2" t="s">
        <v>158</v>
      </c>
      <c r="C2655" s="2" t="s">
        <v>142</v>
      </c>
      <c r="D2655" s="2">
        <v>120</v>
      </c>
      <c r="E2655" s="5">
        <v>44740</v>
      </c>
      <c r="F2655" s="2">
        <v>690</v>
      </c>
      <c r="G2655" s="2" t="s">
        <v>128</v>
      </c>
      <c r="H2655" s="2" t="s">
        <v>23</v>
      </c>
      <c r="I2655" s="6">
        <v>0.08</v>
      </c>
      <c r="J2655" s="2" t="str">
        <f t="shared" si="41"/>
        <v>2022-06</v>
      </c>
    </row>
    <row r="2656" spans="1:10" x14ac:dyDescent="0.2">
      <c r="A2656" s="2" t="s">
        <v>2305</v>
      </c>
      <c r="B2656" s="2" t="s">
        <v>47</v>
      </c>
      <c r="C2656" s="2" t="s">
        <v>32</v>
      </c>
      <c r="D2656" s="2">
        <v>110</v>
      </c>
      <c r="E2656" s="5">
        <v>44740</v>
      </c>
      <c r="F2656" s="2">
        <v>163</v>
      </c>
      <c r="G2656" s="2" t="s">
        <v>66</v>
      </c>
      <c r="H2656" s="2" t="s">
        <v>23</v>
      </c>
      <c r="I2656" s="6">
        <v>0.4</v>
      </c>
      <c r="J2656" s="2" t="str">
        <f t="shared" si="41"/>
        <v>2022-06</v>
      </c>
    </row>
    <row r="2657" spans="1:10" x14ac:dyDescent="0.2">
      <c r="A2657" s="2" t="s">
        <v>2304</v>
      </c>
      <c r="B2657" s="2" t="s">
        <v>158</v>
      </c>
      <c r="C2657" s="2" t="s">
        <v>142</v>
      </c>
      <c r="D2657" s="2">
        <v>80</v>
      </c>
      <c r="E2657" s="5">
        <v>44740</v>
      </c>
      <c r="F2657" s="2">
        <v>690</v>
      </c>
      <c r="G2657" s="2" t="s">
        <v>128</v>
      </c>
      <c r="H2657" s="2" t="s">
        <v>23</v>
      </c>
      <c r="I2657" s="6" t="s">
        <v>2954</v>
      </c>
      <c r="J2657" s="2" t="str">
        <f t="shared" si="41"/>
        <v>2022-06</v>
      </c>
    </row>
    <row r="2658" spans="1:10" x14ac:dyDescent="0.2">
      <c r="A2658" s="2" t="s">
        <v>2306</v>
      </c>
      <c r="B2658" s="2" t="s">
        <v>1827</v>
      </c>
      <c r="C2658" s="2" t="s">
        <v>32</v>
      </c>
      <c r="D2658" s="2">
        <v>50</v>
      </c>
      <c r="E2658" s="5">
        <v>44740</v>
      </c>
      <c r="F2658" s="2">
        <v>71</v>
      </c>
      <c r="G2658" s="2" t="s">
        <v>75</v>
      </c>
      <c r="H2658" s="2" t="s">
        <v>2307</v>
      </c>
      <c r="I2658" s="6">
        <v>0.1</v>
      </c>
      <c r="J2658" s="2" t="str">
        <f t="shared" si="41"/>
        <v>2022-06</v>
      </c>
    </row>
    <row r="2659" spans="1:10" x14ac:dyDescent="0.2">
      <c r="A2659" s="2" t="s">
        <v>2308</v>
      </c>
      <c r="B2659" s="2" t="s">
        <v>34</v>
      </c>
      <c r="C2659" s="2" t="s">
        <v>243</v>
      </c>
      <c r="D2659" s="2">
        <v>30</v>
      </c>
      <c r="E2659" s="5">
        <v>44740</v>
      </c>
      <c r="F2659" s="2">
        <v>250</v>
      </c>
      <c r="G2659" s="2" t="s">
        <v>12</v>
      </c>
      <c r="H2659" s="2" t="s">
        <v>18</v>
      </c>
      <c r="I2659" s="6">
        <v>0.08</v>
      </c>
      <c r="J2659" s="2" t="str">
        <f t="shared" si="41"/>
        <v>2022-06</v>
      </c>
    </row>
    <row r="2660" spans="1:10" x14ac:dyDescent="0.2">
      <c r="A2660" s="2" t="s">
        <v>2309</v>
      </c>
      <c r="B2660" s="2" t="s">
        <v>273</v>
      </c>
      <c r="C2660" s="2" t="s">
        <v>32</v>
      </c>
      <c r="D2660" s="2">
        <v>18</v>
      </c>
      <c r="E2660" s="5">
        <v>44740</v>
      </c>
      <c r="F2660" s="2">
        <v>20</v>
      </c>
      <c r="G2660" s="2" t="s">
        <v>37</v>
      </c>
      <c r="H2660" s="2" t="s">
        <v>274</v>
      </c>
      <c r="I2660" s="6">
        <v>0.5</v>
      </c>
      <c r="J2660" s="2" t="str">
        <f t="shared" si="41"/>
        <v>2022-06</v>
      </c>
    </row>
    <row r="2661" spans="1:10" x14ac:dyDescent="0.2">
      <c r="A2661" s="2" t="s">
        <v>1517</v>
      </c>
      <c r="B2661" s="2" t="s">
        <v>273</v>
      </c>
      <c r="C2661" s="2" t="s">
        <v>142</v>
      </c>
      <c r="D2661" s="2" t="s">
        <v>2954</v>
      </c>
      <c r="E2661" s="5">
        <v>44740</v>
      </c>
      <c r="F2661" s="2">
        <v>23</v>
      </c>
      <c r="G2661" s="2" t="s">
        <v>41</v>
      </c>
      <c r="H2661" s="2" t="s">
        <v>274</v>
      </c>
      <c r="I2661" s="6" t="s">
        <v>2954</v>
      </c>
      <c r="J2661" s="2" t="str">
        <f t="shared" si="41"/>
        <v>2022-06</v>
      </c>
    </row>
    <row r="2662" spans="1:10" x14ac:dyDescent="0.2">
      <c r="A2662" s="2" t="s">
        <v>2310</v>
      </c>
      <c r="B2662" s="2" t="s">
        <v>100</v>
      </c>
      <c r="C2662" s="2" t="s">
        <v>32</v>
      </c>
      <c r="D2662" s="2" t="s">
        <v>2954</v>
      </c>
      <c r="E2662" s="5">
        <v>44740</v>
      </c>
      <c r="F2662" s="2">
        <v>41</v>
      </c>
      <c r="G2662" s="2" t="s">
        <v>37</v>
      </c>
      <c r="H2662" s="2" t="s">
        <v>98</v>
      </c>
      <c r="I2662" s="6">
        <v>0.3</v>
      </c>
      <c r="J2662" s="2" t="str">
        <f t="shared" si="41"/>
        <v>2022-06</v>
      </c>
    </row>
    <row r="2663" spans="1:10" x14ac:dyDescent="0.2">
      <c r="A2663" s="2" t="s">
        <v>2311</v>
      </c>
      <c r="B2663" s="2" t="s">
        <v>217</v>
      </c>
      <c r="C2663" s="2" t="s">
        <v>142</v>
      </c>
      <c r="D2663" s="2" t="s">
        <v>2954</v>
      </c>
      <c r="E2663" s="5">
        <v>44740</v>
      </c>
      <c r="F2663" s="2">
        <v>55</v>
      </c>
      <c r="G2663" s="2" t="s">
        <v>41</v>
      </c>
      <c r="H2663" s="2" t="s">
        <v>217</v>
      </c>
      <c r="I2663" s="6">
        <v>0.1</v>
      </c>
      <c r="J2663" s="2" t="str">
        <f t="shared" si="41"/>
        <v>2022-06</v>
      </c>
    </row>
    <row r="2664" spans="1:10" x14ac:dyDescent="0.2">
      <c r="A2664" s="2" t="s">
        <v>2312</v>
      </c>
      <c r="B2664" s="2" t="s">
        <v>34</v>
      </c>
      <c r="C2664" s="2" t="s">
        <v>26</v>
      </c>
      <c r="D2664" s="2">
        <v>300</v>
      </c>
      <c r="E2664" s="5">
        <v>44739</v>
      </c>
      <c r="F2664" s="2">
        <v>1600</v>
      </c>
      <c r="G2664" s="2" t="s">
        <v>17</v>
      </c>
      <c r="H2664" s="2" t="s">
        <v>23</v>
      </c>
      <c r="I2664" s="6">
        <v>0.12</v>
      </c>
      <c r="J2664" s="2" t="str">
        <f t="shared" si="41"/>
        <v>2022-06</v>
      </c>
    </row>
    <row r="2665" spans="1:10" x14ac:dyDescent="0.2">
      <c r="A2665" s="2" t="s">
        <v>1853</v>
      </c>
      <c r="B2665" s="2" t="s">
        <v>25</v>
      </c>
      <c r="C2665" s="2" t="s">
        <v>243</v>
      </c>
      <c r="D2665" s="2">
        <v>210</v>
      </c>
      <c r="E2665" s="5">
        <v>44739</v>
      </c>
      <c r="F2665" s="2">
        <v>2000</v>
      </c>
      <c r="G2665" s="2" t="s">
        <v>17</v>
      </c>
      <c r="H2665" s="2" t="s">
        <v>23</v>
      </c>
      <c r="I2665" s="6">
        <v>0.05</v>
      </c>
      <c r="J2665" s="2" t="str">
        <f t="shared" si="41"/>
        <v>2022-06</v>
      </c>
    </row>
    <row r="2666" spans="1:10" x14ac:dyDescent="0.2">
      <c r="A2666" s="2" t="s">
        <v>490</v>
      </c>
      <c r="B2666" s="2" t="s">
        <v>100</v>
      </c>
      <c r="C2666" s="2" t="s">
        <v>142</v>
      </c>
      <c r="D2666" s="2">
        <v>180</v>
      </c>
      <c r="E2666" s="5">
        <v>44739</v>
      </c>
      <c r="F2666" s="2">
        <v>1500</v>
      </c>
      <c r="G2666" s="2" t="s">
        <v>12</v>
      </c>
      <c r="H2666" s="2" t="s">
        <v>98</v>
      </c>
      <c r="I2666" s="6">
        <v>0.04</v>
      </c>
      <c r="J2666" s="2" t="str">
        <f t="shared" si="41"/>
        <v>2022-06</v>
      </c>
    </row>
    <row r="2667" spans="1:10" x14ac:dyDescent="0.2">
      <c r="A2667" s="2" t="s">
        <v>1652</v>
      </c>
      <c r="B2667" s="2" t="s">
        <v>64</v>
      </c>
      <c r="C2667" s="2" t="s">
        <v>32</v>
      </c>
      <c r="D2667" s="2">
        <v>170</v>
      </c>
      <c r="E2667" s="5">
        <v>44739</v>
      </c>
      <c r="F2667" s="2">
        <v>999</v>
      </c>
      <c r="G2667" s="2" t="s">
        <v>17</v>
      </c>
      <c r="H2667" s="2" t="s">
        <v>23</v>
      </c>
      <c r="I2667" s="6" t="s">
        <v>2954</v>
      </c>
      <c r="J2667" s="2" t="str">
        <f t="shared" si="41"/>
        <v>2022-06</v>
      </c>
    </row>
    <row r="2668" spans="1:10" x14ac:dyDescent="0.2">
      <c r="A2668" s="2" t="s">
        <v>2313</v>
      </c>
      <c r="B2668" s="2" t="s">
        <v>831</v>
      </c>
      <c r="C2668" s="2" t="s">
        <v>22</v>
      </c>
      <c r="D2668" s="2">
        <v>70</v>
      </c>
      <c r="E2668" s="5">
        <v>44739</v>
      </c>
      <c r="F2668" s="2">
        <v>13</v>
      </c>
      <c r="G2668" s="2" t="s">
        <v>17</v>
      </c>
      <c r="H2668" s="2" t="s">
        <v>274</v>
      </c>
      <c r="I2668" s="6">
        <v>0.3</v>
      </c>
      <c r="J2668" s="2" t="str">
        <f t="shared" si="41"/>
        <v>2022-06</v>
      </c>
    </row>
    <row r="2669" spans="1:10" x14ac:dyDescent="0.2">
      <c r="A2669" s="2" t="s">
        <v>2314</v>
      </c>
      <c r="B2669" s="2" t="s">
        <v>34</v>
      </c>
      <c r="C2669" s="2" t="s">
        <v>243</v>
      </c>
      <c r="D2669" s="2">
        <v>27</v>
      </c>
      <c r="E2669" s="5">
        <v>44739</v>
      </c>
      <c r="F2669" s="2">
        <v>61</v>
      </c>
      <c r="G2669" s="2" t="s">
        <v>37</v>
      </c>
      <c r="H2669" s="2" t="s">
        <v>23</v>
      </c>
      <c r="I2669" s="6">
        <v>0.25</v>
      </c>
      <c r="J2669" s="2" t="str">
        <f t="shared" si="41"/>
        <v>2022-06</v>
      </c>
    </row>
    <row r="2670" spans="1:10" x14ac:dyDescent="0.2">
      <c r="A2670" s="2" t="s">
        <v>1326</v>
      </c>
      <c r="B2670" s="2" t="s">
        <v>314</v>
      </c>
      <c r="C2670" s="2" t="s">
        <v>16</v>
      </c>
      <c r="D2670" s="2" t="s">
        <v>2954</v>
      </c>
      <c r="E2670" s="5">
        <v>44739</v>
      </c>
      <c r="F2670" s="2">
        <v>283</v>
      </c>
      <c r="G2670" s="2" t="s">
        <v>12</v>
      </c>
      <c r="H2670" s="2" t="s">
        <v>23</v>
      </c>
      <c r="I2670" s="6">
        <v>0.18</v>
      </c>
      <c r="J2670" s="2" t="str">
        <f t="shared" si="41"/>
        <v>2022-06</v>
      </c>
    </row>
    <row r="2671" spans="1:10" x14ac:dyDescent="0.2">
      <c r="A2671" s="2" t="s">
        <v>2315</v>
      </c>
      <c r="B2671" s="2" t="s">
        <v>34</v>
      </c>
      <c r="C2671" s="2" t="s">
        <v>26</v>
      </c>
      <c r="D2671" s="2">
        <v>43</v>
      </c>
      <c r="E2671" s="5">
        <v>44738</v>
      </c>
      <c r="F2671" s="2">
        <v>106</v>
      </c>
      <c r="G2671" s="2" t="s">
        <v>66</v>
      </c>
      <c r="H2671" s="2" t="s">
        <v>23</v>
      </c>
      <c r="I2671" s="6" t="s">
        <v>2954</v>
      </c>
      <c r="J2671" s="2" t="str">
        <f t="shared" si="41"/>
        <v>2022-06</v>
      </c>
    </row>
    <row r="2672" spans="1:10" x14ac:dyDescent="0.2">
      <c r="A2672" s="2" t="s">
        <v>2316</v>
      </c>
      <c r="B2672" s="2" t="s">
        <v>392</v>
      </c>
      <c r="C2672" s="2" t="s">
        <v>22</v>
      </c>
      <c r="D2672" s="2">
        <v>270</v>
      </c>
      <c r="E2672" s="5">
        <v>44736</v>
      </c>
      <c r="F2672" s="2">
        <v>546</v>
      </c>
      <c r="G2672" s="2" t="s">
        <v>66</v>
      </c>
      <c r="H2672" s="2" t="s">
        <v>393</v>
      </c>
      <c r="I2672" s="6">
        <v>0.27</v>
      </c>
      <c r="J2672" s="2" t="str">
        <f t="shared" si="41"/>
        <v>2022-06</v>
      </c>
    </row>
    <row r="2673" spans="1:10" x14ac:dyDescent="0.2">
      <c r="A2673" s="2" t="s">
        <v>2317</v>
      </c>
      <c r="B2673" s="2" t="s">
        <v>115</v>
      </c>
      <c r="C2673" s="2" t="s">
        <v>16</v>
      </c>
      <c r="D2673" s="2">
        <v>90</v>
      </c>
      <c r="E2673" s="5">
        <v>44736</v>
      </c>
      <c r="F2673" s="2">
        <v>124</v>
      </c>
      <c r="G2673" s="2" t="s">
        <v>41</v>
      </c>
      <c r="H2673" s="2" t="s">
        <v>23</v>
      </c>
      <c r="I2673" s="6">
        <v>0.23</v>
      </c>
      <c r="J2673" s="2" t="str">
        <f t="shared" si="41"/>
        <v>2022-06</v>
      </c>
    </row>
    <row r="2674" spans="1:10" x14ac:dyDescent="0.2">
      <c r="A2674" s="2" t="s">
        <v>2318</v>
      </c>
      <c r="B2674" s="2" t="s">
        <v>406</v>
      </c>
      <c r="C2674" s="2" t="s">
        <v>16</v>
      </c>
      <c r="D2674" s="2">
        <v>41</v>
      </c>
      <c r="E2674" s="5">
        <v>44736</v>
      </c>
      <c r="F2674" s="2">
        <v>137</v>
      </c>
      <c r="G2674" s="2" t="s">
        <v>66</v>
      </c>
      <c r="H2674" s="2" t="s">
        <v>23</v>
      </c>
      <c r="I2674" s="6">
        <v>0.14000000000000001</v>
      </c>
      <c r="J2674" s="2" t="str">
        <f t="shared" si="41"/>
        <v>2022-06</v>
      </c>
    </row>
    <row r="2675" spans="1:10" x14ac:dyDescent="0.2">
      <c r="A2675" s="2" t="s">
        <v>1353</v>
      </c>
      <c r="B2675" s="2" t="s">
        <v>34</v>
      </c>
      <c r="C2675" s="2" t="s">
        <v>16</v>
      </c>
      <c r="D2675" s="2">
        <v>40</v>
      </c>
      <c r="E2675" s="5">
        <v>44736</v>
      </c>
      <c r="F2675" s="2">
        <v>406</v>
      </c>
      <c r="G2675" s="2" t="s">
        <v>75</v>
      </c>
      <c r="H2675" s="2" t="s">
        <v>23</v>
      </c>
      <c r="I2675" s="6">
        <v>0.12</v>
      </c>
      <c r="J2675" s="2" t="str">
        <f t="shared" si="41"/>
        <v>2022-06</v>
      </c>
    </row>
    <row r="2676" spans="1:10" x14ac:dyDescent="0.2">
      <c r="A2676" s="2" t="s">
        <v>2319</v>
      </c>
      <c r="B2676" s="2" t="s">
        <v>25</v>
      </c>
      <c r="C2676" s="2" t="s">
        <v>142</v>
      </c>
      <c r="D2676" s="2" t="s">
        <v>2954</v>
      </c>
      <c r="E2676" s="5">
        <v>44736</v>
      </c>
      <c r="F2676" s="2">
        <v>76</v>
      </c>
      <c r="G2676" s="2" t="s">
        <v>12</v>
      </c>
      <c r="H2676" s="2" t="s">
        <v>23</v>
      </c>
      <c r="I2676" s="6" t="s">
        <v>2954</v>
      </c>
      <c r="J2676" s="2" t="str">
        <f t="shared" si="41"/>
        <v>2022-06</v>
      </c>
    </row>
    <row r="2677" spans="1:10" x14ac:dyDescent="0.2">
      <c r="A2677" s="2" t="s">
        <v>2320</v>
      </c>
      <c r="B2677" s="2" t="s">
        <v>89</v>
      </c>
      <c r="C2677" s="2" t="s">
        <v>32</v>
      </c>
      <c r="D2677" s="2" t="s">
        <v>2954</v>
      </c>
      <c r="E2677" s="5">
        <v>44736</v>
      </c>
      <c r="F2677" s="2">
        <v>45</v>
      </c>
      <c r="G2677" s="2" t="s">
        <v>37</v>
      </c>
      <c r="H2677" s="2" t="s">
        <v>23</v>
      </c>
      <c r="I2677" s="6" t="s">
        <v>2954</v>
      </c>
      <c r="J2677" s="2" t="str">
        <f t="shared" si="41"/>
        <v>2022-06</v>
      </c>
    </row>
    <row r="2678" spans="1:10" x14ac:dyDescent="0.2">
      <c r="A2678" s="2" t="s">
        <v>2040</v>
      </c>
      <c r="B2678" s="2" t="s">
        <v>34</v>
      </c>
      <c r="C2678" s="2" t="s">
        <v>235</v>
      </c>
      <c r="D2678" s="2">
        <v>300</v>
      </c>
      <c r="E2678" s="5">
        <v>44735</v>
      </c>
      <c r="F2678" s="2">
        <v>121900</v>
      </c>
      <c r="G2678" s="2" t="s">
        <v>17</v>
      </c>
      <c r="H2678" s="2" t="s">
        <v>23</v>
      </c>
      <c r="I2678" s="6">
        <v>0.03</v>
      </c>
      <c r="J2678" s="2" t="str">
        <f t="shared" si="41"/>
        <v>2022-06</v>
      </c>
    </row>
    <row r="2679" spans="1:10" x14ac:dyDescent="0.2">
      <c r="A2679" s="2" t="s">
        <v>2321</v>
      </c>
      <c r="B2679" s="2" t="s">
        <v>89</v>
      </c>
      <c r="C2679" s="2" t="s">
        <v>195</v>
      </c>
      <c r="D2679" s="2">
        <v>70</v>
      </c>
      <c r="E2679" s="5">
        <v>44735</v>
      </c>
      <c r="F2679" s="2">
        <v>500</v>
      </c>
      <c r="G2679" s="2" t="s">
        <v>62</v>
      </c>
      <c r="H2679" s="2" t="s">
        <v>23</v>
      </c>
      <c r="I2679" s="6">
        <v>0.09</v>
      </c>
      <c r="J2679" s="2" t="str">
        <f t="shared" si="41"/>
        <v>2022-06</v>
      </c>
    </row>
    <row r="2680" spans="1:10" x14ac:dyDescent="0.2">
      <c r="A2680" s="2" t="s">
        <v>2322</v>
      </c>
      <c r="B2680" s="2" t="s">
        <v>2323</v>
      </c>
      <c r="C2680" s="2" t="s">
        <v>195</v>
      </c>
      <c r="D2680" s="2">
        <v>22</v>
      </c>
      <c r="E2680" s="5">
        <v>44735</v>
      </c>
      <c r="F2680" s="2">
        <v>19</v>
      </c>
      <c r="G2680" s="2" t="s">
        <v>12</v>
      </c>
      <c r="H2680" s="2" t="s">
        <v>23</v>
      </c>
      <c r="I2680" s="6">
        <v>0.13</v>
      </c>
      <c r="J2680" s="2" t="str">
        <f t="shared" si="41"/>
        <v>2022-06</v>
      </c>
    </row>
    <row r="2681" spans="1:10" x14ac:dyDescent="0.2">
      <c r="A2681" s="2" t="s">
        <v>2324</v>
      </c>
      <c r="B2681" s="2" t="s">
        <v>34</v>
      </c>
      <c r="C2681" s="2" t="s">
        <v>16</v>
      </c>
      <c r="D2681" s="2">
        <v>15</v>
      </c>
      <c r="E2681" s="5">
        <v>44735</v>
      </c>
      <c r="F2681" s="2">
        <v>159</v>
      </c>
      <c r="G2681" s="2" t="s">
        <v>66</v>
      </c>
      <c r="H2681" s="2" t="s">
        <v>23</v>
      </c>
      <c r="I2681" s="6">
        <v>7.0000000000000007E-2</v>
      </c>
      <c r="J2681" s="2" t="str">
        <f t="shared" si="41"/>
        <v>2022-06</v>
      </c>
    </row>
    <row r="2682" spans="1:10" x14ac:dyDescent="0.2">
      <c r="A2682" s="2" t="s">
        <v>2325</v>
      </c>
      <c r="B2682" s="2" t="s">
        <v>47</v>
      </c>
      <c r="C2682" s="2" t="s">
        <v>26</v>
      </c>
      <c r="D2682" s="2">
        <v>8</v>
      </c>
      <c r="E2682" s="5">
        <v>44735</v>
      </c>
      <c r="F2682" s="2">
        <v>10</v>
      </c>
      <c r="G2682" s="2" t="s">
        <v>12</v>
      </c>
      <c r="H2682" s="2" t="s">
        <v>23</v>
      </c>
      <c r="I2682" s="6">
        <v>0.13</v>
      </c>
      <c r="J2682" s="2" t="str">
        <f t="shared" si="41"/>
        <v>2022-06</v>
      </c>
    </row>
    <row r="2683" spans="1:10" x14ac:dyDescent="0.2">
      <c r="A2683" s="2" t="s">
        <v>1635</v>
      </c>
      <c r="B2683" s="2" t="s">
        <v>28</v>
      </c>
      <c r="C2683" s="2" t="s">
        <v>29</v>
      </c>
      <c r="D2683" s="2" t="s">
        <v>2954</v>
      </c>
      <c r="E2683" s="5">
        <v>44735</v>
      </c>
      <c r="F2683" s="2">
        <v>10</v>
      </c>
      <c r="G2683" s="2" t="s">
        <v>41</v>
      </c>
      <c r="H2683" s="2" t="s">
        <v>23</v>
      </c>
      <c r="I2683" s="6">
        <v>0.12</v>
      </c>
      <c r="J2683" s="2" t="str">
        <f t="shared" si="41"/>
        <v>2022-06</v>
      </c>
    </row>
    <row r="2684" spans="1:10" x14ac:dyDescent="0.2">
      <c r="A2684" s="2" t="s">
        <v>2326</v>
      </c>
      <c r="B2684" s="2" t="s">
        <v>779</v>
      </c>
      <c r="C2684" s="2" t="s">
        <v>11</v>
      </c>
      <c r="D2684" s="2" t="s">
        <v>2954</v>
      </c>
      <c r="E2684" s="5">
        <v>44735</v>
      </c>
      <c r="F2684" s="2">
        <v>1</v>
      </c>
      <c r="G2684" s="2" t="s">
        <v>132</v>
      </c>
      <c r="H2684" s="2" t="s">
        <v>780</v>
      </c>
      <c r="I2684" s="6">
        <v>1</v>
      </c>
      <c r="J2684" s="2" t="str">
        <f t="shared" si="41"/>
        <v>2022-06</v>
      </c>
    </row>
    <row r="2685" spans="1:10" x14ac:dyDescent="0.2">
      <c r="A2685" s="2" t="s">
        <v>2327</v>
      </c>
      <c r="B2685" s="2" t="s">
        <v>25</v>
      </c>
      <c r="C2685" s="2" t="s">
        <v>29</v>
      </c>
      <c r="D2685" s="2" t="s">
        <v>2954</v>
      </c>
      <c r="E2685" s="5">
        <v>44735</v>
      </c>
      <c r="F2685" s="2">
        <v>229</v>
      </c>
      <c r="G2685" s="2" t="s">
        <v>128</v>
      </c>
      <c r="H2685" s="2" t="s">
        <v>23</v>
      </c>
      <c r="I2685" s="6" t="s">
        <v>2954</v>
      </c>
      <c r="J2685" s="2" t="str">
        <f t="shared" si="41"/>
        <v>2022-06</v>
      </c>
    </row>
    <row r="2686" spans="1:10" x14ac:dyDescent="0.2">
      <c r="A2686" s="2" t="s">
        <v>603</v>
      </c>
      <c r="B2686" s="2" t="s">
        <v>25</v>
      </c>
      <c r="C2686" s="2" t="s">
        <v>148</v>
      </c>
      <c r="D2686" s="2" t="s">
        <v>2954</v>
      </c>
      <c r="E2686" s="5">
        <v>44735</v>
      </c>
      <c r="F2686" s="2">
        <v>472</v>
      </c>
      <c r="G2686" s="2" t="s">
        <v>75</v>
      </c>
      <c r="H2686" s="2" t="s">
        <v>23</v>
      </c>
      <c r="I2686" s="6">
        <v>0.1</v>
      </c>
      <c r="J2686" s="2" t="str">
        <f t="shared" si="41"/>
        <v>2022-06</v>
      </c>
    </row>
    <row r="2687" spans="1:10" x14ac:dyDescent="0.2">
      <c r="A2687" s="2" t="s">
        <v>2328</v>
      </c>
      <c r="B2687" s="2" t="s">
        <v>25</v>
      </c>
      <c r="C2687" s="2" t="s">
        <v>32</v>
      </c>
      <c r="D2687" s="2" t="s">
        <v>2954</v>
      </c>
      <c r="E2687" s="5">
        <v>44735</v>
      </c>
      <c r="F2687" s="2">
        <v>1000</v>
      </c>
      <c r="G2687" s="2" t="s">
        <v>12</v>
      </c>
      <c r="H2687" s="2" t="s">
        <v>23</v>
      </c>
      <c r="I2687" s="6">
        <v>0.18</v>
      </c>
      <c r="J2687" s="2" t="str">
        <f t="shared" si="41"/>
        <v>2022-06</v>
      </c>
    </row>
    <row r="2688" spans="1:10" x14ac:dyDescent="0.2">
      <c r="A2688" s="2" t="s">
        <v>797</v>
      </c>
      <c r="B2688" s="2" t="s">
        <v>15</v>
      </c>
      <c r="C2688" s="2" t="s">
        <v>235</v>
      </c>
      <c r="D2688" s="2" t="s">
        <v>2954</v>
      </c>
      <c r="E2688" s="5">
        <v>44735</v>
      </c>
      <c r="F2688" s="2">
        <v>111</v>
      </c>
      <c r="G2688" s="2" t="s">
        <v>37</v>
      </c>
      <c r="H2688" s="2" t="s">
        <v>18</v>
      </c>
      <c r="I2688" s="6">
        <v>0.2</v>
      </c>
      <c r="J2688" s="2" t="str">
        <f t="shared" si="41"/>
        <v>2022-06</v>
      </c>
    </row>
    <row r="2689" spans="1:10" x14ac:dyDescent="0.2">
      <c r="A2689" s="2" t="s">
        <v>1309</v>
      </c>
      <c r="B2689" s="2" t="s">
        <v>34</v>
      </c>
      <c r="C2689" s="2" t="s">
        <v>61</v>
      </c>
      <c r="D2689" s="2">
        <v>120</v>
      </c>
      <c r="E2689" s="5">
        <v>44734</v>
      </c>
      <c r="F2689" s="2">
        <v>461</v>
      </c>
      <c r="G2689" s="2" t="s">
        <v>128</v>
      </c>
      <c r="H2689" s="2" t="s">
        <v>23</v>
      </c>
      <c r="I2689" s="6">
        <v>0.2</v>
      </c>
      <c r="J2689" s="2" t="str">
        <f t="shared" si="41"/>
        <v>2022-06</v>
      </c>
    </row>
    <row r="2690" spans="1:10" x14ac:dyDescent="0.2">
      <c r="A2690" s="2" t="s">
        <v>686</v>
      </c>
      <c r="B2690" s="2" t="s">
        <v>401</v>
      </c>
      <c r="C2690" s="2" t="s">
        <v>195</v>
      </c>
      <c r="D2690" s="2">
        <v>90</v>
      </c>
      <c r="E2690" s="5">
        <v>44734</v>
      </c>
      <c r="F2690" s="2">
        <v>410</v>
      </c>
      <c r="G2690" s="2" t="s">
        <v>17</v>
      </c>
      <c r="H2690" s="2" t="s">
        <v>23</v>
      </c>
      <c r="I2690" s="7" t="s">
        <v>1402</v>
      </c>
      <c r="J2690" s="2" t="str">
        <f t="shared" si="41"/>
        <v>2022-06</v>
      </c>
    </row>
    <row r="2691" spans="1:10" x14ac:dyDescent="0.2">
      <c r="A2691" s="2" t="s">
        <v>2329</v>
      </c>
      <c r="B2691" s="2" t="s">
        <v>34</v>
      </c>
      <c r="C2691" s="2" t="s">
        <v>148</v>
      </c>
      <c r="D2691" s="2">
        <v>70</v>
      </c>
      <c r="E2691" s="5">
        <v>44734</v>
      </c>
      <c r="F2691" s="2">
        <v>171</v>
      </c>
      <c r="G2691" s="2" t="s">
        <v>66</v>
      </c>
      <c r="H2691" s="2" t="s">
        <v>23</v>
      </c>
      <c r="I2691" s="6" t="s">
        <v>2954</v>
      </c>
      <c r="J2691" s="2" t="str">
        <f t="shared" ref="J2691:J2754" si="42">TEXT(E2691,"YYYY-MM")</f>
        <v>2022-06</v>
      </c>
    </row>
    <row r="2692" spans="1:10" x14ac:dyDescent="0.2">
      <c r="A2692" s="2" t="s">
        <v>686</v>
      </c>
      <c r="B2692" s="2" t="s">
        <v>401</v>
      </c>
      <c r="C2692" s="2" t="s">
        <v>195</v>
      </c>
      <c r="D2692" s="2">
        <v>55</v>
      </c>
      <c r="E2692" s="5">
        <v>44734</v>
      </c>
      <c r="F2692" s="2">
        <v>410</v>
      </c>
      <c r="G2692" s="2" t="s">
        <v>17</v>
      </c>
      <c r="H2692" s="2" t="s">
        <v>23</v>
      </c>
      <c r="I2692" s="6">
        <v>0.17</v>
      </c>
      <c r="J2692" s="2" t="str">
        <f t="shared" si="42"/>
        <v>2022-06</v>
      </c>
    </row>
    <row r="2693" spans="1:10" x14ac:dyDescent="0.2">
      <c r="A2693" s="2" t="s">
        <v>112</v>
      </c>
      <c r="B2693" s="2" t="s">
        <v>25</v>
      </c>
      <c r="C2693" s="2" t="s">
        <v>113</v>
      </c>
      <c r="D2693" s="2">
        <v>50</v>
      </c>
      <c r="E2693" s="5">
        <v>44734</v>
      </c>
      <c r="F2693" s="2">
        <v>429</v>
      </c>
      <c r="G2693" s="2" t="s">
        <v>17</v>
      </c>
      <c r="H2693" s="2" t="s">
        <v>23</v>
      </c>
      <c r="I2693" s="6" t="s">
        <v>2954</v>
      </c>
      <c r="J2693" s="2" t="str">
        <f t="shared" si="42"/>
        <v>2022-06</v>
      </c>
    </row>
    <row r="2694" spans="1:10" x14ac:dyDescent="0.2">
      <c r="A2694" s="2" t="s">
        <v>496</v>
      </c>
      <c r="B2694" s="2" t="s">
        <v>89</v>
      </c>
      <c r="C2694" s="2" t="s">
        <v>52</v>
      </c>
      <c r="D2694" s="2">
        <v>35</v>
      </c>
      <c r="E2694" s="5">
        <v>44734</v>
      </c>
      <c r="F2694" s="2">
        <v>261</v>
      </c>
      <c r="G2694" s="2" t="s">
        <v>66</v>
      </c>
      <c r="H2694" s="2" t="s">
        <v>23</v>
      </c>
      <c r="I2694" s="6">
        <v>7.0000000000000007E-2</v>
      </c>
      <c r="J2694" s="2" t="str">
        <f t="shared" si="42"/>
        <v>2022-06</v>
      </c>
    </row>
    <row r="2695" spans="1:10" x14ac:dyDescent="0.2">
      <c r="A2695" s="2" t="s">
        <v>286</v>
      </c>
      <c r="B2695" s="2" t="s">
        <v>287</v>
      </c>
      <c r="C2695" s="2" t="s">
        <v>52</v>
      </c>
      <c r="D2695" s="2">
        <v>35</v>
      </c>
      <c r="E2695" s="5">
        <v>44734</v>
      </c>
      <c r="F2695" s="2">
        <v>515</v>
      </c>
      <c r="G2695" s="2" t="s">
        <v>75</v>
      </c>
      <c r="H2695" s="2" t="s">
        <v>23</v>
      </c>
      <c r="I2695" s="6">
        <v>0.1</v>
      </c>
      <c r="J2695" s="2" t="str">
        <f t="shared" si="42"/>
        <v>2022-06</v>
      </c>
    </row>
    <row r="2696" spans="1:10" x14ac:dyDescent="0.2">
      <c r="A2696" s="2" t="s">
        <v>1706</v>
      </c>
      <c r="B2696" s="2" t="s">
        <v>560</v>
      </c>
      <c r="C2696" s="2" t="s">
        <v>50</v>
      </c>
      <c r="D2696" s="2">
        <v>30</v>
      </c>
      <c r="E2696" s="5">
        <v>44734</v>
      </c>
      <c r="F2696" s="2">
        <v>51</v>
      </c>
      <c r="G2696" s="2" t="s">
        <v>37</v>
      </c>
      <c r="H2696" s="2" t="s">
        <v>23</v>
      </c>
      <c r="I2696" s="6" t="s">
        <v>2954</v>
      </c>
      <c r="J2696" s="2" t="str">
        <f t="shared" si="42"/>
        <v>2022-06</v>
      </c>
    </row>
    <row r="2697" spans="1:10" x14ac:dyDescent="0.2">
      <c r="A2697" s="2" t="s">
        <v>981</v>
      </c>
      <c r="B2697" s="2" t="s">
        <v>335</v>
      </c>
      <c r="C2697" s="2" t="s">
        <v>11</v>
      </c>
      <c r="D2697" s="2">
        <v>23</v>
      </c>
      <c r="E2697" s="5">
        <v>44734</v>
      </c>
      <c r="F2697" s="2">
        <v>134</v>
      </c>
      <c r="G2697" s="2" t="s">
        <v>66</v>
      </c>
      <c r="H2697" s="2" t="s">
        <v>106</v>
      </c>
      <c r="I2697" s="6">
        <v>0.16</v>
      </c>
      <c r="J2697" s="2" t="str">
        <f t="shared" si="42"/>
        <v>2022-06</v>
      </c>
    </row>
    <row r="2698" spans="1:10" x14ac:dyDescent="0.2">
      <c r="A2698" s="2" t="s">
        <v>2330</v>
      </c>
      <c r="B2698" s="2" t="s">
        <v>873</v>
      </c>
      <c r="C2698" s="2" t="s">
        <v>235</v>
      </c>
      <c r="D2698" s="2" t="s">
        <v>2954</v>
      </c>
      <c r="E2698" s="5">
        <v>44734</v>
      </c>
      <c r="F2698" s="2" t="s">
        <v>2954</v>
      </c>
      <c r="G2698" s="2" t="s">
        <v>12</v>
      </c>
      <c r="H2698" s="2" t="s">
        <v>873</v>
      </c>
      <c r="I2698" s="6" t="s">
        <v>2954</v>
      </c>
      <c r="J2698" s="2" t="str">
        <f t="shared" si="42"/>
        <v>2022-06</v>
      </c>
    </row>
    <row r="2699" spans="1:10" x14ac:dyDescent="0.2">
      <c r="A2699" s="2" t="s">
        <v>1893</v>
      </c>
      <c r="B2699" s="2" t="s">
        <v>273</v>
      </c>
      <c r="C2699" s="2" t="s">
        <v>11</v>
      </c>
      <c r="D2699" s="2" t="s">
        <v>2954</v>
      </c>
      <c r="E2699" s="5">
        <v>44734</v>
      </c>
      <c r="F2699" s="2">
        <v>13</v>
      </c>
      <c r="G2699" s="2" t="s">
        <v>132</v>
      </c>
      <c r="H2699" s="2" t="s">
        <v>274</v>
      </c>
      <c r="I2699" s="6">
        <v>0.5</v>
      </c>
      <c r="J2699" s="2" t="str">
        <f t="shared" si="42"/>
        <v>2022-06</v>
      </c>
    </row>
    <row r="2700" spans="1:10" x14ac:dyDescent="0.2">
      <c r="A2700" s="2" t="s">
        <v>2331</v>
      </c>
      <c r="B2700" s="2" t="s">
        <v>1472</v>
      </c>
      <c r="C2700" s="2" t="s">
        <v>16</v>
      </c>
      <c r="D2700" s="2">
        <v>340</v>
      </c>
      <c r="E2700" s="5">
        <v>44733</v>
      </c>
      <c r="F2700" s="2">
        <v>460</v>
      </c>
      <c r="G2700" s="2" t="s">
        <v>37</v>
      </c>
      <c r="H2700" s="2" t="s">
        <v>662</v>
      </c>
      <c r="I2700" s="6">
        <v>0.2</v>
      </c>
      <c r="J2700" s="2" t="str">
        <f t="shared" si="42"/>
        <v>2022-06</v>
      </c>
    </row>
    <row r="2701" spans="1:10" x14ac:dyDescent="0.2">
      <c r="A2701" s="2" t="s">
        <v>1346</v>
      </c>
      <c r="B2701" s="2" t="s">
        <v>47</v>
      </c>
      <c r="C2701" s="2" t="s">
        <v>113</v>
      </c>
      <c r="D2701" s="2">
        <v>52</v>
      </c>
      <c r="E2701" s="5">
        <v>44733</v>
      </c>
      <c r="F2701" s="2">
        <v>279</v>
      </c>
      <c r="G2701" s="2" t="s">
        <v>17</v>
      </c>
      <c r="H2701" s="2" t="s">
        <v>23</v>
      </c>
      <c r="I2701" s="6">
        <v>0</v>
      </c>
      <c r="J2701" s="2" t="str">
        <f t="shared" si="42"/>
        <v>2022-06</v>
      </c>
    </row>
    <row r="2702" spans="1:10" x14ac:dyDescent="0.2">
      <c r="A2702" s="2" t="s">
        <v>2332</v>
      </c>
      <c r="B2702" s="2" t="s">
        <v>47</v>
      </c>
      <c r="C2702" s="2" t="s">
        <v>26</v>
      </c>
      <c r="D2702" s="2">
        <v>40</v>
      </c>
      <c r="E2702" s="5">
        <v>44733</v>
      </c>
      <c r="F2702" s="2">
        <v>40</v>
      </c>
      <c r="G2702" s="2" t="s">
        <v>12</v>
      </c>
      <c r="H2702" s="2" t="s">
        <v>23</v>
      </c>
      <c r="I2702" s="6">
        <v>0.3</v>
      </c>
      <c r="J2702" s="2" t="str">
        <f t="shared" si="42"/>
        <v>2022-06</v>
      </c>
    </row>
    <row r="2703" spans="1:10" x14ac:dyDescent="0.2">
      <c r="A2703" s="2" t="s">
        <v>2333</v>
      </c>
      <c r="B2703" s="2" t="s">
        <v>34</v>
      </c>
      <c r="C2703" s="2" t="s">
        <v>78</v>
      </c>
      <c r="D2703" s="2">
        <v>24</v>
      </c>
      <c r="E2703" s="5">
        <v>44733</v>
      </c>
      <c r="F2703" s="2">
        <v>248</v>
      </c>
      <c r="G2703" s="2" t="s">
        <v>75</v>
      </c>
      <c r="H2703" s="2" t="s">
        <v>23</v>
      </c>
      <c r="I2703" s="6">
        <v>0.08</v>
      </c>
      <c r="J2703" s="2" t="str">
        <f t="shared" si="42"/>
        <v>2022-06</v>
      </c>
    </row>
    <row r="2704" spans="1:10" x14ac:dyDescent="0.2">
      <c r="A2704" s="2" t="s">
        <v>2334</v>
      </c>
      <c r="B2704" s="2" t="s">
        <v>1573</v>
      </c>
      <c r="C2704" s="2" t="s">
        <v>11</v>
      </c>
      <c r="D2704" s="2" t="s">
        <v>2954</v>
      </c>
      <c r="E2704" s="5">
        <v>44733</v>
      </c>
      <c r="F2704" s="2">
        <v>202</v>
      </c>
      <c r="G2704" s="2" t="s">
        <v>66</v>
      </c>
      <c r="H2704" s="2" t="s">
        <v>1574</v>
      </c>
      <c r="I2704" s="6">
        <v>0.03</v>
      </c>
      <c r="J2704" s="2" t="str">
        <f t="shared" si="42"/>
        <v>2022-06</v>
      </c>
    </row>
    <row r="2705" spans="1:10" x14ac:dyDescent="0.2">
      <c r="A2705" s="2" t="s">
        <v>2335</v>
      </c>
      <c r="B2705" s="2" t="s">
        <v>100</v>
      </c>
      <c r="C2705" s="2" t="s">
        <v>61</v>
      </c>
      <c r="D2705" s="2" t="s">
        <v>2954</v>
      </c>
      <c r="E2705" s="5">
        <v>44733</v>
      </c>
      <c r="F2705" s="2">
        <v>0</v>
      </c>
      <c r="G2705" s="2" t="s">
        <v>132</v>
      </c>
      <c r="H2705" s="2" t="s">
        <v>98</v>
      </c>
      <c r="I2705" s="6">
        <v>1</v>
      </c>
      <c r="J2705" s="2" t="str">
        <f t="shared" si="42"/>
        <v>2022-06</v>
      </c>
    </row>
    <row r="2706" spans="1:10" x14ac:dyDescent="0.2">
      <c r="A2706" s="2" t="s">
        <v>2336</v>
      </c>
      <c r="B2706" s="2" t="s">
        <v>34</v>
      </c>
      <c r="C2706" s="2" t="s">
        <v>243</v>
      </c>
      <c r="D2706" s="2" t="s">
        <v>2954</v>
      </c>
      <c r="E2706" s="5">
        <v>44733</v>
      </c>
      <c r="F2706" s="2">
        <v>109</v>
      </c>
      <c r="G2706" s="2" t="s">
        <v>66</v>
      </c>
      <c r="H2706" s="2" t="s">
        <v>23</v>
      </c>
      <c r="I2706" s="6">
        <v>0.1</v>
      </c>
      <c r="J2706" s="2" t="str">
        <f t="shared" si="42"/>
        <v>2022-06</v>
      </c>
    </row>
    <row r="2707" spans="1:10" x14ac:dyDescent="0.2">
      <c r="A2707" s="2" t="s">
        <v>1756</v>
      </c>
      <c r="B2707" s="2" t="s">
        <v>217</v>
      </c>
      <c r="C2707" s="2" t="s">
        <v>22</v>
      </c>
      <c r="D2707" s="2">
        <v>600</v>
      </c>
      <c r="E2707" s="5">
        <v>44732</v>
      </c>
      <c r="F2707" s="2" t="s">
        <v>2954</v>
      </c>
      <c r="G2707" s="2" t="s">
        <v>12</v>
      </c>
      <c r="H2707" s="2" t="s">
        <v>217</v>
      </c>
      <c r="I2707" s="6">
        <v>0.3</v>
      </c>
      <c r="J2707" s="2" t="str">
        <f t="shared" si="42"/>
        <v>2022-06</v>
      </c>
    </row>
    <row r="2708" spans="1:10" x14ac:dyDescent="0.2">
      <c r="A2708" s="2" t="s">
        <v>2337</v>
      </c>
      <c r="B2708" s="2" t="s">
        <v>34</v>
      </c>
      <c r="C2708" s="2" t="s">
        <v>32</v>
      </c>
      <c r="D2708" s="2">
        <v>101</v>
      </c>
      <c r="E2708" s="5">
        <v>44732</v>
      </c>
      <c r="F2708" s="2">
        <v>7</v>
      </c>
      <c r="G2708" s="2" t="s">
        <v>12</v>
      </c>
      <c r="H2708" s="2" t="s">
        <v>23</v>
      </c>
      <c r="I2708" s="6">
        <v>1</v>
      </c>
      <c r="J2708" s="2" t="str">
        <f t="shared" si="42"/>
        <v>2022-06</v>
      </c>
    </row>
    <row r="2709" spans="1:10" x14ac:dyDescent="0.2">
      <c r="A2709" s="2" t="s">
        <v>1820</v>
      </c>
      <c r="B2709" s="2" t="s">
        <v>217</v>
      </c>
      <c r="C2709" s="2" t="s">
        <v>142</v>
      </c>
      <c r="D2709" s="2">
        <v>100</v>
      </c>
      <c r="E2709" s="5">
        <v>44732</v>
      </c>
      <c r="F2709" s="2">
        <v>1000</v>
      </c>
      <c r="G2709" s="2" t="s">
        <v>128</v>
      </c>
      <c r="H2709" s="2" t="s">
        <v>217</v>
      </c>
      <c r="I2709" s="6">
        <v>0.12</v>
      </c>
      <c r="J2709" s="2" t="str">
        <f t="shared" si="42"/>
        <v>2022-06</v>
      </c>
    </row>
    <row r="2710" spans="1:10" x14ac:dyDescent="0.2">
      <c r="A2710" s="2" t="s">
        <v>2338</v>
      </c>
      <c r="B2710" s="2" t="s">
        <v>266</v>
      </c>
      <c r="C2710" s="2" t="s">
        <v>11</v>
      </c>
      <c r="D2710" s="2">
        <v>80</v>
      </c>
      <c r="E2710" s="5">
        <v>44732</v>
      </c>
      <c r="F2710" s="2">
        <v>12</v>
      </c>
      <c r="G2710" s="2" t="s">
        <v>12</v>
      </c>
      <c r="H2710" s="2" t="s">
        <v>98</v>
      </c>
      <c r="I2710" s="6">
        <v>0.3</v>
      </c>
      <c r="J2710" s="2" t="str">
        <f t="shared" si="42"/>
        <v>2022-06</v>
      </c>
    </row>
    <row r="2711" spans="1:10" x14ac:dyDescent="0.2">
      <c r="A2711" s="2" t="s">
        <v>2339</v>
      </c>
      <c r="B2711" s="2" t="s">
        <v>335</v>
      </c>
      <c r="C2711" s="2" t="s">
        <v>142</v>
      </c>
      <c r="D2711" s="2">
        <v>30</v>
      </c>
      <c r="E2711" s="5">
        <v>44732</v>
      </c>
      <c r="F2711" s="2">
        <v>27</v>
      </c>
      <c r="G2711" s="2" t="s">
        <v>41</v>
      </c>
      <c r="H2711" s="2" t="s">
        <v>106</v>
      </c>
      <c r="I2711" s="6">
        <v>0.55000000000000004</v>
      </c>
      <c r="J2711" s="2" t="str">
        <f t="shared" si="42"/>
        <v>2022-06</v>
      </c>
    </row>
    <row r="2712" spans="1:10" x14ac:dyDescent="0.2">
      <c r="A2712" s="2" t="s">
        <v>2056</v>
      </c>
      <c r="B2712" s="2" t="s">
        <v>273</v>
      </c>
      <c r="C2712" s="2" t="s">
        <v>109</v>
      </c>
      <c r="D2712" s="2">
        <v>30</v>
      </c>
      <c r="E2712" s="5">
        <v>44732</v>
      </c>
      <c r="F2712" s="2">
        <v>145</v>
      </c>
      <c r="G2712" s="2" t="s">
        <v>66</v>
      </c>
      <c r="H2712" s="2" t="s">
        <v>274</v>
      </c>
      <c r="I2712" s="6">
        <v>0.15</v>
      </c>
      <c r="J2712" s="2" t="str">
        <f t="shared" si="42"/>
        <v>2022-06</v>
      </c>
    </row>
    <row r="2713" spans="1:10" x14ac:dyDescent="0.2">
      <c r="A2713" s="2" t="s">
        <v>943</v>
      </c>
      <c r="B2713" s="2" t="s">
        <v>25</v>
      </c>
      <c r="C2713" s="2" t="s">
        <v>235</v>
      </c>
      <c r="D2713" s="2" t="s">
        <v>2954</v>
      </c>
      <c r="E2713" s="5">
        <v>44732</v>
      </c>
      <c r="F2713" s="2">
        <v>32</v>
      </c>
      <c r="G2713" s="2" t="s">
        <v>12</v>
      </c>
      <c r="H2713" s="2" t="s">
        <v>23</v>
      </c>
      <c r="I2713" s="6">
        <v>0.2</v>
      </c>
      <c r="J2713" s="2" t="str">
        <f t="shared" si="42"/>
        <v>2022-06</v>
      </c>
    </row>
    <row r="2714" spans="1:10" x14ac:dyDescent="0.2">
      <c r="A2714" s="2" t="s">
        <v>1756</v>
      </c>
      <c r="B2714" s="2" t="s">
        <v>217</v>
      </c>
      <c r="C2714" s="2" t="s">
        <v>22</v>
      </c>
      <c r="D2714" s="2" t="s">
        <v>2954</v>
      </c>
      <c r="E2714" s="5">
        <v>44732</v>
      </c>
      <c r="F2714" s="2" t="s">
        <v>2954</v>
      </c>
      <c r="G2714" s="2" t="s">
        <v>12</v>
      </c>
      <c r="H2714" s="2" t="s">
        <v>217</v>
      </c>
      <c r="I2714" s="6" t="s">
        <v>2954</v>
      </c>
      <c r="J2714" s="2" t="str">
        <f t="shared" si="42"/>
        <v>2022-06</v>
      </c>
    </row>
    <row r="2715" spans="1:10" x14ac:dyDescent="0.2">
      <c r="A2715" s="2" t="s">
        <v>643</v>
      </c>
      <c r="B2715" s="2" t="s">
        <v>255</v>
      </c>
      <c r="C2715" s="2" t="s">
        <v>142</v>
      </c>
      <c r="D2715" s="2">
        <v>191</v>
      </c>
      <c r="E2715" s="5">
        <v>44731</v>
      </c>
      <c r="F2715" s="2">
        <v>112</v>
      </c>
      <c r="G2715" s="2" t="s">
        <v>66</v>
      </c>
      <c r="H2715" s="2" t="s">
        <v>98</v>
      </c>
      <c r="I2715" s="6">
        <v>0.3</v>
      </c>
      <c r="J2715" s="2" t="str">
        <f t="shared" si="42"/>
        <v>2022-06</v>
      </c>
    </row>
    <row r="2716" spans="1:10" x14ac:dyDescent="0.2">
      <c r="A2716" s="2" t="s">
        <v>2340</v>
      </c>
      <c r="B2716" s="2" t="s">
        <v>1827</v>
      </c>
      <c r="C2716" s="2" t="s">
        <v>22</v>
      </c>
      <c r="D2716" s="2">
        <v>9</v>
      </c>
      <c r="E2716" s="5">
        <v>44731</v>
      </c>
      <c r="F2716" s="2">
        <v>30</v>
      </c>
      <c r="G2716" s="2" t="s">
        <v>37</v>
      </c>
      <c r="H2716" s="2" t="s">
        <v>2307</v>
      </c>
      <c r="I2716" s="6">
        <v>0.05</v>
      </c>
      <c r="J2716" s="2" t="str">
        <f t="shared" si="42"/>
        <v>2022-06</v>
      </c>
    </row>
    <row r="2717" spans="1:10" x14ac:dyDescent="0.2">
      <c r="A2717" s="2" t="s">
        <v>1226</v>
      </c>
      <c r="B2717" s="2" t="s">
        <v>100</v>
      </c>
      <c r="C2717" s="2" t="s">
        <v>61</v>
      </c>
      <c r="D2717" s="2">
        <v>150</v>
      </c>
      <c r="E2717" s="5">
        <v>44730</v>
      </c>
      <c r="F2717" s="2">
        <v>838</v>
      </c>
      <c r="G2717" s="2" t="s">
        <v>81</v>
      </c>
      <c r="H2717" s="2" t="s">
        <v>98</v>
      </c>
      <c r="I2717" s="6">
        <v>0.03</v>
      </c>
      <c r="J2717" s="2" t="str">
        <f t="shared" si="42"/>
        <v>2022-06</v>
      </c>
    </row>
    <row r="2718" spans="1:10" x14ac:dyDescent="0.2">
      <c r="A2718" s="2" t="s">
        <v>548</v>
      </c>
      <c r="B2718" s="2" t="s">
        <v>493</v>
      </c>
      <c r="C2718" s="2" t="s">
        <v>35</v>
      </c>
      <c r="D2718" s="2">
        <v>150</v>
      </c>
      <c r="E2718" s="5">
        <v>44729</v>
      </c>
      <c r="F2718" s="2">
        <v>9400</v>
      </c>
      <c r="G2718" s="2" t="s">
        <v>12</v>
      </c>
      <c r="H2718" s="2" t="s">
        <v>224</v>
      </c>
      <c r="I2718" s="6" t="s">
        <v>2954</v>
      </c>
      <c r="J2718" s="2" t="str">
        <f t="shared" si="42"/>
        <v>2022-06</v>
      </c>
    </row>
    <row r="2719" spans="1:10" x14ac:dyDescent="0.2">
      <c r="A2719" s="2" t="s">
        <v>1654</v>
      </c>
      <c r="B2719" s="2" t="s">
        <v>1033</v>
      </c>
      <c r="C2719" s="2" t="s">
        <v>16</v>
      </c>
      <c r="D2719" s="2">
        <v>69</v>
      </c>
      <c r="E2719" s="5">
        <v>44729</v>
      </c>
      <c r="F2719" s="2">
        <v>646</v>
      </c>
      <c r="G2719" s="2" t="s">
        <v>128</v>
      </c>
      <c r="H2719" s="2" t="s">
        <v>23</v>
      </c>
      <c r="I2719" s="6">
        <v>0.13</v>
      </c>
      <c r="J2719" s="2" t="str">
        <f t="shared" si="42"/>
        <v>2022-06</v>
      </c>
    </row>
    <row r="2720" spans="1:10" x14ac:dyDescent="0.2">
      <c r="A2720" s="2" t="s">
        <v>2341</v>
      </c>
      <c r="B2720" s="2" t="s">
        <v>414</v>
      </c>
      <c r="C2720" s="2" t="s">
        <v>195</v>
      </c>
      <c r="D2720" s="2">
        <v>16</v>
      </c>
      <c r="E2720" s="5">
        <v>44729</v>
      </c>
      <c r="F2720" s="2">
        <v>49</v>
      </c>
      <c r="G2720" s="2" t="s">
        <v>37</v>
      </c>
      <c r="H2720" s="2" t="s">
        <v>23</v>
      </c>
      <c r="I2720" s="6">
        <v>0.2</v>
      </c>
      <c r="J2720" s="2" t="str">
        <f t="shared" si="42"/>
        <v>2022-06</v>
      </c>
    </row>
    <row r="2721" spans="1:10" x14ac:dyDescent="0.2">
      <c r="A2721" s="2" t="s">
        <v>2342</v>
      </c>
      <c r="B2721" s="2" t="s">
        <v>25</v>
      </c>
      <c r="C2721" s="2" t="s">
        <v>11</v>
      </c>
      <c r="D2721" s="2">
        <v>50</v>
      </c>
      <c r="E2721" s="5">
        <v>44728</v>
      </c>
      <c r="F2721" s="2">
        <v>430</v>
      </c>
      <c r="G2721" s="2" t="s">
        <v>37</v>
      </c>
      <c r="H2721" s="2" t="s">
        <v>23</v>
      </c>
      <c r="I2721" s="6">
        <v>0.05</v>
      </c>
      <c r="J2721" s="2" t="str">
        <f t="shared" si="42"/>
        <v>2022-06</v>
      </c>
    </row>
    <row r="2722" spans="1:10" x14ac:dyDescent="0.2">
      <c r="A2722" s="2" t="s">
        <v>2343</v>
      </c>
      <c r="B2722" s="2" t="s">
        <v>34</v>
      </c>
      <c r="C2722" s="2" t="s">
        <v>148</v>
      </c>
      <c r="D2722" s="2">
        <v>45</v>
      </c>
      <c r="E2722" s="5">
        <v>44728</v>
      </c>
      <c r="F2722" s="2">
        <v>178</v>
      </c>
      <c r="G2722" s="2" t="s">
        <v>75</v>
      </c>
      <c r="H2722" s="2" t="s">
        <v>23</v>
      </c>
      <c r="I2722" s="6">
        <v>0.15</v>
      </c>
      <c r="J2722" s="2" t="str">
        <f t="shared" si="42"/>
        <v>2022-06</v>
      </c>
    </row>
    <row r="2723" spans="1:10" x14ac:dyDescent="0.2">
      <c r="A2723" s="2" t="s">
        <v>1129</v>
      </c>
      <c r="B2723" s="2" t="s">
        <v>538</v>
      </c>
      <c r="C2723" s="2" t="s">
        <v>32</v>
      </c>
      <c r="D2723" s="2">
        <v>40</v>
      </c>
      <c r="E2723" s="5">
        <v>44728</v>
      </c>
      <c r="F2723" s="2">
        <v>1600</v>
      </c>
      <c r="G2723" s="2" t="s">
        <v>12</v>
      </c>
      <c r="H2723" s="2" t="s">
        <v>98</v>
      </c>
      <c r="I2723" s="6" t="s">
        <v>2954</v>
      </c>
      <c r="J2723" s="2" t="str">
        <f t="shared" si="42"/>
        <v>2022-06</v>
      </c>
    </row>
    <row r="2724" spans="1:10" x14ac:dyDescent="0.2">
      <c r="A2724" s="2" t="s">
        <v>2344</v>
      </c>
      <c r="B2724" s="2" t="s">
        <v>414</v>
      </c>
      <c r="C2724" s="2" t="s">
        <v>32</v>
      </c>
      <c r="D2724" s="2" t="s">
        <v>2954</v>
      </c>
      <c r="E2724" s="5">
        <v>44728</v>
      </c>
      <c r="F2724" s="2">
        <v>50</v>
      </c>
      <c r="G2724" s="2" t="s">
        <v>41</v>
      </c>
      <c r="H2724" s="2" t="s">
        <v>23</v>
      </c>
      <c r="I2724" s="6">
        <v>0.5</v>
      </c>
      <c r="J2724" s="2" t="str">
        <f t="shared" si="42"/>
        <v>2022-06</v>
      </c>
    </row>
    <row r="2725" spans="1:10" x14ac:dyDescent="0.2">
      <c r="A2725" s="2" t="s">
        <v>2345</v>
      </c>
      <c r="B2725" s="2" t="s">
        <v>619</v>
      </c>
      <c r="C2725" s="2" t="s">
        <v>142</v>
      </c>
      <c r="D2725" s="2">
        <v>250</v>
      </c>
      <c r="E2725" s="5">
        <v>44727</v>
      </c>
      <c r="F2725" s="2">
        <v>169</v>
      </c>
      <c r="G2725" s="2" t="s">
        <v>66</v>
      </c>
      <c r="H2725" s="2" t="s">
        <v>321</v>
      </c>
      <c r="I2725" s="6">
        <v>0.17</v>
      </c>
      <c r="J2725" s="2" t="str">
        <f t="shared" si="42"/>
        <v>2022-06</v>
      </c>
    </row>
    <row r="2726" spans="1:10" x14ac:dyDescent="0.2">
      <c r="A2726" s="2" t="s">
        <v>2346</v>
      </c>
      <c r="B2726" s="2" t="s">
        <v>335</v>
      </c>
      <c r="C2726" s="2" t="s">
        <v>16</v>
      </c>
      <c r="D2726" s="2">
        <v>159</v>
      </c>
      <c r="E2726" s="5">
        <v>44727</v>
      </c>
      <c r="F2726" s="2">
        <v>900</v>
      </c>
      <c r="G2726" s="2" t="s">
        <v>12</v>
      </c>
      <c r="H2726" s="2" t="s">
        <v>106</v>
      </c>
      <c r="I2726" s="6">
        <v>0.13</v>
      </c>
      <c r="J2726" s="2" t="str">
        <f t="shared" si="42"/>
        <v>2022-06</v>
      </c>
    </row>
    <row r="2727" spans="1:10" x14ac:dyDescent="0.2">
      <c r="A2727" s="2" t="s">
        <v>2347</v>
      </c>
      <c r="B2727" s="2" t="s">
        <v>34</v>
      </c>
      <c r="C2727" s="2" t="s">
        <v>11</v>
      </c>
      <c r="D2727" s="2">
        <v>150</v>
      </c>
      <c r="E2727" s="5">
        <v>44727</v>
      </c>
      <c r="F2727" s="2">
        <v>863</v>
      </c>
      <c r="G2727" s="2" t="s">
        <v>128</v>
      </c>
      <c r="H2727" s="2" t="s">
        <v>23</v>
      </c>
      <c r="I2727" s="6">
        <v>0.1</v>
      </c>
      <c r="J2727" s="2" t="str">
        <f t="shared" si="42"/>
        <v>2022-06</v>
      </c>
    </row>
    <row r="2728" spans="1:10" x14ac:dyDescent="0.2">
      <c r="A2728" s="2" t="s">
        <v>1945</v>
      </c>
      <c r="B2728" s="2" t="s">
        <v>89</v>
      </c>
      <c r="C2728" s="2" t="s">
        <v>632</v>
      </c>
      <c r="D2728" s="2">
        <v>110</v>
      </c>
      <c r="E2728" s="5">
        <v>44727</v>
      </c>
      <c r="F2728" s="2">
        <v>213</v>
      </c>
      <c r="G2728" s="2" t="s">
        <v>75</v>
      </c>
      <c r="H2728" s="2" t="s">
        <v>23</v>
      </c>
      <c r="I2728" s="6">
        <v>0.25</v>
      </c>
      <c r="J2728" s="2" t="str">
        <f t="shared" si="42"/>
        <v>2022-06</v>
      </c>
    </row>
    <row r="2729" spans="1:10" x14ac:dyDescent="0.2">
      <c r="A2729" s="2" t="s">
        <v>2348</v>
      </c>
      <c r="B2729" s="2" t="s">
        <v>15</v>
      </c>
      <c r="C2729" s="2" t="s">
        <v>235</v>
      </c>
      <c r="D2729" s="2">
        <v>60</v>
      </c>
      <c r="E2729" s="5">
        <v>44727</v>
      </c>
      <c r="F2729" s="2">
        <v>65</v>
      </c>
      <c r="G2729" s="2" t="s">
        <v>12</v>
      </c>
      <c r="H2729" s="2" t="s">
        <v>18</v>
      </c>
      <c r="I2729" s="6">
        <v>0.15</v>
      </c>
      <c r="J2729" s="2" t="str">
        <f t="shared" si="42"/>
        <v>2022-06</v>
      </c>
    </row>
    <row r="2730" spans="1:10" x14ac:dyDescent="0.2">
      <c r="A2730" s="2" t="s">
        <v>2349</v>
      </c>
      <c r="B2730" s="2" t="s">
        <v>34</v>
      </c>
      <c r="C2730" s="2" t="s">
        <v>29</v>
      </c>
      <c r="D2730" s="2">
        <v>23</v>
      </c>
      <c r="E2730" s="5">
        <v>44727</v>
      </c>
      <c r="F2730" s="2">
        <v>83</v>
      </c>
      <c r="G2730" s="2" t="s">
        <v>37</v>
      </c>
      <c r="H2730" s="2" t="s">
        <v>23</v>
      </c>
      <c r="I2730" s="6">
        <v>0.23</v>
      </c>
      <c r="J2730" s="2" t="str">
        <f t="shared" si="42"/>
        <v>2022-06</v>
      </c>
    </row>
    <row r="2731" spans="1:10" x14ac:dyDescent="0.2">
      <c r="A2731" s="2" t="s">
        <v>2350</v>
      </c>
      <c r="B2731" s="2" t="s">
        <v>180</v>
      </c>
      <c r="C2731" s="2" t="s">
        <v>35</v>
      </c>
      <c r="D2731" s="2">
        <v>15</v>
      </c>
      <c r="E2731" s="5">
        <v>44727</v>
      </c>
      <c r="F2731" s="2">
        <v>7</v>
      </c>
      <c r="G2731" s="2" t="s">
        <v>12</v>
      </c>
      <c r="H2731" s="2" t="s">
        <v>181</v>
      </c>
      <c r="I2731" s="6" t="s">
        <v>2954</v>
      </c>
      <c r="J2731" s="2" t="str">
        <f t="shared" si="42"/>
        <v>2022-06</v>
      </c>
    </row>
    <row r="2732" spans="1:10" x14ac:dyDescent="0.2">
      <c r="A2732" s="2" t="s">
        <v>2351</v>
      </c>
      <c r="B2732" s="2" t="s">
        <v>15</v>
      </c>
      <c r="C2732" s="2" t="s">
        <v>235</v>
      </c>
      <c r="D2732" s="2">
        <v>14</v>
      </c>
      <c r="E2732" s="5">
        <v>44727</v>
      </c>
      <c r="F2732" s="2">
        <v>223</v>
      </c>
      <c r="G2732" s="2" t="s">
        <v>128</v>
      </c>
      <c r="H2732" s="2" t="s">
        <v>18</v>
      </c>
      <c r="I2732" s="6">
        <v>0.05</v>
      </c>
      <c r="J2732" s="2" t="str">
        <f t="shared" si="42"/>
        <v>2022-06</v>
      </c>
    </row>
    <row r="2733" spans="1:10" x14ac:dyDescent="0.2">
      <c r="A2733" s="2" t="s">
        <v>2352</v>
      </c>
      <c r="B2733" s="2" t="s">
        <v>335</v>
      </c>
      <c r="C2733" s="2" t="s">
        <v>170</v>
      </c>
      <c r="D2733" s="2">
        <v>10</v>
      </c>
      <c r="E2733" s="5">
        <v>44727</v>
      </c>
      <c r="F2733" s="2">
        <v>20</v>
      </c>
      <c r="G2733" s="2" t="s">
        <v>41</v>
      </c>
      <c r="H2733" s="2" t="s">
        <v>106</v>
      </c>
      <c r="I2733" s="6">
        <v>0.3</v>
      </c>
      <c r="J2733" s="2" t="str">
        <f t="shared" si="42"/>
        <v>2022-06</v>
      </c>
    </row>
    <row r="2734" spans="1:10" x14ac:dyDescent="0.2">
      <c r="A2734" s="2" t="s">
        <v>2353</v>
      </c>
      <c r="B2734" s="2" t="s">
        <v>2354</v>
      </c>
      <c r="C2734" s="2" t="s">
        <v>61</v>
      </c>
      <c r="D2734" s="2" t="s">
        <v>2954</v>
      </c>
      <c r="E2734" s="5">
        <v>44727</v>
      </c>
      <c r="F2734" s="2">
        <v>93</v>
      </c>
      <c r="G2734" s="2" t="s">
        <v>37</v>
      </c>
      <c r="H2734" s="2" t="s">
        <v>2355</v>
      </c>
      <c r="I2734" s="6" t="s">
        <v>2954</v>
      </c>
      <c r="J2734" s="2" t="str">
        <f t="shared" si="42"/>
        <v>2022-06</v>
      </c>
    </row>
    <row r="2735" spans="1:10" x14ac:dyDescent="0.2">
      <c r="A2735" s="2" t="s">
        <v>2356</v>
      </c>
      <c r="B2735" s="2" t="s">
        <v>28</v>
      </c>
      <c r="C2735" s="2" t="s">
        <v>148</v>
      </c>
      <c r="D2735" s="2" t="s">
        <v>2954</v>
      </c>
      <c r="E2735" s="5">
        <v>44727</v>
      </c>
      <c r="F2735" s="2">
        <v>44</v>
      </c>
      <c r="G2735" s="2" t="s">
        <v>37</v>
      </c>
      <c r="H2735" s="2" t="s">
        <v>23</v>
      </c>
      <c r="I2735" s="6">
        <v>1</v>
      </c>
      <c r="J2735" s="2" t="str">
        <f t="shared" si="42"/>
        <v>2022-06</v>
      </c>
    </row>
    <row r="2736" spans="1:10" x14ac:dyDescent="0.2">
      <c r="A2736" s="2" t="s">
        <v>1625</v>
      </c>
      <c r="B2736" s="2" t="s">
        <v>34</v>
      </c>
      <c r="C2736" s="2" t="s">
        <v>22</v>
      </c>
      <c r="D2736" s="2">
        <v>1100</v>
      </c>
      <c r="E2736" s="5">
        <v>44726</v>
      </c>
      <c r="F2736" s="2">
        <v>549</v>
      </c>
      <c r="G2736" s="2" t="s">
        <v>17</v>
      </c>
      <c r="H2736" s="2" t="s">
        <v>23</v>
      </c>
      <c r="I2736" s="6">
        <v>0.18</v>
      </c>
      <c r="J2736" s="2" t="str">
        <f t="shared" si="42"/>
        <v>2022-06</v>
      </c>
    </row>
    <row r="2737" spans="1:10" x14ac:dyDescent="0.2">
      <c r="A2737" s="2" t="s">
        <v>1191</v>
      </c>
      <c r="B2737" s="2" t="s">
        <v>28</v>
      </c>
      <c r="C2737" s="2" t="s">
        <v>148</v>
      </c>
      <c r="D2737" s="2">
        <v>470</v>
      </c>
      <c r="E2737" s="5">
        <v>44726</v>
      </c>
      <c r="F2737" s="2">
        <v>319</v>
      </c>
      <c r="G2737" s="2" t="s">
        <v>17</v>
      </c>
      <c r="H2737" s="2" t="s">
        <v>23</v>
      </c>
      <c r="I2737" s="6">
        <v>0.08</v>
      </c>
      <c r="J2737" s="2" t="str">
        <f t="shared" si="42"/>
        <v>2022-06</v>
      </c>
    </row>
    <row r="2738" spans="1:10" x14ac:dyDescent="0.2">
      <c r="A2738" s="2" t="s">
        <v>1663</v>
      </c>
      <c r="B2738" s="2" t="s">
        <v>25</v>
      </c>
      <c r="C2738" s="2" t="s">
        <v>148</v>
      </c>
      <c r="D2738" s="2">
        <v>450</v>
      </c>
      <c r="E2738" s="5">
        <v>44726</v>
      </c>
      <c r="F2738" s="2">
        <v>1600</v>
      </c>
      <c r="G2738" s="2" t="s">
        <v>17</v>
      </c>
      <c r="H2738" s="2" t="s">
        <v>23</v>
      </c>
      <c r="I2738" s="6">
        <v>0.1</v>
      </c>
      <c r="J2738" s="2" t="str">
        <f t="shared" si="42"/>
        <v>2022-06</v>
      </c>
    </row>
    <row r="2739" spans="1:10" x14ac:dyDescent="0.2">
      <c r="A2739" s="2" t="s">
        <v>2357</v>
      </c>
      <c r="B2739" s="2" t="s">
        <v>661</v>
      </c>
      <c r="C2739" s="2" t="s">
        <v>32</v>
      </c>
      <c r="D2739" s="2">
        <v>75</v>
      </c>
      <c r="E2739" s="5">
        <v>44726</v>
      </c>
      <c r="F2739" s="2">
        <v>36</v>
      </c>
      <c r="G2739" s="2" t="s">
        <v>12</v>
      </c>
      <c r="H2739" s="2" t="s">
        <v>662</v>
      </c>
      <c r="I2739" s="6">
        <v>0.15</v>
      </c>
      <c r="J2739" s="2" t="str">
        <f t="shared" si="42"/>
        <v>2022-06</v>
      </c>
    </row>
    <row r="2740" spans="1:10" x14ac:dyDescent="0.2">
      <c r="A2740" s="2" t="s">
        <v>2358</v>
      </c>
      <c r="B2740" s="2" t="s">
        <v>97</v>
      </c>
      <c r="C2740" s="2" t="s">
        <v>32</v>
      </c>
      <c r="D2740" s="2">
        <v>50</v>
      </c>
      <c r="E2740" s="5">
        <v>44726</v>
      </c>
      <c r="F2740" s="2">
        <v>6</v>
      </c>
      <c r="G2740" s="2" t="s">
        <v>41</v>
      </c>
      <c r="H2740" s="2" t="s">
        <v>98</v>
      </c>
      <c r="I2740" s="6">
        <v>0.33</v>
      </c>
      <c r="J2740" s="2" t="str">
        <f t="shared" si="42"/>
        <v>2022-06</v>
      </c>
    </row>
    <row r="2741" spans="1:10" x14ac:dyDescent="0.2">
      <c r="A2741" s="2" t="s">
        <v>2359</v>
      </c>
      <c r="B2741" s="2" t="s">
        <v>1573</v>
      </c>
      <c r="C2741" s="2" t="s">
        <v>68</v>
      </c>
      <c r="D2741" s="2">
        <v>30</v>
      </c>
      <c r="E2741" s="5">
        <v>44726</v>
      </c>
      <c r="F2741" s="2">
        <v>6</v>
      </c>
      <c r="G2741" s="2" t="s">
        <v>132</v>
      </c>
      <c r="H2741" s="2" t="s">
        <v>1574</v>
      </c>
      <c r="I2741" s="6" t="s">
        <v>2954</v>
      </c>
      <c r="J2741" s="2" t="str">
        <f t="shared" si="42"/>
        <v>2022-06</v>
      </c>
    </row>
    <row r="2742" spans="1:10" x14ac:dyDescent="0.2">
      <c r="A2742" s="2" t="s">
        <v>2360</v>
      </c>
      <c r="B2742" s="2" t="s">
        <v>284</v>
      </c>
      <c r="C2742" s="2" t="s">
        <v>22</v>
      </c>
      <c r="D2742" s="2">
        <v>24</v>
      </c>
      <c r="E2742" s="5">
        <v>44726</v>
      </c>
      <c r="F2742" s="2">
        <v>204</v>
      </c>
      <c r="G2742" s="2" t="s">
        <v>75</v>
      </c>
      <c r="H2742" s="2" t="s">
        <v>23</v>
      </c>
      <c r="I2742" s="6">
        <v>0.1</v>
      </c>
      <c r="J2742" s="2" t="str">
        <f t="shared" si="42"/>
        <v>2022-06</v>
      </c>
    </row>
    <row r="2743" spans="1:10" x14ac:dyDescent="0.2">
      <c r="A2743" s="2" t="s">
        <v>2361</v>
      </c>
      <c r="B2743" s="2" t="s">
        <v>1573</v>
      </c>
      <c r="C2743" s="2" t="s">
        <v>16</v>
      </c>
      <c r="D2743" s="2" t="s">
        <v>2954</v>
      </c>
      <c r="E2743" s="5">
        <v>44726</v>
      </c>
      <c r="F2743" s="2">
        <v>376</v>
      </c>
      <c r="G2743" s="2" t="s">
        <v>66</v>
      </c>
      <c r="H2743" s="2" t="s">
        <v>1574</v>
      </c>
      <c r="I2743" s="6" t="s">
        <v>2954</v>
      </c>
      <c r="J2743" s="2" t="str">
        <f t="shared" si="42"/>
        <v>2022-06</v>
      </c>
    </row>
    <row r="2744" spans="1:10" x14ac:dyDescent="0.2">
      <c r="A2744" s="2" t="s">
        <v>1286</v>
      </c>
      <c r="B2744" s="2" t="s">
        <v>217</v>
      </c>
      <c r="C2744" s="2" t="s">
        <v>11</v>
      </c>
      <c r="D2744" s="2" t="s">
        <v>2954</v>
      </c>
      <c r="E2744" s="5">
        <v>44726</v>
      </c>
      <c r="F2744" s="2" t="s">
        <v>2954</v>
      </c>
      <c r="G2744" s="2" t="s">
        <v>12</v>
      </c>
      <c r="H2744" s="2" t="s">
        <v>217</v>
      </c>
      <c r="I2744" s="6" t="s">
        <v>2954</v>
      </c>
      <c r="J2744" s="2" t="str">
        <f t="shared" si="42"/>
        <v>2022-06</v>
      </c>
    </row>
    <row r="2745" spans="1:10" x14ac:dyDescent="0.2">
      <c r="A2745" s="2" t="s">
        <v>1798</v>
      </c>
      <c r="B2745" s="2" t="s">
        <v>25</v>
      </c>
      <c r="C2745" s="2" t="s">
        <v>22</v>
      </c>
      <c r="D2745" s="2">
        <v>250</v>
      </c>
      <c r="E2745" s="5">
        <v>44725</v>
      </c>
      <c r="F2745" s="2">
        <v>1000</v>
      </c>
      <c r="G2745" s="2" t="s">
        <v>128</v>
      </c>
      <c r="H2745" s="2" t="s">
        <v>23</v>
      </c>
      <c r="I2745" s="6">
        <v>0.2</v>
      </c>
      <c r="J2745" s="2" t="str">
        <f t="shared" si="42"/>
        <v>2022-06</v>
      </c>
    </row>
    <row r="2746" spans="1:10" x14ac:dyDescent="0.2">
      <c r="A2746" s="2" t="s">
        <v>2362</v>
      </c>
      <c r="B2746" s="2" t="s">
        <v>47</v>
      </c>
      <c r="C2746" s="2" t="s">
        <v>235</v>
      </c>
      <c r="D2746" s="2">
        <v>56</v>
      </c>
      <c r="E2746" s="5">
        <v>44725</v>
      </c>
      <c r="F2746" s="2">
        <v>65</v>
      </c>
      <c r="G2746" s="2" t="s">
        <v>37</v>
      </c>
      <c r="H2746" s="2" t="s">
        <v>23</v>
      </c>
      <c r="I2746" s="6">
        <v>0.33</v>
      </c>
      <c r="J2746" s="2" t="str">
        <f t="shared" si="42"/>
        <v>2022-06</v>
      </c>
    </row>
    <row r="2747" spans="1:10" x14ac:dyDescent="0.2">
      <c r="A2747" s="2" t="s">
        <v>1929</v>
      </c>
      <c r="B2747" s="2" t="s">
        <v>34</v>
      </c>
      <c r="C2747" s="2" t="s">
        <v>61</v>
      </c>
      <c r="D2747" s="2">
        <v>33</v>
      </c>
      <c r="E2747" s="5">
        <v>44725</v>
      </c>
      <c r="F2747" s="2">
        <v>50</v>
      </c>
      <c r="G2747" s="2" t="s">
        <v>37</v>
      </c>
      <c r="H2747" s="2" t="s">
        <v>23</v>
      </c>
      <c r="I2747" s="6">
        <v>0.4</v>
      </c>
      <c r="J2747" s="2" t="str">
        <f t="shared" si="42"/>
        <v>2022-06</v>
      </c>
    </row>
    <row r="2748" spans="1:10" x14ac:dyDescent="0.2">
      <c r="A2748" s="2" t="s">
        <v>2363</v>
      </c>
      <c r="B2748" s="2" t="s">
        <v>284</v>
      </c>
      <c r="C2748" s="2" t="s">
        <v>48</v>
      </c>
      <c r="D2748" s="2" t="s">
        <v>2954</v>
      </c>
      <c r="E2748" s="5">
        <v>44725</v>
      </c>
      <c r="F2748" s="2">
        <v>152</v>
      </c>
      <c r="G2748" s="2" t="s">
        <v>66</v>
      </c>
      <c r="H2748" s="2" t="s">
        <v>23</v>
      </c>
      <c r="I2748" s="6" t="s">
        <v>2954</v>
      </c>
      <c r="J2748" s="2" t="str">
        <f t="shared" si="42"/>
        <v>2022-06</v>
      </c>
    </row>
    <row r="2749" spans="1:10" x14ac:dyDescent="0.2">
      <c r="A2749" s="2" t="s">
        <v>383</v>
      </c>
      <c r="B2749" s="2" t="s">
        <v>89</v>
      </c>
      <c r="C2749" s="2" t="s">
        <v>29</v>
      </c>
      <c r="D2749" s="2" t="s">
        <v>2954</v>
      </c>
      <c r="E2749" s="5">
        <v>44725</v>
      </c>
      <c r="F2749" s="2">
        <v>811</v>
      </c>
      <c r="G2749" s="2" t="s">
        <v>17</v>
      </c>
      <c r="H2749" s="2" t="s">
        <v>23</v>
      </c>
      <c r="I2749" s="6">
        <v>0.12</v>
      </c>
      <c r="J2749" s="2" t="str">
        <f t="shared" si="42"/>
        <v>2022-06</v>
      </c>
    </row>
    <row r="2750" spans="1:10" x14ac:dyDescent="0.2">
      <c r="A2750" s="2" t="s">
        <v>1616</v>
      </c>
      <c r="B2750" s="2" t="s">
        <v>217</v>
      </c>
      <c r="C2750" s="2" t="s">
        <v>22</v>
      </c>
      <c r="D2750" s="2">
        <v>260</v>
      </c>
      <c r="E2750" s="5">
        <v>44722</v>
      </c>
      <c r="F2750" s="2">
        <v>156</v>
      </c>
      <c r="G2750" s="2" t="s">
        <v>12</v>
      </c>
      <c r="H2750" s="2" t="s">
        <v>217</v>
      </c>
      <c r="I2750" s="6">
        <v>0.05</v>
      </c>
      <c r="J2750" s="2" t="str">
        <f t="shared" si="42"/>
        <v>2022-06</v>
      </c>
    </row>
    <row r="2751" spans="1:10" x14ac:dyDescent="0.2">
      <c r="A2751" s="2" t="s">
        <v>1429</v>
      </c>
      <c r="B2751" s="2" t="s">
        <v>97</v>
      </c>
      <c r="C2751" s="2" t="s">
        <v>170</v>
      </c>
      <c r="D2751" s="2">
        <v>250</v>
      </c>
      <c r="E2751" s="5">
        <v>44722</v>
      </c>
      <c r="F2751" s="2">
        <v>150</v>
      </c>
      <c r="G2751" s="2" t="s">
        <v>128</v>
      </c>
      <c r="H2751" s="2" t="s">
        <v>98</v>
      </c>
      <c r="I2751" s="6">
        <v>0.3</v>
      </c>
      <c r="J2751" s="2" t="str">
        <f t="shared" si="42"/>
        <v>2022-06</v>
      </c>
    </row>
    <row r="2752" spans="1:10" x14ac:dyDescent="0.2">
      <c r="A2752" s="2" t="s">
        <v>2364</v>
      </c>
      <c r="B2752" s="2" t="s">
        <v>74</v>
      </c>
      <c r="C2752" s="2" t="s">
        <v>142</v>
      </c>
      <c r="D2752" s="2">
        <v>100</v>
      </c>
      <c r="E2752" s="5">
        <v>44722</v>
      </c>
      <c r="F2752" s="2">
        <v>1000</v>
      </c>
      <c r="G2752" s="2" t="s">
        <v>12</v>
      </c>
      <c r="H2752" s="2" t="s">
        <v>76</v>
      </c>
      <c r="I2752" s="6">
        <v>0.1</v>
      </c>
      <c r="J2752" s="2" t="str">
        <f t="shared" si="42"/>
        <v>2022-06</v>
      </c>
    </row>
    <row r="2753" spans="1:10" x14ac:dyDescent="0.2">
      <c r="A2753" s="2" t="s">
        <v>2365</v>
      </c>
      <c r="B2753" s="2" t="s">
        <v>661</v>
      </c>
      <c r="C2753" s="2" t="s">
        <v>32</v>
      </c>
      <c r="D2753" s="2">
        <v>60</v>
      </c>
      <c r="E2753" s="5">
        <v>44722</v>
      </c>
      <c r="F2753" s="2">
        <v>11</v>
      </c>
      <c r="G2753" s="2" t="s">
        <v>12</v>
      </c>
      <c r="H2753" s="2" t="s">
        <v>662</v>
      </c>
      <c r="I2753" s="6">
        <v>0.2</v>
      </c>
      <c r="J2753" s="2" t="str">
        <f t="shared" si="42"/>
        <v>2022-06</v>
      </c>
    </row>
    <row r="2754" spans="1:10" x14ac:dyDescent="0.2">
      <c r="A2754" s="2" t="s">
        <v>2366</v>
      </c>
      <c r="B2754" s="2" t="s">
        <v>54</v>
      </c>
      <c r="C2754" s="2" t="s">
        <v>16</v>
      </c>
      <c r="D2754" s="2">
        <v>45</v>
      </c>
      <c r="E2754" s="5">
        <v>44722</v>
      </c>
      <c r="F2754" s="2">
        <v>133</v>
      </c>
      <c r="G2754" s="2" t="s">
        <v>12</v>
      </c>
      <c r="H2754" s="2" t="s">
        <v>55</v>
      </c>
      <c r="I2754" s="6">
        <v>0.15</v>
      </c>
      <c r="J2754" s="2" t="str">
        <f t="shared" si="42"/>
        <v>2022-06</v>
      </c>
    </row>
    <row r="2755" spans="1:10" x14ac:dyDescent="0.2">
      <c r="A2755" s="2" t="s">
        <v>2367</v>
      </c>
      <c r="B2755" s="2" t="s">
        <v>47</v>
      </c>
      <c r="C2755" s="2" t="s">
        <v>16</v>
      </c>
      <c r="D2755" s="2">
        <v>20</v>
      </c>
      <c r="E2755" s="5">
        <v>44722</v>
      </c>
      <c r="F2755" s="2">
        <v>175</v>
      </c>
      <c r="G2755" s="2" t="s">
        <v>66</v>
      </c>
      <c r="H2755" s="2" t="s">
        <v>23</v>
      </c>
      <c r="I2755" s="6">
        <v>0.08</v>
      </c>
      <c r="J2755" s="2" t="str">
        <f t="shared" ref="J2755:J2818" si="43">TEXT(E2755,"YYYY-MM")</f>
        <v>2022-06</v>
      </c>
    </row>
    <row r="2756" spans="1:10" x14ac:dyDescent="0.2">
      <c r="A2756" s="2" t="s">
        <v>2368</v>
      </c>
      <c r="B2756" s="2" t="s">
        <v>28</v>
      </c>
      <c r="C2756" s="2" t="s">
        <v>148</v>
      </c>
      <c r="D2756" s="2" t="s">
        <v>2954</v>
      </c>
      <c r="E2756" s="5">
        <v>44722</v>
      </c>
      <c r="F2756" s="2">
        <v>6</v>
      </c>
      <c r="G2756" s="2" t="s">
        <v>12</v>
      </c>
      <c r="H2756" s="2" t="s">
        <v>23</v>
      </c>
      <c r="I2756" s="6" t="s">
        <v>2954</v>
      </c>
      <c r="J2756" s="2" t="str">
        <f t="shared" si="43"/>
        <v>2022-06</v>
      </c>
    </row>
    <row r="2757" spans="1:10" x14ac:dyDescent="0.2">
      <c r="A2757" s="2" t="s">
        <v>2369</v>
      </c>
      <c r="B2757" s="2" t="s">
        <v>1072</v>
      </c>
      <c r="C2757" s="2" t="s">
        <v>48</v>
      </c>
      <c r="D2757" s="2" t="s">
        <v>2954</v>
      </c>
      <c r="E2757" s="5">
        <v>44722</v>
      </c>
      <c r="F2757" s="2">
        <v>22</v>
      </c>
      <c r="G2757" s="2" t="s">
        <v>37</v>
      </c>
      <c r="H2757" s="2" t="s">
        <v>23</v>
      </c>
      <c r="I2757" s="6" t="s">
        <v>2954</v>
      </c>
      <c r="J2757" s="2" t="str">
        <f t="shared" si="43"/>
        <v>2022-06</v>
      </c>
    </row>
    <row r="2758" spans="1:10" x14ac:dyDescent="0.2">
      <c r="A2758" s="2" t="s">
        <v>2370</v>
      </c>
      <c r="B2758" s="2" t="s">
        <v>595</v>
      </c>
      <c r="C2758" s="2" t="s">
        <v>148</v>
      </c>
      <c r="D2758" s="2" t="s">
        <v>2954</v>
      </c>
      <c r="E2758" s="5">
        <v>44722</v>
      </c>
      <c r="F2758" s="2">
        <v>2100</v>
      </c>
      <c r="G2758" s="2" t="s">
        <v>12</v>
      </c>
      <c r="H2758" s="2" t="s">
        <v>224</v>
      </c>
      <c r="I2758" s="6">
        <v>0.2</v>
      </c>
      <c r="J2758" s="2" t="str">
        <f t="shared" si="43"/>
        <v>2022-06</v>
      </c>
    </row>
    <row r="2759" spans="1:10" x14ac:dyDescent="0.2">
      <c r="A2759" s="2" t="s">
        <v>2371</v>
      </c>
      <c r="B2759" s="2" t="s">
        <v>115</v>
      </c>
      <c r="C2759" s="2" t="s">
        <v>195</v>
      </c>
      <c r="D2759" s="2">
        <v>950</v>
      </c>
      <c r="E2759" s="5">
        <v>44721</v>
      </c>
      <c r="F2759" s="2">
        <v>926</v>
      </c>
      <c r="G2759" s="2" t="s">
        <v>66</v>
      </c>
      <c r="H2759" s="2" t="s">
        <v>23</v>
      </c>
      <c r="I2759" s="6">
        <v>0.25</v>
      </c>
      <c r="J2759" s="2" t="str">
        <f t="shared" si="43"/>
        <v>2022-06</v>
      </c>
    </row>
    <row r="2760" spans="1:10" x14ac:dyDescent="0.2">
      <c r="A2760" s="2" t="s">
        <v>405</v>
      </c>
      <c r="B2760" s="2" t="s">
        <v>34</v>
      </c>
      <c r="C2760" s="2" t="s">
        <v>142</v>
      </c>
      <c r="D2760" s="2">
        <v>330</v>
      </c>
      <c r="E2760" s="5">
        <v>44721</v>
      </c>
      <c r="F2760" s="2">
        <v>79</v>
      </c>
      <c r="G2760" s="2" t="s">
        <v>17</v>
      </c>
      <c r="H2760" s="2" t="s">
        <v>23</v>
      </c>
      <c r="I2760" s="6">
        <v>0.15</v>
      </c>
      <c r="J2760" s="2" t="str">
        <f t="shared" si="43"/>
        <v>2022-06</v>
      </c>
    </row>
    <row r="2761" spans="1:10" x14ac:dyDescent="0.2">
      <c r="A2761" s="2" t="s">
        <v>2372</v>
      </c>
      <c r="B2761" s="2" t="s">
        <v>287</v>
      </c>
      <c r="C2761" s="2" t="s">
        <v>142</v>
      </c>
      <c r="D2761" s="2">
        <v>200</v>
      </c>
      <c r="E2761" s="5">
        <v>44721</v>
      </c>
      <c r="F2761" s="2" t="s">
        <v>2954</v>
      </c>
      <c r="G2761" s="2" t="s">
        <v>12</v>
      </c>
      <c r="H2761" s="2" t="s">
        <v>291</v>
      </c>
      <c r="I2761" s="6">
        <v>0.15</v>
      </c>
      <c r="J2761" s="2" t="str">
        <f t="shared" si="43"/>
        <v>2022-06</v>
      </c>
    </row>
    <row r="2762" spans="1:10" x14ac:dyDescent="0.2">
      <c r="A2762" s="2" t="s">
        <v>629</v>
      </c>
      <c r="B2762" s="2" t="s">
        <v>28</v>
      </c>
      <c r="C2762" s="2" t="s">
        <v>170</v>
      </c>
      <c r="D2762" s="2">
        <v>90</v>
      </c>
      <c r="E2762" s="5">
        <v>44721</v>
      </c>
      <c r="F2762" s="2">
        <v>1100</v>
      </c>
      <c r="G2762" s="2" t="s">
        <v>128</v>
      </c>
      <c r="H2762" s="2" t="s">
        <v>23</v>
      </c>
      <c r="I2762" s="6">
        <v>7.0000000000000007E-2</v>
      </c>
      <c r="J2762" s="2" t="str">
        <f t="shared" si="43"/>
        <v>2022-06</v>
      </c>
    </row>
    <row r="2763" spans="1:10" x14ac:dyDescent="0.2">
      <c r="A2763" s="2" t="s">
        <v>422</v>
      </c>
      <c r="B2763" s="2" t="s">
        <v>314</v>
      </c>
      <c r="C2763" s="2" t="s">
        <v>48</v>
      </c>
      <c r="D2763" s="2">
        <v>80</v>
      </c>
      <c r="E2763" s="5">
        <v>44721</v>
      </c>
      <c r="F2763" s="2">
        <v>82</v>
      </c>
      <c r="G2763" s="2" t="s">
        <v>37</v>
      </c>
      <c r="H2763" s="2" t="s">
        <v>23</v>
      </c>
      <c r="I2763" s="6">
        <v>0.4</v>
      </c>
      <c r="J2763" s="2" t="str">
        <f t="shared" si="43"/>
        <v>2022-06</v>
      </c>
    </row>
    <row r="2764" spans="1:10" x14ac:dyDescent="0.2">
      <c r="A2764" s="2" t="s">
        <v>2373</v>
      </c>
      <c r="B2764" s="2" t="s">
        <v>2374</v>
      </c>
      <c r="C2764" s="2" t="s">
        <v>142</v>
      </c>
      <c r="D2764" s="2">
        <v>70</v>
      </c>
      <c r="E2764" s="5">
        <v>44721</v>
      </c>
      <c r="F2764" s="2">
        <v>56</v>
      </c>
      <c r="G2764" s="2" t="s">
        <v>17</v>
      </c>
      <c r="H2764" s="2" t="s">
        <v>291</v>
      </c>
      <c r="I2764" s="6">
        <v>0.05</v>
      </c>
      <c r="J2764" s="2" t="str">
        <f t="shared" si="43"/>
        <v>2022-06</v>
      </c>
    </row>
    <row r="2765" spans="1:10" x14ac:dyDescent="0.2">
      <c r="A2765" s="2" t="s">
        <v>2375</v>
      </c>
      <c r="B2765" s="2" t="s">
        <v>89</v>
      </c>
      <c r="C2765" s="2" t="s">
        <v>142</v>
      </c>
      <c r="D2765" s="2">
        <v>40</v>
      </c>
      <c r="E2765" s="5">
        <v>44721</v>
      </c>
      <c r="F2765" s="2">
        <v>5</v>
      </c>
      <c r="G2765" s="2" t="s">
        <v>45</v>
      </c>
      <c r="H2765" s="2" t="s">
        <v>23</v>
      </c>
      <c r="I2765" s="6">
        <v>1</v>
      </c>
      <c r="J2765" s="2" t="str">
        <f t="shared" si="43"/>
        <v>2022-06</v>
      </c>
    </row>
    <row r="2766" spans="1:10" x14ac:dyDescent="0.2">
      <c r="A2766" s="2" t="s">
        <v>2376</v>
      </c>
      <c r="B2766" s="2" t="s">
        <v>217</v>
      </c>
      <c r="C2766" s="2" t="s">
        <v>16</v>
      </c>
      <c r="D2766" s="2">
        <v>31</v>
      </c>
      <c r="E2766" s="5">
        <v>44721</v>
      </c>
      <c r="F2766" s="2">
        <v>61</v>
      </c>
      <c r="G2766" s="2" t="s">
        <v>75</v>
      </c>
      <c r="H2766" s="2" t="s">
        <v>217</v>
      </c>
      <c r="I2766" s="6">
        <v>0.14000000000000001</v>
      </c>
      <c r="J2766" s="2" t="str">
        <f t="shared" si="43"/>
        <v>2022-06</v>
      </c>
    </row>
    <row r="2767" spans="1:10" x14ac:dyDescent="0.2">
      <c r="A2767" s="2" t="s">
        <v>2377</v>
      </c>
      <c r="B2767" s="2" t="s">
        <v>89</v>
      </c>
      <c r="C2767" s="2" t="s">
        <v>61</v>
      </c>
      <c r="D2767" s="2">
        <v>26</v>
      </c>
      <c r="E2767" s="5">
        <v>44721</v>
      </c>
      <c r="F2767" s="2">
        <v>100</v>
      </c>
      <c r="G2767" s="2" t="s">
        <v>66</v>
      </c>
      <c r="H2767" s="2" t="s">
        <v>23</v>
      </c>
      <c r="I2767" s="6">
        <v>0.05</v>
      </c>
      <c r="J2767" s="2" t="str">
        <f t="shared" si="43"/>
        <v>2022-06</v>
      </c>
    </row>
    <row r="2768" spans="1:10" x14ac:dyDescent="0.2">
      <c r="A2768" s="2" t="s">
        <v>495</v>
      </c>
      <c r="B2768" s="2" t="s">
        <v>25</v>
      </c>
      <c r="C2768" s="2" t="s">
        <v>235</v>
      </c>
      <c r="D2768" s="2" t="s">
        <v>2954</v>
      </c>
      <c r="E2768" s="5">
        <v>44721</v>
      </c>
      <c r="F2768" s="2">
        <v>22</v>
      </c>
      <c r="G2768" s="2" t="s">
        <v>66</v>
      </c>
      <c r="H2768" s="2" t="s">
        <v>23</v>
      </c>
      <c r="I2768" s="6">
        <v>0.08</v>
      </c>
      <c r="J2768" s="2" t="str">
        <f t="shared" si="43"/>
        <v>2022-06</v>
      </c>
    </row>
    <row r="2769" spans="1:10" x14ac:dyDescent="0.2">
      <c r="A2769" s="2" t="s">
        <v>2378</v>
      </c>
      <c r="B2769" s="2" t="s">
        <v>34</v>
      </c>
      <c r="C2769" s="2" t="s">
        <v>52</v>
      </c>
      <c r="D2769" s="2" t="s">
        <v>2954</v>
      </c>
      <c r="E2769" s="5">
        <v>44721</v>
      </c>
      <c r="F2769" s="2">
        <v>197</v>
      </c>
      <c r="G2769" s="2" t="s">
        <v>37</v>
      </c>
      <c r="H2769" s="2" t="s">
        <v>23</v>
      </c>
      <c r="I2769" s="6">
        <v>0.11</v>
      </c>
      <c r="J2769" s="2" t="str">
        <f t="shared" si="43"/>
        <v>2022-06</v>
      </c>
    </row>
    <row r="2770" spans="1:10" x14ac:dyDescent="0.2">
      <c r="A2770" s="2" t="s">
        <v>2379</v>
      </c>
      <c r="B2770" s="2" t="s">
        <v>74</v>
      </c>
      <c r="C2770" s="2" t="s">
        <v>16</v>
      </c>
      <c r="D2770" s="2" t="s">
        <v>2954</v>
      </c>
      <c r="E2770" s="5">
        <v>44721</v>
      </c>
      <c r="F2770" s="2">
        <v>1200</v>
      </c>
      <c r="G2770" s="2" t="s">
        <v>66</v>
      </c>
      <c r="H2770" s="2" t="s">
        <v>76</v>
      </c>
      <c r="I2770" s="6" t="s">
        <v>2954</v>
      </c>
      <c r="J2770" s="2" t="str">
        <f t="shared" si="43"/>
        <v>2022-06</v>
      </c>
    </row>
    <row r="2771" spans="1:10" x14ac:dyDescent="0.2">
      <c r="A2771" s="2" t="s">
        <v>289</v>
      </c>
      <c r="B2771" s="2" t="s">
        <v>34</v>
      </c>
      <c r="C2771" s="2" t="s">
        <v>44</v>
      </c>
      <c r="D2771" s="2">
        <v>250</v>
      </c>
      <c r="E2771" s="5">
        <v>44720</v>
      </c>
      <c r="F2771" s="2">
        <v>839</v>
      </c>
      <c r="G2771" s="2" t="s">
        <v>17</v>
      </c>
      <c r="H2771" s="2" t="s">
        <v>23</v>
      </c>
      <c r="I2771" s="6">
        <v>0.21</v>
      </c>
      <c r="J2771" s="2" t="str">
        <f t="shared" si="43"/>
        <v>2022-06</v>
      </c>
    </row>
    <row r="2772" spans="1:10" x14ac:dyDescent="0.2">
      <c r="A2772" s="2" t="s">
        <v>1834</v>
      </c>
      <c r="B2772" s="2" t="s">
        <v>661</v>
      </c>
      <c r="C2772" s="2" t="s">
        <v>52</v>
      </c>
      <c r="D2772" s="2">
        <v>150</v>
      </c>
      <c r="E2772" s="5">
        <v>44720</v>
      </c>
      <c r="F2772" s="2">
        <v>1600</v>
      </c>
      <c r="G2772" s="2" t="s">
        <v>128</v>
      </c>
      <c r="H2772" s="2" t="s">
        <v>662</v>
      </c>
      <c r="I2772" s="6" t="s">
        <v>2954</v>
      </c>
      <c r="J2772" s="2" t="str">
        <f t="shared" si="43"/>
        <v>2022-06</v>
      </c>
    </row>
    <row r="2773" spans="1:10" x14ac:dyDescent="0.2">
      <c r="A2773" s="2" t="s">
        <v>2017</v>
      </c>
      <c r="B2773" s="2" t="s">
        <v>34</v>
      </c>
      <c r="C2773" s="2" t="s">
        <v>32</v>
      </c>
      <c r="D2773" s="2">
        <v>150</v>
      </c>
      <c r="E2773" s="5">
        <v>44720</v>
      </c>
      <c r="F2773" s="2">
        <v>255</v>
      </c>
      <c r="G2773" s="2" t="s">
        <v>75</v>
      </c>
      <c r="H2773" s="2" t="s">
        <v>23</v>
      </c>
      <c r="I2773" s="6">
        <v>0.15</v>
      </c>
      <c r="J2773" s="2" t="str">
        <f t="shared" si="43"/>
        <v>2022-06</v>
      </c>
    </row>
    <row r="2774" spans="1:10" x14ac:dyDescent="0.2">
      <c r="A2774" s="2" t="s">
        <v>2380</v>
      </c>
      <c r="B2774" s="2" t="s">
        <v>2014</v>
      </c>
      <c r="C2774" s="2" t="s">
        <v>142</v>
      </c>
      <c r="D2774" s="2">
        <v>50</v>
      </c>
      <c r="E2774" s="5">
        <v>44720</v>
      </c>
      <c r="F2774" s="2">
        <v>26</v>
      </c>
      <c r="G2774" s="2" t="s">
        <v>12</v>
      </c>
      <c r="H2774" s="2" t="s">
        <v>2015</v>
      </c>
      <c r="I2774" s="6">
        <v>0.2</v>
      </c>
      <c r="J2774" s="2" t="str">
        <f t="shared" si="43"/>
        <v>2022-06</v>
      </c>
    </row>
    <row r="2775" spans="1:10" x14ac:dyDescent="0.2">
      <c r="A2775" s="2" t="s">
        <v>2381</v>
      </c>
      <c r="B2775" s="2" t="s">
        <v>287</v>
      </c>
      <c r="C2775" s="2" t="s">
        <v>35</v>
      </c>
      <c r="D2775" s="2" t="s">
        <v>2954</v>
      </c>
      <c r="E2775" s="5">
        <v>44720</v>
      </c>
      <c r="F2775" s="2">
        <v>24</v>
      </c>
      <c r="G2775" s="2" t="s">
        <v>12</v>
      </c>
      <c r="H2775" s="2" t="s">
        <v>291</v>
      </c>
      <c r="I2775" s="6">
        <v>0.4</v>
      </c>
      <c r="J2775" s="2" t="str">
        <f t="shared" si="43"/>
        <v>2022-06</v>
      </c>
    </row>
    <row r="2776" spans="1:10" x14ac:dyDescent="0.2">
      <c r="A2776" s="2" t="s">
        <v>1563</v>
      </c>
      <c r="B2776" s="2" t="s">
        <v>54</v>
      </c>
      <c r="C2776" s="2" t="s">
        <v>52</v>
      </c>
      <c r="D2776" s="2">
        <v>750</v>
      </c>
      <c r="E2776" s="5">
        <v>44719</v>
      </c>
      <c r="F2776" s="2">
        <v>2000</v>
      </c>
      <c r="G2776" s="2" t="s">
        <v>17</v>
      </c>
      <c r="H2776" s="2" t="s">
        <v>55</v>
      </c>
      <c r="I2776" s="6">
        <v>0.15</v>
      </c>
      <c r="J2776" s="2" t="str">
        <f t="shared" si="43"/>
        <v>2022-06</v>
      </c>
    </row>
    <row r="2777" spans="1:10" x14ac:dyDescent="0.2">
      <c r="A2777" s="2" t="s">
        <v>1563</v>
      </c>
      <c r="B2777" s="2" t="s">
        <v>54</v>
      </c>
      <c r="C2777" s="2" t="s">
        <v>52</v>
      </c>
      <c r="D2777" s="2">
        <v>750</v>
      </c>
      <c r="E2777" s="5">
        <v>44719</v>
      </c>
      <c r="F2777" s="2">
        <v>2000</v>
      </c>
      <c r="G2777" s="2" t="s">
        <v>17</v>
      </c>
      <c r="H2777" s="2" t="s">
        <v>55</v>
      </c>
      <c r="I2777" s="6">
        <v>0.15</v>
      </c>
      <c r="J2777" s="2" t="str">
        <f t="shared" si="43"/>
        <v>2022-06</v>
      </c>
    </row>
    <row r="2778" spans="1:10" x14ac:dyDescent="0.2">
      <c r="A2778" s="2" t="s">
        <v>2070</v>
      </c>
      <c r="B2778" s="2" t="s">
        <v>100</v>
      </c>
      <c r="C2778" s="2" t="s">
        <v>16</v>
      </c>
      <c r="D2778" s="2">
        <v>180</v>
      </c>
      <c r="E2778" s="5">
        <v>44719</v>
      </c>
      <c r="F2778" s="2">
        <v>172</v>
      </c>
      <c r="G2778" s="2" t="s">
        <v>12</v>
      </c>
      <c r="H2778" s="2" t="s">
        <v>98</v>
      </c>
      <c r="I2778" s="6">
        <v>0.15</v>
      </c>
      <c r="J2778" s="2" t="str">
        <f t="shared" si="43"/>
        <v>2022-06</v>
      </c>
    </row>
    <row r="2779" spans="1:10" x14ac:dyDescent="0.2">
      <c r="A2779" s="2" t="s">
        <v>2382</v>
      </c>
      <c r="B2779" s="2" t="s">
        <v>398</v>
      </c>
      <c r="C2779" s="2" t="s">
        <v>26</v>
      </c>
      <c r="D2779" s="2">
        <v>150</v>
      </c>
      <c r="E2779" s="5">
        <v>44719</v>
      </c>
      <c r="F2779" s="2">
        <v>149</v>
      </c>
      <c r="G2779" s="2" t="s">
        <v>66</v>
      </c>
      <c r="H2779" s="2" t="s">
        <v>399</v>
      </c>
      <c r="I2779" s="6" t="s">
        <v>2954</v>
      </c>
      <c r="J2779" s="2" t="str">
        <f t="shared" si="43"/>
        <v>2022-06</v>
      </c>
    </row>
    <row r="2780" spans="1:10" x14ac:dyDescent="0.2">
      <c r="A2780" s="2" t="s">
        <v>680</v>
      </c>
      <c r="B2780" s="2" t="s">
        <v>47</v>
      </c>
      <c r="C2780" s="2" t="s">
        <v>52</v>
      </c>
      <c r="D2780" s="2">
        <v>138</v>
      </c>
      <c r="E2780" s="5">
        <v>44719</v>
      </c>
      <c r="F2780" s="2">
        <v>783</v>
      </c>
      <c r="G2780" s="2" t="s">
        <v>17</v>
      </c>
      <c r="H2780" s="2" t="s">
        <v>23</v>
      </c>
      <c r="I2780" s="6">
        <v>0.23</v>
      </c>
      <c r="J2780" s="2" t="str">
        <f t="shared" si="43"/>
        <v>2022-06</v>
      </c>
    </row>
    <row r="2781" spans="1:10" x14ac:dyDescent="0.2">
      <c r="A2781" s="2" t="s">
        <v>2383</v>
      </c>
      <c r="B2781" s="2" t="s">
        <v>401</v>
      </c>
      <c r="C2781" s="2" t="s">
        <v>195</v>
      </c>
      <c r="D2781" s="2">
        <v>130</v>
      </c>
      <c r="E2781" s="5">
        <v>44719</v>
      </c>
      <c r="F2781" s="2">
        <v>275</v>
      </c>
      <c r="G2781" s="2" t="s">
        <v>12</v>
      </c>
      <c r="H2781" s="2" t="s">
        <v>23</v>
      </c>
      <c r="I2781" s="6" t="s">
        <v>2954</v>
      </c>
      <c r="J2781" s="2" t="str">
        <f t="shared" si="43"/>
        <v>2022-06</v>
      </c>
    </row>
    <row r="2782" spans="1:10" x14ac:dyDescent="0.2">
      <c r="A2782" s="2" t="s">
        <v>2384</v>
      </c>
      <c r="B2782" s="2" t="s">
        <v>34</v>
      </c>
      <c r="C2782" s="2" t="s">
        <v>142</v>
      </c>
      <c r="D2782" s="2">
        <v>40</v>
      </c>
      <c r="E2782" s="5">
        <v>44719</v>
      </c>
      <c r="F2782" s="2">
        <v>11</v>
      </c>
      <c r="G2782" s="2" t="s">
        <v>12</v>
      </c>
      <c r="H2782" s="2" t="s">
        <v>23</v>
      </c>
      <c r="I2782" s="6" t="s">
        <v>2954</v>
      </c>
      <c r="J2782" s="2" t="str">
        <f t="shared" si="43"/>
        <v>2022-06</v>
      </c>
    </row>
    <row r="2783" spans="1:10" x14ac:dyDescent="0.2">
      <c r="A2783" s="2" t="s">
        <v>2385</v>
      </c>
      <c r="B2783" s="2" t="s">
        <v>34</v>
      </c>
      <c r="C2783" s="2" t="s">
        <v>16</v>
      </c>
      <c r="D2783" s="2" t="s">
        <v>2954</v>
      </c>
      <c r="E2783" s="5">
        <v>44719</v>
      </c>
      <c r="F2783" s="2">
        <v>42</v>
      </c>
      <c r="G2783" s="2" t="s">
        <v>41</v>
      </c>
      <c r="H2783" s="2" t="s">
        <v>23</v>
      </c>
      <c r="I2783" s="6" t="s">
        <v>2954</v>
      </c>
      <c r="J2783" s="2" t="str">
        <f t="shared" si="43"/>
        <v>2022-06</v>
      </c>
    </row>
    <row r="2784" spans="1:10" x14ac:dyDescent="0.2">
      <c r="A2784" s="2" t="s">
        <v>2386</v>
      </c>
      <c r="B2784" s="2" t="s">
        <v>34</v>
      </c>
      <c r="C2784" s="2" t="s">
        <v>16</v>
      </c>
      <c r="D2784" s="2" t="s">
        <v>2954</v>
      </c>
      <c r="E2784" s="5">
        <v>44719</v>
      </c>
      <c r="F2784" s="2">
        <v>35</v>
      </c>
      <c r="G2784" s="2" t="s">
        <v>37</v>
      </c>
      <c r="H2784" s="2" t="s">
        <v>23</v>
      </c>
      <c r="I2784" s="6" t="s">
        <v>2954</v>
      </c>
      <c r="J2784" s="2" t="str">
        <f t="shared" si="43"/>
        <v>2022-06</v>
      </c>
    </row>
    <row r="2785" spans="1:10" x14ac:dyDescent="0.2">
      <c r="A2785" s="2" t="s">
        <v>2046</v>
      </c>
      <c r="B2785" s="2" t="s">
        <v>2047</v>
      </c>
      <c r="C2785" s="2" t="s">
        <v>148</v>
      </c>
      <c r="D2785" s="2" t="s">
        <v>2954</v>
      </c>
      <c r="E2785" s="5">
        <v>44719</v>
      </c>
      <c r="F2785" s="2">
        <v>33</v>
      </c>
      <c r="G2785" s="2" t="s">
        <v>41</v>
      </c>
      <c r="H2785" s="2" t="s">
        <v>2048</v>
      </c>
      <c r="I2785" s="6">
        <v>0.5</v>
      </c>
      <c r="J2785" s="2" t="str">
        <f t="shared" si="43"/>
        <v>2022-06</v>
      </c>
    </row>
    <row r="2786" spans="1:10" x14ac:dyDescent="0.2">
      <c r="A2786" s="2" t="s">
        <v>2174</v>
      </c>
      <c r="B2786" s="2" t="s">
        <v>335</v>
      </c>
      <c r="C2786" s="2" t="s">
        <v>16</v>
      </c>
      <c r="D2786" s="2">
        <v>60</v>
      </c>
      <c r="E2786" s="5">
        <v>44718</v>
      </c>
      <c r="F2786" s="2">
        <v>681</v>
      </c>
      <c r="G2786" s="2" t="s">
        <v>66</v>
      </c>
      <c r="H2786" s="2" t="s">
        <v>106</v>
      </c>
      <c r="I2786" s="6" t="s">
        <v>2954</v>
      </c>
      <c r="J2786" s="2" t="str">
        <f t="shared" si="43"/>
        <v>2022-06</v>
      </c>
    </row>
    <row r="2787" spans="1:10" x14ac:dyDescent="0.2">
      <c r="A2787" s="2" t="s">
        <v>2387</v>
      </c>
      <c r="B2787" s="2" t="s">
        <v>1762</v>
      </c>
      <c r="C2787" s="2" t="s">
        <v>29</v>
      </c>
      <c r="D2787" s="2">
        <v>50</v>
      </c>
      <c r="E2787" s="5">
        <v>44718</v>
      </c>
      <c r="F2787" s="2">
        <v>603</v>
      </c>
      <c r="G2787" s="2" t="s">
        <v>75</v>
      </c>
      <c r="H2787" s="2" t="s">
        <v>23</v>
      </c>
      <c r="I2787" s="6">
        <v>7.0000000000000007E-2</v>
      </c>
      <c r="J2787" s="2" t="str">
        <f t="shared" si="43"/>
        <v>2022-06</v>
      </c>
    </row>
    <row r="2788" spans="1:10" x14ac:dyDescent="0.2">
      <c r="A2788" s="2" t="s">
        <v>2174</v>
      </c>
      <c r="B2788" s="2" t="s">
        <v>167</v>
      </c>
      <c r="C2788" s="2" t="s">
        <v>16</v>
      </c>
      <c r="D2788" s="2" t="s">
        <v>2954</v>
      </c>
      <c r="E2788" s="5">
        <v>44718</v>
      </c>
      <c r="F2788" s="2">
        <v>681</v>
      </c>
      <c r="G2788" s="2" t="s">
        <v>66</v>
      </c>
      <c r="H2788" s="2" t="s">
        <v>168</v>
      </c>
      <c r="I2788" s="6" t="s">
        <v>2954</v>
      </c>
      <c r="J2788" s="2" t="str">
        <f t="shared" si="43"/>
        <v>2022-06</v>
      </c>
    </row>
    <row r="2789" spans="1:10" x14ac:dyDescent="0.2">
      <c r="A2789" s="2" t="s">
        <v>2388</v>
      </c>
      <c r="B2789" s="2" t="s">
        <v>25</v>
      </c>
      <c r="C2789" s="2" t="s">
        <v>195</v>
      </c>
      <c r="D2789" s="2" t="s">
        <v>2954</v>
      </c>
      <c r="E2789" s="5">
        <v>44718</v>
      </c>
      <c r="F2789" s="2">
        <v>259</v>
      </c>
      <c r="G2789" s="2" t="s">
        <v>75</v>
      </c>
      <c r="H2789" s="2" t="s">
        <v>23</v>
      </c>
      <c r="I2789" s="6">
        <v>0.1</v>
      </c>
      <c r="J2789" s="2" t="str">
        <f t="shared" si="43"/>
        <v>2022-06</v>
      </c>
    </row>
    <row r="2790" spans="1:10" x14ac:dyDescent="0.2">
      <c r="A2790" s="2" t="s">
        <v>682</v>
      </c>
      <c r="B2790" s="2" t="s">
        <v>34</v>
      </c>
      <c r="C2790" s="2" t="s">
        <v>26</v>
      </c>
      <c r="D2790" s="2" t="s">
        <v>2954</v>
      </c>
      <c r="E2790" s="5">
        <v>44718</v>
      </c>
      <c r="F2790" s="2">
        <v>152</v>
      </c>
      <c r="G2790" s="2" t="s">
        <v>66</v>
      </c>
      <c r="H2790" s="2" t="s">
        <v>23</v>
      </c>
      <c r="I2790" s="6">
        <v>0.14000000000000001</v>
      </c>
      <c r="J2790" s="2" t="str">
        <f t="shared" si="43"/>
        <v>2022-06</v>
      </c>
    </row>
    <row r="2791" spans="1:10" x14ac:dyDescent="0.2">
      <c r="A2791" s="2" t="s">
        <v>2389</v>
      </c>
      <c r="B2791" s="2" t="s">
        <v>538</v>
      </c>
      <c r="C2791" s="2" t="s">
        <v>61</v>
      </c>
      <c r="D2791" s="2">
        <v>40</v>
      </c>
      <c r="E2791" s="5">
        <v>44716</v>
      </c>
      <c r="F2791" s="2">
        <v>1200</v>
      </c>
      <c r="G2791" s="2" t="s">
        <v>128</v>
      </c>
      <c r="H2791" s="2" t="s">
        <v>98</v>
      </c>
      <c r="I2791" s="6" t="s">
        <v>2954</v>
      </c>
      <c r="J2791" s="2" t="str">
        <f t="shared" si="43"/>
        <v>2022-06</v>
      </c>
    </row>
    <row r="2792" spans="1:10" x14ac:dyDescent="0.2">
      <c r="A2792" s="2" t="s">
        <v>2390</v>
      </c>
      <c r="B2792" s="2" t="s">
        <v>2391</v>
      </c>
      <c r="C2792" s="2" t="s">
        <v>35</v>
      </c>
      <c r="D2792" s="2">
        <v>60</v>
      </c>
      <c r="E2792" s="5">
        <v>44715</v>
      </c>
      <c r="F2792" s="2" t="s">
        <v>2954</v>
      </c>
      <c r="G2792" s="2" t="s">
        <v>12</v>
      </c>
      <c r="H2792" s="2" t="s">
        <v>662</v>
      </c>
      <c r="I2792" s="6">
        <v>0.2</v>
      </c>
      <c r="J2792" s="2" t="str">
        <f t="shared" si="43"/>
        <v>2022-06</v>
      </c>
    </row>
    <row r="2793" spans="1:10" x14ac:dyDescent="0.2">
      <c r="A2793" s="2" t="s">
        <v>2392</v>
      </c>
      <c r="B2793" s="2" t="s">
        <v>34</v>
      </c>
      <c r="C2793" s="2" t="s">
        <v>35</v>
      </c>
      <c r="D2793" s="2">
        <v>23</v>
      </c>
      <c r="E2793" s="5">
        <v>44715</v>
      </c>
      <c r="F2793" s="2">
        <v>108</v>
      </c>
      <c r="G2793" s="2" t="s">
        <v>66</v>
      </c>
      <c r="H2793" s="2" t="s">
        <v>23</v>
      </c>
      <c r="I2793" s="6">
        <v>0.22</v>
      </c>
      <c r="J2793" s="2" t="str">
        <f t="shared" si="43"/>
        <v>2022-06</v>
      </c>
    </row>
    <row r="2794" spans="1:10" x14ac:dyDescent="0.2">
      <c r="A2794" s="2" t="s">
        <v>2393</v>
      </c>
      <c r="B2794" s="2" t="s">
        <v>25</v>
      </c>
      <c r="C2794" s="2" t="s">
        <v>11</v>
      </c>
      <c r="D2794" s="2">
        <v>21</v>
      </c>
      <c r="E2794" s="5">
        <v>44715</v>
      </c>
      <c r="F2794" s="2">
        <v>176</v>
      </c>
      <c r="G2794" s="2" t="s">
        <v>45</v>
      </c>
      <c r="H2794" s="2" t="s">
        <v>23</v>
      </c>
      <c r="I2794" s="6">
        <v>0.15</v>
      </c>
      <c r="J2794" s="2" t="str">
        <f t="shared" si="43"/>
        <v>2022-06</v>
      </c>
    </row>
    <row r="2795" spans="1:10" x14ac:dyDescent="0.2">
      <c r="A2795" s="2" t="s">
        <v>2394</v>
      </c>
      <c r="B2795" s="2" t="s">
        <v>273</v>
      </c>
      <c r="C2795" s="2" t="s">
        <v>109</v>
      </c>
      <c r="D2795" s="2" t="s">
        <v>2954</v>
      </c>
      <c r="E2795" s="5">
        <v>44715</v>
      </c>
      <c r="F2795" s="2">
        <v>12</v>
      </c>
      <c r="G2795" s="2" t="s">
        <v>41</v>
      </c>
      <c r="H2795" s="2" t="s">
        <v>274</v>
      </c>
      <c r="I2795" s="6">
        <v>0.25</v>
      </c>
      <c r="J2795" s="2" t="str">
        <f t="shared" si="43"/>
        <v>2022-06</v>
      </c>
    </row>
    <row r="2796" spans="1:10" x14ac:dyDescent="0.2">
      <c r="A2796" s="2" t="s">
        <v>1143</v>
      </c>
      <c r="B2796" s="2" t="s">
        <v>34</v>
      </c>
      <c r="C2796" s="2" t="s">
        <v>35</v>
      </c>
      <c r="D2796" s="2" t="s">
        <v>2954</v>
      </c>
      <c r="E2796" s="5">
        <v>44715</v>
      </c>
      <c r="F2796" s="2">
        <v>110</v>
      </c>
      <c r="G2796" s="2" t="s">
        <v>66</v>
      </c>
      <c r="H2796" s="2" t="s">
        <v>23</v>
      </c>
      <c r="I2796" s="6" t="s">
        <v>2954</v>
      </c>
      <c r="J2796" s="2" t="str">
        <f t="shared" si="43"/>
        <v>2022-06</v>
      </c>
    </row>
    <row r="2797" spans="1:10" x14ac:dyDescent="0.2">
      <c r="A2797" s="2" t="s">
        <v>124</v>
      </c>
      <c r="B2797" s="2" t="s">
        <v>86</v>
      </c>
      <c r="C2797" s="2" t="s">
        <v>52</v>
      </c>
      <c r="D2797" s="2" t="s">
        <v>2954</v>
      </c>
      <c r="E2797" s="5">
        <v>44715</v>
      </c>
      <c r="F2797" s="2">
        <v>20200</v>
      </c>
      <c r="G2797" s="2" t="s">
        <v>17</v>
      </c>
      <c r="H2797" s="2" t="s">
        <v>23</v>
      </c>
      <c r="I2797" s="6">
        <v>0.1</v>
      </c>
      <c r="J2797" s="2" t="str">
        <f t="shared" si="43"/>
        <v>2022-06</v>
      </c>
    </row>
    <row r="2798" spans="1:10" x14ac:dyDescent="0.2">
      <c r="A2798" s="2" t="s">
        <v>269</v>
      </c>
      <c r="B2798" s="2" t="s">
        <v>34</v>
      </c>
      <c r="C2798" s="2" t="s">
        <v>32</v>
      </c>
      <c r="D2798" s="2">
        <v>250</v>
      </c>
      <c r="E2798" s="5">
        <v>44714</v>
      </c>
      <c r="F2798" s="2">
        <v>522</v>
      </c>
      <c r="G2798" s="2" t="s">
        <v>75</v>
      </c>
      <c r="H2798" s="2" t="s">
        <v>23</v>
      </c>
      <c r="I2798" s="6">
        <v>0.08</v>
      </c>
      <c r="J2798" s="2" t="str">
        <f t="shared" si="43"/>
        <v>2022-06</v>
      </c>
    </row>
    <row r="2799" spans="1:10" x14ac:dyDescent="0.2">
      <c r="A2799" s="2" t="s">
        <v>2395</v>
      </c>
      <c r="B2799" s="2" t="s">
        <v>661</v>
      </c>
      <c r="C2799" s="2" t="s">
        <v>11</v>
      </c>
      <c r="D2799" s="2">
        <v>170</v>
      </c>
      <c r="E2799" s="5">
        <v>44714</v>
      </c>
      <c r="F2799" s="2">
        <v>31</v>
      </c>
      <c r="G2799" s="2" t="s">
        <v>41</v>
      </c>
      <c r="H2799" s="2" t="s">
        <v>662</v>
      </c>
      <c r="I2799" s="6" t="s">
        <v>2954</v>
      </c>
      <c r="J2799" s="2" t="str">
        <f t="shared" si="43"/>
        <v>2022-06</v>
      </c>
    </row>
    <row r="2800" spans="1:10" x14ac:dyDescent="0.2">
      <c r="A2800" s="2" t="s">
        <v>2396</v>
      </c>
      <c r="B2800" s="2" t="s">
        <v>25</v>
      </c>
      <c r="C2800" s="2" t="s">
        <v>16</v>
      </c>
      <c r="D2800" s="2">
        <v>170</v>
      </c>
      <c r="E2800" s="5">
        <v>44714</v>
      </c>
      <c r="F2800" s="2">
        <v>286</v>
      </c>
      <c r="G2800" s="2" t="s">
        <v>128</v>
      </c>
      <c r="H2800" s="2" t="s">
        <v>23</v>
      </c>
      <c r="I2800" s="6">
        <v>0.25</v>
      </c>
      <c r="J2800" s="2" t="str">
        <f t="shared" si="43"/>
        <v>2022-06</v>
      </c>
    </row>
    <row r="2801" spans="1:10" x14ac:dyDescent="0.2">
      <c r="A2801" s="2" t="s">
        <v>2397</v>
      </c>
      <c r="B2801" s="2" t="s">
        <v>255</v>
      </c>
      <c r="C2801" s="2" t="s">
        <v>363</v>
      </c>
      <c r="D2801" s="2">
        <v>140</v>
      </c>
      <c r="E2801" s="5">
        <v>44714</v>
      </c>
      <c r="F2801" s="2">
        <v>3</v>
      </c>
      <c r="G2801" s="2" t="s">
        <v>132</v>
      </c>
      <c r="H2801" s="2" t="s">
        <v>98</v>
      </c>
      <c r="I2801" s="6">
        <v>0.5</v>
      </c>
      <c r="J2801" s="2" t="str">
        <f t="shared" si="43"/>
        <v>2022-06</v>
      </c>
    </row>
    <row r="2802" spans="1:10" x14ac:dyDescent="0.2">
      <c r="A2802" s="2" t="s">
        <v>2398</v>
      </c>
      <c r="B2802" s="2" t="s">
        <v>831</v>
      </c>
      <c r="C2802" s="2" t="s">
        <v>26</v>
      </c>
      <c r="D2802" s="2">
        <v>100</v>
      </c>
      <c r="E2802" s="5">
        <v>44714</v>
      </c>
      <c r="F2802" s="2" t="s">
        <v>2954</v>
      </c>
      <c r="G2802" s="2" t="s">
        <v>12</v>
      </c>
      <c r="H2802" s="2" t="s">
        <v>274</v>
      </c>
      <c r="I2802" s="6" t="s">
        <v>2954</v>
      </c>
      <c r="J2802" s="2" t="str">
        <f t="shared" si="43"/>
        <v>2022-06</v>
      </c>
    </row>
    <row r="2803" spans="1:10" x14ac:dyDescent="0.2">
      <c r="A2803" s="2" t="s">
        <v>1521</v>
      </c>
      <c r="B2803" s="2" t="s">
        <v>25</v>
      </c>
      <c r="C2803" s="2" t="s">
        <v>22</v>
      </c>
      <c r="D2803" s="2">
        <v>100</v>
      </c>
      <c r="E2803" s="5">
        <v>44714</v>
      </c>
      <c r="F2803" s="2">
        <v>423</v>
      </c>
      <c r="G2803" s="2" t="s">
        <v>12</v>
      </c>
      <c r="H2803" s="2" t="s">
        <v>23</v>
      </c>
      <c r="I2803" s="6">
        <v>0.1</v>
      </c>
      <c r="J2803" s="2" t="str">
        <f t="shared" si="43"/>
        <v>2022-06</v>
      </c>
    </row>
    <row r="2804" spans="1:10" x14ac:dyDescent="0.2">
      <c r="A2804" s="2" t="s">
        <v>2399</v>
      </c>
      <c r="B2804" s="2" t="s">
        <v>115</v>
      </c>
      <c r="C2804" s="2" t="s">
        <v>170</v>
      </c>
      <c r="D2804" s="2">
        <v>59</v>
      </c>
      <c r="E2804" s="5">
        <v>44714</v>
      </c>
      <c r="F2804" s="2">
        <v>325</v>
      </c>
      <c r="G2804" s="2" t="s">
        <v>75</v>
      </c>
      <c r="H2804" s="2" t="s">
        <v>23</v>
      </c>
      <c r="I2804" s="6">
        <v>0.08</v>
      </c>
      <c r="J2804" s="2" t="str">
        <f t="shared" si="43"/>
        <v>2022-06</v>
      </c>
    </row>
    <row r="2805" spans="1:10" x14ac:dyDescent="0.2">
      <c r="A2805" s="2" t="s">
        <v>2400</v>
      </c>
      <c r="B2805" s="2" t="s">
        <v>34</v>
      </c>
      <c r="C2805" s="2" t="s">
        <v>35</v>
      </c>
      <c r="D2805" s="2">
        <v>30</v>
      </c>
      <c r="E2805" s="5">
        <v>44714</v>
      </c>
      <c r="F2805" s="2">
        <v>76</v>
      </c>
      <c r="G2805" s="2" t="s">
        <v>37</v>
      </c>
      <c r="H2805" s="2" t="s">
        <v>23</v>
      </c>
      <c r="I2805" s="6">
        <v>0.33</v>
      </c>
      <c r="J2805" s="2" t="str">
        <f t="shared" si="43"/>
        <v>2022-06</v>
      </c>
    </row>
    <row r="2806" spans="1:10" x14ac:dyDescent="0.2">
      <c r="A2806" s="2" t="s">
        <v>2401</v>
      </c>
      <c r="B2806" s="2" t="s">
        <v>34</v>
      </c>
      <c r="C2806" s="2" t="s">
        <v>11</v>
      </c>
      <c r="D2806" s="2">
        <v>29</v>
      </c>
      <c r="E2806" s="5">
        <v>44714</v>
      </c>
      <c r="F2806" s="2">
        <v>28</v>
      </c>
      <c r="G2806" s="2" t="s">
        <v>41</v>
      </c>
      <c r="H2806" s="2" t="s">
        <v>23</v>
      </c>
      <c r="I2806" s="6" t="s">
        <v>2954</v>
      </c>
      <c r="J2806" s="2" t="str">
        <f t="shared" si="43"/>
        <v>2022-06</v>
      </c>
    </row>
    <row r="2807" spans="1:10" x14ac:dyDescent="0.2">
      <c r="A2807" s="2" t="s">
        <v>976</v>
      </c>
      <c r="B2807" s="2" t="s">
        <v>34</v>
      </c>
      <c r="C2807" s="2" t="s">
        <v>35</v>
      </c>
      <c r="D2807" s="2">
        <v>25</v>
      </c>
      <c r="E2807" s="5">
        <v>44714</v>
      </c>
      <c r="F2807" s="2">
        <v>197</v>
      </c>
      <c r="G2807" s="2" t="s">
        <v>66</v>
      </c>
      <c r="H2807" s="2" t="s">
        <v>23</v>
      </c>
      <c r="I2807" s="6">
        <v>0.25</v>
      </c>
      <c r="J2807" s="2" t="str">
        <f t="shared" si="43"/>
        <v>2022-06</v>
      </c>
    </row>
    <row r="2808" spans="1:10" x14ac:dyDescent="0.2">
      <c r="A2808" s="2" t="s">
        <v>2402</v>
      </c>
      <c r="B2808" s="2" t="s">
        <v>89</v>
      </c>
      <c r="C2808" s="2" t="s">
        <v>61</v>
      </c>
      <c r="D2808" s="2" t="s">
        <v>2954</v>
      </c>
      <c r="E2808" s="5">
        <v>44714</v>
      </c>
      <c r="F2808" s="2">
        <v>37</v>
      </c>
      <c r="G2808" s="2" t="s">
        <v>12</v>
      </c>
      <c r="H2808" s="2" t="s">
        <v>23</v>
      </c>
      <c r="I2808" s="6" t="s">
        <v>2954</v>
      </c>
      <c r="J2808" s="2" t="str">
        <f t="shared" si="43"/>
        <v>2022-06</v>
      </c>
    </row>
    <row r="2809" spans="1:10" x14ac:dyDescent="0.2">
      <c r="A2809" s="2" t="s">
        <v>2403</v>
      </c>
      <c r="B2809" s="2" t="s">
        <v>2404</v>
      </c>
      <c r="C2809" s="2" t="s">
        <v>35</v>
      </c>
      <c r="D2809" s="2" t="s">
        <v>2954</v>
      </c>
      <c r="E2809" s="5">
        <v>44714</v>
      </c>
      <c r="F2809" s="2">
        <v>17</v>
      </c>
      <c r="G2809" s="2" t="s">
        <v>37</v>
      </c>
      <c r="H2809" s="2" t="s">
        <v>23</v>
      </c>
      <c r="I2809" s="6">
        <v>1</v>
      </c>
      <c r="J2809" s="2" t="str">
        <f t="shared" si="43"/>
        <v>2022-06</v>
      </c>
    </row>
    <row r="2810" spans="1:10" x14ac:dyDescent="0.2">
      <c r="A2810" s="2" t="s">
        <v>2405</v>
      </c>
      <c r="B2810" s="2" t="s">
        <v>2406</v>
      </c>
      <c r="C2810" s="2" t="s">
        <v>16</v>
      </c>
      <c r="D2810" s="2" t="s">
        <v>2954</v>
      </c>
      <c r="E2810" s="5">
        <v>44714</v>
      </c>
      <c r="F2810" s="2">
        <v>202</v>
      </c>
      <c r="G2810" s="2" t="s">
        <v>37</v>
      </c>
      <c r="H2810" s="2" t="s">
        <v>2407</v>
      </c>
      <c r="I2810" s="6" t="s">
        <v>2954</v>
      </c>
      <c r="J2810" s="2" t="str">
        <f t="shared" si="43"/>
        <v>2022-06</v>
      </c>
    </row>
    <row r="2811" spans="1:10" x14ac:dyDescent="0.2">
      <c r="A2811" s="2" t="s">
        <v>511</v>
      </c>
      <c r="B2811" s="2" t="s">
        <v>245</v>
      </c>
      <c r="C2811" s="2" t="s">
        <v>52</v>
      </c>
      <c r="D2811" s="2">
        <v>500</v>
      </c>
      <c r="E2811" s="5">
        <v>44713</v>
      </c>
      <c r="F2811" s="2" t="s">
        <v>2954</v>
      </c>
      <c r="G2811" s="2" t="s">
        <v>17</v>
      </c>
      <c r="H2811" s="2" t="s">
        <v>246</v>
      </c>
      <c r="I2811" s="6">
        <v>0.1</v>
      </c>
      <c r="J2811" s="2" t="str">
        <f t="shared" si="43"/>
        <v>2022-06</v>
      </c>
    </row>
    <row r="2812" spans="1:10" x14ac:dyDescent="0.2">
      <c r="A2812" s="2" t="s">
        <v>215</v>
      </c>
      <c r="B2812" s="2" t="s">
        <v>89</v>
      </c>
      <c r="C2812" s="2" t="s">
        <v>195</v>
      </c>
      <c r="D2812" s="2">
        <v>100</v>
      </c>
      <c r="E2812" s="5">
        <v>44713</v>
      </c>
      <c r="F2812" s="2">
        <v>750</v>
      </c>
      <c r="G2812" s="2" t="s">
        <v>62</v>
      </c>
      <c r="H2812" s="2" t="s">
        <v>23</v>
      </c>
      <c r="I2812" s="6">
        <v>0.06</v>
      </c>
      <c r="J2812" s="2" t="str">
        <f t="shared" si="43"/>
        <v>2022-06</v>
      </c>
    </row>
    <row r="2813" spans="1:10" x14ac:dyDescent="0.2">
      <c r="A2813" s="2" t="s">
        <v>2408</v>
      </c>
      <c r="B2813" s="2" t="s">
        <v>255</v>
      </c>
      <c r="C2813" s="2" t="s">
        <v>61</v>
      </c>
      <c r="D2813" s="2">
        <v>100</v>
      </c>
      <c r="E2813" s="5">
        <v>44713</v>
      </c>
      <c r="F2813" s="2">
        <v>2</v>
      </c>
      <c r="G2813" s="2" t="s">
        <v>132</v>
      </c>
      <c r="H2813" s="2" t="s">
        <v>98</v>
      </c>
      <c r="I2813" s="6">
        <v>1</v>
      </c>
      <c r="J2813" s="2" t="str">
        <f t="shared" si="43"/>
        <v>2022-06</v>
      </c>
    </row>
    <row r="2814" spans="1:10" x14ac:dyDescent="0.2">
      <c r="A2814" s="2" t="s">
        <v>2080</v>
      </c>
      <c r="B2814" s="2" t="s">
        <v>661</v>
      </c>
      <c r="C2814" s="2" t="s">
        <v>22</v>
      </c>
      <c r="D2814" s="2">
        <v>90</v>
      </c>
      <c r="E2814" s="5">
        <v>44713</v>
      </c>
      <c r="F2814" s="2">
        <v>250</v>
      </c>
      <c r="G2814" s="2" t="s">
        <v>12</v>
      </c>
      <c r="H2814" s="2" t="s">
        <v>662</v>
      </c>
      <c r="I2814" s="6">
        <v>0.12</v>
      </c>
      <c r="J2814" s="2" t="str">
        <f t="shared" si="43"/>
        <v>2022-06</v>
      </c>
    </row>
    <row r="2815" spans="1:10" x14ac:dyDescent="0.2">
      <c r="A2815" s="2" t="s">
        <v>2409</v>
      </c>
      <c r="B2815" s="2" t="s">
        <v>54</v>
      </c>
      <c r="C2815" s="2" t="s">
        <v>16</v>
      </c>
      <c r="D2815" s="2">
        <v>65</v>
      </c>
      <c r="E2815" s="5">
        <v>44713</v>
      </c>
      <c r="F2815" s="2">
        <v>182</v>
      </c>
      <c r="G2815" s="2" t="s">
        <v>66</v>
      </c>
      <c r="H2815" s="2" t="s">
        <v>55</v>
      </c>
      <c r="I2815" s="6">
        <v>0.1</v>
      </c>
      <c r="J2815" s="2" t="str">
        <f t="shared" si="43"/>
        <v>2022-06</v>
      </c>
    </row>
    <row r="2816" spans="1:10" x14ac:dyDescent="0.2">
      <c r="A2816" s="2" t="s">
        <v>1968</v>
      </c>
      <c r="B2816" s="2" t="s">
        <v>34</v>
      </c>
      <c r="C2816" s="2" t="s">
        <v>78</v>
      </c>
      <c r="D2816" s="2">
        <v>34</v>
      </c>
      <c r="E2816" s="5">
        <v>44713</v>
      </c>
      <c r="F2816" s="2">
        <v>203</v>
      </c>
      <c r="G2816" s="2" t="s">
        <v>66</v>
      </c>
      <c r="H2816" s="2" t="s">
        <v>23</v>
      </c>
      <c r="I2816" s="6">
        <v>0.14000000000000001</v>
      </c>
      <c r="J2816" s="2" t="str">
        <f t="shared" si="43"/>
        <v>2022-06</v>
      </c>
    </row>
    <row r="2817" spans="1:10" x14ac:dyDescent="0.2">
      <c r="A2817" s="2" t="s">
        <v>2105</v>
      </c>
      <c r="B2817" s="2" t="s">
        <v>25</v>
      </c>
      <c r="C2817" s="2" t="s">
        <v>61</v>
      </c>
      <c r="D2817" s="2">
        <v>31</v>
      </c>
      <c r="E2817" s="5">
        <v>44713</v>
      </c>
      <c r="F2817" s="2">
        <v>136</v>
      </c>
      <c r="G2817" s="2" t="s">
        <v>12</v>
      </c>
      <c r="H2817" s="2" t="s">
        <v>23</v>
      </c>
      <c r="I2817" s="6" t="s">
        <v>2954</v>
      </c>
      <c r="J2817" s="2" t="str">
        <f t="shared" si="43"/>
        <v>2022-06</v>
      </c>
    </row>
    <row r="2818" spans="1:10" x14ac:dyDescent="0.2">
      <c r="A2818" s="2" t="s">
        <v>2410</v>
      </c>
      <c r="B2818" s="2" t="s">
        <v>54</v>
      </c>
      <c r="C2818" s="2" t="s">
        <v>44</v>
      </c>
      <c r="D2818" s="2">
        <v>30</v>
      </c>
      <c r="E2818" s="5">
        <v>44713</v>
      </c>
      <c r="F2818" s="2">
        <v>32</v>
      </c>
      <c r="G2818" s="2" t="s">
        <v>37</v>
      </c>
      <c r="H2818" s="2" t="s">
        <v>55</v>
      </c>
      <c r="I2818" s="7" t="s">
        <v>1402</v>
      </c>
      <c r="J2818" s="2" t="str">
        <f t="shared" si="43"/>
        <v>2022-06</v>
      </c>
    </row>
    <row r="2819" spans="1:10" x14ac:dyDescent="0.2">
      <c r="A2819" s="2" t="s">
        <v>2411</v>
      </c>
      <c r="B2819" s="2" t="s">
        <v>34</v>
      </c>
      <c r="C2819" s="2" t="s">
        <v>35</v>
      </c>
      <c r="D2819" s="2">
        <v>25</v>
      </c>
      <c r="E2819" s="5">
        <v>44713</v>
      </c>
      <c r="F2819" s="2">
        <v>202</v>
      </c>
      <c r="G2819" s="2" t="s">
        <v>75</v>
      </c>
      <c r="H2819" s="2" t="s">
        <v>23</v>
      </c>
      <c r="I2819" s="6" t="s">
        <v>2954</v>
      </c>
      <c r="J2819" s="2" t="str">
        <f t="shared" ref="J2819:J2882" si="44">TEXT(E2819,"YYYY-MM")</f>
        <v>2022-06</v>
      </c>
    </row>
    <row r="2820" spans="1:10" x14ac:dyDescent="0.2">
      <c r="A2820" s="2" t="s">
        <v>1975</v>
      </c>
      <c r="B2820" s="2" t="s">
        <v>34</v>
      </c>
      <c r="C2820" s="2" t="s">
        <v>148</v>
      </c>
      <c r="D2820" s="2" t="s">
        <v>2954</v>
      </c>
      <c r="E2820" s="5">
        <v>44713</v>
      </c>
      <c r="F2820" s="2">
        <v>313</v>
      </c>
      <c r="G2820" s="2" t="s">
        <v>12</v>
      </c>
      <c r="H2820" s="2" t="s">
        <v>23</v>
      </c>
      <c r="I2820" s="6">
        <v>0.1</v>
      </c>
      <c r="J2820" s="2" t="str">
        <f t="shared" si="44"/>
        <v>2022-06</v>
      </c>
    </row>
    <row r="2821" spans="1:10" x14ac:dyDescent="0.2">
      <c r="A2821" s="2" t="s">
        <v>2412</v>
      </c>
      <c r="B2821" s="2" t="s">
        <v>420</v>
      </c>
      <c r="C2821" s="2" t="s">
        <v>170</v>
      </c>
      <c r="D2821" s="2" t="s">
        <v>2954</v>
      </c>
      <c r="E2821" s="5">
        <v>44713</v>
      </c>
      <c r="F2821" s="2">
        <v>17</v>
      </c>
      <c r="G2821" s="2" t="s">
        <v>132</v>
      </c>
      <c r="H2821" s="2" t="s">
        <v>421</v>
      </c>
      <c r="I2821" s="6">
        <v>0.3</v>
      </c>
      <c r="J2821" s="2" t="str">
        <f t="shared" si="44"/>
        <v>2022-06</v>
      </c>
    </row>
    <row r="2822" spans="1:10" x14ac:dyDescent="0.2">
      <c r="A2822" s="2" t="s">
        <v>426</v>
      </c>
      <c r="B2822" s="2" t="s">
        <v>15</v>
      </c>
      <c r="C2822" s="2" t="s">
        <v>35</v>
      </c>
      <c r="D2822" s="2">
        <v>250</v>
      </c>
      <c r="E2822" s="5">
        <v>44712</v>
      </c>
      <c r="F2822" s="2" t="s">
        <v>2954</v>
      </c>
      <c r="G2822" s="2" t="s">
        <v>17</v>
      </c>
      <c r="H2822" s="2" t="s">
        <v>18</v>
      </c>
      <c r="I2822" s="6">
        <v>0.06</v>
      </c>
      <c r="J2822" s="2" t="str">
        <f t="shared" si="44"/>
        <v>2022-05</v>
      </c>
    </row>
    <row r="2823" spans="1:10" x14ac:dyDescent="0.2">
      <c r="A2823" s="2" t="s">
        <v>2413</v>
      </c>
      <c r="B2823" s="2" t="s">
        <v>47</v>
      </c>
      <c r="C2823" s="2" t="s">
        <v>48</v>
      </c>
      <c r="D2823" s="2">
        <v>50</v>
      </c>
      <c r="E2823" s="5">
        <v>44712</v>
      </c>
      <c r="F2823" s="2">
        <v>85</v>
      </c>
      <c r="G2823" s="2" t="s">
        <v>66</v>
      </c>
      <c r="H2823" s="2" t="s">
        <v>23</v>
      </c>
      <c r="I2823" s="6" t="s">
        <v>2954</v>
      </c>
      <c r="J2823" s="2" t="str">
        <f t="shared" si="44"/>
        <v>2022-05</v>
      </c>
    </row>
    <row r="2824" spans="1:10" x14ac:dyDescent="0.2">
      <c r="A2824" s="2" t="s">
        <v>2414</v>
      </c>
      <c r="B2824" s="2" t="s">
        <v>647</v>
      </c>
      <c r="C2824" s="2" t="s">
        <v>16</v>
      </c>
      <c r="D2824" s="2">
        <v>44</v>
      </c>
      <c r="E2824" s="5">
        <v>44712</v>
      </c>
      <c r="F2824" s="2">
        <v>110</v>
      </c>
      <c r="G2824" s="2" t="s">
        <v>41</v>
      </c>
      <c r="H2824" s="2" t="s">
        <v>23</v>
      </c>
      <c r="I2824" s="6">
        <v>0.33</v>
      </c>
      <c r="J2824" s="2" t="str">
        <f t="shared" si="44"/>
        <v>2022-05</v>
      </c>
    </row>
    <row r="2825" spans="1:10" x14ac:dyDescent="0.2">
      <c r="A2825" s="2" t="s">
        <v>2415</v>
      </c>
      <c r="B2825" s="2" t="s">
        <v>15</v>
      </c>
      <c r="C2825" s="2" t="s">
        <v>52</v>
      </c>
      <c r="D2825" s="2">
        <v>30</v>
      </c>
      <c r="E2825" s="5">
        <v>44712</v>
      </c>
      <c r="F2825" s="2">
        <v>49</v>
      </c>
      <c r="G2825" s="2" t="s">
        <v>41</v>
      </c>
      <c r="H2825" s="2" t="s">
        <v>18</v>
      </c>
      <c r="I2825" s="6" t="s">
        <v>2954</v>
      </c>
      <c r="J2825" s="2" t="str">
        <f t="shared" si="44"/>
        <v>2022-05</v>
      </c>
    </row>
    <row r="2826" spans="1:10" x14ac:dyDescent="0.2">
      <c r="A2826" s="2" t="s">
        <v>2416</v>
      </c>
      <c r="B2826" s="2" t="s">
        <v>147</v>
      </c>
      <c r="C2826" s="2" t="s">
        <v>61</v>
      </c>
      <c r="D2826" s="2">
        <v>12</v>
      </c>
      <c r="E2826" s="5">
        <v>44712</v>
      </c>
      <c r="F2826" s="2">
        <v>26</v>
      </c>
      <c r="G2826" s="2" t="s">
        <v>41</v>
      </c>
      <c r="H2826" s="2" t="s">
        <v>23</v>
      </c>
      <c r="I2826" s="6">
        <v>0.25</v>
      </c>
      <c r="J2826" s="2" t="str">
        <f t="shared" si="44"/>
        <v>2022-05</v>
      </c>
    </row>
    <row r="2827" spans="1:10" x14ac:dyDescent="0.2">
      <c r="A2827" s="2" t="s">
        <v>1325</v>
      </c>
      <c r="B2827" s="2" t="s">
        <v>34</v>
      </c>
      <c r="C2827" s="2" t="s">
        <v>32</v>
      </c>
      <c r="D2827" s="2" t="s">
        <v>2954</v>
      </c>
      <c r="E2827" s="5">
        <v>44712</v>
      </c>
      <c r="F2827" s="2">
        <v>462</v>
      </c>
      <c r="G2827" s="2" t="s">
        <v>66</v>
      </c>
      <c r="H2827" s="2" t="s">
        <v>23</v>
      </c>
      <c r="I2827" s="6" t="s">
        <v>2954</v>
      </c>
      <c r="J2827" s="2" t="str">
        <f t="shared" si="44"/>
        <v>2022-05</v>
      </c>
    </row>
    <row r="2828" spans="1:10" x14ac:dyDescent="0.2">
      <c r="A2828" s="2" t="s">
        <v>1815</v>
      </c>
      <c r="B2828" s="2" t="s">
        <v>1827</v>
      </c>
      <c r="C2828" s="2" t="s">
        <v>52</v>
      </c>
      <c r="D2828" s="2">
        <v>400</v>
      </c>
      <c r="E2828" s="5">
        <v>44711</v>
      </c>
      <c r="F2828" s="2">
        <v>132</v>
      </c>
      <c r="G2828" s="2" t="s">
        <v>17</v>
      </c>
      <c r="H2828" s="2" t="s">
        <v>2307</v>
      </c>
      <c r="I2828" s="6">
        <v>0.32</v>
      </c>
      <c r="J2828" s="2" t="str">
        <f t="shared" si="44"/>
        <v>2022-05</v>
      </c>
    </row>
    <row r="2829" spans="1:10" x14ac:dyDescent="0.2">
      <c r="A2829" s="2" t="s">
        <v>2417</v>
      </c>
      <c r="B2829" s="2" t="s">
        <v>100</v>
      </c>
      <c r="C2829" s="2" t="s">
        <v>35</v>
      </c>
      <c r="D2829" s="2">
        <v>100</v>
      </c>
      <c r="E2829" s="5">
        <v>44711</v>
      </c>
      <c r="F2829" s="2">
        <v>375</v>
      </c>
      <c r="G2829" s="2" t="s">
        <v>128</v>
      </c>
      <c r="H2829" s="2" t="s">
        <v>98</v>
      </c>
      <c r="I2829" s="6">
        <v>0.1</v>
      </c>
      <c r="J2829" s="2" t="str">
        <f t="shared" si="44"/>
        <v>2022-05</v>
      </c>
    </row>
    <row r="2830" spans="1:10" x14ac:dyDescent="0.2">
      <c r="A2830" s="2" t="s">
        <v>2418</v>
      </c>
      <c r="B2830" s="2" t="s">
        <v>661</v>
      </c>
      <c r="C2830" s="2" t="s">
        <v>16</v>
      </c>
      <c r="D2830" s="2">
        <v>100</v>
      </c>
      <c r="E2830" s="5">
        <v>44711</v>
      </c>
      <c r="F2830" s="2">
        <v>50</v>
      </c>
      <c r="G2830" s="2" t="s">
        <v>12</v>
      </c>
      <c r="H2830" s="2" t="s">
        <v>662</v>
      </c>
      <c r="I2830" s="6">
        <v>0.03</v>
      </c>
      <c r="J2830" s="2" t="str">
        <f t="shared" si="44"/>
        <v>2022-05</v>
      </c>
    </row>
    <row r="2831" spans="1:10" x14ac:dyDescent="0.2">
      <c r="A2831" s="2" t="s">
        <v>2419</v>
      </c>
      <c r="B2831" s="2" t="s">
        <v>34</v>
      </c>
      <c r="C2831" s="2" t="s">
        <v>243</v>
      </c>
      <c r="D2831" s="2" t="s">
        <v>2954</v>
      </c>
      <c r="E2831" s="5">
        <v>44711</v>
      </c>
      <c r="F2831" s="2">
        <v>36</v>
      </c>
      <c r="G2831" s="2" t="s">
        <v>12</v>
      </c>
      <c r="H2831" s="2" t="s">
        <v>23</v>
      </c>
      <c r="I2831" s="6" t="s">
        <v>2954</v>
      </c>
      <c r="J2831" s="2" t="str">
        <f t="shared" si="44"/>
        <v>2022-05</v>
      </c>
    </row>
    <row r="2832" spans="1:10" x14ac:dyDescent="0.2">
      <c r="A2832" s="2" t="s">
        <v>922</v>
      </c>
      <c r="B2832" s="2" t="s">
        <v>100</v>
      </c>
      <c r="C2832" s="2" t="s">
        <v>61</v>
      </c>
      <c r="D2832" s="2">
        <v>145</v>
      </c>
      <c r="E2832" s="5">
        <v>44708</v>
      </c>
      <c r="F2832" s="2">
        <v>17</v>
      </c>
      <c r="G2832" s="2" t="s">
        <v>41</v>
      </c>
      <c r="H2832" s="2" t="s">
        <v>98</v>
      </c>
      <c r="I2832" s="6">
        <v>0.3</v>
      </c>
      <c r="J2832" s="2" t="str">
        <f t="shared" si="44"/>
        <v>2022-05</v>
      </c>
    </row>
    <row r="2833" spans="1:10" x14ac:dyDescent="0.2">
      <c r="A2833" s="2" t="s">
        <v>2420</v>
      </c>
      <c r="B2833" s="2" t="s">
        <v>97</v>
      </c>
      <c r="C2833" s="2" t="s">
        <v>243</v>
      </c>
      <c r="D2833" s="2">
        <v>40</v>
      </c>
      <c r="E2833" s="5">
        <v>44708</v>
      </c>
      <c r="F2833" s="2">
        <v>23</v>
      </c>
      <c r="G2833" s="2" t="s">
        <v>41</v>
      </c>
      <c r="H2833" s="2" t="s">
        <v>98</v>
      </c>
      <c r="I2833" s="6" t="s">
        <v>2954</v>
      </c>
      <c r="J2833" s="2" t="str">
        <f t="shared" si="44"/>
        <v>2022-05</v>
      </c>
    </row>
    <row r="2834" spans="1:10" x14ac:dyDescent="0.2">
      <c r="A2834" s="2" t="s">
        <v>2421</v>
      </c>
      <c r="B2834" s="2" t="s">
        <v>54</v>
      </c>
      <c r="C2834" s="2" t="s">
        <v>16</v>
      </c>
      <c r="D2834" s="2">
        <v>29</v>
      </c>
      <c r="E2834" s="5">
        <v>44708</v>
      </c>
      <c r="F2834" s="2">
        <v>118</v>
      </c>
      <c r="G2834" s="2" t="s">
        <v>12</v>
      </c>
      <c r="H2834" s="2" t="s">
        <v>55</v>
      </c>
      <c r="I2834" s="6">
        <v>0.26</v>
      </c>
      <c r="J2834" s="2" t="str">
        <f t="shared" si="44"/>
        <v>2022-05</v>
      </c>
    </row>
    <row r="2835" spans="1:10" x14ac:dyDescent="0.2">
      <c r="A2835" s="2" t="s">
        <v>2422</v>
      </c>
      <c r="B2835" s="2" t="s">
        <v>60</v>
      </c>
      <c r="C2835" s="2" t="s">
        <v>170</v>
      </c>
      <c r="D2835" s="2" t="s">
        <v>2954</v>
      </c>
      <c r="E2835" s="5">
        <v>44708</v>
      </c>
      <c r="F2835" s="2">
        <v>46</v>
      </c>
      <c r="G2835" s="2" t="s">
        <v>12</v>
      </c>
      <c r="H2835" s="2" t="s">
        <v>23</v>
      </c>
      <c r="I2835" s="6" t="s">
        <v>2954</v>
      </c>
      <c r="J2835" s="2" t="str">
        <f t="shared" si="44"/>
        <v>2022-05</v>
      </c>
    </row>
    <row r="2836" spans="1:10" x14ac:dyDescent="0.2">
      <c r="A2836" s="2" t="s">
        <v>2423</v>
      </c>
      <c r="B2836" s="2" t="s">
        <v>115</v>
      </c>
      <c r="C2836" s="2" t="s">
        <v>26</v>
      </c>
      <c r="D2836" s="2" t="s">
        <v>2954</v>
      </c>
      <c r="E2836" s="5">
        <v>44708</v>
      </c>
      <c r="F2836" s="2">
        <v>120</v>
      </c>
      <c r="G2836" s="2" t="s">
        <v>66</v>
      </c>
      <c r="H2836" s="2" t="s">
        <v>23</v>
      </c>
      <c r="I2836" s="6" t="s">
        <v>2954</v>
      </c>
      <c r="J2836" s="2" t="str">
        <f t="shared" si="44"/>
        <v>2022-05</v>
      </c>
    </row>
    <row r="2837" spans="1:10" x14ac:dyDescent="0.2">
      <c r="A2837" s="2" t="s">
        <v>2423</v>
      </c>
      <c r="B2837" s="2" t="s">
        <v>115</v>
      </c>
      <c r="C2837" s="2" t="s">
        <v>26</v>
      </c>
      <c r="D2837" s="2" t="s">
        <v>2954</v>
      </c>
      <c r="E2837" s="5">
        <v>44708</v>
      </c>
      <c r="F2837" s="2">
        <v>192</v>
      </c>
      <c r="G2837" s="2" t="s">
        <v>12</v>
      </c>
      <c r="H2837" s="2" t="s">
        <v>23</v>
      </c>
      <c r="I2837" s="6" t="s">
        <v>2954</v>
      </c>
      <c r="J2837" s="2" t="str">
        <f t="shared" si="44"/>
        <v>2022-05</v>
      </c>
    </row>
    <row r="2838" spans="1:10" x14ac:dyDescent="0.2">
      <c r="A2838" s="2" t="s">
        <v>2424</v>
      </c>
      <c r="B2838" s="2" t="s">
        <v>661</v>
      </c>
      <c r="C2838" s="2" t="s">
        <v>142</v>
      </c>
      <c r="D2838" s="2">
        <v>200</v>
      </c>
      <c r="E2838" s="5">
        <v>44707</v>
      </c>
      <c r="F2838" s="2">
        <v>365</v>
      </c>
      <c r="G2838" s="2" t="s">
        <v>17</v>
      </c>
      <c r="H2838" s="2" t="s">
        <v>662</v>
      </c>
      <c r="I2838" s="6">
        <v>0.13</v>
      </c>
      <c r="J2838" s="2" t="str">
        <f t="shared" si="44"/>
        <v>2022-05</v>
      </c>
    </row>
    <row r="2839" spans="1:10" x14ac:dyDescent="0.2">
      <c r="A2839" s="2" t="s">
        <v>1783</v>
      </c>
      <c r="B2839" s="2" t="s">
        <v>955</v>
      </c>
      <c r="C2839" s="2" t="s">
        <v>22</v>
      </c>
      <c r="D2839" s="2">
        <v>80</v>
      </c>
      <c r="E2839" s="5">
        <v>44707</v>
      </c>
      <c r="F2839" s="2">
        <v>378</v>
      </c>
      <c r="G2839" s="2" t="s">
        <v>66</v>
      </c>
      <c r="H2839" s="2" t="s">
        <v>956</v>
      </c>
      <c r="I2839" s="6">
        <v>0.11</v>
      </c>
      <c r="J2839" s="2" t="str">
        <f t="shared" si="44"/>
        <v>2022-05</v>
      </c>
    </row>
    <row r="2840" spans="1:10" x14ac:dyDescent="0.2">
      <c r="A2840" s="2" t="s">
        <v>703</v>
      </c>
      <c r="B2840" s="2" t="s">
        <v>570</v>
      </c>
      <c r="C2840" s="2" t="s">
        <v>11</v>
      </c>
      <c r="D2840" s="2">
        <v>80</v>
      </c>
      <c r="E2840" s="5">
        <v>44707</v>
      </c>
      <c r="F2840" s="2">
        <v>749</v>
      </c>
      <c r="G2840" s="2" t="s">
        <v>45</v>
      </c>
      <c r="H2840" s="2" t="s">
        <v>571</v>
      </c>
      <c r="I2840" s="6" t="s">
        <v>2954</v>
      </c>
      <c r="J2840" s="2" t="str">
        <f t="shared" si="44"/>
        <v>2022-05</v>
      </c>
    </row>
    <row r="2841" spans="1:10" x14ac:dyDescent="0.2">
      <c r="A2841" s="2" t="s">
        <v>2425</v>
      </c>
      <c r="B2841" s="2" t="s">
        <v>54</v>
      </c>
      <c r="C2841" s="2" t="s">
        <v>35</v>
      </c>
      <c r="D2841" s="2">
        <v>50</v>
      </c>
      <c r="E2841" s="5">
        <v>44707</v>
      </c>
      <c r="F2841" s="2" t="s">
        <v>2954</v>
      </c>
      <c r="G2841" s="2" t="s">
        <v>12</v>
      </c>
      <c r="H2841" s="2" t="s">
        <v>55</v>
      </c>
      <c r="I2841" s="6">
        <v>0.02</v>
      </c>
      <c r="J2841" s="2" t="str">
        <f t="shared" si="44"/>
        <v>2022-05</v>
      </c>
    </row>
    <row r="2842" spans="1:10" x14ac:dyDescent="0.2">
      <c r="A2842" s="2" t="s">
        <v>2426</v>
      </c>
      <c r="B2842" s="2" t="s">
        <v>34</v>
      </c>
      <c r="C2842" s="2" t="s">
        <v>195</v>
      </c>
      <c r="D2842" s="2">
        <v>300</v>
      </c>
      <c r="E2842" s="5">
        <v>44706</v>
      </c>
      <c r="F2842" s="2">
        <v>1900</v>
      </c>
      <c r="G2842" s="2" t="s">
        <v>75</v>
      </c>
      <c r="H2842" s="2" t="s">
        <v>23</v>
      </c>
      <c r="I2842" s="6">
        <v>0.2</v>
      </c>
      <c r="J2842" s="2" t="str">
        <f t="shared" si="44"/>
        <v>2022-05</v>
      </c>
    </row>
    <row r="2843" spans="1:10" x14ac:dyDescent="0.2">
      <c r="A2843" s="2" t="s">
        <v>499</v>
      </c>
      <c r="B2843" s="2" t="s">
        <v>34</v>
      </c>
      <c r="C2843" s="2" t="s">
        <v>16</v>
      </c>
      <c r="D2843" s="2">
        <v>240</v>
      </c>
      <c r="E2843" s="5">
        <v>44706</v>
      </c>
      <c r="F2843" s="2">
        <v>1300</v>
      </c>
      <c r="G2843" s="2" t="s">
        <v>128</v>
      </c>
      <c r="H2843" s="2" t="s">
        <v>23</v>
      </c>
      <c r="I2843" s="6">
        <v>0.27</v>
      </c>
      <c r="J2843" s="2" t="str">
        <f t="shared" si="44"/>
        <v>2022-05</v>
      </c>
    </row>
    <row r="2844" spans="1:10" x14ac:dyDescent="0.2">
      <c r="A2844" s="2" t="s">
        <v>1355</v>
      </c>
      <c r="B2844" s="2" t="s">
        <v>47</v>
      </c>
      <c r="C2844" s="2" t="s">
        <v>16</v>
      </c>
      <c r="D2844" s="2">
        <v>75</v>
      </c>
      <c r="E2844" s="5">
        <v>44706</v>
      </c>
      <c r="F2844" s="2">
        <v>121</v>
      </c>
      <c r="G2844" s="2" t="s">
        <v>66</v>
      </c>
      <c r="H2844" s="2" t="s">
        <v>23</v>
      </c>
      <c r="I2844" s="6" t="s">
        <v>2954</v>
      </c>
      <c r="J2844" s="2" t="str">
        <f t="shared" si="44"/>
        <v>2022-05</v>
      </c>
    </row>
    <row r="2845" spans="1:10" x14ac:dyDescent="0.2">
      <c r="A2845" s="2" t="s">
        <v>2427</v>
      </c>
      <c r="B2845" s="2" t="s">
        <v>74</v>
      </c>
      <c r="C2845" s="2" t="s">
        <v>16</v>
      </c>
      <c r="D2845" s="2">
        <v>50</v>
      </c>
      <c r="E2845" s="5">
        <v>44706</v>
      </c>
      <c r="F2845" s="2">
        <v>53</v>
      </c>
      <c r="G2845" s="2" t="s">
        <v>37</v>
      </c>
      <c r="H2845" s="2" t="s">
        <v>76</v>
      </c>
      <c r="I2845" s="6">
        <v>0.25</v>
      </c>
      <c r="J2845" s="2" t="str">
        <f t="shared" si="44"/>
        <v>2022-05</v>
      </c>
    </row>
    <row r="2846" spans="1:10" x14ac:dyDescent="0.2">
      <c r="A2846" s="2" t="s">
        <v>1978</v>
      </c>
      <c r="B2846" s="2" t="s">
        <v>74</v>
      </c>
      <c r="C2846" s="2" t="s">
        <v>16</v>
      </c>
      <c r="D2846" s="2">
        <v>45</v>
      </c>
      <c r="E2846" s="5">
        <v>44706</v>
      </c>
      <c r="F2846" s="2">
        <v>42</v>
      </c>
      <c r="G2846" s="2" t="s">
        <v>37</v>
      </c>
      <c r="H2846" s="2" t="s">
        <v>76</v>
      </c>
      <c r="I2846" s="6">
        <v>0.2</v>
      </c>
      <c r="J2846" s="2" t="str">
        <f t="shared" si="44"/>
        <v>2022-05</v>
      </c>
    </row>
    <row r="2847" spans="1:10" x14ac:dyDescent="0.2">
      <c r="A2847" s="2" t="s">
        <v>2428</v>
      </c>
      <c r="B2847" s="2" t="s">
        <v>1183</v>
      </c>
      <c r="C2847" s="2" t="s">
        <v>16</v>
      </c>
      <c r="D2847" s="2">
        <v>30</v>
      </c>
      <c r="E2847" s="5">
        <v>44706</v>
      </c>
      <c r="F2847" s="2">
        <v>70</v>
      </c>
      <c r="G2847" s="2" t="s">
        <v>37</v>
      </c>
      <c r="H2847" s="2" t="s">
        <v>23</v>
      </c>
      <c r="I2847" s="6">
        <v>0.2</v>
      </c>
      <c r="J2847" s="2" t="str">
        <f t="shared" si="44"/>
        <v>2022-05</v>
      </c>
    </row>
    <row r="2848" spans="1:10" x14ac:dyDescent="0.2">
      <c r="A2848" s="2" t="s">
        <v>2246</v>
      </c>
      <c r="B2848" s="2" t="s">
        <v>2247</v>
      </c>
      <c r="C2848" s="2" t="s">
        <v>170</v>
      </c>
      <c r="D2848" s="2" t="s">
        <v>2954</v>
      </c>
      <c r="E2848" s="5">
        <v>44706</v>
      </c>
      <c r="F2848" s="2">
        <v>109</v>
      </c>
      <c r="G2848" s="2" t="s">
        <v>37</v>
      </c>
      <c r="H2848" s="2" t="s">
        <v>421</v>
      </c>
      <c r="I2848" s="6">
        <v>0.31</v>
      </c>
      <c r="J2848" s="2" t="str">
        <f t="shared" si="44"/>
        <v>2022-05</v>
      </c>
    </row>
    <row r="2849" spans="1:10" x14ac:dyDescent="0.2">
      <c r="A2849" s="2" t="s">
        <v>127</v>
      </c>
      <c r="B2849" s="2" t="s">
        <v>2429</v>
      </c>
      <c r="C2849" s="2" t="s">
        <v>11</v>
      </c>
      <c r="D2849" s="2" t="s">
        <v>2954</v>
      </c>
      <c r="E2849" s="5">
        <v>44706</v>
      </c>
      <c r="F2849" s="2">
        <v>1800</v>
      </c>
      <c r="G2849" s="2" t="s">
        <v>128</v>
      </c>
      <c r="H2849" s="2" t="s">
        <v>2430</v>
      </c>
      <c r="I2849" s="6">
        <v>0.14000000000000001</v>
      </c>
      <c r="J2849" s="2" t="str">
        <f t="shared" si="44"/>
        <v>2022-05</v>
      </c>
    </row>
    <row r="2850" spans="1:10" x14ac:dyDescent="0.2">
      <c r="A2850" s="2" t="s">
        <v>2431</v>
      </c>
      <c r="B2850" s="2" t="s">
        <v>54</v>
      </c>
      <c r="C2850" s="2" t="s">
        <v>11</v>
      </c>
      <c r="D2850" s="2" t="s">
        <v>2954</v>
      </c>
      <c r="E2850" s="5">
        <v>44706</v>
      </c>
      <c r="F2850" s="2">
        <v>300</v>
      </c>
      <c r="G2850" s="2" t="s">
        <v>12</v>
      </c>
      <c r="H2850" s="2" t="s">
        <v>55</v>
      </c>
      <c r="I2850" s="6">
        <v>0.1</v>
      </c>
      <c r="J2850" s="2" t="str">
        <f t="shared" si="44"/>
        <v>2022-05</v>
      </c>
    </row>
    <row r="2851" spans="1:10" x14ac:dyDescent="0.2">
      <c r="A2851" s="2" t="s">
        <v>2271</v>
      </c>
      <c r="B2851" s="2" t="s">
        <v>74</v>
      </c>
      <c r="C2851" s="2" t="s">
        <v>11</v>
      </c>
      <c r="D2851" s="2">
        <v>300</v>
      </c>
      <c r="E2851" s="5">
        <v>44705</v>
      </c>
      <c r="F2851" s="2">
        <v>1300</v>
      </c>
      <c r="G2851" s="2" t="s">
        <v>66</v>
      </c>
      <c r="H2851" s="2" t="s">
        <v>76</v>
      </c>
      <c r="I2851" s="6">
        <v>0.5</v>
      </c>
      <c r="J2851" s="2" t="str">
        <f t="shared" si="44"/>
        <v>2022-05</v>
      </c>
    </row>
    <row r="2852" spans="1:10" x14ac:dyDescent="0.2">
      <c r="A2852" s="2" t="s">
        <v>2154</v>
      </c>
      <c r="B2852" s="2" t="s">
        <v>398</v>
      </c>
      <c r="C2852" s="2" t="s">
        <v>61</v>
      </c>
      <c r="D2852" s="2">
        <v>200</v>
      </c>
      <c r="E2852" s="5">
        <v>44705</v>
      </c>
      <c r="F2852" s="2">
        <v>20</v>
      </c>
      <c r="G2852" s="2" t="s">
        <v>37</v>
      </c>
      <c r="H2852" s="2" t="s">
        <v>399</v>
      </c>
      <c r="I2852" s="6" t="s">
        <v>2954</v>
      </c>
      <c r="J2852" s="2" t="str">
        <f t="shared" si="44"/>
        <v>2022-05</v>
      </c>
    </row>
    <row r="2853" spans="1:10" x14ac:dyDescent="0.2">
      <c r="A2853" s="2" t="s">
        <v>1860</v>
      </c>
      <c r="B2853" s="2" t="s">
        <v>86</v>
      </c>
      <c r="C2853" s="2" t="s">
        <v>16</v>
      </c>
      <c r="D2853" s="2">
        <v>40</v>
      </c>
      <c r="E2853" s="5">
        <v>44705</v>
      </c>
      <c r="F2853" s="2">
        <v>256</v>
      </c>
      <c r="G2853" s="2" t="s">
        <v>75</v>
      </c>
      <c r="H2853" s="2" t="s">
        <v>23</v>
      </c>
      <c r="I2853" s="6" t="s">
        <v>2954</v>
      </c>
      <c r="J2853" s="2" t="str">
        <f t="shared" si="44"/>
        <v>2022-05</v>
      </c>
    </row>
    <row r="2854" spans="1:10" x14ac:dyDescent="0.2">
      <c r="A2854" s="2" t="s">
        <v>2027</v>
      </c>
      <c r="B2854" s="2" t="s">
        <v>287</v>
      </c>
      <c r="C2854" s="2" t="s">
        <v>16</v>
      </c>
      <c r="D2854" s="2">
        <v>700</v>
      </c>
      <c r="E2854" s="5">
        <v>44704</v>
      </c>
      <c r="F2854" s="2">
        <v>3700</v>
      </c>
      <c r="G2854" s="2" t="s">
        <v>12</v>
      </c>
      <c r="H2854" s="2" t="s">
        <v>291</v>
      </c>
      <c r="I2854" s="6">
        <v>0.1</v>
      </c>
      <c r="J2854" s="2" t="str">
        <f t="shared" si="44"/>
        <v>2022-05</v>
      </c>
    </row>
    <row r="2855" spans="1:10" x14ac:dyDescent="0.2">
      <c r="A2855" s="2" t="s">
        <v>353</v>
      </c>
      <c r="B2855" s="2" t="s">
        <v>34</v>
      </c>
      <c r="C2855" s="2" t="s">
        <v>16</v>
      </c>
      <c r="D2855" s="2">
        <v>83</v>
      </c>
      <c r="E2855" s="5">
        <v>44704</v>
      </c>
      <c r="F2855" s="2">
        <v>216</v>
      </c>
      <c r="G2855" s="2" t="s">
        <v>17</v>
      </c>
      <c r="H2855" s="2" t="s">
        <v>23</v>
      </c>
      <c r="I2855" s="6" t="s">
        <v>2954</v>
      </c>
      <c r="J2855" s="2" t="str">
        <f t="shared" si="44"/>
        <v>2022-05</v>
      </c>
    </row>
    <row r="2856" spans="1:10" x14ac:dyDescent="0.2">
      <c r="A2856" s="2" t="s">
        <v>2432</v>
      </c>
      <c r="B2856" s="2" t="s">
        <v>1584</v>
      </c>
      <c r="C2856" s="2" t="s">
        <v>22</v>
      </c>
      <c r="D2856" s="2">
        <v>80</v>
      </c>
      <c r="E2856" s="5">
        <v>44704</v>
      </c>
      <c r="F2856" s="2">
        <v>11</v>
      </c>
      <c r="G2856" s="2" t="s">
        <v>41</v>
      </c>
      <c r="H2856" s="2" t="s">
        <v>1585</v>
      </c>
      <c r="I2856" s="6">
        <v>0.45</v>
      </c>
      <c r="J2856" s="2" t="str">
        <f t="shared" si="44"/>
        <v>2022-05</v>
      </c>
    </row>
    <row r="2857" spans="1:10" x14ac:dyDescent="0.2">
      <c r="A2857" s="2" t="s">
        <v>2433</v>
      </c>
      <c r="B2857" s="2" t="s">
        <v>15</v>
      </c>
      <c r="C2857" s="2" t="s">
        <v>243</v>
      </c>
      <c r="D2857" s="2">
        <v>65</v>
      </c>
      <c r="E2857" s="5">
        <v>44704</v>
      </c>
      <c r="F2857" s="2">
        <v>16</v>
      </c>
      <c r="G2857" s="2" t="s">
        <v>41</v>
      </c>
      <c r="H2857" s="2" t="s">
        <v>18</v>
      </c>
      <c r="I2857" s="6">
        <v>1</v>
      </c>
      <c r="J2857" s="2" t="str">
        <f t="shared" si="44"/>
        <v>2022-05</v>
      </c>
    </row>
    <row r="2858" spans="1:10" x14ac:dyDescent="0.2">
      <c r="A2858" s="2" t="s">
        <v>961</v>
      </c>
      <c r="B2858" s="2" t="s">
        <v>64</v>
      </c>
      <c r="C2858" s="2" t="s">
        <v>29</v>
      </c>
      <c r="D2858" s="2">
        <v>60</v>
      </c>
      <c r="E2858" s="5">
        <v>44704</v>
      </c>
      <c r="F2858" s="2">
        <v>537</v>
      </c>
      <c r="G2858" s="2" t="s">
        <v>66</v>
      </c>
      <c r="H2858" s="2" t="s">
        <v>23</v>
      </c>
      <c r="I2858" s="6">
        <v>7.0000000000000007E-2</v>
      </c>
      <c r="J2858" s="2" t="str">
        <f t="shared" si="44"/>
        <v>2022-05</v>
      </c>
    </row>
    <row r="2859" spans="1:10" x14ac:dyDescent="0.2">
      <c r="A2859" s="2" t="s">
        <v>2434</v>
      </c>
      <c r="B2859" s="2" t="s">
        <v>25</v>
      </c>
      <c r="C2859" s="2" t="s">
        <v>35</v>
      </c>
      <c r="D2859" s="2">
        <v>30</v>
      </c>
      <c r="E2859" s="5">
        <v>44704</v>
      </c>
      <c r="F2859" s="2">
        <v>33</v>
      </c>
      <c r="G2859" s="2" t="s">
        <v>37</v>
      </c>
      <c r="H2859" s="2" t="s">
        <v>23</v>
      </c>
      <c r="I2859" s="6">
        <v>0.2</v>
      </c>
      <c r="J2859" s="2" t="str">
        <f t="shared" si="44"/>
        <v>2022-05</v>
      </c>
    </row>
    <row r="2860" spans="1:10" x14ac:dyDescent="0.2">
      <c r="A2860" s="2" t="s">
        <v>1471</v>
      </c>
      <c r="B2860" s="2" t="s">
        <v>1472</v>
      </c>
      <c r="C2860" s="2" t="s">
        <v>142</v>
      </c>
      <c r="D2860" s="2" t="s">
        <v>2954</v>
      </c>
      <c r="E2860" s="5">
        <v>44704</v>
      </c>
      <c r="F2860" s="2">
        <v>322</v>
      </c>
      <c r="G2860" s="2" t="s">
        <v>128</v>
      </c>
      <c r="H2860" s="2" t="s">
        <v>662</v>
      </c>
      <c r="I2860" s="6" t="s">
        <v>2954</v>
      </c>
      <c r="J2860" s="2" t="str">
        <f t="shared" si="44"/>
        <v>2022-05</v>
      </c>
    </row>
    <row r="2861" spans="1:10" x14ac:dyDescent="0.2">
      <c r="A2861" s="2" t="s">
        <v>2435</v>
      </c>
      <c r="B2861" s="2" t="s">
        <v>100</v>
      </c>
      <c r="C2861" s="2" t="s">
        <v>32</v>
      </c>
      <c r="D2861" s="2">
        <v>600</v>
      </c>
      <c r="E2861" s="5">
        <v>44702</v>
      </c>
      <c r="F2861" s="2">
        <v>97</v>
      </c>
      <c r="G2861" s="2" t="s">
        <v>66</v>
      </c>
      <c r="H2861" s="2" t="s">
        <v>98</v>
      </c>
      <c r="I2861" s="6">
        <v>0.75</v>
      </c>
      <c r="J2861" s="2" t="str">
        <f t="shared" si="44"/>
        <v>2022-05</v>
      </c>
    </row>
    <row r="2862" spans="1:10" x14ac:dyDescent="0.2">
      <c r="A2862" s="2" t="s">
        <v>924</v>
      </c>
      <c r="B2862" s="2" t="s">
        <v>25</v>
      </c>
      <c r="C2862" s="2" t="s">
        <v>195</v>
      </c>
      <c r="D2862" s="2">
        <v>130</v>
      </c>
      <c r="E2862" s="5">
        <v>44701</v>
      </c>
      <c r="F2862" s="2">
        <v>342</v>
      </c>
      <c r="G2862" s="2" t="s">
        <v>17</v>
      </c>
      <c r="H2862" s="2" t="s">
        <v>23</v>
      </c>
      <c r="I2862" s="6">
        <v>0.28000000000000003</v>
      </c>
      <c r="J2862" s="2" t="str">
        <f t="shared" si="44"/>
        <v>2022-05</v>
      </c>
    </row>
    <row r="2863" spans="1:10" x14ac:dyDescent="0.2">
      <c r="A2863" s="2" t="s">
        <v>1868</v>
      </c>
      <c r="B2863" s="2" t="s">
        <v>284</v>
      </c>
      <c r="C2863" s="2" t="s">
        <v>235</v>
      </c>
      <c r="D2863" s="2">
        <v>87</v>
      </c>
      <c r="E2863" s="5">
        <v>44701</v>
      </c>
      <c r="F2863" s="2">
        <v>174</v>
      </c>
      <c r="G2863" s="2" t="s">
        <v>37</v>
      </c>
      <c r="H2863" s="2" t="s">
        <v>23</v>
      </c>
      <c r="I2863" s="6">
        <v>0.15</v>
      </c>
      <c r="J2863" s="2" t="str">
        <f t="shared" si="44"/>
        <v>2022-05</v>
      </c>
    </row>
    <row r="2864" spans="1:10" x14ac:dyDescent="0.2">
      <c r="A2864" s="2" t="s">
        <v>2093</v>
      </c>
      <c r="B2864" s="2" t="s">
        <v>34</v>
      </c>
      <c r="C2864" s="2" t="s">
        <v>35</v>
      </c>
      <c r="D2864" s="2">
        <v>70</v>
      </c>
      <c r="E2864" s="5">
        <v>44701</v>
      </c>
      <c r="F2864" s="2">
        <v>287</v>
      </c>
      <c r="G2864" s="2" t="s">
        <v>17</v>
      </c>
      <c r="H2864" s="2" t="s">
        <v>23</v>
      </c>
      <c r="I2864" s="6">
        <v>0.1</v>
      </c>
      <c r="J2864" s="2" t="str">
        <f t="shared" si="44"/>
        <v>2022-05</v>
      </c>
    </row>
    <row r="2865" spans="1:10" x14ac:dyDescent="0.2">
      <c r="A2865" s="2" t="s">
        <v>1119</v>
      </c>
      <c r="B2865" s="2" t="s">
        <v>255</v>
      </c>
      <c r="C2865" s="2" t="s">
        <v>52</v>
      </c>
      <c r="D2865" s="2">
        <v>600</v>
      </c>
      <c r="E2865" s="5">
        <v>44700</v>
      </c>
      <c r="F2865" s="2">
        <v>1300</v>
      </c>
      <c r="G2865" s="2" t="s">
        <v>58</v>
      </c>
      <c r="H2865" s="2" t="s">
        <v>98</v>
      </c>
      <c r="I2865" s="6">
        <v>0.06</v>
      </c>
      <c r="J2865" s="2" t="str">
        <f t="shared" si="44"/>
        <v>2022-05</v>
      </c>
    </row>
    <row r="2866" spans="1:10" x14ac:dyDescent="0.2">
      <c r="A2866" s="2" t="s">
        <v>1731</v>
      </c>
      <c r="B2866" s="2" t="s">
        <v>100</v>
      </c>
      <c r="C2866" s="2" t="s">
        <v>61</v>
      </c>
      <c r="D2866" s="2">
        <v>424</v>
      </c>
      <c r="E2866" s="5">
        <v>44699</v>
      </c>
      <c r="F2866" s="2">
        <v>292</v>
      </c>
      <c r="G2866" s="2" t="s">
        <v>128</v>
      </c>
      <c r="H2866" s="2" t="s">
        <v>98</v>
      </c>
      <c r="I2866" s="6">
        <v>7.0000000000000007E-2</v>
      </c>
      <c r="J2866" s="2" t="str">
        <f t="shared" si="44"/>
        <v>2022-05</v>
      </c>
    </row>
    <row r="2867" spans="1:10" x14ac:dyDescent="0.2">
      <c r="A2867" s="2" t="s">
        <v>2040</v>
      </c>
      <c r="B2867" s="2" t="s">
        <v>34</v>
      </c>
      <c r="C2867" s="2" t="s">
        <v>235</v>
      </c>
      <c r="D2867" s="2">
        <v>150</v>
      </c>
      <c r="E2867" s="5">
        <v>44698</v>
      </c>
      <c r="F2867" s="2">
        <v>121900</v>
      </c>
      <c r="G2867" s="2" t="s">
        <v>17</v>
      </c>
      <c r="H2867" s="2" t="s">
        <v>23</v>
      </c>
      <c r="I2867" s="6">
        <v>0.01</v>
      </c>
      <c r="J2867" s="2" t="str">
        <f t="shared" si="44"/>
        <v>2022-05</v>
      </c>
    </row>
    <row r="2868" spans="1:10" x14ac:dyDescent="0.2">
      <c r="A2868" s="2" t="s">
        <v>1944</v>
      </c>
      <c r="B2868" s="2" t="s">
        <v>287</v>
      </c>
      <c r="C2868" s="2" t="s">
        <v>32</v>
      </c>
      <c r="D2868" s="2">
        <v>100</v>
      </c>
      <c r="E2868" s="5">
        <v>44698</v>
      </c>
      <c r="F2868" s="2">
        <v>568</v>
      </c>
      <c r="G2868" s="2" t="s">
        <v>75</v>
      </c>
      <c r="H2868" s="2" t="s">
        <v>291</v>
      </c>
      <c r="I2868" s="6">
        <v>0.1</v>
      </c>
      <c r="J2868" s="2" t="str">
        <f t="shared" si="44"/>
        <v>2022-05</v>
      </c>
    </row>
    <row r="2869" spans="1:10" x14ac:dyDescent="0.2">
      <c r="A2869" s="2" t="s">
        <v>2436</v>
      </c>
      <c r="B2869" s="2" t="s">
        <v>194</v>
      </c>
      <c r="C2869" s="2" t="s">
        <v>35</v>
      </c>
      <c r="D2869" s="2">
        <v>90</v>
      </c>
      <c r="E2869" s="5">
        <v>44698</v>
      </c>
      <c r="F2869" s="2">
        <v>195</v>
      </c>
      <c r="G2869" s="2" t="s">
        <v>66</v>
      </c>
      <c r="H2869" s="2" t="s">
        <v>23</v>
      </c>
      <c r="I2869" s="6">
        <v>0.08</v>
      </c>
      <c r="J2869" s="2" t="str">
        <f t="shared" si="44"/>
        <v>2022-05</v>
      </c>
    </row>
    <row r="2870" spans="1:10" x14ac:dyDescent="0.2">
      <c r="A2870" s="2" t="s">
        <v>2437</v>
      </c>
      <c r="B2870" s="2" t="s">
        <v>661</v>
      </c>
      <c r="C2870" s="2" t="s">
        <v>11</v>
      </c>
      <c r="D2870" s="2">
        <v>100</v>
      </c>
      <c r="E2870" s="5">
        <v>44697</v>
      </c>
      <c r="F2870" s="2">
        <v>29</v>
      </c>
      <c r="G2870" s="2" t="s">
        <v>41</v>
      </c>
      <c r="H2870" s="2" t="s">
        <v>23</v>
      </c>
      <c r="I2870" s="6">
        <v>0.4</v>
      </c>
      <c r="J2870" s="2" t="str">
        <f t="shared" si="44"/>
        <v>2022-05</v>
      </c>
    </row>
    <row r="2871" spans="1:10" x14ac:dyDescent="0.2">
      <c r="A2871" s="2" t="s">
        <v>517</v>
      </c>
      <c r="B2871" s="2" t="s">
        <v>28</v>
      </c>
      <c r="C2871" s="2" t="s">
        <v>142</v>
      </c>
      <c r="D2871" s="2" t="s">
        <v>2954</v>
      </c>
      <c r="E2871" s="5">
        <v>44697</v>
      </c>
      <c r="F2871" s="2">
        <v>194</v>
      </c>
      <c r="G2871" s="2" t="s">
        <v>45</v>
      </c>
      <c r="H2871" s="2" t="s">
        <v>23</v>
      </c>
      <c r="I2871" s="6" t="s">
        <v>2954</v>
      </c>
      <c r="J2871" s="2" t="str">
        <f t="shared" si="44"/>
        <v>2022-05</v>
      </c>
    </row>
    <row r="2872" spans="1:10" x14ac:dyDescent="0.2">
      <c r="A2872" s="2" t="s">
        <v>2438</v>
      </c>
      <c r="B2872" s="2" t="s">
        <v>2439</v>
      </c>
      <c r="C2872" s="2" t="s">
        <v>142</v>
      </c>
      <c r="D2872" s="2">
        <v>400</v>
      </c>
      <c r="E2872" s="5">
        <v>44695</v>
      </c>
      <c r="F2872" s="2">
        <v>60</v>
      </c>
      <c r="G2872" s="2" t="s">
        <v>45</v>
      </c>
      <c r="H2872" s="2" t="s">
        <v>2440</v>
      </c>
      <c r="I2872" s="6">
        <v>0.4</v>
      </c>
      <c r="J2872" s="2" t="str">
        <f t="shared" si="44"/>
        <v>2022-05</v>
      </c>
    </row>
    <row r="2873" spans="1:10" x14ac:dyDescent="0.2">
      <c r="A2873" s="2" t="s">
        <v>2111</v>
      </c>
      <c r="B2873" s="2" t="s">
        <v>25</v>
      </c>
      <c r="C2873" s="2" t="s">
        <v>32</v>
      </c>
      <c r="D2873" s="2">
        <v>24</v>
      </c>
      <c r="E2873" s="5">
        <v>44695</v>
      </c>
      <c r="F2873" s="2">
        <v>209</v>
      </c>
      <c r="G2873" s="2" t="s">
        <v>45</v>
      </c>
      <c r="H2873" s="2" t="s">
        <v>23</v>
      </c>
      <c r="I2873" s="6" t="s">
        <v>2954</v>
      </c>
      <c r="J2873" s="2" t="str">
        <f t="shared" si="44"/>
        <v>2022-05</v>
      </c>
    </row>
    <row r="2874" spans="1:10" x14ac:dyDescent="0.2">
      <c r="A2874" s="2" t="s">
        <v>2059</v>
      </c>
      <c r="B2874" s="2" t="s">
        <v>25</v>
      </c>
      <c r="C2874" s="2" t="s">
        <v>16</v>
      </c>
      <c r="D2874" s="2">
        <v>22</v>
      </c>
      <c r="E2874" s="5">
        <v>44694</v>
      </c>
      <c r="F2874" s="2">
        <v>130</v>
      </c>
      <c r="G2874" s="2" t="s">
        <v>75</v>
      </c>
      <c r="H2874" s="2" t="s">
        <v>23</v>
      </c>
      <c r="I2874" s="6" t="s">
        <v>2954</v>
      </c>
      <c r="J2874" s="2" t="str">
        <f t="shared" si="44"/>
        <v>2022-05</v>
      </c>
    </row>
    <row r="2875" spans="1:10" x14ac:dyDescent="0.2">
      <c r="A2875" s="2" t="s">
        <v>2441</v>
      </c>
      <c r="B2875" s="2" t="s">
        <v>47</v>
      </c>
      <c r="C2875" s="2" t="s">
        <v>48</v>
      </c>
      <c r="D2875" s="2" t="s">
        <v>2954</v>
      </c>
      <c r="E2875" s="5">
        <v>44694</v>
      </c>
      <c r="F2875" s="2" t="s">
        <v>2954</v>
      </c>
      <c r="G2875" s="2" t="s">
        <v>37</v>
      </c>
      <c r="H2875" s="2" t="s">
        <v>23</v>
      </c>
      <c r="I2875" s="6">
        <v>1</v>
      </c>
      <c r="J2875" s="2" t="str">
        <f t="shared" si="44"/>
        <v>2022-05</v>
      </c>
    </row>
    <row r="2876" spans="1:10" x14ac:dyDescent="0.2">
      <c r="A2876" s="2" t="s">
        <v>333</v>
      </c>
      <c r="B2876" s="2" t="s">
        <v>47</v>
      </c>
      <c r="C2876" s="2" t="s">
        <v>117</v>
      </c>
      <c r="D2876" s="2">
        <v>150</v>
      </c>
      <c r="E2876" s="5">
        <v>44693</v>
      </c>
      <c r="F2876" s="2">
        <v>619</v>
      </c>
      <c r="G2876" s="2" t="s">
        <v>66</v>
      </c>
      <c r="H2876" s="2" t="s">
        <v>23</v>
      </c>
      <c r="I2876" s="6" t="s">
        <v>2954</v>
      </c>
      <c r="J2876" s="2" t="str">
        <f t="shared" si="44"/>
        <v>2022-05</v>
      </c>
    </row>
    <row r="2877" spans="1:10" x14ac:dyDescent="0.2">
      <c r="A2877" s="2" t="s">
        <v>2442</v>
      </c>
      <c r="B2877" s="2" t="s">
        <v>25</v>
      </c>
      <c r="C2877" s="2" t="s">
        <v>61</v>
      </c>
      <c r="D2877" s="2">
        <v>32</v>
      </c>
      <c r="E2877" s="5">
        <v>44693</v>
      </c>
      <c r="F2877" s="2">
        <v>37</v>
      </c>
      <c r="G2877" s="2" t="s">
        <v>41</v>
      </c>
      <c r="H2877" s="2" t="s">
        <v>23</v>
      </c>
      <c r="I2877" s="6" t="s">
        <v>2954</v>
      </c>
      <c r="J2877" s="2" t="str">
        <f t="shared" si="44"/>
        <v>2022-05</v>
      </c>
    </row>
    <row r="2878" spans="1:10" x14ac:dyDescent="0.2">
      <c r="A2878" s="2" t="s">
        <v>2443</v>
      </c>
      <c r="B2878" s="2" t="s">
        <v>43</v>
      </c>
      <c r="C2878" s="2" t="s">
        <v>195</v>
      </c>
      <c r="D2878" s="2" t="s">
        <v>2954</v>
      </c>
      <c r="E2878" s="5">
        <v>44693</v>
      </c>
      <c r="F2878" s="2">
        <v>29</v>
      </c>
      <c r="G2878" s="2" t="s">
        <v>45</v>
      </c>
      <c r="H2878" s="2" t="s">
        <v>23</v>
      </c>
      <c r="I2878" s="6" t="s">
        <v>2954</v>
      </c>
      <c r="J2878" s="2" t="str">
        <f t="shared" si="44"/>
        <v>2022-05</v>
      </c>
    </row>
    <row r="2879" spans="1:10" x14ac:dyDescent="0.2">
      <c r="A2879" s="2" t="s">
        <v>2103</v>
      </c>
      <c r="B2879" s="2" t="s">
        <v>89</v>
      </c>
      <c r="C2879" s="2" t="s">
        <v>243</v>
      </c>
      <c r="D2879" s="2">
        <v>70</v>
      </c>
      <c r="E2879" s="5">
        <v>44692</v>
      </c>
      <c r="F2879" s="2">
        <v>1000</v>
      </c>
      <c r="G2879" s="2" t="s">
        <v>58</v>
      </c>
      <c r="H2879" s="2" t="s">
        <v>23</v>
      </c>
      <c r="I2879" s="6">
        <v>7.0000000000000007E-2</v>
      </c>
      <c r="J2879" s="2" t="str">
        <f t="shared" si="44"/>
        <v>2022-05</v>
      </c>
    </row>
    <row r="2880" spans="1:10" x14ac:dyDescent="0.2">
      <c r="A2880" s="2" t="s">
        <v>1601</v>
      </c>
      <c r="B2880" s="2" t="s">
        <v>250</v>
      </c>
      <c r="C2880" s="2" t="s">
        <v>52</v>
      </c>
      <c r="D2880" s="2">
        <v>2500</v>
      </c>
      <c r="E2880" s="5">
        <v>44691</v>
      </c>
      <c r="F2880" s="2">
        <v>1600</v>
      </c>
      <c r="G2880" s="2" t="s">
        <v>17</v>
      </c>
      <c r="H2880" s="2" t="s">
        <v>23</v>
      </c>
      <c r="I2880" s="6">
        <v>0.12</v>
      </c>
      <c r="J2880" s="2" t="str">
        <f t="shared" si="44"/>
        <v>2022-05</v>
      </c>
    </row>
    <row r="2881" spans="1:10" x14ac:dyDescent="0.2">
      <c r="A2881" s="2" t="s">
        <v>1740</v>
      </c>
      <c r="B2881" s="2" t="s">
        <v>34</v>
      </c>
      <c r="C2881" s="2" t="s">
        <v>16</v>
      </c>
      <c r="D2881" s="2">
        <v>310</v>
      </c>
      <c r="E2881" s="5">
        <v>44691</v>
      </c>
      <c r="F2881" s="2">
        <v>679</v>
      </c>
      <c r="G2881" s="2" t="s">
        <v>17</v>
      </c>
      <c r="H2881" s="2" t="s">
        <v>23</v>
      </c>
      <c r="I2881" s="6">
        <v>0.15</v>
      </c>
      <c r="J2881" s="2" t="str">
        <f t="shared" si="44"/>
        <v>2022-05</v>
      </c>
    </row>
    <row r="2882" spans="1:10" x14ac:dyDescent="0.2">
      <c r="A2882" s="2" t="s">
        <v>2130</v>
      </c>
      <c r="B2882" s="2" t="s">
        <v>54</v>
      </c>
      <c r="C2882" s="2" t="s">
        <v>44</v>
      </c>
      <c r="D2882" s="2">
        <v>200</v>
      </c>
      <c r="E2882" s="5">
        <v>44691</v>
      </c>
      <c r="F2882" s="2">
        <v>238</v>
      </c>
      <c r="G2882" s="2" t="s">
        <v>66</v>
      </c>
      <c r="H2882" s="2" t="s">
        <v>55</v>
      </c>
      <c r="I2882" s="6">
        <v>0.33</v>
      </c>
      <c r="J2882" s="2" t="str">
        <f t="shared" si="44"/>
        <v>2022-05</v>
      </c>
    </row>
    <row r="2883" spans="1:10" x14ac:dyDescent="0.2">
      <c r="A2883" s="2" t="s">
        <v>924</v>
      </c>
      <c r="B2883" s="2" t="s">
        <v>25</v>
      </c>
      <c r="C2883" s="2" t="s">
        <v>195</v>
      </c>
      <c r="D2883" s="2">
        <v>30</v>
      </c>
      <c r="E2883" s="5">
        <v>44691</v>
      </c>
      <c r="F2883" s="2">
        <v>342</v>
      </c>
      <c r="G2883" s="2" t="s">
        <v>17</v>
      </c>
      <c r="H2883" s="2" t="s">
        <v>23</v>
      </c>
      <c r="I2883" s="6">
        <v>0.06</v>
      </c>
      <c r="J2883" s="2" t="str">
        <f t="shared" ref="J2883:J2946" si="45">TEXT(E2883,"YYYY-MM")</f>
        <v>2022-05</v>
      </c>
    </row>
    <row r="2884" spans="1:10" x14ac:dyDescent="0.2">
      <c r="A2884" s="2" t="s">
        <v>2444</v>
      </c>
      <c r="B2884" s="2" t="s">
        <v>162</v>
      </c>
      <c r="C2884" s="2" t="s">
        <v>29</v>
      </c>
      <c r="D2884" s="2">
        <v>350</v>
      </c>
      <c r="E2884" s="5">
        <v>44690</v>
      </c>
      <c r="F2884" s="2">
        <v>293</v>
      </c>
      <c r="G2884" s="2" t="s">
        <v>66</v>
      </c>
      <c r="H2884" s="2" t="s">
        <v>163</v>
      </c>
      <c r="I2884" s="6">
        <v>0.5</v>
      </c>
      <c r="J2884" s="2" t="str">
        <f t="shared" si="45"/>
        <v>2022-05</v>
      </c>
    </row>
    <row r="2885" spans="1:10" x14ac:dyDescent="0.2">
      <c r="A2885" s="2" t="s">
        <v>388</v>
      </c>
      <c r="B2885" s="2" t="s">
        <v>25</v>
      </c>
      <c r="C2885" s="2" t="s">
        <v>52</v>
      </c>
      <c r="D2885" s="2">
        <v>270</v>
      </c>
      <c r="E2885" s="5">
        <v>44690</v>
      </c>
      <c r="F2885" s="2">
        <v>1300</v>
      </c>
      <c r="G2885" s="2" t="s">
        <v>17</v>
      </c>
      <c r="H2885" s="2" t="s">
        <v>23</v>
      </c>
      <c r="I2885" s="6">
        <v>0.14000000000000001</v>
      </c>
      <c r="J2885" s="2" t="str">
        <f t="shared" si="45"/>
        <v>2022-05</v>
      </c>
    </row>
    <row r="2886" spans="1:10" x14ac:dyDescent="0.2">
      <c r="A2886" s="2" t="s">
        <v>2445</v>
      </c>
      <c r="B2886" s="2" t="s">
        <v>194</v>
      </c>
      <c r="C2886" s="2" t="s">
        <v>52</v>
      </c>
      <c r="D2886" s="2">
        <v>750</v>
      </c>
      <c r="E2886" s="5">
        <v>44687</v>
      </c>
      <c r="F2886" s="2">
        <v>1500</v>
      </c>
      <c r="G2886" s="2" t="s">
        <v>12</v>
      </c>
      <c r="H2886" s="2" t="s">
        <v>23</v>
      </c>
      <c r="I2886" s="6">
        <v>0.05</v>
      </c>
      <c r="J2886" s="2" t="str">
        <f t="shared" si="45"/>
        <v>2022-05</v>
      </c>
    </row>
    <row r="2887" spans="1:10" x14ac:dyDescent="0.2">
      <c r="A2887" s="2" t="s">
        <v>2446</v>
      </c>
      <c r="B2887" s="2" t="s">
        <v>2447</v>
      </c>
      <c r="C2887" s="2" t="s">
        <v>32</v>
      </c>
      <c r="D2887" s="2">
        <v>62</v>
      </c>
      <c r="E2887" s="5">
        <v>44687</v>
      </c>
      <c r="F2887" s="2">
        <v>0</v>
      </c>
      <c r="G2887" s="2" t="s">
        <v>45</v>
      </c>
      <c r="H2887" s="2" t="s">
        <v>23</v>
      </c>
      <c r="I2887" s="6" t="s">
        <v>2954</v>
      </c>
      <c r="J2887" s="2" t="str">
        <f t="shared" si="45"/>
        <v>2022-05</v>
      </c>
    </row>
    <row r="2888" spans="1:10" x14ac:dyDescent="0.2">
      <c r="A2888" s="2" t="s">
        <v>1731</v>
      </c>
      <c r="B2888" s="2" t="s">
        <v>100</v>
      </c>
      <c r="C2888" s="2" t="s">
        <v>61</v>
      </c>
      <c r="D2888" s="2">
        <v>200</v>
      </c>
      <c r="E2888" s="5">
        <v>44686</v>
      </c>
      <c r="F2888" s="2">
        <v>292</v>
      </c>
      <c r="G2888" s="2" t="s">
        <v>128</v>
      </c>
      <c r="H2888" s="2" t="s">
        <v>98</v>
      </c>
      <c r="I2888" s="6">
        <v>0.03</v>
      </c>
      <c r="J2888" s="2" t="str">
        <f t="shared" si="45"/>
        <v>2022-05</v>
      </c>
    </row>
    <row r="2889" spans="1:10" x14ac:dyDescent="0.2">
      <c r="A2889" s="2" t="s">
        <v>2448</v>
      </c>
      <c r="B2889" s="2" t="s">
        <v>147</v>
      </c>
      <c r="C2889" s="2" t="s">
        <v>16</v>
      </c>
      <c r="D2889" s="2">
        <v>100</v>
      </c>
      <c r="E2889" s="5">
        <v>44686</v>
      </c>
      <c r="F2889" s="2">
        <v>202</v>
      </c>
      <c r="G2889" s="2" t="s">
        <v>45</v>
      </c>
      <c r="H2889" s="2" t="s">
        <v>23</v>
      </c>
      <c r="I2889" s="6" t="s">
        <v>2954</v>
      </c>
      <c r="J2889" s="2" t="str">
        <f t="shared" si="45"/>
        <v>2022-05</v>
      </c>
    </row>
    <row r="2890" spans="1:10" x14ac:dyDescent="0.2">
      <c r="A2890" s="2" t="s">
        <v>1040</v>
      </c>
      <c r="B2890" s="2" t="s">
        <v>34</v>
      </c>
      <c r="C2890" s="2" t="s">
        <v>78</v>
      </c>
      <c r="D2890" s="2">
        <v>90</v>
      </c>
      <c r="E2890" s="5">
        <v>44686</v>
      </c>
      <c r="F2890" s="2">
        <v>192</v>
      </c>
      <c r="G2890" s="2" t="s">
        <v>66</v>
      </c>
      <c r="H2890" s="2" t="s">
        <v>23</v>
      </c>
      <c r="I2890" s="6">
        <v>0.1</v>
      </c>
      <c r="J2890" s="2" t="str">
        <f t="shared" si="45"/>
        <v>2022-05</v>
      </c>
    </row>
    <row r="2891" spans="1:10" x14ac:dyDescent="0.2">
      <c r="A2891" s="2" t="s">
        <v>2151</v>
      </c>
      <c r="B2891" s="2" t="s">
        <v>34</v>
      </c>
      <c r="C2891" s="2" t="s">
        <v>61</v>
      </c>
      <c r="D2891" s="2">
        <v>72</v>
      </c>
      <c r="E2891" s="5">
        <v>44686</v>
      </c>
      <c r="F2891" s="2">
        <v>20</v>
      </c>
      <c r="G2891" s="2" t="s">
        <v>41</v>
      </c>
      <c r="H2891" s="2" t="s">
        <v>23</v>
      </c>
      <c r="I2891" s="6">
        <v>0.25</v>
      </c>
      <c r="J2891" s="2" t="str">
        <f t="shared" si="45"/>
        <v>2022-05</v>
      </c>
    </row>
    <row r="2892" spans="1:10" x14ac:dyDescent="0.2">
      <c r="A2892" s="2" t="s">
        <v>2449</v>
      </c>
      <c r="B2892" s="2" t="s">
        <v>273</v>
      </c>
      <c r="C2892" s="2" t="s">
        <v>11</v>
      </c>
      <c r="D2892" s="2">
        <v>300</v>
      </c>
      <c r="E2892" s="5">
        <v>44685</v>
      </c>
      <c r="F2892" s="2">
        <v>3</v>
      </c>
      <c r="G2892" s="2" t="s">
        <v>132</v>
      </c>
      <c r="H2892" s="2" t="s">
        <v>274</v>
      </c>
      <c r="I2892" s="6">
        <v>1</v>
      </c>
      <c r="J2892" s="2" t="str">
        <f t="shared" si="45"/>
        <v>2022-05</v>
      </c>
    </row>
    <row r="2893" spans="1:10" x14ac:dyDescent="0.2">
      <c r="A2893" s="2" t="s">
        <v>2450</v>
      </c>
      <c r="B2893" s="2" t="s">
        <v>89</v>
      </c>
      <c r="C2893" s="2" t="s">
        <v>109</v>
      </c>
      <c r="D2893" s="2">
        <v>97</v>
      </c>
      <c r="E2893" s="5">
        <v>44685</v>
      </c>
      <c r="F2893" s="2">
        <v>41</v>
      </c>
      <c r="G2893" s="2" t="s">
        <v>41</v>
      </c>
      <c r="H2893" s="2" t="s">
        <v>23</v>
      </c>
      <c r="I2893" s="6" t="s">
        <v>2954</v>
      </c>
      <c r="J2893" s="2" t="str">
        <f t="shared" si="45"/>
        <v>2022-05</v>
      </c>
    </row>
    <row r="2894" spans="1:10" x14ac:dyDescent="0.2">
      <c r="A2894" s="2" t="s">
        <v>892</v>
      </c>
      <c r="B2894" s="2" t="s">
        <v>314</v>
      </c>
      <c r="C2894" s="2" t="s">
        <v>35</v>
      </c>
      <c r="D2894" s="2">
        <v>87</v>
      </c>
      <c r="E2894" s="5">
        <v>44685</v>
      </c>
      <c r="F2894" s="2">
        <v>165</v>
      </c>
      <c r="G2894" s="2" t="s">
        <v>12</v>
      </c>
      <c r="H2894" s="2" t="s">
        <v>23</v>
      </c>
      <c r="I2894" s="6">
        <v>0.25</v>
      </c>
      <c r="J2894" s="2" t="str">
        <f t="shared" si="45"/>
        <v>2022-05</v>
      </c>
    </row>
    <row r="2895" spans="1:10" x14ac:dyDescent="0.2">
      <c r="A2895" s="2" t="s">
        <v>2451</v>
      </c>
      <c r="B2895" s="2" t="s">
        <v>34</v>
      </c>
      <c r="C2895" s="2" t="s">
        <v>16</v>
      </c>
      <c r="D2895" s="2">
        <v>45</v>
      </c>
      <c r="E2895" s="5">
        <v>44685</v>
      </c>
      <c r="F2895" s="2">
        <v>64</v>
      </c>
      <c r="G2895" s="2" t="s">
        <v>41</v>
      </c>
      <c r="H2895" s="2" t="s">
        <v>23</v>
      </c>
      <c r="I2895" s="6">
        <v>0.3</v>
      </c>
      <c r="J2895" s="2" t="str">
        <f t="shared" si="45"/>
        <v>2022-05</v>
      </c>
    </row>
    <row r="2896" spans="1:10" x14ac:dyDescent="0.2">
      <c r="A2896" s="2" t="s">
        <v>2452</v>
      </c>
      <c r="B2896" s="2" t="s">
        <v>28</v>
      </c>
      <c r="C2896" s="2" t="s">
        <v>142</v>
      </c>
      <c r="D2896" s="2">
        <v>40</v>
      </c>
      <c r="E2896" s="5">
        <v>44685</v>
      </c>
      <c r="F2896" s="2">
        <v>7</v>
      </c>
      <c r="G2896" s="2" t="s">
        <v>41</v>
      </c>
      <c r="H2896" s="2" t="s">
        <v>23</v>
      </c>
      <c r="I2896" s="6" t="s">
        <v>2954</v>
      </c>
      <c r="J2896" s="2" t="str">
        <f t="shared" si="45"/>
        <v>2022-05</v>
      </c>
    </row>
    <row r="2897" spans="1:10" x14ac:dyDescent="0.2">
      <c r="A2897" s="2" t="s">
        <v>2453</v>
      </c>
      <c r="B2897" s="2" t="s">
        <v>25</v>
      </c>
      <c r="C2897" s="2" t="s">
        <v>16</v>
      </c>
      <c r="D2897" s="2">
        <v>25</v>
      </c>
      <c r="E2897" s="5">
        <v>44685</v>
      </c>
      <c r="F2897" s="2">
        <v>128</v>
      </c>
      <c r="G2897" s="2" t="s">
        <v>66</v>
      </c>
      <c r="H2897" s="2" t="s">
        <v>23</v>
      </c>
      <c r="I2897" s="6" t="s">
        <v>2954</v>
      </c>
      <c r="J2897" s="2" t="str">
        <f t="shared" si="45"/>
        <v>2022-05</v>
      </c>
    </row>
    <row r="2898" spans="1:10" x14ac:dyDescent="0.2">
      <c r="A2898" s="2" t="s">
        <v>2454</v>
      </c>
      <c r="B2898" s="2" t="s">
        <v>273</v>
      </c>
      <c r="C2898" s="2" t="s">
        <v>16</v>
      </c>
      <c r="D2898" s="2" t="s">
        <v>2954</v>
      </c>
      <c r="E2898" s="5">
        <v>44685</v>
      </c>
      <c r="F2898" s="2">
        <v>45</v>
      </c>
      <c r="G2898" s="2" t="s">
        <v>12</v>
      </c>
      <c r="H2898" s="2" t="s">
        <v>274</v>
      </c>
      <c r="I2898" s="6">
        <v>0.3</v>
      </c>
      <c r="J2898" s="2" t="str">
        <f t="shared" si="45"/>
        <v>2022-05</v>
      </c>
    </row>
    <row r="2899" spans="1:10" x14ac:dyDescent="0.2">
      <c r="A2899" s="2" t="s">
        <v>2455</v>
      </c>
      <c r="B2899" s="2" t="s">
        <v>89</v>
      </c>
      <c r="C2899" s="2" t="s">
        <v>142</v>
      </c>
      <c r="D2899" s="2" t="s">
        <v>2954</v>
      </c>
      <c r="E2899" s="5">
        <v>44683</v>
      </c>
      <c r="F2899" s="2">
        <v>3400</v>
      </c>
      <c r="G2899" s="2" t="s">
        <v>12</v>
      </c>
      <c r="H2899" s="2" t="s">
        <v>23</v>
      </c>
      <c r="I2899" s="6" t="s">
        <v>2954</v>
      </c>
      <c r="J2899" s="2" t="str">
        <f t="shared" si="45"/>
        <v>2022-05</v>
      </c>
    </row>
    <row r="2900" spans="1:10" x14ac:dyDescent="0.2">
      <c r="A2900" s="2" t="s">
        <v>2456</v>
      </c>
      <c r="B2900" s="2" t="s">
        <v>15</v>
      </c>
      <c r="C2900" s="2" t="s">
        <v>11</v>
      </c>
      <c r="D2900" s="2">
        <v>500</v>
      </c>
      <c r="E2900" s="5">
        <v>44682</v>
      </c>
      <c r="F2900" s="2">
        <v>45</v>
      </c>
      <c r="G2900" s="2" t="s">
        <v>37</v>
      </c>
      <c r="H2900" s="2" t="s">
        <v>18</v>
      </c>
      <c r="I2900" s="6">
        <v>0.67</v>
      </c>
      <c r="J2900" s="2" t="str">
        <f t="shared" si="45"/>
        <v>2022-05</v>
      </c>
    </row>
    <row r="2901" spans="1:10" x14ac:dyDescent="0.2">
      <c r="A2901" s="2" t="s">
        <v>360</v>
      </c>
      <c r="B2901" s="2" t="s">
        <v>25</v>
      </c>
      <c r="C2901" s="2" t="s">
        <v>32</v>
      </c>
      <c r="D2901" s="2">
        <v>495</v>
      </c>
      <c r="E2901" s="5">
        <v>44680</v>
      </c>
      <c r="F2901" s="2">
        <v>657</v>
      </c>
      <c r="G2901" s="2" t="s">
        <v>62</v>
      </c>
      <c r="H2901" s="2" t="s">
        <v>23</v>
      </c>
      <c r="I2901" s="6" t="s">
        <v>2954</v>
      </c>
      <c r="J2901" s="2" t="str">
        <f t="shared" si="45"/>
        <v>2022-04</v>
      </c>
    </row>
    <row r="2902" spans="1:10" x14ac:dyDescent="0.2">
      <c r="A2902" s="2" t="s">
        <v>1213</v>
      </c>
      <c r="B2902" s="2" t="s">
        <v>34</v>
      </c>
      <c r="C2902" s="2" t="s">
        <v>61</v>
      </c>
      <c r="D2902" s="2">
        <v>150</v>
      </c>
      <c r="E2902" s="5">
        <v>44679</v>
      </c>
      <c r="F2902" s="2">
        <v>130</v>
      </c>
      <c r="G2902" s="2" t="s">
        <v>75</v>
      </c>
      <c r="H2902" s="2" t="s">
        <v>23</v>
      </c>
      <c r="I2902" s="6">
        <v>0.19</v>
      </c>
      <c r="J2902" s="2" t="str">
        <f t="shared" si="45"/>
        <v>2022-04</v>
      </c>
    </row>
    <row r="2903" spans="1:10" x14ac:dyDescent="0.2">
      <c r="A2903" s="2" t="s">
        <v>2040</v>
      </c>
      <c r="B2903" s="2" t="s">
        <v>34</v>
      </c>
      <c r="C2903" s="2" t="s">
        <v>235</v>
      </c>
      <c r="D2903" s="2">
        <v>25</v>
      </c>
      <c r="E2903" s="5">
        <v>44679</v>
      </c>
      <c r="F2903" s="2">
        <v>121900</v>
      </c>
      <c r="G2903" s="2" t="s">
        <v>17</v>
      </c>
      <c r="H2903" s="2" t="s">
        <v>23</v>
      </c>
      <c r="I2903" s="6" t="s">
        <v>2954</v>
      </c>
      <c r="J2903" s="2" t="str">
        <f t="shared" si="45"/>
        <v>2022-04</v>
      </c>
    </row>
    <row r="2904" spans="1:10" x14ac:dyDescent="0.2">
      <c r="A2904" s="2" t="s">
        <v>2457</v>
      </c>
      <c r="B2904" s="2" t="s">
        <v>115</v>
      </c>
      <c r="C2904" s="2" t="s">
        <v>117</v>
      </c>
      <c r="D2904" s="2">
        <v>50</v>
      </c>
      <c r="E2904" s="5">
        <v>44678</v>
      </c>
      <c r="F2904" s="2" t="s">
        <v>2954</v>
      </c>
      <c r="G2904" s="2" t="s">
        <v>12</v>
      </c>
      <c r="H2904" s="2" t="s">
        <v>23</v>
      </c>
      <c r="I2904" s="6" t="s">
        <v>2954</v>
      </c>
      <c r="J2904" s="2" t="str">
        <f t="shared" si="45"/>
        <v>2022-04</v>
      </c>
    </row>
    <row r="2905" spans="1:10" x14ac:dyDescent="0.2">
      <c r="A2905" s="2" t="s">
        <v>708</v>
      </c>
      <c r="B2905" s="2" t="s">
        <v>34</v>
      </c>
      <c r="C2905" s="2" t="s">
        <v>16</v>
      </c>
      <c r="D2905" s="2">
        <v>340</v>
      </c>
      <c r="E2905" s="5">
        <v>44677</v>
      </c>
      <c r="F2905" s="2">
        <v>5600</v>
      </c>
      <c r="G2905" s="2" t="s">
        <v>17</v>
      </c>
      <c r="H2905" s="2" t="s">
        <v>23</v>
      </c>
      <c r="I2905" s="6">
        <v>0.09</v>
      </c>
      <c r="J2905" s="2" t="str">
        <f t="shared" si="45"/>
        <v>2022-04</v>
      </c>
    </row>
    <row r="2906" spans="1:10" x14ac:dyDescent="0.2">
      <c r="A2906" s="2" t="s">
        <v>2339</v>
      </c>
      <c r="B2906" s="2" t="s">
        <v>335</v>
      </c>
      <c r="C2906" s="2" t="s">
        <v>142</v>
      </c>
      <c r="D2906" s="2">
        <v>29</v>
      </c>
      <c r="E2906" s="5">
        <v>44677</v>
      </c>
      <c r="F2906" s="2">
        <v>27</v>
      </c>
      <c r="G2906" s="2" t="s">
        <v>41</v>
      </c>
      <c r="H2906" s="2" t="s">
        <v>106</v>
      </c>
      <c r="I2906" s="6">
        <v>0.34</v>
      </c>
      <c r="J2906" s="2" t="str">
        <f t="shared" si="45"/>
        <v>2022-04</v>
      </c>
    </row>
    <row r="2907" spans="1:10" x14ac:dyDescent="0.2">
      <c r="A2907" s="2" t="s">
        <v>2458</v>
      </c>
      <c r="B2907" s="2" t="s">
        <v>2459</v>
      </c>
      <c r="C2907" s="2" t="s">
        <v>29</v>
      </c>
      <c r="D2907" s="2">
        <v>64</v>
      </c>
      <c r="E2907" s="5">
        <v>44676</v>
      </c>
      <c r="F2907" s="2">
        <v>277</v>
      </c>
      <c r="G2907" s="2" t="s">
        <v>45</v>
      </c>
      <c r="H2907" s="2" t="s">
        <v>163</v>
      </c>
      <c r="I2907" s="6" t="s">
        <v>2954</v>
      </c>
      <c r="J2907" s="2" t="str">
        <f t="shared" si="45"/>
        <v>2022-04</v>
      </c>
    </row>
    <row r="2908" spans="1:10" x14ac:dyDescent="0.2">
      <c r="A2908" s="2" t="s">
        <v>2460</v>
      </c>
      <c r="B2908" s="2" t="s">
        <v>25</v>
      </c>
      <c r="C2908" s="2" t="s">
        <v>26</v>
      </c>
      <c r="D2908" s="2">
        <v>22</v>
      </c>
      <c r="E2908" s="5">
        <v>44676</v>
      </c>
      <c r="F2908" s="2">
        <v>58</v>
      </c>
      <c r="G2908" s="2" t="s">
        <v>37</v>
      </c>
      <c r="H2908" s="2" t="s">
        <v>23</v>
      </c>
      <c r="I2908" s="6" t="s">
        <v>2954</v>
      </c>
      <c r="J2908" s="2" t="str">
        <f t="shared" si="45"/>
        <v>2022-04</v>
      </c>
    </row>
    <row r="2909" spans="1:10" x14ac:dyDescent="0.2">
      <c r="A2909" s="2" t="s">
        <v>2461</v>
      </c>
      <c r="B2909" s="2" t="s">
        <v>493</v>
      </c>
      <c r="C2909" s="2" t="s">
        <v>35</v>
      </c>
      <c r="D2909" s="2">
        <v>180</v>
      </c>
      <c r="E2909" s="5">
        <v>44672</v>
      </c>
      <c r="F2909" s="2">
        <v>917</v>
      </c>
      <c r="G2909" s="2" t="s">
        <v>128</v>
      </c>
      <c r="H2909" s="2" t="s">
        <v>224</v>
      </c>
      <c r="I2909" s="6">
        <v>0.09</v>
      </c>
      <c r="J2909" s="2" t="str">
        <f t="shared" si="45"/>
        <v>2022-04</v>
      </c>
    </row>
    <row r="2910" spans="1:10" x14ac:dyDescent="0.2">
      <c r="A2910" s="2" t="s">
        <v>2462</v>
      </c>
      <c r="B2910" s="2" t="s">
        <v>661</v>
      </c>
      <c r="C2910" s="2" t="s">
        <v>142</v>
      </c>
      <c r="D2910" s="2">
        <v>260</v>
      </c>
      <c r="E2910" s="5">
        <v>44671</v>
      </c>
      <c r="F2910" s="2">
        <v>502</v>
      </c>
      <c r="G2910" s="2" t="s">
        <v>75</v>
      </c>
      <c r="H2910" s="2" t="s">
        <v>662</v>
      </c>
      <c r="I2910" s="6">
        <v>0.3</v>
      </c>
      <c r="J2910" s="2" t="str">
        <f t="shared" si="45"/>
        <v>2022-04</v>
      </c>
    </row>
    <row r="2911" spans="1:10" x14ac:dyDescent="0.2">
      <c r="A2911" s="2" t="s">
        <v>1082</v>
      </c>
      <c r="B2911" s="2" t="s">
        <v>25</v>
      </c>
      <c r="C2911" s="2" t="s">
        <v>16</v>
      </c>
      <c r="D2911" s="2">
        <v>52</v>
      </c>
      <c r="E2911" s="5">
        <v>44671</v>
      </c>
      <c r="F2911" s="2">
        <v>481</v>
      </c>
      <c r="G2911" s="2" t="s">
        <v>17</v>
      </c>
      <c r="H2911" s="2" t="s">
        <v>23</v>
      </c>
      <c r="I2911" s="6" t="s">
        <v>2954</v>
      </c>
      <c r="J2911" s="2" t="str">
        <f t="shared" si="45"/>
        <v>2022-04</v>
      </c>
    </row>
    <row r="2912" spans="1:10" x14ac:dyDescent="0.2">
      <c r="A2912" s="2" t="s">
        <v>810</v>
      </c>
      <c r="B2912" s="2" t="s">
        <v>34</v>
      </c>
      <c r="C2912" s="2" t="s">
        <v>16</v>
      </c>
      <c r="D2912" s="2">
        <v>200</v>
      </c>
      <c r="E2912" s="5">
        <v>44670</v>
      </c>
      <c r="F2912" s="2">
        <v>665</v>
      </c>
      <c r="G2912" s="2" t="s">
        <v>17</v>
      </c>
      <c r="H2912" s="2" t="s">
        <v>23</v>
      </c>
      <c r="I2912" s="6">
        <v>0.1</v>
      </c>
      <c r="J2912" s="2" t="str">
        <f t="shared" si="45"/>
        <v>2022-04</v>
      </c>
    </row>
    <row r="2913" spans="1:10" x14ac:dyDescent="0.2">
      <c r="A2913" s="2" t="s">
        <v>2463</v>
      </c>
      <c r="B2913" s="2" t="s">
        <v>661</v>
      </c>
      <c r="C2913" s="2" t="s">
        <v>148</v>
      </c>
      <c r="D2913" s="2">
        <v>160</v>
      </c>
      <c r="E2913" s="5">
        <v>44670</v>
      </c>
      <c r="F2913" s="2">
        <v>755</v>
      </c>
      <c r="G2913" s="2" t="s">
        <v>128</v>
      </c>
      <c r="H2913" s="2" t="s">
        <v>662</v>
      </c>
      <c r="I2913" s="6">
        <v>0.04</v>
      </c>
      <c r="J2913" s="2" t="str">
        <f t="shared" si="45"/>
        <v>2022-04</v>
      </c>
    </row>
    <row r="2914" spans="1:10" x14ac:dyDescent="0.2">
      <c r="A2914" s="2" t="s">
        <v>1302</v>
      </c>
      <c r="B2914" s="2" t="s">
        <v>661</v>
      </c>
      <c r="C2914" s="2" t="s">
        <v>148</v>
      </c>
      <c r="D2914" s="2">
        <v>159</v>
      </c>
      <c r="E2914" s="5">
        <v>44670</v>
      </c>
      <c r="F2914" s="2">
        <v>788</v>
      </c>
      <c r="G2914" s="2" t="s">
        <v>12</v>
      </c>
      <c r="H2914" s="2" t="s">
        <v>662</v>
      </c>
      <c r="I2914" s="6" t="s">
        <v>2954</v>
      </c>
      <c r="J2914" s="2" t="str">
        <f t="shared" si="45"/>
        <v>2022-04</v>
      </c>
    </row>
    <row r="2915" spans="1:10" x14ac:dyDescent="0.2">
      <c r="A2915" s="2" t="s">
        <v>739</v>
      </c>
      <c r="B2915" s="2" t="s">
        <v>25</v>
      </c>
      <c r="C2915" s="2" t="s">
        <v>148</v>
      </c>
      <c r="D2915" s="2" t="s">
        <v>2954</v>
      </c>
      <c r="E2915" s="5">
        <v>44670</v>
      </c>
      <c r="F2915" s="2">
        <v>905</v>
      </c>
      <c r="G2915" s="2" t="s">
        <v>12</v>
      </c>
      <c r="H2915" s="2" t="s">
        <v>23</v>
      </c>
      <c r="I2915" s="6" t="s">
        <v>2954</v>
      </c>
      <c r="J2915" s="2" t="str">
        <f t="shared" si="45"/>
        <v>2022-04</v>
      </c>
    </row>
    <row r="2916" spans="1:10" x14ac:dyDescent="0.2">
      <c r="A2916" s="2" t="s">
        <v>2363</v>
      </c>
      <c r="B2916" s="2" t="s">
        <v>284</v>
      </c>
      <c r="C2916" s="2" t="s">
        <v>48</v>
      </c>
      <c r="D2916" s="2" t="s">
        <v>2954</v>
      </c>
      <c r="E2916" s="5">
        <v>44669</v>
      </c>
      <c r="F2916" s="2">
        <v>152</v>
      </c>
      <c r="G2916" s="2" t="s">
        <v>66</v>
      </c>
      <c r="H2916" s="2" t="s">
        <v>23</v>
      </c>
      <c r="I2916" s="6">
        <v>0.11</v>
      </c>
      <c r="J2916" s="2" t="str">
        <f t="shared" si="45"/>
        <v>2022-04</v>
      </c>
    </row>
    <row r="2917" spans="1:10" x14ac:dyDescent="0.2">
      <c r="A2917" s="2" t="s">
        <v>2464</v>
      </c>
      <c r="B2917" s="2" t="s">
        <v>34</v>
      </c>
      <c r="C2917" s="2" t="s">
        <v>235</v>
      </c>
      <c r="D2917" s="2">
        <v>10</v>
      </c>
      <c r="E2917" s="5">
        <v>44666</v>
      </c>
      <c r="F2917" s="2">
        <v>4</v>
      </c>
      <c r="G2917" s="2" t="s">
        <v>45</v>
      </c>
      <c r="H2917" s="2" t="s">
        <v>23</v>
      </c>
      <c r="I2917" s="6" t="s">
        <v>2954</v>
      </c>
      <c r="J2917" s="2" t="str">
        <f t="shared" si="45"/>
        <v>2022-04</v>
      </c>
    </row>
    <row r="2918" spans="1:10" x14ac:dyDescent="0.2">
      <c r="A2918" s="2" t="s">
        <v>2465</v>
      </c>
      <c r="B2918" s="2" t="s">
        <v>25</v>
      </c>
      <c r="C2918" s="2" t="s">
        <v>32</v>
      </c>
      <c r="D2918" s="2" t="s">
        <v>2954</v>
      </c>
      <c r="E2918" s="5">
        <v>44666</v>
      </c>
      <c r="F2918" s="2">
        <v>2</v>
      </c>
      <c r="G2918" s="2" t="s">
        <v>12</v>
      </c>
      <c r="H2918" s="2" t="s">
        <v>23</v>
      </c>
      <c r="I2918" s="6">
        <v>1</v>
      </c>
      <c r="J2918" s="2" t="str">
        <f t="shared" si="45"/>
        <v>2022-04</v>
      </c>
    </row>
    <row r="2919" spans="1:10" x14ac:dyDescent="0.2">
      <c r="A2919" s="2" t="s">
        <v>2466</v>
      </c>
      <c r="B2919" s="2" t="s">
        <v>34</v>
      </c>
      <c r="C2919" s="2" t="s">
        <v>32</v>
      </c>
      <c r="D2919" s="2">
        <v>44</v>
      </c>
      <c r="E2919" s="5">
        <v>44665</v>
      </c>
      <c r="F2919" s="2">
        <v>9</v>
      </c>
      <c r="G2919" s="2" t="s">
        <v>12</v>
      </c>
      <c r="H2919" s="2" t="s">
        <v>23</v>
      </c>
      <c r="I2919" s="6">
        <v>1</v>
      </c>
      <c r="J2919" s="2" t="str">
        <f t="shared" si="45"/>
        <v>2022-04</v>
      </c>
    </row>
    <row r="2920" spans="1:10" x14ac:dyDescent="0.2">
      <c r="A2920" s="2" t="s">
        <v>2017</v>
      </c>
      <c r="B2920" s="2" t="s">
        <v>34</v>
      </c>
      <c r="C2920" s="2" t="s">
        <v>32</v>
      </c>
      <c r="D2920" s="2" t="s">
        <v>2954</v>
      </c>
      <c r="E2920" s="5">
        <v>44665</v>
      </c>
      <c r="F2920" s="2">
        <v>255</v>
      </c>
      <c r="G2920" s="2" t="s">
        <v>75</v>
      </c>
      <c r="H2920" s="2" t="s">
        <v>23</v>
      </c>
      <c r="I2920" s="6" t="s">
        <v>2954</v>
      </c>
      <c r="J2920" s="2" t="str">
        <f t="shared" si="45"/>
        <v>2022-04</v>
      </c>
    </row>
    <row r="2921" spans="1:10" x14ac:dyDescent="0.2">
      <c r="A2921" s="2" t="s">
        <v>2207</v>
      </c>
      <c r="B2921" s="2" t="s">
        <v>28</v>
      </c>
      <c r="C2921" s="2" t="s">
        <v>52</v>
      </c>
      <c r="D2921" s="2">
        <v>100</v>
      </c>
      <c r="E2921" s="5">
        <v>44663</v>
      </c>
      <c r="F2921" s="2">
        <v>329</v>
      </c>
      <c r="G2921" s="2" t="s">
        <v>75</v>
      </c>
      <c r="H2921" s="2" t="s">
        <v>23</v>
      </c>
      <c r="I2921" s="6">
        <v>0.14000000000000001</v>
      </c>
      <c r="J2921" s="2" t="str">
        <f t="shared" si="45"/>
        <v>2022-04</v>
      </c>
    </row>
    <row r="2922" spans="1:10" x14ac:dyDescent="0.2">
      <c r="A2922" s="2" t="s">
        <v>1108</v>
      </c>
      <c r="B2922" s="2" t="s">
        <v>100</v>
      </c>
      <c r="C2922" s="2" t="s">
        <v>142</v>
      </c>
      <c r="D2922" s="2">
        <v>150</v>
      </c>
      <c r="E2922" s="5">
        <v>44662</v>
      </c>
      <c r="F2922" s="2">
        <v>1100</v>
      </c>
      <c r="G2922" s="2" t="s">
        <v>62</v>
      </c>
      <c r="H2922" s="2" t="s">
        <v>98</v>
      </c>
      <c r="I2922" s="6" t="s">
        <v>2954</v>
      </c>
      <c r="J2922" s="2" t="str">
        <f t="shared" si="45"/>
        <v>2022-04</v>
      </c>
    </row>
    <row r="2923" spans="1:10" x14ac:dyDescent="0.2">
      <c r="A2923" s="2" t="s">
        <v>2393</v>
      </c>
      <c r="B2923" s="2" t="s">
        <v>25</v>
      </c>
      <c r="C2923" s="2" t="s">
        <v>11</v>
      </c>
      <c r="D2923" s="2">
        <v>20</v>
      </c>
      <c r="E2923" s="5">
        <v>44659</v>
      </c>
      <c r="F2923" s="2">
        <v>176</v>
      </c>
      <c r="G2923" s="2" t="s">
        <v>45</v>
      </c>
      <c r="H2923" s="2" t="s">
        <v>23</v>
      </c>
      <c r="I2923" s="6">
        <v>0.1</v>
      </c>
      <c r="J2923" s="2" t="str">
        <f t="shared" si="45"/>
        <v>2022-04</v>
      </c>
    </row>
    <row r="2924" spans="1:10" x14ac:dyDescent="0.2">
      <c r="A2924" s="2" t="s">
        <v>1226</v>
      </c>
      <c r="B2924" s="2" t="s">
        <v>100</v>
      </c>
      <c r="C2924" s="2" t="s">
        <v>61</v>
      </c>
      <c r="D2924" s="2">
        <v>1000</v>
      </c>
      <c r="E2924" s="5">
        <v>44658</v>
      </c>
      <c r="F2924" s="2">
        <v>838</v>
      </c>
      <c r="G2924" s="2" t="s">
        <v>81</v>
      </c>
      <c r="H2924" s="2" t="s">
        <v>98</v>
      </c>
      <c r="I2924" s="6">
        <v>0.17</v>
      </c>
      <c r="J2924" s="2" t="str">
        <f t="shared" si="45"/>
        <v>2022-04</v>
      </c>
    </row>
    <row r="2925" spans="1:10" x14ac:dyDescent="0.2">
      <c r="A2925" s="2" t="s">
        <v>2467</v>
      </c>
      <c r="B2925" s="2" t="s">
        <v>634</v>
      </c>
      <c r="C2925" s="2" t="s">
        <v>11</v>
      </c>
      <c r="D2925" s="2">
        <v>70</v>
      </c>
      <c r="E2925" s="5">
        <v>44658</v>
      </c>
      <c r="F2925" s="2">
        <v>16</v>
      </c>
      <c r="G2925" s="2" t="s">
        <v>17</v>
      </c>
      <c r="H2925" s="2" t="s">
        <v>106</v>
      </c>
      <c r="I2925" s="6" t="s">
        <v>2954</v>
      </c>
      <c r="J2925" s="2" t="str">
        <f t="shared" si="45"/>
        <v>2022-04</v>
      </c>
    </row>
    <row r="2926" spans="1:10" x14ac:dyDescent="0.2">
      <c r="A2926" s="2" t="s">
        <v>2468</v>
      </c>
      <c r="B2926" s="2" t="s">
        <v>86</v>
      </c>
      <c r="C2926" s="2" t="s">
        <v>109</v>
      </c>
      <c r="D2926" s="2">
        <v>450</v>
      </c>
      <c r="E2926" s="5">
        <v>44656</v>
      </c>
      <c r="F2926" s="2">
        <v>752</v>
      </c>
      <c r="G2926" s="2" t="s">
        <v>128</v>
      </c>
      <c r="H2926" s="2" t="s">
        <v>23</v>
      </c>
      <c r="I2926" s="6" t="s">
        <v>2954</v>
      </c>
      <c r="J2926" s="2" t="str">
        <f t="shared" si="45"/>
        <v>2022-04</v>
      </c>
    </row>
    <row r="2927" spans="1:10" x14ac:dyDescent="0.2">
      <c r="A2927" s="2" t="s">
        <v>2469</v>
      </c>
      <c r="B2927" s="2" t="s">
        <v>34</v>
      </c>
      <c r="C2927" s="2" t="s">
        <v>16</v>
      </c>
      <c r="D2927" s="2" t="s">
        <v>2954</v>
      </c>
      <c r="E2927" s="5">
        <v>44656</v>
      </c>
      <c r="F2927" s="2">
        <v>124</v>
      </c>
      <c r="G2927" s="2" t="s">
        <v>37</v>
      </c>
      <c r="H2927" s="2" t="s">
        <v>23</v>
      </c>
      <c r="I2927" s="6">
        <v>1</v>
      </c>
      <c r="J2927" s="2" t="str">
        <f t="shared" si="45"/>
        <v>2022-04</v>
      </c>
    </row>
    <row r="2928" spans="1:10" x14ac:dyDescent="0.2">
      <c r="A2928" s="2" t="s">
        <v>1935</v>
      </c>
      <c r="B2928" s="2" t="s">
        <v>1936</v>
      </c>
      <c r="C2928" s="2" t="s">
        <v>22</v>
      </c>
      <c r="D2928" s="2">
        <v>75</v>
      </c>
      <c r="E2928" s="5">
        <v>44655</v>
      </c>
      <c r="F2928" s="2">
        <v>0</v>
      </c>
      <c r="G2928" s="2" t="s">
        <v>132</v>
      </c>
      <c r="H2928" s="2" t="s">
        <v>1676</v>
      </c>
      <c r="I2928" s="6">
        <v>0.25</v>
      </c>
      <c r="J2928" s="2" t="str">
        <f t="shared" si="45"/>
        <v>2022-04</v>
      </c>
    </row>
    <row r="2929" spans="1:10" x14ac:dyDescent="0.2">
      <c r="A2929" s="2" t="s">
        <v>2470</v>
      </c>
      <c r="B2929" s="2" t="s">
        <v>183</v>
      </c>
      <c r="C2929" s="2" t="s">
        <v>235</v>
      </c>
      <c r="D2929" s="2">
        <v>23</v>
      </c>
      <c r="E2929" s="5">
        <v>44655</v>
      </c>
      <c r="F2929" s="2">
        <v>3</v>
      </c>
      <c r="G2929" s="2" t="s">
        <v>17</v>
      </c>
      <c r="H2929" s="2" t="s">
        <v>106</v>
      </c>
      <c r="I2929" s="6">
        <v>0.38</v>
      </c>
      <c r="J2929" s="2" t="str">
        <f t="shared" si="45"/>
        <v>2022-04</v>
      </c>
    </row>
    <row r="2930" spans="1:10" x14ac:dyDescent="0.2">
      <c r="A2930" s="2" t="s">
        <v>1427</v>
      </c>
      <c r="B2930" s="2" t="s">
        <v>15</v>
      </c>
      <c r="C2930" s="2" t="s">
        <v>16</v>
      </c>
      <c r="D2930" s="2">
        <v>20</v>
      </c>
      <c r="E2930" s="5">
        <v>44651</v>
      </c>
      <c r="F2930" s="2">
        <v>42</v>
      </c>
      <c r="G2930" s="2" t="s">
        <v>37</v>
      </c>
      <c r="H2930" s="2" t="s">
        <v>18</v>
      </c>
      <c r="I2930" s="6" t="s">
        <v>2954</v>
      </c>
      <c r="J2930" s="2" t="str">
        <f t="shared" si="45"/>
        <v>2022-03</v>
      </c>
    </row>
    <row r="2931" spans="1:10" x14ac:dyDescent="0.2">
      <c r="A2931" s="2" t="s">
        <v>2079</v>
      </c>
      <c r="B2931" s="2" t="s">
        <v>100</v>
      </c>
      <c r="C2931" s="2" t="s">
        <v>142</v>
      </c>
      <c r="D2931" s="2">
        <v>350</v>
      </c>
      <c r="E2931" s="5">
        <v>44650</v>
      </c>
      <c r="F2931" s="2">
        <v>8600</v>
      </c>
      <c r="G2931" s="2" t="s">
        <v>17</v>
      </c>
      <c r="H2931" s="2" t="s">
        <v>98</v>
      </c>
      <c r="I2931" s="6" t="s">
        <v>2954</v>
      </c>
      <c r="J2931" s="2" t="str">
        <f t="shared" si="45"/>
        <v>2022-03</v>
      </c>
    </row>
    <row r="2932" spans="1:10" x14ac:dyDescent="0.2">
      <c r="A2932" s="2" t="s">
        <v>2471</v>
      </c>
      <c r="B2932" s="2" t="s">
        <v>74</v>
      </c>
      <c r="C2932" s="2" t="s">
        <v>243</v>
      </c>
      <c r="D2932" s="2">
        <v>59</v>
      </c>
      <c r="E2932" s="5">
        <v>44650</v>
      </c>
      <c r="F2932" s="2">
        <v>40</v>
      </c>
      <c r="G2932" s="2" t="s">
        <v>37</v>
      </c>
      <c r="H2932" s="2" t="s">
        <v>76</v>
      </c>
      <c r="I2932" s="6">
        <v>0.4</v>
      </c>
      <c r="J2932" s="2" t="str">
        <f t="shared" si="45"/>
        <v>2022-03</v>
      </c>
    </row>
    <row r="2933" spans="1:10" x14ac:dyDescent="0.2">
      <c r="A2933" s="2" t="s">
        <v>79</v>
      </c>
      <c r="B2933" s="2" t="s">
        <v>80</v>
      </c>
      <c r="C2933" s="2" t="s">
        <v>11</v>
      </c>
      <c r="D2933" s="2">
        <v>450</v>
      </c>
      <c r="E2933" s="5">
        <v>44649</v>
      </c>
      <c r="F2933" s="2">
        <v>3400</v>
      </c>
      <c r="G2933" s="2" t="s">
        <v>81</v>
      </c>
      <c r="H2933" s="2" t="s">
        <v>23</v>
      </c>
      <c r="I2933" s="6">
        <v>0.03</v>
      </c>
      <c r="J2933" s="2" t="str">
        <f t="shared" si="45"/>
        <v>2022-03</v>
      </c>
    </row>
    <row r="2934" spans="1:10" x14ac:dyDescent="0.2">
      <c r="A2934" s="2" t="s">
        <v>1628</v>
      </c>
      <c r="B2934" s="2" t="s">
        <v>183</v>
      </c>
      <c r="C2934" s="2" t="s">
        <v>61</v>
      </c>
      <c r="D2934" s="2">
        <v>100</v>
      </c>
      <c r="E2934" s="5">
        <v>44649</v>
      </c>
      <c r="F2934" s="2">
        <v>22</v>
      </c>
      <c r="G2934" s="2" t="s">
        <v>17</v>
      </c>
      <c r="H2934" s="2" t="s">
        <v>106</v>
      </c>
      <c r="I2934" s="6">
        <v>0.2</v>
      </c>
      <c r="J2934" s="2" t="str">
        <f t="shared" si="45"/>
        <v>2022-03</v>
      </c>
    </row>
    <row r="2935" spans="1:10" x14ac:dyDescent="0.2">
      <c r="A2935" s="2" t="s">
        <v>2472</v>
      </c>
      <c r="B2935" s="2" t="s">
        <v>100</v>
      </c>
      <c r="C2935" s="2" t="s">
        <v>142</v>
      </c>
      <c r="D2935" s="2">
        <v>180</v>
      </c>
      <c r="E2935" s="5">
        <v>44646</v>
      </c>
      <c r="F2935" s="2">
        <v>228</v>
      </c>
      <c r="G2935" s="2" t="s">
        <v>75</v>
      </c>
      <c r="H2935" s="2" t="s">
        <v>98</v>
      </c>
      <c r="I2935" s="6" t="s">
        <v>2954</v>
      </c>
      <c r="J2935" s="2" t="str">
        <f t="shared" si="45"/>
        <v>2022-03</v>
      </c>
    </row>
    <row r="2936" spans="1:10" x14ac:dyDescent="0.2">
      <c r="A2936" s="2" t="s">
        <v>2473</v>
      </c>
      <c r="B2936" s="2" t="s">
        <v>34</v>
      </c>
      <c r="C2936" s="2" t="s">
        <v>142</v>
      </c>
      <c r="D2936" s="2" t="s">
        <v>2954</v>
      </c>
      <c r="E2936" s="5">
        <v>44639</v>
      </c>
      <c r="F2936" s="2">
        <v>474</v>
      </c>
      <c r="G2936" s="2" t="s">
        <v>128</v>
      </c>
      <c r="H2936" s="2" t="s">
        <v>23</v>
      </c>
      <c r="I2936" s="6">
        <v>0.17</v>
      </c>
      <c r="J2936" s="2" t="str">
        <f t="shared" si="45"/>
        <v>2022-03</v>
      </c>
    </row>
    <row r="2937" spans="1:10" x14ac:dyDescent="0.2">
      <c r="A2937" s="2" t="s">
        <v>290</v>
      </c>
      <c r="B2937" s="2" t="s">
        <v>287</v>
      </c>
      <c r="C2937" s="2" t="s">
        <v>235</v>
      </c>
      <c r="D2937" s="2">
        <v>100</v>
      </c>
      <c r="E2937" s="5">
        <v>44637</v>
      </c>
      <c r="F2937" s="2">
        <v>275</v>
      </c>
      <c r="G2937" s="2" t="s">
        <v>17</v>
      </c>
      <c r="H2937" s="2" t="s">
        <v>291</v>
      </c>
      <c r="I2937" s="6">
        <v>0.1</v>
      </c>
      <c r="J2937" s="2" t="str">
        <f t="shared" si="45"/>
        <v>2022-03</v>
      </c>
    </row>
    <row r="2938" spans="1:10" x14ac:dyDescent="0.2">
      <c r="A2938" s="2" t="s">
        <v>2474</v>
      </c>
      <c r="B2938" s="2" t="s">
        <v>34</v>
      </c>
      <c r="C2938" s="2" t="s">
        <v>32</v>
      </c>
      <c r="D2938" s="2">
        <v>150</v>
      </c>
      <c r="E2938" s="5">
        <v>44636</v>
      </c>
      <c r="F2938" s="2">
        <v>19</v>
      </c>
      <c r="G2938" s="2" t="s">
        <v>75</v>
      </c>
      <c r="H2938" s="2" t="s">
        <v>23</v>
      </c>
      <c r="I2938" s="6" t="s">
        <v>2954</v>
      </c>
      <c r="J2938" s="2" t="str">
        <f t="shared" si="45"/>
        <v>2022-03</v>
      </c>
    </row>
    <row r="2939" spans="1:10" x14ac:dyDescent="0.2">
      <c r="A2939" s="2" t="s">
        <v>2475</v>
      </c>
      <c r="B2939" s="2" t="s">
        <v>100</v>
      </c>
      <c r="C2939" s="2" t="s">
        <v>142</v>
      </c>
      <c r="D2939" s="2">
        <v>300</v>
      </c>
      <c r="E2939" s="5">
        <v>44635</v>
      </c>
      <c r="F2939" s="2">
        <v>62</v>
      </c>
      <c r="G2939" s="2" t="s">
        <v>37</v>
      </c>
      <c r="H2939" s="2" t="s">
        <v>98</v>
      </c>
      <c r="I2939" s="6">
        <v>0.5</v>
      </c>
      <c r="J2939" s="2" t="str">
        <f t="shared" si="45"/>
        <v>2022-03</v>
      </c>
    </row>
    <row r="2940" spans="1:10" x14ac:dyDescent="0.2">
      <c r="A2940" s="2" t="s">
        <v>2476</v>
      </c>
      <c r="B2940" s="2" t="s">
        <v>25</v>
      </c>
      <c r="C2940" s="2" t="s">
        <v>148</v>
      </c>
      <c r="D2940" s="2">
        <v>115</v>
      </c>
      <c r="E2940" s="5">
        <v>44635</v>
      </c>
      <c r="F2940" s="2">
        <v>654</v>
      </c>
      <c r="G2940" s="2" t="s">
        <v>12</v>
      </c>
      <c r="H2940" s="2" t="s">
        <v>23</v>
      </c>
      <c r="I2940" s="6">
        <v>0.46</v>
      </c>
      <c r="J2940" s="2" t="str">
        <f t="shared" si="45"/>
        <v>2022-03</v>
      </c>
    </row>
    <row r="2941" spans="1:10" x14ac:dyDescent="0.2">
      <c r="A2941" s="2" t="s">
        <v>2477</v>
      </c>
      <c r="B2941" s="2" t="s">
        <v>34</v>
      </c>
      <c r="C2941" s="2" t="s">
        <v>32</v>
      </c>
      <c r="D2941" s="2" t="s">
        <v>2954</v>
      </c>
      <c r="E2941" s="5">
        <v>44635</v>
      </c>
      <c r="F2941" s="2">
        <v>8</v>
      </c>
      <c r="G2941" s="2" t="s">
        <v>17</v>
      </c>
      <c r="H2941" s="2" t="s">
        <v>23</v>
      </c>
      <c r="I2941" s="6">
        <v>0.25</v>
      </c>
      <c r="J2941" s="2" t="str">
        <f t="shared" si="45"/>
        <v>2022-03</v>
      </c>
    </row>
    <row r="2942" spans="1:10" x14ac:dyDescent="0.2">
      <c r="A2942" s="2" t="s">
        <v>2478</v>
      </c>
      <c r="B2942" s="2" t="s">
        <v>378</v>
      </c>
      <c r="C2942" s="2" t="s">
        <v>16</v>
      </c>
      <c r="D2942" s="2" t="s">
        <v>2954</v>
      </c>
      <c r="E2942" s="5">
        <v>44630</v>
      </c>
      <c r="F2942" s="2">
        <v>301</v>
      </c>
      <c r="G2942" s="2" t="s">
        <v>17</v>
      </c>
      <c r="H2942" s="2" t="s">
        <v>23</v>
      </c>
      <c r="I2942" s="6">
        <v>0.2</v>
      </c>
      <c r="J2942" s="2" t="str">
        <f t="shared" si="45"/>
        <v>2022-03</v>
      </c>
    </row>
    <row r="2943" spans="1:10" x14ac:dyDescent="0.2">
      <c r="A2943" s="2" t="s">
        <v>739</v>
      </c>
      <c r="B2943" s="2" t="s">
        <v>25</v>
      </c>
      <c r="C2943" s="2" t="s">
        <v>148</v>
      </c>
      <c r="D2943" s="2">
        <v>3000</v>
      </c>
      <c r="E2943" s="5">
        <v>44628</v>
      </c>
      <c r="F2943" s="2">
        <v>905</v>
      </c>
      <c r="G2943" s="2" t="s">
        <v>12</v>
      </c>
      <c r="H2943" s="2" t="s">
        <v>23</v>
      </c>
      <c r="I2943" s="6">
        <v>0.33</v>
      </c>
      <c r="J2943" s="2" t="str">
        <f t="shared" si="45"/>
        <v>2022-03</v>
      </c>
    </row>
    <row r="2944" spans="1:10" x14ac:dyDescent="0.2">
      <c r="A2944" s="2" t="s">
        <v>2479</v>
      </c>
      <c r="B2944" s="2" t="s">
        <v>28</v>
      </c>
      <c r="C2944" s="2" t="s">
        <v>32</v>
      </c>
      <c r="D2944" s="2">
        <v>100</v>
      </c>
      <c r="E2944" s="5">
        <v>44628</v>
      </c>
      <c r="F2944" s="2">
        <v>406</v>
      </c>
      <c r="G2944" s="2" t="s">
        <v>17</v>
      </c>
      <c r="H2944" s="2" t="s">
        <v>23</v>
      </c>
      <c r="I2944" s="6">
        <v>0.12</v>
      </c>
      <c r="J2944" s="2" t="str">
        <f t="shared" si="45"/>
        <v>2022-03</v>
      </c>
    </row>
    <row r="2945" spans="1:10" x14ac:dyDescent="0.2">
      <c r="A2945" s="2" t="s">
        <v>2480</v>
      </c>
      <c r="B2945" s="2" t="s">
        <v>25</v>
      </c>
      <c r="C2945" s="2" t="s">
        <v>243</v>
      </c>
      <c r="D2945" s="2">
        <v>100</v>
      </c>
      <c r="E2945" s="5">
        <v>44623</v>
      </c>
      <c r="F2945" s="2">
        <v>289</v>
      </c>
      <c r="G2945" s="2" t="s">
        <v>128</v>
      </c>
      <c r="H2945" s="2" t="s">
        <v>23</v>
      </c>
      <c r="I2945" s="6">
        <v>0.25</v>
      </c>
      <c r="J2945" s="2" t="str">
        <f t="shared" si="45"/>
        <v>2022-03</v>
      </c>
    </row>
    <row r="2946" spans="1:10" x14ac:dyDescent="0.2">
      <c r="A2946" s="2" t="s">
        <v>2481</v>
      </c>
      <c r="B2946" s="2" t="s">
        <v>1936</v>
      </c>
      <c r="C2946" s="2" t="s">
        <v>32</v>
      </c>
      <c r="D2946" s="2">
        <v>500</v>
      </c>
      <c r="E2946" s="5">
        <v>44622</v>
      </c>
      <c r="F2946" s="2">
        <v>1400</v>
      </c>
      <c r="G2946" s="2" t="s">
        <v>62</v>
      </c>
      <c r="H2946" s="2" t="s">
        <v>224</v>
      </c>
      <c r="I2946" s="6" t="s">
        <v>2954</v>
      </c>
      <c r="J2946" s="2" t="str">
        <f t="shared" si="45"/>
        <v>2022-03</v>
      </c>
    </row>
    <row r="2947" spans="1:10" x14ac:dyDescent="0.2">
      <c r="A2947" s="2" t="s">
        <v>863</v>
      </c>
      <c r="B2947" s="2" t="s">
        <v>34</v>
      </c>
      <c r="C2947" s="2" t="s">
        <v>142</v>
      </c>
      <c r="D2947" s="2">
        <v>190</v>
      </c>
      <c r="E2947" s="5">
        <v>44621</v>
      </c>
      <c r="F2947" s="2">
        <v>1600</v>
      </c>
      <c r="G2947" s="2" t="s">
        <v>17</v>
      </c>
      <c r="H2947" s="2" t="s">
        <v>23</v>
      </c>
      <c r="I2947" s="6">
        <v>0.15</v>
      </c>
      <c r="J2947" s="2" t="str">
        <f t="shared" ref="J2947:J3010" si="46">TEXT(E2947,"YYYY-MM")</f>
        <v>2022-03</v>
      </c>
    </row>
    <row r="2948" spans="1:10" x14ac:dyDescent="0.2">
      <c r="A2948" s="2" t="s">
        <v>1873</v>
      </c>
      <c r="B2948" s="2" t="s">
        <v>1874</v>
      </c>
      <c r="C2948" s="2" t="s">
        <v>117</v>
      </c>
      <c r="D2948" s="2" t="s">
        <v>2954</v>
      </c>
      <c r="E2948" s="5">
        <v>44617</v>
      </c>
      <c r="F2948" s="2">
        <v>200</v>
      </c>
      <c r="G2948" s="2" t="s">
        <v>199</v>
      </c>
      <c r="H2948" s="2" t="s">
        <v>23</v>
      </c>
      <c r="I2948" s="6" t="s">
        <v>2954</v>
      </c>
      <c r="J2948" s="2" t="str">
        <f t="shared" si="46"/>
        <v>2022-02</v>
      </c>
    </row>
    <row r="2949" spans="1:10" x14ac:dyDescent="0.2">
      <c r="A2949" s="2" t="s">
        <v>2482</v>
      </c>
      <c r="B2949" s="2" t="s">
        <v>97</v>
      </c>
      <c r="C2949" s="2" t="s">
        <v>16</v>
      </c>
      <c r="D2949" s="2">
        <v>30</v>
      </c>
      <c r="E2949" s="5">
        <v>44616</v>
      </c>
      <c r="F2949" s="2">
        <v>85</v>
      </c>
      <c r="G2949" s="2" t="s">
        <v>37</v>
      </c>
      <c r="H2949" s="2" t="s">
        <v>98</v>
      </c>
      <c r="I2949" s="6" t="s">
        <v>2954</v>
      </c>
      <c r="J2949" s="2" t="str">
        <f t="shared" si="46"/>
        <v>2022-02</v>
      </c>
    </row>
    <row r="2950" spans="1:10" x14ac:dyDescent="0.2">
      <c r="A2950" s="2" t="s">
        <v>2483</v>
      </c>
      <c r="B2950" s="2" t="s">
        <v>538</v>
      </c>
      <c r="C2950" s="2" t="s">
        <v>61</v>
      </c>
      <c r="D2950" s="2">
        <v>150</v>
      </c>
      <c r="E2950" s="5">
        <v>44613</v>
      </c>
      <c r="F2950" s="2">
        <v>24</v>
      </c>
      <c r="G2950" s="2" t="s">
        <v>41</v>
      </c>
      <c r="H2950" s="2" t="s">
        <v>98</v>
      </c>
      <c r="I2950" s="6" t="s">
        <v>2954</v>
      </c>
      <c r="J2950" s="2" t="str">
        <f t="shared" si="46"/>
        <v>2022-02</v>
      </c>
    </row>
    <row r="2951" spans="1:10" x14ac:dyDescent="0.2">
      <c r="A2951" s="2" t="s">
        <v>2484</v>
      </c>
      <c r="B2951" s="2" t="s">
        <v>47</v>
      </c>
      <c r="C2951" s="2" t="s">
        <v>52</v>
      </c>
      <c r="D2951" s="2">
        <v>111</v>
      </c>
      <c r="E2951" s="5">
        <v>44613</v>
      </c>
      <c r="F2951" s="2">
        <v>368</v>
      </c>
      <c r="G2951" s="2" t="s">
        <v>12</v>
      </c>
      <c r="H2951" s="2" t="s">
        <v>23</v>
      </c>
      <c r="I2951" s="6">
        <v>0.5</v>
      </c>
      <c r="J2951" s="2" t="str">
        <f t="shared" si="46"/>
        <v>2022-02</v>
      </c>
    </row>
    <row r="2952" spans="1:10" x14ac:dyDescent="0.2">
      <c r="A2952" s="2" t="s">
        <v>2485</v>
      </c>
      <c r="B2952" s="2" t="s">
        <v>287</v>
      </c>
      <c r="C2952" s="2" t="s">
        <v>16</v>
      </c>
      <c r="D2952" s="2">
        <v>120</v>
      </c>
      <c r="E2952" s="5">
        <v>44609</v>
      </c>
      <c r="F2952" s="2">
        <v>28</v>
      </c>
      <c r="G2952" s="2" t="s">
        <v>45</v>
      </c>
      <c r="H2952" s="2" t="s">
        <v>291</v>
      </c>
      <c r="I2952" s="6" t="s">
        <v>2954</v>
      </c>
      <c r="J2952" s="2" t="str">
        <f t="shared" si="46"/>
        <v>2022-02</v>
      </c>
    </row>
    <row r="2953" spans="1:10" x14ac:dyDescent="0.2">
      <c r="A2953" s="2" t="s">
        <v>2486</v>
      </c>
      <c r="B2953" s="2" t="s">
        <v>661</v>
      </c>
      <c r="C2953" s="2" t="s">
        <v>11</v>
      </c>
      <c r="D2953" s="2">
        <v>100</v>
      </c>
      <c r="E2953" s="5">
        <v>44608</v>
      </c>
      <c r="F2953" s="2">
        <v>118</v>
      </c>
      <c r="G2953" s="2" t="s">
        <v>75</v>
      </c>
      <c r="H2953" s="2" t="s">
        <v>662</v>
      </c>
      <c r="I2953" s="6">
        <v>0.15</v>
      </c>
      <c r="J2953" s="2" t="str">
        <f t="shared" si="46"/>
        <v>2022-02</v>
      </c>
    </row>
    <row r="2954" spans="1:10" x14ac:dyDescent="0.2">
      <c r="A2954" s="2" t="s">
        <v>146</v>
      </c>
      <c r="B2954" s="2" t="s">
        <v>147</v>
      </c>
      <c r="C2954" s="2" t="s">
        <v>148</v>
      </c>
      <c r="D2954" s="2">
        <v>119</v>
      </c>
      <c r="E2954" s="5">
        <v>44606</v>
      </c>
      <c r="F2954" s="2">
        <v>35</v>
      </c>
      <c r="G2954" s="2" t="s">
        <v>37</v>
      </c>
      <c r="H2954" s="2" t="s">
        <v>23</v>
      </c>
      <c r="I2954" s="6">
        <v>0.28999999999999998</v>
      </c>
      <c r="J2954" s="2" t="str">
        <f t="shared" si="46"/>
        <v>2022-02</v>
      </c>
    </row>
    <row r="2955" spans="1:10" x14ac:dyDescent="0.2">
      <c r="A2955" s="2" t="s">
        <v>107</v>
      </c>
      <c r="B2955" s="2" t="s">
        <v>54</v>
      </c>
      <c r="C2955" s="2" t="s">
        <v>29</v>
      </c>
      <c r="D2955" s="2">
        <v>138</v>
      </c>
      <c r="E2955" s="5">
        <v>44602</v>
      </c>
      <c r="F2955" s="2">
        <v>1000</v>
      </c>
      <c r="G2955" s="2" t="s">
        <v>75</v>
      </c>
      <c r="H2955" s="2" t="s">
        <v>23</v>
      </c>
      <c r="I2955" s="6">
        <v>0.12</v>
      </c>
      <c r="J2955" s="2" t="str">
        <f t="shared" si="46"/>
        <v>2022-02</v>
      </c>
    </row>
    <row r="2956" spans="1:10" x14ac:dyDescent="0.2">
      <c r="A2956" s="2" t="s">
        <v>2145</v>
      </c>
      <c r="B2956" s="2" t="s">
        <v>25</v>
      </c>
      <c r="C2956" s="2" t="s">
        <v>11</v>
      </c>
      <c r="D2956" s="2">
        <v>60</v>
      </c>
      <c r="E2956" s="5">
        <v>44602</v>
      </c>
      <c r="F2956" s="2">
        <v>120</v>
      </c>
      <c r="G2956" s="2" t="s">
        <v>75</v>
      </c>
      <c r="H2956" s="2" t="s">
        <v>23</v>
      </c>
      <c r="I2956" s="6">
        <v>0.2</v>
      </c>
      <c r="J2956" s="2" t="str">
        <f t="shared" si="46"/>
        <v>2022-02</v>
      </c>
    </row>
    <row r="2957" spans="1:10" x14ac:dyDescent="0.2">
      <c r="A2957" s="2" t="s">
        <v>116</v>
      </c>
      <c r="B2957" s="2" t="s">
        <v>25</v>
      </c>
      <c r="C2957" s="2" t="s">
        <v>117</v>
      </c>
      <c r="D2957" s="2">
        <v>2800</v>
      </c>
      <c r="E2957" s="5">
        <v>44600</v>
      </c>
      <c r="F2957" s="2">
        <v>1900</v>
      </c>
      <c r="G2957" s="2" t="s">
        <v>17</v>
      </c>
      <c r="H2957" s="2" t="s">
        <v>23</v>
      </c>
      <c r="I2957" s="6">
        <v>0.2</v>
      </c>
      <c r="J2957" s="2" t="str">
        <f t="shared" si="46"/>
        <v>2022-02</v>
      </c>
    </row>
    <row r="2958" spans="1:10" x14ac:dyDescent="0.2">
      <c r="A2958" s="2" t="s">
        <v>2487</v>
      </c>
      <c r="B2958" s="2" t="s">
        <v>28</v>
      </c>
      <c r="C2958" s="2" t="s">
        <v>243</v>
      </c>
      <c r="D2958" s="2" t="s">
        <v>2954</v>
      </c>
      <c r="E2958" s="5">
        <v>44599</v>
      </c>
      <c r="F2958" s="2">
        <v>78</v>
      </c>
      <c r="G2958" s="2" t="s">
        <v>37</v>
      </c>
      <c r="H2958" s="2" t="s">
        <v>23</v>
      </c>
      <c r="I2958" s="6" t="s">
        <v>2954</v>
      </c>
      <c r="J2958" s="2" t="str">
        <f t="shared" si="46"/>
        <v>2022-02</v>
      </c>
    </row>
    <row r="2959" spans="1:10" x14ac:dyDescent="0.2">
      <c r="A2959" s="2" t="s">
        <v>2488</v>
      </c>
      <c r="B2959" s="2" t="s">
        <v>25</v>
      </c>
      <c r="C2959" s="2" t="s">
        <v>148</v>
      </c>
      <c r="D2959" s="2">
        <v>57</v>
      </c>
      <c r="E2959" s="5">
        <v>44595</v>
      </c>
      <c r="F2959" s="2">
        <v>133</v>
      </c>
      <c r="G2959" s="2" t="s">
        <v>12</v>
      </c>
      <c r="H2959" s="2" t="s">
        <v>23</v>
      </c>
      <c r="I2959" s="6">
        <v>0.2</v>
      </c>
      <c r="J2959" s="2" t="str">
        <f t="shared" si="46"/>
        <v>2022-02</v>
      </c>
    </row>
    <row r="2960" spans="1:10" x14ac:dyDescent="0.2">
      <c r="A2960" s="2" t="s">
        <v>79</v>
      </c>
      <c r="B2960" s="2" t="s">
        <v>80</v>
      </c>
      <c r="C2960" s="2" t="s">
        <v>11</v>
      </c>
      <c r="D2960" s="2">
        <v>100</v>
      </c>
      <c r="E2960" s="5">
        <v>44587</v>
      </c>
      <c r="F2960" s="2">
        <v>3400</v>
      </c>
      <c r="G2960" s="2" t="s">
        <v>81</v>
      </c>
      <c r="H2960" s="2" t="s">
        <v>23</v>
      </c>
      <c r="I2960" s="6" t="s">
        <v>2954</v>
      </c>
      <c r="J2960" s="2" t="str">
        <f t="shared" si="46"/>
        <v>2022-01</v>
      </c>
    </row>
    <row r="2961" spans="1:10" x14ac:dyDescent="0.2">
      <c r="A2961" s="2" t="s">
        <v>2165</v>
      </c>
      <c r="B2961" s="2" t="s">
        <v>25</v>
      </c>
      <c r="C2961" s="2" t="s">
        <v>35</v>
      </c>
      <c r="D2961" s="2">
        <v>80</v>
      </c>
      <c r="E2961" s="5">
        <v>44587</v>
      </c>
      <c r="F2961" s="2">
        <v>266</v>
      </c>
      <c r="G2961" s="2" t="s">
        <v>128</v>
      </c>
      <c r="H2961" s="2" t="s">
        <v>23</v>
      </c>
      <c r="I2961" s="6">
        <v>0.33</v>
      </c>
      <c r="J2961" s="2" t="str">
        <f t="shared" si="46"/>
        <v>2022-01</v>
      </c>
    </row>
    <row r="2962" spans="1:10" x14ac:dyDescent="0.2">
      <c r="A2962" s="2" t="s">
        <v>1896</v>
      </c>
      <c r="B2962" s="2" t="s">
        <v>414</v>
      </c>
      <c r="C2962" s="2" t="s">
        <v>16</v>
      </c>
      <c r="D2962" s="2">
        <v>330</v>
      </c>
      <c r="E2962" s="5">
        <v>44581</v>
      </c>
      <c r="F2962" s="2">
        <v>527</v>
      </c>
      <c r="G2962" s="2" t="s">
        <v>17</v>
      </c>
      <c r="H2962" s="2" t="s">
        <v>23</v>
      </c>
      <c r="I2962" s="6" t="s">
        <v>2954</v>
      </c>
      <c r="J2962" s="2" t="str">
        <f t="shared" si="46"/>
        <v>2022-01</v>
      </c>
    </row>
    <row r="2963" spans="1:10" x14ac:dyDescent="0.2">
      <c r="A2963" s="2" t="s">
        <v>2489</v>
      </c>
      <c r="B2963" s="2" t="s">
        <v>100</v>
      </c>
      <c r="C2963" s="2" t="s">
        <v>29</v>
      </c>
      <c r="D2963" s="2" t="s">
        <v>2954</v>
      </c>
      <c r="E2963" s="5">
        <v>44581</v>
      </c>
      <c r="F2963" s="2">
        <v>9</v>
      </c>
      <c r="G2963" s="2" t="s">
        <v>132</v>
      </c>
      <c r="H2963" s="2" t="s">
        <v>98</v>
      </c>
      <c r="I2963" s="6">
        <v>1</v>
      </c>
      <c r="J2963" s="2" t="str">
        <f t="shared" si="46"/>
        <v>2022-01</v>
      </c>
    </row>
    <row r="2964" spans="1:10" x14ac:dyDescent="0.2">
      <c r="A2964" s="2" t="s">
        <v>2012</v>
      </c>
      <c r="B2964" s="2" t="s">
        <v>34</v>
      </c>
      <c r="C2964" s="2" t="s">
        <v>52</v>
      </c>
      <c r="D2964" s="2" t="s">
        <v>2954</v>
      </c>
      <c r="E2964" s="5">
        <v>44569</v>
      </c>
      <c r="F2964" s="2">
        <v>8</v>
      </c>
      <c r="G2964" s="2" t="s">
        <v>45</v>
      </c>
      <c r="H2964" s="2" t="s">
        <v>23</v>
      </c>
      <c r="I2964" s="6">
        <v>0.25</v>
      </c>
      <c r="J2964" s="2" t="str">
        <f t="shared" si="46"/>
        <v>2022-01</v>
      </c>
    </row>
    <row r="2965" spans="1:10" x14ac:dyDescent="0.2">
      <c r="A2965" s="2" t="s">
        <v>494</v>
      </c>
      <c r="B2965" s="2" t="s">
        <v>74</v>
      </c>
      <c r="C2965" s="2" t="s">
        <v>11</v>
      </c>
      <c r="D2965" s="2">
        <v>300</v>
      </c>
      <c r="E2965" s="5">
        <v>44552</v>
      </c>
      <c r="F2965" s="2">
        <v>8300</v>
      </c>
      <c r="G2965" s="2" t="s">
        <v>17</v>
      </c>
      <c r="H2965" s="2" t="s">
        <v>76</v>
      </c>
      <c r="I2965" s="6" t="s">
        <v>2954</v>
      </c>
      <c r="J2965" s="2" t="str">
        <f t="shared" si="46"/>
        <v>2021-12</v>
      </c>
    </row>
    <row r="2966" spans="1:10" x14ac:dyDescent="0.2">
      <c r="A2966" s="2" t="s">
        <v>1873</v>
      </c>
      <c r="B2966" s="2" t="s">
        <v>1874</v>
      </c>
      <c r="C2966" s="2" t="s">
        <v>117</v>
      </c>
      <c r="D2966" s="2" t="s">
        <v>2954</v>
      </c>
      <c r="E2966" s="5">
        <v>44538</v>
      </c>
      <c r="F2966" s="2">
        <v>200</v>
      </c>
      <c r="G2966" s="2" t="s">
        <v>199</v>
      </c>
      <c r="H2966" s="2" t="s">
        <v>23</v>
      </c>
      <c r="I2966" s="6" t="s">
        <v>2954</v>
      </c>
      <c r="J2966" s="2" t="str">
        <f t="shared" si="46"/>
        <v>2021-12</v>
      </c>
    </row>
    <row r="2967" spans="1:10" x14ac:dyDescent="0.2">
      <c r="A2967" s="2" t="s">
        <v>739</v>
      </c>
      <c r="B2967" s="2" t="s">
        <v>25</v>
      </c>
      <c r="C2967" s="2" t="s">
        <v>148</v>
      </c>
      <c r="D2967" s="2">
        <v>900</v>
      </c>
      <c r="E2967" s="5">
        <v>44531</v>
      </c>
      <c r="F2967" s="2">
        <v>905</v>
      </c>
      <c r="G2967" s="2" t="s">
        <v>12</v>
      </c>
      <c r="H2967" s="2" t="s">
        <v>23</v>
      </c>
      <c r="I2967" s="6">
        <v>0.09</v>
      </c>
      <c r="J2967" s="2" t="str">
        <f t="shared" si="46"/>
        <v>2021-12</v>
      </c>
    </row>
    <row r="2968" spans="1:10" x14ac:dyDescent="0.2">
      <c r="A2968" s="2" t="s">
        <v>2490</v>
      </c>
      <c r="B2968" s="2" t="s">
        <v>28</v>
      </c>
      <c r="C2968" s="2" t="s">
        <v>243</v>
      </c>
      <c r="D2968" s="2">
        <v>70</v>
      </c>
      <c r="E2968" s="5">
        <v>44518</v>
      </c>
      <c r="F2968" s="2">
        <v>46</v>
      </c>
      <c r="G2968" s="2" t="s">
        <v>45</v>
      </c>
      <c r="H2968" s="2" t="s">
        <v>23</v>
      </c>
      <c r="I2968" s="6">
        <v>0.27</v>
      </c>
      <c r="J2968" s="2" t="str">
        <f t="shared" si="46"/>
        <v>2021-11</v>
      </c>
    </row>
    <row r="2969" spans="1:10" x14ac:dyDescent="0.2">
      <c r="A2969" s="2" t="s">
        <v>590</v>
      </c>
      <c r="B2969" s="2" t="s">
        <v>28</v>
      </c>
      <c r="C2969" s="2" t="s">
        <v>148</v>
      </c>
      <c r="D2969" s="2">
        <v>2000</v>
      </c>
      <c r="E2969" s="5">
        <v>44502</v>
      </c>
      <c r="F2969" s="2">
        <v>97</v>
      </c>
      <c r="G2969" s="2" t="s">
        <v>17</v>
      </c>
      <c r="H2969" s="2" t="s">
        <v>23</v>
      </c>
      <c r="I2969" s="6">
        <v>0.25</v>
      </c>
      <c r="J2969" s="2" t="str">
        <f t="shared" si="46"/>
        <v>2021-11</v>
      </c>
    </row>
    <row r="2970" spans="1:10" x14ac:dyDescent="0.2">
      <c r="A2970" s="2" t="s">
        <v>471</v>
      </c>
      <c r="B2970" s="2" t="s">
        <v>25</v>
      </c>
      <c r="C2970" s="2" t="s">
        <v>78</v>
      </c>
      <c r="D2970" s="2">
        <v>22</v>
      </c>
      <c r="E2970" s="5">
        <v>44474</v>
      </c>
      <c r="F2970" s="2">
        <v>356</v>
      </c>
      <c r="G2970" s="2" t="s">
        <v>12</v>
      </c>
      <c r="H2970" s="2" t="s">
        <v>23</v>
      </c>
      <c r="I2970" s="6" t="s">
        <v>2954</v>
      </c>
      <c r="J2970" s="2" t="str">
        <f t="shared" si="46"/>
        <v>2021-10</v>
      </c>
    </row>
    <row r="2971" spans="1:10" x14ac:dyDescent="0.2">
      <c r="A2971" s="2" t="s">
        <v>2491</v>
      </c>
      <c r="B2971" s="2" t="s">
        <v>34</v>
      </c>
      <c r="C2971" s="2" t="s">
        <v>235</v>
      </c>
      <c r="D2971" s="2" t="s">
        <v>2954</v>
      </c>
      <c r="E2971" s="5">
        <v>44470</v>
      </c>
      <c r="F2971" s="2">
        <v>70</v>
      </c>
      <c r="G2971" s="2" t="s">
        <v>66</v>
      </c>
      <c r="H2971" s="2" t="s">
        <v>23</v>
      </c>
      <c r="I2971" s="6">
        <v>1</v>
      </c>
      <c r="J2971" s="2" t="str">
        <f t="shared" si="46"/>
        <v>2021-10</v>
      </c>
    </row>
    <row r="2972" spans="1:10" x14ac:dyDescent="0.2">
      <c r="A2972" s="2" t="s">
        <v>1122</v>
      </c>
      <c r="B2972" s="2" t="s">
        <v>34</v>
      </c>
      <c r="C2972" s="2" t="s">
        <v>29</v>
      </c>
      <c r="D2972" s="2">
        <v>120</v>
      </c>
      <c r="E2972" s="5">
        <v>44462</v>
      </c>
      <c r="F2972" s="2">
        <v>974</v>
      </c>
      <c r="G2972" s="2" t="s">
        <v>17</v>
      </c>
      <c r="H2972" s="2" t="s">
        <v>23</v>
      </c>
      <c r="I2972" s="6" t="s">
        <v>2954</v>
      </c>
      <c r="J2972" s="2" t="str">
        <f t="shared" si="46"/>
        <v>2021-09</v>
      </c>
    </row>
    <row r="2973" spans="1:10" x14ac:dyDescent="0.2">
      <c r="A2973" s="2" t="s">
        <v>2175</v>
      </c>
      <c r="B2973" s="2" t="s">
        <v>34</v>
      </c>
      <c r="C2973" s="2" t="s">
        <v>11</v>
      </c>
      <c r="D2973" s="2" t="s">
        <v>2954</v>
      </c>
      <c r="E2973" s="5">
        <v>44461</v>
      </c>
      <c r="F2973" s="2">
        <v>229</v>
      </c>
      <c r="G2973" s="2" t="s">
        <v>75</v>
      </c>
      <c r="H2973" s="2" t="s">
        <v>23</v>
      </c>
      <c r="I2973" s="6" t="s">
        <v>2954</v>
      </c>
      <c r="J2973" s="2" t="str">
        <f t="shared" si="46"/>
        <v>2021-09</v>
      </c>
    </row>
    <row r="2974" spans="1:10" x14ac:dyDescent="0.2">
      <c r="A2974" s="2" t="s">
        <v>2492</v>
      </c>
      <c r="B2974" s="2" t="s">
        <v>25</v>
      </c>
      <c r="C2974" s="2" t="s">
        <v>35</v>
      </c>
      <c r="D2974" s="2" t="s">
        <v>2954</v>
      </c>
      <c r="E2974" s="5">
        <v>44454</v>
      </c>
      <c r="F2974" s="2">
        <v>78</v>
      </c>
      <c r="G2974" s="2" t="s">
        <v>45</v>
      </c>
      <c r="H2974" s="2" t="s">
        <v>23</v>
      </c>
      <c r="I2974" s="6" t="s">
        <v>2954</v>
      </c>
      <c r="J2974" s="2" t="str">
        <f t="shared" si="46"/>
        <v>2021-09</v>
      </c>
    </row>
    <row r="2975" spans="1:10" x14ac:dyDescent="0.2">
      <c r="A2975" s="2" t="s">
        <v>2493</v>
      </c>
      <c r="B2975" s="2" t="s">
        <v>43</v>
      </c>
      <c r="C2975" s="2" t="s">
        <v>61</v>
      </c>
      <c r="D2975" s="2">
        <v>41</v>
      </c>
      <c r="E2975" s="5">
        <v>44453</v>
      </c>
      <c r="F2975" s="2">
        <v>12</v>
      </c>
      <c r="G2975" s="2" t="s">
        <v>37</v>
      </c>
      <c r="H2975" s="2" t="s">
        <v>23</v>
      </c>
      <c r="I2975" s="6">
        <v>0.9</v>
      </c>
      <c r="J2975" s="2" t="str">
        <f t="shared" si="46"/>
        <v>2021-09</v>
      </c>
    </row>
    <row r="2976" spans="1:10" x14ac:dyDescent="0.2">
      <c r="A2976" s="2" t="s">
        <v>2494</v>
      </c>
      <c r="B2976" s="2" t="s">
        <v>25</v>
      </c>
      <c r="C2976" s="2" t="s">
        <v>142</v>
      </c>
      <c r="D2976" s="2" t="s">
        <v>2954</v>
      </c>
      <c r="E2976" s="5">
        <v>44453</v>
      </c>
      <c r="F2976" s="2">
        <v>339</v>
      </c>
      <c r="G2976" s="2" t="s">
        <v>17</v>
      </c>
      <c r="H2976" s="2" t="s">
        <v>23</v>
      </c>
      <c r="I2976" s="6" t="s">
        <v>2954</v>
      </c>
      <c r="J2976" s="2" t="str">
        <f t="shared" si="46"/>
        <v>2021-09</v>
      </c>
    </row>
    <row r="2977" spans="1:10" x14ac:dyDescent="0.2">
      <c r="A2977" s="2" t="s">
        <v>2495</v>
      </c>
      <c r="B2977" s="2" t="s">
        <v>28</v>
      </c>
      <c r="C2977" s="2" t="s">
        <v>195</v>
      </c>
      <c r="D2977" s="2">
        <v>30</v>
      </c>
      <c r="E2977" s="5">
        <v>44438</v>
      </c>
      <c r="F2977" s="2">
        <v>1000</v>
      </c>
      <c r="G2977" s="2" t="s">
        <v>12</v>
      </c>
      <c r="H2977" s="2" t="s">
        <v>23</v>
      </c>
      <c r="I2977" s="6" t="s">
        <v>2954</v>
      </c>
      <c r="J2977" s="2" t="str">
        <f t="shared" si="46"/>
        <v>2021-08</v>
      </c>
    </row>
    <row r="2978" spans="1:10" x14ac:dyDescent="0.2">
      <c r="A2978" s="2" t="s">
        <v>2496</v>
      </c>
      <c r="B2978" s="2" t="s">
        <v>34</v>
      </c>
      <c r="C2978" s="2" t="s">
        <v>61</v>
      </c>
      <c r="D2978" s="2">
        <v>37</v>
      </c>
      <c r="E2978" s="5">
        <v>44432</v>
      </c>
      <c r="F2978" s="2">
        <v>14</v>
      </c>
      <c r="G2978" s="2" t="s">
        <v>41</v>
      </c>
      <c r="H2978" s="2" t="s">
        <v>23</v>
      </c>
      <c r="I2978" s="6">
        <v>0.5</v>
      </c>
      <c r="J2978" s="2" t="str">
        <f t="shared" si="46"/>
        <v>2021-08</v>
      </c>
    </row>
    <row r="2979" spans="1:10" x14ac:dyDescent="0.2">
      <c r="A2979" s="2" t="s">
        <v>548</v>
      </c>
      <c r="B2979" s="2" t="s">
        <v>493</v>
      </c>
      <c r="C2979" s="2" t="s">
        <v>35</v>
      </c>
      <c r="D2979" s="2">
        <v>1800</v>
      </c>
      <c r="E2979" s="5">
        <v>44413</v>
      </c>
      <c r="F2979" s="2">
        <v>9400</v>
      </c>
      <c r="G2979" s="2" t="s">
        <v>12</v>
      </c>
      <c r="H2979" s="2" t="s">
        <v>224</v>
      </c>
      <c r="I2979" s="6" t="s">
        <v>2954</v>
      </c>
      <c r="J2979" s="2" t="str">
        <f t="shared" si="46"/>
        <v>2021-08</v>
      </c>
    </row>
    <row r="2980" spans="1:10" x14ac:dyDescent="0.2">
      <c r="A2980" s="2" t="s">
        <v>2497</v>
      </c>
      <c r="B2980" s="2" t="s">
        <v>100</v>
      </c>
      <c r="C2980" s="2" t="s">
        <v>68</v>
      </c>
      <c r="D2980" s="2">
        <v>80</v>
      </c>
      <c r="E2980" s="5">
        <v>44403</v>
      </c>
      <c r="F2980" s="2">
        <v>17</v>
      </c>
      <c r="G2980" s="2" t="s">
        <v>41</v>
      </c>
      <c r="H2980" s="2" t="s">
        <v>98</v>
      </c>
      <c r="I2980" s="6" t="s">
        <v>2954</v>
      </c>
      <c r="J2980" s="2" t="str">
        <f t="shared" si="46"/>
        <v>2021-07</v>
      </c>
    </row>
    <row r="2981" spans="1:10" x14ac:dyDescent="0.2">
      <c r="A2981" s="2" t="s">
        <v>2498</v>
      </c>
      <c r="B2981" s="2" t="s">
        <v>34</v>
      </c>
      <c r="C2981" s="2" t="s">
        <v>363</v>
      </c>
      <c r="D2981" s="2">
        <v>2434</v>
      </c>
      <c r="E2981" s="5">
        <v>44348</v>
      </c>
      <c r="F2981" s="2">
        <v>1600</v>
      </c>
      <c r="G2981" s="2" t="s">
        <v>12</v>
      </c>
      <c r="H2981" s="2" t="s">
        <v>23</v>
      </c>
      <c r="I2981" s="6">
        <v>1</v>
      </c>
      <c r="J2981" s="2" t="str">
        <f t="shared" si="46"/>
        <v>2021-06</v>
      </c>
    </row>
    <row r="2982" spans="1:10" x14ac:dyDescent="0.2">
      <c r="A2982" s="2" t="s">
        <v>2418</v>
      </c>
      <c r="B2982" s="2" t="s">
        <v>54</v>
      </c>
      <c r="C2982" s="2" t="s">
        <v>16</v>
      </c>
      <c r="D2982" s="2" t="s">
        <v>2954</v>
      </c>
      <c r="E2982" s="5">
        <v>44321</v>
      </c>
      <c r="F2982" s="2">
        <v>53</v>
      </c>
      <c r="G2982" s="2" t="s">
        <v>12</v>
      </c>
      <c r="H2982" s="2" t="s">
        <v>55</v>
      </c>
      <c r="I2982" s="6" t="s">
        <v>2954</v>
      </c>
      <c r="J2982" s="2" t="str">
        <f t="shared" si="46"/>
        <v>2021-05</v>
      </c>
    </row>
    <row r="2983" spans="1:10" x14ac:dyDescent="0.2">
      <c r="A2983" s="2" t="s">
        <v>2499</v>
      </c>
      <c r="B2983" s="2" t="s">
        <v>34</v>
      </c>
      <c r="C2983" s="2" t="s">
        <v>61</v>
      </c>
      <c r="D2983" s="2">
        <v>65</v>
      </c>
      <c r="E2983" s="5">
        <v>44315</v>
      </c>
      <c r="F2983" s="2">
        <v>122</v>
      </c>
      <c r="G2983" s="2" t="s">
        <v>66</v>
      </c>
      <c r="H2983" s="2" t="s">
        <v>23</v>
      </c>
      <c r="I2983" s="6" t="s">
        <v>2954</v>
      </c>
      <c r="J2983" s="2" t="str">
        <f t="shared" si="46"/>
        <v>2021-04</v>
      </c>
    </row>
    <row r="2984" spans="1:10" x14ac:dyDescent="0.2">
      <c r="A2984" s="2" t="s">
        <v>2500</v>
      </c>
      <c r="B2984" s="2" t="s">
        <v>34</v>
      </c>
      <c r="C2984" s="2" t="s">
        <v>235</v>
      </c>
      <c r="D2984" s="2" t="s">
        <v>2954</v>
      </c>
      <c r="E2984" s="5">
        <v>44315</v>
      </c>
      <c r="F2984" s="2">
        <v>16</v>
      </c>
      <c r="G2984" s="2" t="s">
        <v>37</v>
      </c>
      <c r="H2984" s="2" t="s">
        <v>23</v>
      </c>
      <c r="I2984" s="6">
        <v>1</v>
      </c>
      <c r="J2984" s="2" t="str">
        <f t="shared" si="46"/>
        <v>2021-04</v>
      </c>
    </row>
    <row r="2985" spans="1:10" x14ac:dyDescent="0.2">
      <c r="A2985" s="2" t="s">
        <v>2045</v>
      </c>
      <c r="B2985" s="2" t="s">
        <v>34</v>
      </c>
      <c r="C2985" s="2" t="s">
        <v>235</v>
      </c>
      <c r="D2985" s="2">
        <v>36</v>
      </c>
      <c r="E2985" s="5">
        <v>44312</v>
      </c>
      <c r="F2985" s="2">
        <v>165</v>
      </c>
      <c r="G2985" s="2" t="s">
        <v>75</v>
      </c>
      <c r="H2985" s="2" t="s">
        <v>23</v>
      </c>
      <c r="I2985" s="6" t="s">
        <v>2954</v>
      </c>
      <c r="J2985" s="2" t="str">
        <f t="shared" si="46"/>
        <v>2021-04</v>
      </c>
    </row>
    <row r="2986" spans="1:10" x14ac:dyDescent="0.2">
      <c r="A2986" s="2" t="s">
        <v>196</v>
      </c>
      <c r="B2986" s="2" t="s">
        <v>34</v>
      </c>
      <c r="C2986" s="2" t="s">
        <v>48</v>
      </c>
      <c r="D2986" s="2">
        <v>160</v>
      </c>
      <c r="E2986" s="5">
        <v>44292</v>
      </c>
      <c r="F2986" s="2">
        <v>214.5</v>
      </c>
      <c r="G2986" s="2" t="s">
        <v>17</v>
      </c>
      <c r="H2986" s="2" t="s">
        <v>23</v>
      </c>
      <c r="I2986" s="6">
        <v>7.0000000000000007E-2</v>
      </c>
      <c r="J2986" s="2" t="str">
        <f t="shared" si="46"/>
        <v>2021-04</v>
      </c>
    </row>
    <row r="2987" spans="1:10" x14ac:dyDescent="0.2">
      <c r="A2987" s="2" t="s">
        <v>2077</v>
      </c>
      <c r="B2987" s="2" t="s">
        <v>34</v>
      </c>
      <c r="C2987" s="2" t="s">
        <v>235</v>
      </c>
      <c r="D2987" s="2" t="s">
        <v>2954</v>
      </c>
      <c r="E2987" s="5">
        <v>44279</v>
      </c>
      <c r="F2987" s="2">
        <v>132</v>
      </c>
      <c r="G2987" s="2" t="s">
        <v>66</v>
      </c>
      <c r="H2987" s="2" t="s">
        <v>23</v>
      </c>
      <c r="I2987" s="6" t="s">
        <v>2954</v>
      </c>
      <c r="J2987" s="2" t="str">
        <f t="shared" si="46"/>
        <v>2021-03</v>
      </c>
    </row>
    <row r="2988" spans="1:10" x14ac:dyDescent="0.2">
      <c r="A2988" s="2" t="s">
        <v>2501</v>
      </c>
      <c r="B2988" s="2" t="s">
        <v>25</v>
      </c>
      <c r="C2988" s="2" t="s">
        <v>235</v>
      </c>
      <c r="D2988" s="2">
        <v>47</v>
      </c>
      <c r="E2988" s="5">
        <v>44264</v>
      </c>
      <c r="F2988" s="2">
        <v>37</v>
      </c>
      <c r="G2988" s="2" t="s">
        <v>45</v>
      </c>
      <c r="H2988" s="2" t="s">
        <v>23</v>
      </c>
      <c r="I2988" s="6" t="s">
        <v>2954</v>
      </c>
      <c r="J2988" s="2" t="str">
        <f t="shared" si="46"/>
        <v>2021-03</v>
      </c>
    </row>
    <row r="2989" spans="1:10" x14ac:dyDescent="0.2">
      <c r="A2989" s="2" t="s">
        <v>2441</v>
      </c>
      <c r="B2989" s="2" t="s">
        <v>47</v>
      </c>
      <c r="C2989" s="2" t="s">
        <v>48</v>
      </c>
      <c r="D2989" s="2" t="s">
        <v>2954</v>
      </c>
      <c r="E2989" s="5">
        <v>44258</v>
      </c>
      <c r="F2989" s="2" t="s">
        <v>2954</v>
      </c>
      <c r="G2989" s="2" t="s">
        <v>37</v>
      </c>
      <c r="H2989" s="2" t="s">
        <v>23</v>
      </c>
      <c r="I2989" s="6" t="s">
        <v>2954</v>
      </c>
      <c r="J2989" s="2" t="str">
        <f t="shared" si="46"/>
        <v>2021-03</v>
      </c>
    </row>
    <row r="2990" spans="1:10" x14ac:dyDescent="0.2">
      <c r="A2990" s="2" t="s">
        <v>2502</v>
      </c>
      <c r="B2990" s="2" t="s">
        <v>34</v>
      </c>
      <c r="C2990" s="2" t="s">
        <v>243</v>
      </c>
      <c r="D2990" s="2" t="s">
        <v>2954</v>
      </c>
      <c r="E2990" s="5">
        <v>44256</v>
      </c>
      <c r="F2990" s="2">
        <v>186</v>
      </c>
      <c r="G2990" s="2" t="s">
        <v>66</v>
      </c>
      <c r="H2990" s="2" t="s">
        <v>23</v>
      </c>
      <c r="I2990" s="6" t="s">
        <v>2954</v>
      </c>
      <c r="J2990" s="2" t="str">
        <f t="shared" si="46"/>
        <v>2021-03</v>
      </c>
    </row>
    <row r="2991" spans="1:10" x14ac:dyDescent="0.2">
      <c r="A2991" s="2" t="s">
        <v>2503</v>
      </c>
      <c r="B2991" s="2" t="s">
        <v>34</v>
      </c>
      <c r="C2991" s="2" t="s">
        <v>35</v>
      </c>
      <c r="D2991" s="2" t="s">
        <v>2954</v>
      </c>
      <c r="E2991" s="5">
        <v>44251</v>
      </c>
      <c r="F2991" s="2">
        <v>105</v>
      </c>
      <c r="G2991" s="2" t="s">
        <v>12</v>
      </c>
      <c r="H2991" s="2" t="s">
        <v>23</v>
      </c>
      <c r="I2991" s="6" t="s">
        <v>2954</v>
      </c>
      <c r="J2991" s="2" t="str">
        <f t="shared" si="46"/>
        <v>2021-02</v>
      </c>
    </row>
    <row r="2992" spans="1:10" x14ac:dyDescent="0.2">
      <c r="A2992" s="2" t="s">
        <v>2504</v>
      </c>
      <c r="B2992" s="2" t="s">
        <v>100</v>
      </c>
      <c r="C2992" s="2" t="s">
        <v>11</v>
      </c>
      <c r="D2992" s="2">
        <v>200</v>
      </c>
      <c r="E2992" s="5">
        <v>44250</v>
      </c>
      <c r="F2992" s="2">
        <v>194</v>
      </c>
      <c r="G2992" s="2" t="s">
        <v>12</v>
      </c>
      <c r="H2992" s="2" t="s">
        <v>98</v>
      </c>
      <c r="I2992" s="6" t="s">
        <v>2954</v>
      </c>
      <c r="J2992" s="2" t="str">
        <f t="shared" si="46"/>
        <v>2021-02</v>
      </c>
    </row>
    <row r="2993" spans="1:10" x14ac:dyDescent="0.2">
      <c r="A2993" s="2" t="s">
        <v>1645</v>
      </c>
      <c r="B2993" s="2" t="s">
        <v>100</v>
      </c>
      <c r="C2993" s="2" t="s">
        <v>52</v>
      </c>
      <c r="D2993" s="2">
        <v>200</v>
      </c>
      <c r="E2993" s="5">
        <v>44249</v>
      </c>
      <c r="F2993" s="2">
        <v>214.2</v>
      </c>
      <c r="G2993" s="2" t="s">
        <v>75</v>
      </c>
      <c r="H2993" s="2" t="s">
        <v>98</v>
      </c>
      <c r="I2993" s="6">
        <v>0.4</v>
      </c>
      <c r="J2993" s="2" t="str">
        <f t="shared" si="46"/>
        <v>2021-02</v>
      </c>
    </row>
    <row r="2994" spans="1:10" x14ac:dyDescent="0.2">
      <c r="A2994" s="2" t="s">
        <v>2121</v>
      </c>
      <c r="B2994" s="2" t="s">
        <v>314</v>
      </c>
      <c r="C2994" s="2" t="s">
        <v>142</v>
      </c>
      <c r="D2994" s="2">
        <v>243</v>
      </c>
      <c r="E2994" s="5">
        <v>44236</v>
      </c>
      <c r="F2994" s="2">
        <v>305</v>
      </c>
      <c r="G2994" s="2" t="s">
        <v>62</v>
      </c>
      <c r="H2994" s="2" t="s">
        <v>23</v>
      </c>
      <c r="I2994" s="6" t="s">
        <v>2954</v>
      </c>
      <c r="J2994" s="2" t="str">
        <f t="shared" si="46"/>
        <v>2021-02</v>
      </c>
    </row>
    <row r="2995" spans="1:10" x14ac:dyDescent="0.2">
      <c r="A2995" s="2" t="s">
        <v>345</v>
      </c>
      <c r="B2995" s="2" t="s">
        <v>89</v>
      </c>
      <c r="C2995" s="2" t="s">
        <v>29</v>
      </c>
      <c r="D2995" s="2">
        <v>80</v>
      </c>
      <c r="E2995" s="5">
        <v>44236</v>
      </c>
      <c r="F2995" s="2">
        <v>1200</v>
      </c>
      <c r="G2995" s="2" t="s">
        <v>62</v>
      </c>
      <c r="H2995" s="2" t="s">
        <v>23</v>
      </c>
      <c r="I2995" s="6" t="s">
        <v>2954</v>
      </c>
      <c r="J2995" s="2" t="str">
        <f t="shared" si="46"/>
        <v>2021-02</v>
      </c>
    </row>
    <row r="2996" spans="1:10" x14ac:dyDescent="0.2">
      <c r="A2996" s="2" t="s">
        <v>2505</v>
      </c>
      <c r="B2996" s="2" t="s">
        <v>25</v>
      </c>
      <c r="C2996" s="2" t="s">
        <v>84</v>
      </c>
      <c r="D2996" s="2">
        <v>13</v>
      </c>
      <c r="E2996" s="5">
        <v>44231</v>
      </c>
      <c r="F2996" s="2" t="s">
        <v>2954</v>
      </c>
      <c r="G2996" s="2" t="s">
        <v>12</v>
      </c>
      <c r="H2996" s="2" t="s">
        <v>23</v>
      </c>
      <c r="I2996" s="6">
        <v>1</v>
      </c>
      <c r="J2996" s="2" t="str">
        <f t="shared" si="46"/>
        <v>2021-02</v>
      </c>
    </row>
    <row r="2997" spans="1:10" x14ac:dyDescent="0.2">
      <c r="A2997" s="2" t="s">
        <v>2506</v>
      </c>
      <c r="B2997" s="2" t="s">
        <v>74</v>
      </c>
      <c r="C2997" s="2" t="s">
        <v>11</v>
      </c>
      <c r="D2997" s="2">
        <v>87</v>
      </c>
      <c r="E2997" s="5">
        <v>44230</v>
      </c>
      <c r="F2997" s="2">
        <v>39</v>
      </c>
      <c r="G2997" s="2" t="s">
        <v>45</v>
      </c>
      <c r="H2997" s="2" t="s">
        <v>76</v>
      </c>
      <c r="I2997" s="6">
        <v>0.2</v>
      </c>
      <c r="J2997" s="2" t="str">
        <f t="shared" si="46"/>
        <v>2021-02</v>
      </c>
    </row>
    <row r="2998" spans="1:10" x14ac:dyDescent="0.2">
      <c r="A2998" s="2" t="s">
        <v>2507</v>
      </c>
      <c r="B2998" s="2" t="s">
        <v>335</v>
      </c>
      <c r="C2998" s="2" t="s">
        <v>142</v>
      </c>
      <c r="D2998" s="2">
        <v>45</v>
      </c>
      <c r="E2998" s="5">
        <v>44228</v>
      </c>
      <c r="F2998" s="2">
        <v>61</v>
      </c>
      <c r="G2998" s="2" t="s">
        <v>37</v>
      </c>
      <c r="H2998" s="2" t="s">
        <v>106</v>
      </c>
      <c r="I2998" s="6">
        <v>1</v>
      </c>
      <c r="J2998" s="2" t="str">
        <f t="shared" si="46"/>
        <v>2021-02</v>
      </c>
    </row>
    <row r="2999" spans="1:10" x14ac:dyDescent="0.2">
      <c r="A2999" s="2" t="s">
        <v>548</v>
      </c>
      <c r="B2999" s="2" t="s">
        <v>538</v>
      </c>
      <c r="C2999" s="2" t="s">
        <v>35</v>
      </c>
      <c r="D2999" s="2">
        <v>1800</v>
      </c>
      <c r="E2999" s="5">
        <v>44223</v>
      </c>
      <c r="F2999" s="2">
        <v>7400</v>
      </c>
      <c r="G2999" s="2" t="s">
        <v>12</v>
      </c>
      <c r="H2999" s="2" t="s">
        <v>98</v>
      </c>
      <c r="I2999" s="6" t="s">
        <v>2954</v>
      </c>
      <c r="J2999" s="2" t="str">
        <f t="shared" si="46"/>
        <v>2021-01</v>
      </c>
    </row>
    <row r="3000" spans="1:10" x14ac:dyDescent="0.2">
      <c r="A3000" s="2" t="s">
        <v>2508</v>
      </c>
      <c r="B3000" s="2" t="s">
        <v>54</v>
      </c>
      <c r="C3000" s="2" t="s">
        <v>243</v>
      </c>
      <c r="D3000" s="2">
        <v>20</v>
      </c>
      <c r="E3000" s="5">
        <v>44223</v>
      </c>
      <c r="F3000" s="2">
        <v>150</v>
      </c>
      <c r="G3000" s="2" t="s">
        <v>66</v>
      </c>
      <c r="H3000" s="2" t="s">
        <v>55</v>
      </c>
      <c r="I3000" s="6" t="s">
        <v>2954</v>
      </c>
      <c r="J3000" s="2" t="str">
        <f t="shared" si="46"/>
        <v>2021-01</v>
      </c>
    </row>
    <row r="3001" spans="1:10" x14ac:dyDescent="0.2">
      <c r="A3001" s="2" t="s">
        <v>806</v>
      </c>
      <c r="B3001" s="2" t="s">
        <v>34</v>
      </c>
      <c r="C3001" s="2" t="s">
        <v>142</v>
      </c>
      <c r="D3001" s="2">
        <v>800</v>
      </c>
      <c r="E3001" s="5">
        <v>44221</v>
      </c>
      <c r="F3001" s="2">
        <v>50</v>
      </c>
      <c r="G3001" s="2" t="s">
        <v>45</v>
      </c>
      <c r="H3001" s="2" t="s">
        <v>23</v>
      </c>
      <c r="I3001" s="6" t="s">
        <v>2954</v>
      </c>
      <c r="J3001" s="2" t="str">
        <f t="shared" si="46"/>
        <v>2021-01</v>
      </c>
    </row>
    <row r="3002" spans="1:10" x14ac:dyDescent="0.2">
      <c r="A3002" s="2" t="s">
        <v>2509</v>
      </c>
      <c r="B3002" s="2" t="s">
        <v>34</v>
      </c>
      <c r="C3002" s="2" t="s">
        <v>11</v>
      </c>
      <c r="D3002" s="2">
        <v>180</v>
      </c>
      <c r="E3002" s="5">
        <v>44219</v>
      </c>
      <c r="F3002" s="2">
        <v>763</v>
      </c>
      <c r="G3002" s="2" t="s">
        <v>45</v>
      </c>
      <c r="H3002" s="2" t="s">
        <v>23</v>
      </c>
      <c r="I3002" s="6">
        <v>0.15</v>
      </c>
      <c r="J3002" s="2" t="str">
        <f t="shared" si="46"/>
        <v>2021-01</v>
      </c>
    </row>
    <row r="3003" spans="1:10" x14ac:dyDescent="0.2">
      <c r="A3003" s="2" t="s">
        <v>299</v>
      </c>
      <c r="B3003" s="2" t="s">
        <v>34</v>
      </c>
      <c r="C3003" s="2" t="s">
        <v>11</v>
      </c>
      <c r="D3003" s="2">
        <v>1877</v>
      </c>
      <c r="E3003" s="5">
        <v>44217</v>
      </c>
      <c r="F3003" s="2">
        <v>2400</v>
      </c>
      <c r="G3003" s="2" t="s">
        <v>12</v>
      </c>
      <c r="H3003" s="2" t="s">
        <v>23</v>
      </c>
      <c r="I3003" s="6" t="s">
        <v>2954</v>
      </c>
      <c r="J3003" s="2" t="str">
        <f t="shared" si="46"/>
        <v>2021-01</v>
      </c>
    </row>
    <row r="3004" spans="1:10" x14ac:dyDescent="0.2">
      <c r="A3004" s="2" t="s">
        <v>2510</v>
      </c>
      <c r="B3004" s="2" t="s">
        <v>217</v>
      </c>
      <c r="C3004" s="2" t="s">
        <v>26</v>
      </c>
      <c r="D3004" s="2">
        <v>21</v>
      </c>
      <c r="E3004" s="5">
        <v>44216</v>
      </c>
      <c r="F3004" s="2">
        <v>20</v>
      </c>
      <c r="G3004" s="2" t="s">
        <v>12</v>
      </c>
      <c r="H3004" s="2" t="s">
        <v>217</v>
      </c>
      <c r="I3004" s="6">
        <v>1</v>
      </c>
      <c r="J3004" s="2" t="str">
        <f t="shared" si="46"/>
        <v>2021-01</v>
      </c>
    </row>
    <row r="3005" spans="1:10" x14ac:dyDescent="0.2">
      <c r="A3005" s="2" t="s">
        <v>1135</v>
      </c>
      <c r="B3005" s="2" t="s">
        <v>34</v>
      </c>
      <c r="C3005" s="2" t="s">
        <v>29</v>
      </c>
      <c r="D3005" s="2">
        <v>315</v>
      </c>
      <c r="E3005" s="5">
        <v>44209</v>
      </c>
      <c r="F3005" s="2">
        <v>1700</v>
      </c>
      <c r="G3005" s="2" t="s">
        <v>17</v>
      </c>
      <c r="H3005" s="2" t="s">
        <v>23</v>
      </c>
      <c r="I3005" s="6">
        <v>0.15</v>
      </c>
      <c r="J3005" s="2" t="str">
        <f t="shared" si="46"/>
        <v>2021-01</v>
      </c>
    </row>
    <row r="3006" spans="1:10" x14ac:dyDescent="0.2">
      <c r="A3006" s="2" t="s">
        <v>2511</v>
      </c>
      <c r="B3006" s="2" t="s">
        <v>34</v>
      </c>
      <c r="C3006" s="2" t="s">
        <v>16</v>
      </c>
      <c r="D3006" s="2" t="s">
        <v>2954</v>
      </c>
      <c r="E3006" s="5">
        <v>44207</v>
      </c>
      <c r="F3006" s="2">
        <v>584</v>
      </c>
      <c r="G3006" s="2" t="s">
        <v>12</v>
      </c>
      <c r="H3006" s="2" t="s">
        <v>23</v>
      </c>
      <c r="I3006" s="6">
        <v>1</v>
      </c>
      <c r="J3006" s="2" t="str">
        <f t="shared" si="46"/>
        <v>2021-01</v>
      </c>
    </row>
    <row r="3007" spans="1:10" x14ac:dyDescent="0.2">
      <c r="A3007" s="2" t="s">
        <v>2512</v>
      </c>
      <c r="B3007" s="2" t="s">
        <v>43</v>
      </c>
      <c r="C3007" s="2" t="s">
        <v>16</v>
      </c>
      <c r="D3007" s="2" t="s">
        <v>2954</v>
      </c>
      <c r="E3007" s="5">
        <v>44203</v>
      </c>
      <c r="F3007" s="2">
        <v>15</v>
      </c>
      <c r="G3007" s="2" t="s">
        <v>45</v>
      </c>
      <c r="H3007" s="2" t="s">
        <v>23</v>
      </c>
      <c r="I3007" s="6">
        <v>1</v>
      </c>
      <c r="J3007" s="2" t="str">
        <f t="shared" si="46"/>
        <v>2021-01</v>
      </c>
    </row>
    <row r="3008" spans="1:10" x14ac:dyDescent="0.2">
      <c r="A3008" s="2" t="s">
        <v>2303</v>
      </c>
      <c r="B3008" s="2" t="s">
        <v>538</v>
      </c>
      <c r="C3008" s="2" t="s">
        <v>61</v>
      </c>
      <c r="D3008" s="2">
        <v>1800</v>
      </c>
      <c r="E3008" s="5">
        <v>44202</v>
      </c>
      <c r="F3008" s="2">
        <v>11</v>
      </c>
      <c r="G3008" s="2" t="s">
        <v>45</v>
      </c>
      <c r="H3008" s="2" t="s">
        <v>98</v>
      </c>
      <c r="I3008" s="6" t="s">
        <v>2954</v>
      </c>
      <c r="J3008" s="2" t="str">
        <f t="shared" si="46"/>
        <v>2021-01</v>
      </c>
    </row>
    <row r="3009" spans="1:10" x14ac:dyDescent="0.2">
      <c r="A3009" s="2" t="s">
        <v>2513</v>
      </c>
      <c r="B3009" s="2" t="s">
        <v>34</v>
      </c>
      <c r="C3009" s="2" t="s">
        <v>195</v>
      </c>
      <c r="D3009" s="2">
        <v>78</v>
      </c>
      <c r="E3009" s="5">
        <v>44188</v>
      </c>
      <c r="F3009" s="2" t="s">
        <v>2954</v>
      </c>
      <c r="G3009" s="2" t="s">
        <v>45</v>
      </c>
      <c r="H3009" s="2" t="s">
        <v>23</v>
      </c>
      <c r="I3009" s="6" t="s">
        <v>2954</v>
      </c>
      <c r="J3009" s="2" t="str">
        <f t="shared" si="46"/>
        <v>2020-12</v>
      </c>
    </row>
    <row r="3010" spans="1:10" x14ac:dyDescent="0.2">
      <c r="A3010" s="2" t="s">
        <v>2514</v>
      </c>
      <c r="B3010" s="2" t="s">
        <v>188</v>
      </c>
      <c r="C3010" s="2" t="s">
        <v>148</v>
      </c>
      <c r="D3010" s="2">
        <v>120</v>
      </c>
      <c r="E3010" s="5">
        <v>44181</v>
      </c>
      <c r="F3010" s="2">
        <v>131</v>
      </c>
      <c r="G3010" s="2" t="s">
        <v>75</v>
      </c>
      <c r="H3010" s="2" t="s">
        <v>106</v>
      </c>
      <c r="I3010" s="6">
        <v>0.8</v>
      </c>
      <c r="J3010" s="2" t="str">
        <f t="shared" si="46"/>
        <v>2020-12</v>
      </c>
    </row>
    <row r="3011" spans="1:10" x14ac:dyDescent="0.2">
      <c r="A3011" s="2" t="s">
        <v>2515</v>
      </c>
      <c r="B3011" s="2" t="s">
        <v>89</v>
      </c>
      <c r="C3011" s="2" t="s">
        <v>243</v>
      </c>
      <c r="D3011" s="2">
        <v>54</v>
      </c>
      <c r="E3011" s="5">
        <v>44181</v>
      </c>
      <c r="F3011" s="2">
        <v>352</v>
      </c>
      <c r="G3011" s="2" t="s">
        <v>45</v>
      </c>
      <c r="H3011" s="2" t="s">
        <v>23</v>
      </c>
      <c r="I3011" s="6" t="s">
        <v>2954</v>
      </c>
      <c r="J3011" s="2" t="str">
        <f t="shared" ref="J3011:J3074" si="47">TEXT(E3011,"YYYY-MM")</f>
        <v>2020-12</v>
      </c>
    </row>
    <row r="3012" spans="1:10" x14ac:dyDescent="0.2">
      <c r="A3012" s="2" t="s">
        <v>1755</v>
      </c>
      <c r="B3012" s="2" t="s">
        <v>255</v>
      </c>
      <c r="C3012" s="2" t="s">
        <v>44</v>
      </c>
      <c r="D3012" s="2">
        <v>600</v>
      </c>
      <c r="E3012" s="5">
        <v>44173</v>
      </c>
      <c r="F3012" s="2">
        <v>3200</v>
      </c>
      <c r="G3012" s="2" t="s">
        <v>62</v>
      </c>
      <c r="H3012" s="2" t="s">
        <v>98</v>
      </c>
      <c r="I3012" s="6" t="s">
        <v>2954</v>
      </c>
      <c r="J3012" s="2" t="str">
        <f t="shared" si="47"/>
        <v>2020-12</v>
      </c>
    </row>
    <row r="3013" spans="1:10" x14ac:dyDescent="0.2">
      <c r="A3013" s="2" t="s">
        <v>2516</v>
      </c>
      <c r="B3013" s="2" t="s">
        <v>34</v>
      </c>
      <c r="C3013" s="2" t="s">
        <v>68</v>
      </c>
      <c r="D3013" s="2" t="s">
        <v>2954</v>
      </c>
      <c r="E3013" s="5">
        <v>44160</v>
      </c>
      <c r="F3013" s="2">
        <v>120</v>
      </c>
      <c r="G3013" s="2" t="s">
        <v>66</v>
      </c>
      <c r="H3013" s="2" t="s">
        <v>23</v>
      </c>
      <c r="I3013" s="6" t="s">
        <v>2954</v>
      </c>
      <c r="J3013" s="2" t="str">
        <f t="shared" si="47"/>
        <v>2020-11</v>
      </c>
    </row>
    <row r="3014" spans="1:10" x14ac:dyDescent="0.2">
      <c r="A3014" s="2" t="s">
        <v>2517</v>
      </c>
      <c r="B3014" s="2" t="s">
        <v>335</v>
      </c>
      <c r="C3014" s="2" t="s">
        <v>16</v>
      </c>
      <c r="D3014" s="2">
        <v>5</v>
      </c>
      <c r="E3014" s="5">
        <v>44154</v>
      </c>
      <c r="F3014" s="2">
        <v>3</v>
      </c>
      <c r="G3014" s="2" t="s">
        <v>132</v>
      </c>
      <c r="H3014" s="2" t="s">
        <v>23</v>
      </c>
      <c r="I3014" s="6">
        <v>0.25</v>
      </c>
      <c r="J3014" s="2" t="str">
        <f t="shared" si="47"/>
        <v>2020-11</v>
      </c>
    </row>
    <row r="3015" spans="1:10" x14ac:dyDescent="0.2">
      <c r="A3015" s="2" t="s">
        <v>2518</v>
      </c>
      <c r="B3015" s="2" t="s">
        <v>25</v>
      </c>
      <c r="C3015" s="2" t="s">
        <v>148</v>
      </c>
      <c r="D3015" s="2" t="s">
        <v>2954</v>
      </c>
      <c r="E3015" s="5">
        <v>44153</v>
      </c>
      <c r="F3015" s="2">
        <v>116</v>
      </c>
      <c r="G3015" s="2" t="s">
        <v>37</v>
      </c>
      <c r="H3015" s="2" t="s">
        <v>23</v>
      </c>
      <c r="I3015" s="6">
        <v>0.5</v>
      </c>
      <c r="J3015" s="2" t="str">
        <f t="shared" si="47"/>
        <v>2020-11</v>
      </c>
    </row>
    <row r="3016" spans="1:10" x14ac:dyDescent="0.2">
      <c r="A3016" s="2" t="s">
        <v>2519</v>
      </c>
      <c r="B3016" s="2" t="s">
        <v>515</v>
      </c>
      <c r="C3016" s="2" t="s">
        <v>32</v>
      </c>
      <c r="D3016" s="2">
        <v>154</v>
      </c>
      <c r="E3016" s="5">
        <v>44152</v>
      </c>
      <c r="F3016" s="2">
        <v>45</v>
      </c>
      <c r="G3016" s="2" t="s">
        <v>37</v>
      </c>
      <c r="H3016" s="2" t="s">
        <v>23</v>
      </c>
      <c r="I3016" s="6">
        <v>1</v>
      </c>
      <c r="J3016" s="2" t="str">
        <f t="shared" si="47"/>
        <v>2020-11</v>
      </c>
    </row>
    <row r="3017" spans="1:10" x14ac:dyDescent="0.2">
      <c r="A3017" s="2" t="s">
        <v>2520</v>
      </c>
      <c r="B3017" s="2" t="s">
        <v>34</v>
      </c>
      <c r="C3017" s="2" t="s">
        <v>32</v>
      </c>
      <c r="D3017" s="2">
        <v>18</v>
      </c>
      <c r="E3017" s="5">
        <v>44152</v>
      </c>
      <c r="F3017" s="2" t="s">
        <v>2954</v>
      </c>
      <c r="G3017" s="2" t="s">
        <v>12</v>
      </c>
      <c r="H3017" s="2" t="s">
        <v>23</v>
      </c>
      <c r="I3017" s="6">
        <v>0.4</v>
      </c>
      <c r="J3017" s="2" t="str">
        <f t="shared" si="47"/>
        <v>2020-11</v>
      </c>
    </row>
    <row r="3018" spans="1:10" x14ac:dyDescent="0.2">
      <c r="A3018" s="2" t="s">
        <v>2521</v>
      </c>
      <c r="B3018" s="2" t="s">
        <v>28</v>
      </c>
      <c r="C3018" s="2" t="s">
        <v>243</v>
      </c>
      <c r="D3018" s="2" t="s">
        <v>2954</v>
      </c>
      <c r="E3018" s="5">
        <v>44152</v>
      </c>
      <c r="F3018" s="2">
        <v>67</v>
      </c>
      <c r="G3018" s="2" t="s">
        <v>66</v>
      </c>
      <c r="H3018" s="2" t="s">
        <v>23</v>
      </c>
      <c r="I3018" s="6" t="s">
        <v>2954</v>
      </c>
      <c r="J3018" s="2" t="str">
        <f t="shared" si="47"/>
        <v>2020-11</v>
      </c>
    </row>
    <row r="3019" spans="1:10" x14ac:dyDescent="0.2">
      <c r="A3019" s="2" t="s">
        <v>2522</v>
      </c>
      <c r="B3019" s="2" t="s">
        <v>34</v>
      </c>
      <c r="C3019" s="2" t="s">
        <v>52</v>
      </c>
      <c r="D3019" s="2" t="s">
        <v>2954</v>
      </c>
      <c r="E3019" s="5">
        <v>44152</v>
      </c>
      <c r="F3019" s="2">
        <v>95</v>
      </c>
      <c r="G3019" s="2" t="s">
        <v>66</v>
      </c>
      <c r="H3019" s="2" t="s">
        <v>23</v>
      </c>
      <c r="I3019" s="6" t="s">
        <v>2954</v>
      </c>
      <c r="J3019" s="2" t="str">
        <f t="shared" si="47"/>
        <v>2020-11</v>
      </c>
    </row>
    <row r="3020" spans="1:10" x14ac:dyDescent="0.2">
      <c r="A3020" s="2" t="s">
        <v>2523</v>
      </c>
      <c r="B3020" s="2" t="s">
        <v>86</v>
      </c>
      <c r="C3020" s="2" t="s">
        <v>142</v>
      </c>
      <c r="D3020" s="2">
        <v>30</v>
      </c>
      <c r="E3020" s="5">
        <v>44144</v>
      </c>
      <c r="F3020" s="2">
        <v>3.8</v>
      </c>
      <c r="G3020" s="2" t="s">
        <v>12</v>
      </c>
      <c r="H3020" s="2" t="s">
        <v>23</v>
      </c>
      <c r="I3020" s="6">
        <v>0.5</v>
      </c>
      <c r="J3020" s="2" t="str">
        <f t="shared" si="47"/>
        <v>2020-11</v>
      </c>
    </row>
    <row r="3021" spans="1:10" x14ac:dyDescent="0.2">
      <c r="A3021" s="2" t="s">
        <v>2524</v>
      </c>
      <c r="B3021" s="2" t="s">
        <v>28</v>
      </c>
      <c r="C3021" s="2" t="s">
        <v>195</v>
      </c>
      <c r="D3021" s="2" t="s">
        <v>2954</v>
      </c>
      <c r="E3021" s="5">
        <v>44140</v>
      </c>
      <c r="F3021" s="2">
        <v>14</v>
      </c>
      <c r="G3021" s="2" t="s">
        <v>41</v>
      </c>
      <c r="H3021" s="2" t="s">
        <v>23</v>
      </c>
      <c r="I3021" s="6">
        <v>1</v>
      </c>
      <c r="J3021" s="2" t="str">
        <f t="shared" si="47"/>
        <v>2020-11</v>
      </c>
    </row>
    <row r="3022" spans="1:10" x14ac:dyDescent="0.2">
      <c r="A3022" s="2" t="s">
        <v>2525</v>
      </c>
      <c r="B3022" s="2" t="s">
        <v>34</v>
      </c>
      <c r="C3022" s="2" t="s">
        <v>142</v>
      </c>
      <c r="D3022" s="2" t="s">
        <v>2954</v>
      </c>
      <c r="E3022" s="5">
        <v>44137</v>
      </c>
      <c r="F3022" s="2">
        <v>101.6</v>
      </c>
      <c r="G3022" s="2" t="s">
        <v>12</v>
      </c>
      <c r="H3022" s="2" t="s">
        <v>23</v>
      </c>
      <c r="I3022" s="6">
        <v>0.5</v>
      </c>
      <c r="J3022" s="2" t="str">
        <f t="shared" si="47"/>
        <v>2020-11</v>
      </c>
    </row>
    <row r="3023" spans="1:10" x14ac:dyDescent="0.2">
      <c r="A3023" s="2" t="s">
        <v>2036</v>
      </c>
      <c r="B3023" s="2" t="s">
        <v>25</v>
      </c>
      <c r="C3023" s="2" t="s">
        <v>113</v>
      </c>
      <c r="D3023" s="2">
        <v>30</v>
      </c>
      <c r="E3023" s="5">
        <v>44136</v>
      </c>
      <c r="F3023" s="2">
        <v>42</v>
      </c>
      <c r="G3023" s="2" t="s">
        <v>17</v>
      </c>
      <c r="H3023" s="2" t="s">
        <v>23</v>
      </c>
      <c r="I3023" s="6" t="s">
        <v>2954</v>
      </c>
      <c r="J3023" s="2" t="str">
        <f t="shared" si="47"/>
        <v>2020-11</v>
      </c>
    </row>
    <row r="3024" spans="1:10" x14ac:dyDescent="0.2">
      <c r="A3024" s="2" t="s">
        <v>2526</v>
      </c>
      <c r="B3024" s="2" t="s">
        <v>86</v>
      </c>
      <c r="C3024" s="2" t="s">
        <v>32</v>
      </c>
      <c r="D3024" s="2">
        <v>82</v>
      </c>
      <c r="E3024" s="5">
        <v>44133</v>
      </c>
      <c r="F3024" s="2">
        <v>12.5</v>
      </c>
      <c r="G3024" s="2" t="s">
        <v>41</v>
      </c>
      <c r="H3024" s="2" t="s">
        <v>23</v>
      </c>
      <c r="I3024" s="6" t="s">
        <v>2954</v>
      </c>
      <c r="J3024" s="2" t="str">
        <f t="shared" si="47"/>
        <v>2020-10</v>
      </c>
    </row>
    <row r="3025" spans="1:10" x14ac:dyDescent="0.2">
      <c r="A3025" s="2" t="s">
        <v>2527</v>
      </c>
      <c r="B3025" s="2" t="s">
        <v>25</v>
      </c>
      <c r="C3025" s="2" t="s">
        <v>148</v>
      </c>
      <c r="D3025" s="2">
        <v>20</v>
      </c>
      <c r="E3025" s="5">
        <v>44133</v>
      </c>
      <c r="F3025" s="2">
        <v>560</v>
      </c>
      <c r="G3025" s="2" t="s">
        <v>66</v>
      </c>
      <c r="H3025" s="2" t="s">
        <v>23</v>
      </c>
      <c r="I3025" s="6">
        <v>0.08</v>
      </c>
      <c r="J3025" s="2" t="str">
        <f t="shared" si="47"/>
        <v>2020-10</v>
      </c>
    </row>
    <row r="3026" spans="1:10" x14ac:dyDescent="0.2">
      <c r="A3026" s="2" t="s">
        <v>2528</v>
      </c>
      <c r="B3026" s="2" t="s">
        <v>34</v>
      </c>
      <c r="C3026" s="2" t="s">
        <v>11</v>
      </c>
      <c r="D3026" s="2" t="s">
        <v>2954</v>
      </c>
      <c r="E3026" s="5">
        <v>44129</v>
      </c>
      <c r="F3026" s="2">
        <v>67</v>
      </c>
      <c r="G3026" s="2" t="s">
        <v>37</v>
      </c>
      <c r="H3026" s="2" t="s">
        <v>23</v>
      </c>
      <c r="I3026" s="6" t="s">
        <v>2954</v>
      </c>
      <c r="J3026" s="2" t="str">
        <f t="shared" si="47"/>
        <v>2020-10</v>
      </c>
    </row>
    <row r="3027" spans="1:10" x14ac:dyDescent="0.2">
      <c r="A3027" s="2" t="s">
        <v>2529</v>
      </c>
      <c r="B3027" s="2" t="s">
        <v>34</v>
      </c>
      <c r="C3027" s="2" t="s">
        <v>61</v>
      </c>
      <c r="D3027" s="2">
        <v>8</v>
      </c>
      <c r="E3027" s="5">
        <v>44127</v>
      </c>
      <c r="F3027" s="2">
        <v>8</v>
      </c>
      <c r="G3027" s="2" t="s">
        <v>41</v>
      </c>
      <c r="H3027" s="2" t="s">
        <v>23</v>
      </c>
      <c r="I3027" s="6" t="s">
        <v>2954</v>
      </c>
      <c r="J3027" s="2" t="str">
        <f t="shared" si="47"/>
        <v>2020-10</v>
      </c>
    </row>
    <row r="3028" spans="1:10" x14ac:dyDescent="0.2">
      <c r="A3028" s="2" t="s">
        <v>2530</v>
      </c>
      <c r="B3028" s="2" t="s">
        <v>47</v>
      </c>
      <c r="C3028" s="2" t="s">
        <v>235</v>
      </c>
      <c r="D3028" s="2" t="s">
        <v>2954</v>
      </c>
      <c r="E3028" s="5">
        <v>44125</v>
      </c>
      <c r="F3028" s="2">
        <v>1800</v>
      </c>
      <c r="G3028" s="2" t="s">
        <v>199</v>
      </c>
      <c r="H3028" s="2" t="s">
        <v>23</v>
      </c>
      <c r="I3028" s="6">
        <v>1</v>
      </c>
      <c r="J3028" s="2" t="str">
        <f t="shared" si="47"/>
        <v>2020-10</v>
      </c>
    </row>
    <row r="3029" spans="1:10" x14ac:dyDescent="0.2">
      <c r="A3029" s="2" t="s">
        <v>1830</v>
      </c>
      <c r="B3029" s="2" t="s">
        <v>398</v>
      </c>
      <c r="C3029" s="2" t="s">
        <v>11</v>
      </c>
      <c r="D3029" s="2" t="s">
        <v>2954</v>
      </c>
      <c r="E3029" s="5">
        <v>44124</v>
      </c>
      <c r="F3029" s="2">
        <v>914</v>
      </c>
      <c r="G3029" s="2" t="s">
        <v>130</v>
      </c>
      <c r="H3029" s="2" t="s">
        <v>399</v>
      </c>
      <c r="I3029" s="6" t="s">
        <v>2954</v>
      </c>
      <c r="J3029" s="2" t="str">
        <f t="shared" si="47"/>
        <v>2020-10</v>
      </c>
    </row>
    <row r="3030" spans="1:10" x14ac:dyDescent="0.2">
      <c r="A3030" s="2" t="s">
        <v>2531</v>
      </c>
      <c r="B3030" s="2" t="s">
        <v>74</v>
      </c>
      <c r="C3030" s="2" t="s">
        <v>44</v>
      </c>
      <c r="D3030" s="2">
        <v>90</v>
      </c>
      <c r="E3030" s="5">
        <v>44118</v>
      </c>
      <c r="F3030" s="2">
        <v>656</v>
      </c>
      <c r="G3030" s="2" t="s">
        <v>128</v>
      </c>
      <c r="H3030" s="2" t="s">
        <v>76</v>
      </c>
      <c r="I3030" s="6">
        <v>0.17</v>
      </c>
      <c r="J3030" s="2" t="str">
        <f t="shared" si="47"/>
        <v>2020-10</v>
      </c>
    </row>
    <row r="3031" spans="1:10" x14ac:dyDescent="0.2">
      <c r="A3031" s="2" t="s">
        <v>2532</v>
      </c>
      <c r="B3031" s="2" t="s">
        <v>97</v>
      </c>
      <c r="C3031" s="2" t="s">
        <v>26</v>
      </c>
      <c r="D3031" s="2">
        <v>250</v>
      </c>
      <c r="E3031" s="5">
        <v>44114</v>
      </c>
      <c r="F3031" s="2">
        <v>28</v>
      </c>
      <c r="G3031" s="2" t="s">
        <v>45</v>
      </c>
      <c r="H3031" s="2" t="s">
        <v>98</v>
      </c>
      <c r="I3031" s="6" t="s">
        <v>2954</v>
      </c>
      <c r="J3031" s="2" t="str">
        <f t="shared" si="47"/>
        <v>2020-10</v>
      </c>
    </row>
    <row r="3032" spans="1:10" x14ac:dyDescent="0.2">
      <c r="A3032" s="2" t="s">
        <v>2533</v>
      </c>
      <c r="B3032" s="2" t="s">
        <v>28</v>
      </c>
      <c r="C3032" s="2" t="s">
        <v>48</v>
      </c>
      <c r="D3032" s="2" t="s">
        <v>2954</v>
      </c>
      <c r="E3032" s="5">
        <v>44112</v>
      </c>
      <c r="F3032" s="2">
        <v>105</v>
      </c>
      <c r="G3032" s="2" t="s">
        <v>45</v>
      </c>
      <c r="H3032" s="2" t="s">
        <v>23</v>
      </c>
      <c r="I3032" s="6" t="s">
        <v>2954</v>
      </c>
      <c r="J3032" s="2" t="str">
        <f t="shared" si="47"/>
        <v>2020-10</v>
      </c>
    </row>
    <row r="3033" spans="1:10" x14ac:dyDescent="0.2">
      <c r="A3033" s="2" t="s">
        <v>2233</v>
      </c>
      <c r="B3033" s="2" t="s">
        <v>34</v>
      </c>
      <c r="C3033" s="2" t="s">
        <v>32</v>
      </c>
      <c r="D3033" s="2">
        <v>47</v>
      </c>
      <c r="E3033" s="5">
        <v>44103</v>
      </c>
      <c r="F3033" s="2">
        <v>356</v>
      </c>
      <c r="G3033" s="2" t="s">
        <v>75</v>
      </c>
      <c r="H3033" s="2" t="s">
        <v>23</v>
      </c>
      <c r="I3033" s="6">
        <v>0.06</v>
      </c>
      <c r="J3033" s="2" t="str">
        <f t="shared" si="47"/>
        <v>2020-09</v>
      </c>
    </row>
    <row r="3034" spans="1:10" x14ac:dyDescent="0.2">
      <c r="A3034" s="2" t="s">
        <v>2534</v>
      </c>
      <c r="B3034" s="2" t="s">
        <v>47</v>
      </c>
      <c r="C3034" s="2" t="s">
        <v>235</v>
      </c>
      <c r="D3034" s="2" t="s">
        <v>2954</v>
      </c>
      <c r="E3034" s="5">
        <v>44103</v>
      </c>
      <c r="F3034" s="2">
        <v>3.5</v>
      </c>
      <c r="G3034" s="2" t="s">
        <v>37</v>
      </c>
      <c r="H3034" s="2" t="s">
        <v>23</v>
      </c>
      <c r="I3034" s="6" t="s">
        <v>2954</v>
      </c>
      <c r="J3034" s="2" t="str">
        <f t="shared" si="47"/>
        <v>2020-09</v>
      </c>
    </row>
    <row r="3035" spans="1:10" x14ac:dyDescent="0.2">
      <c r="A3035" s="2" t="s">
        <v>2535</v>
      </c>
      <c r="B3035" s="2" t="s">
        <v>54</v>
      </c>
      <c r="C3035" s="2" t="s">
        <v>52</v>
      </c>
      <c r="D3035" s="2" t="s">
        <v>2954</v>
      </c>
      <c r="E3035" s="5">
        <v>44099</v>
      </c>
      <c r="F3035" s="2">
        <v>1.54</v>
      </c>
      <c r="G3035" s="2" t="s">
        <v>199</v>
      </c>
      <c r="H3035" s="2" t="s">
        <v>55</v>
      </c>
      <c r="I3035" s="6" t="s">
        <v>2954</v>
      </c>
      <c r="J3035" s="2" t="str">
        <f t="shared" si="47"/>
        <v>2020-09</v>
      </c>
    </row>
    <row r="3036" spans="1:10" x14ac:dyDescent="0.2">
      <c r="A3036" s="2" t="s">
        <v>1533</v>
      </c>
      <c r="B3036" s="2" t="s">
        <v>628</v>
      </c>
      <c r="C3036" s="2" t="s">
        <v>148</v>
      </c>
      <c r="D3036" s="2" t="s">
        <v>2954</v>
      </c>
      <c r="E3036" s="5">
        <v>44097</v>
      </c>
      <c r="F3036" s="2">
        <v>19500</v>
      </c>
      <c r="G3036" s="2" t="s">
        <v>81</v>
      </c>
      <c r="H3036" s="2" t="s">
        <v>224</v>
      </c>
      <c r="I3036" s="6" t="s">
        <v>2954</v>
      </c>
      <c r="J3036" s="2" t="str">
        <f t="shared" si="47"/>
        <v>2020-09</v>
      </c>
    </row>
    <row r="3037" spans="1:10" x14ac:dyDescent="0.2">
      <c r="A3037" s="2" t="s">
        <v>2536</v>
      </c>
      <c r="B3037" s="2" t="s">
        <v>25</v>
      </c>
      <c r="C3037" s="2" t="s">
        <v>26</v>
      </c>
      <c r="D3037" s="2" t="s">
        <v>2954</v>
      </c>
      <c r="E3037" s="5">
        <v>44090</v>
      </c>
      <c r="F3037" s="2">
        <v>18</v>
      </c>
      <c r="G3037" s="2" t="s">
        <v>41</v>
      </c>
      <c r="H3037" s="2" t="s">
        <v>23</v>
      </c>
      <c r="I3037" s="6">
        <v>0.16</v>
      </c>
      <c r="J3037" s="2" t="str">
        <f t="shared" si="47"/>
        <v>2020-09</v>
      </c>
    </row>
    <row r="3038" spans="1:10" x14ac:dyDescent="0.2">
      <c r="A3038" s="2" t="s">
        <v>2537</v>
      </c>
      <c r="B3038" s="2" t="s">
        <v>1092</v>
      </c>
      <c r="C3038" s="2" t="s">
        <v>243</v>
      </c>
      <c r="D3038" s="2">
        <v>240</v>
      </c>
      <c r="E3038" s="5">
        <v>44085</v>
      </c>
      <c r="F3038" s="2">
        <v>157.9</v>
      </c>
      <c r="G3038" s="2" t="s">
        <v>41</v>
      </c>
      <c r="H3038" s="2" t="s">
        <v>23</v>
      </c>
      <c r="I3038" s="7" t="s">
        <v>2538</v>
      </c>
      <c r="J3038" s="2" t="str">
        <f t="shared" si="47"/>
        <v>2020-09</v>
      </c>
    </row>
    <row r="3039" spans="1:10" x14ac:dyDescent="0.2">
      <c r="A3039" s="2" t="s">
        <v>2539</v>
      </c>
      <c r="B3039" s="2" t="s">
        <v>54</v>
      </c>
      <c r="C3039" s="2" t="s">
        <v>235</v>
      </c>
      <c r="D3039" s="2">
        <v>20</v>
      </c>
      <c r="E3039" s="5">
        <v>44085</v>
      </c>
      <c r="F3039" s="2">
        <v>40.5</v>
      </c>
      <c r="G3039" s="2" t="s">
        <v>45</v>
      </c>
      <c r="H3039" s="2" t="s">
        <v>55</v>
      </c>
      <c r="I3039" s="6" t="s">
        <v>2954</v>
      </c>
      <c r="J3039" s="2" t="str">
        <f t="shared" si="47"/>
        <v>2020-09</v>
      </c>
    </row>
    <row r="3040" spans="1:10" x14ac:dyDescent="0.2">
      <c r="A3040" s="2" t="s">
        <v>2540</v>
      </c>
      <c r="B3040" s="2" t="s">
        <v>34</v>
      </c>
      <c r="C3040" s="2" t="s">
        <v>148</v>
      </c>
      <c r="D3040" s="2" t="s">
        <v>2954</v>
      </c>
      <c r="E3040" s="5">
        <v>44085</v>
      </c>
      <c r="F3040" s="2">
        <v>13.4</v>
      </c>
      <c r="G3040" s="2" t="s">
        <v>41</v>
      </c>
      <c r="H3040" s="2" t="s">
        <v>23</v>
      </c>
      <c r="I3040" s="6">
        <v>1</v>
      </c>
      <c r="J3040" s="2" t="str">
        <f t="shared" si="47"/>
        <v>2020-09</v>
      </c>
    </row>
    <row r="3041" spans="1:10" x14ac:dyDescent="0.2">
      <c r="A3041" s="2" t="s">
        <v>974</v>
      </c>
      <c r="B3041" s="2" t="s">
        <v>34</v>
      </c>
      <c r="C3041" s="2" t="s">
        <v>52</v>
      </c>
      <c r="D3041" s="2">
        <v>30</v>
      </c>
      <c r="E3041" s="5">
        <v>44083</v>
      </c>
      <c r="F3041" s="2">
        <v>67</v>
      </c>
      <c r="G3041" s="2" t="s">
        <v>45</v>
      </c>
      <c r="H3041" s="2" t="s">
        <v>23</v>
      </c>
      <c r="I3041" s="7" t="s">
        <v>2541</v>
      </c>
      <c r="J3041" s="2" t="str">
        <f t="shared" si="47"/>
        <v>2020-09</v>
      </c>
    </row>
    <row r="3042" spans="1:10" x14ac:dyDescent="0.2">
      <c r="A3042" s="2" t="s">
        <v>2032</v>
      </c>
      <c r="B3042" s="2" t="s">
        <v>34</v>
      </c>
      <c r="C3042" s="2" t="s">
        <v>52</v>
      </c>
      <c r="D3042" s="2" t="s">
        <v>2954</v>
      </c>
      <c r="E3042" s="5">
        <v>44082</v>
      </c>
      <c r="F3042" s="2">
        <v>132</v>
      </c>
      <c r="G3042" s="2" t="s">
        <v>37</v>
      </c>
      <c r="H3042" s="2" t="s">
        <v>23</v>
      </c>
      <c r="I3042" s="6">
        <v>0.1</v>
      </c>
      <c r="J3042" s="2" t="str">
        <f t="shared" si="47"/>
        <v>2020-09</v>
      </c>
    </row>
    <row r="3043" spans="1:10" x14ac:dyDescent="0.2">
      <c r="A3043" s="2" t="s">
        <v>2542</v>
      </c>
      <c r="B3043" s="2" t="s">
        <v>34</v>
      </c>
      <c r="C3043" s="2" t="s">
        <v>61</v>
      </c>
      <c r="D3043" s="2" t="s">
        <v>2954</v>
      </c>
      <c r="E3043" s="5">
        <v>44079</v>
      </c>
      <c r="F3043" s="2">
        <v>22.8</v>
      </c>
      <c r="G3043" s="2" t="s">
        <v>37</v>
      </c>
      <c r="H3043" s="2" t="s">
        <v>23</v>
      </c>
      <c r="I3043" s="6" t="s">
        <v>2954</v>
      </c>
      <c r="J3043" s="2" t="str">
        <f t="shared" si="47"/>
        <v>2020-09</v>
      </c>
    </row>
    <row r="3044" spans="1:10" x14ac:dyDescent="0.2">
      <c r="A3044" s="2" t="s">
        <v>2422</v>
      </c>
      <c r="B3044" s="2" t="s">
        <v>60</v>
      </c>
      <c r="C3044" s="2" t="s">
        <v>170</v>
      </c>
      <c r="D3044" s="2" t="s">
        <v>2954</v>
      </c>
      <c r="E3044" s="5">
        <v>44076</v>
      </c>
      <c r="F3044" s="2" t="s">
        <v>2954</v>
      </c>
      <c r="G3044" s="2" t="s">
        <v>17</v>
      </c>
      <c r="H3044" s="2" t="s">
        <v>23</v>
      </c>
      <c r="I3044" s="6" t="s">
        <v>2954</v>
      </c>
      <c r="J3044" s="2" t="str">
        <f t="shared" si="47"/>
        <v>2020-09</v>
      </c>
    </row>
    <row r="3045" spans="1:10" x14ac:dyDescent="0.2">
      <c r="A3045" s="2" t="s">
        <v>2543</v>
      </c>
      <c r="B3045" s="2" t="s">
        <v>1827</v>
      </c>
      <c r="C3045" s="2" t="s">
        <v>142</v>
      </c>
      <c r="D3045" s="2" t="s">
        <v>2954</v>
      </c>
      <c r="E3045" s="5">
        <v>44076</v>
      </c>
      <c r="F3045" s="2">
        <v>30</v>
      </c>
      <c r="G3045" s="2" t="s">
        <v>41</v>
      </c>
      <c r="H3045" s="2" t="s">
        <v>2307</v>
      </c>
      <c r="I3045" s="6">
        <v>1</v>
      </c>
      <c r="J3045" s="2" t="str">
        <f t="shared" si="47"/>
        <v>2020-09</v>
      </c>
    </row>
    <row r="3046" spans="1:10" x14ac:dyDescent="0.2">
      <c r="A3046" s="2" t="s">
        <v>2544</v>
      </c>
      <c r="B3046" s="2" t="s">
        <v>28</v>
      </c>
      <c r="C3046" s="2" t="s">
        <v>235</v>
      </c>
      <c r="D3046" s="2">
        <v>250</v>
      </c>
      <c r="E3046" s="5">
        <v>44075</v>
      </c>
      <c r="F3046" s="2">
        <v>95.2</v>
      </c>
      <c r="G3046" s="2" t="s">
        <v>45</v>
      </c>
      <c r="H3046" s="2" t="s">
        <v>23</v>
      </c>
      <c r="I3046" s="6" t="s">
        <v>2954</v>
      </c>
      <c r="J3046" s="2" t="str">
        <f t="shared" si="47"/>
        <v>2020-09</v>
      </c>
    </row>
    <row r="3047" spans="1:10" x14ac:dyDescent="0.2">
      <c r="A3047" s="2" t="s">
        <v>2545</v>
      </c>
      <c r="B3047" s="2" t="s">
        <v>217</v>
      </c>
      <c r="C3047" s="2" t="s">
        <v>16</v>
      </c>
      <c r="D3047" s="2">
        <v>22</v>
      </c>
      <c r="E3047" s="5">
        <v>44075</v>
      </c>
      <c r="F3047" s="2">
        <v>97</v>
      </c>
      <c r="G3047" s="2" t="s">
        <v>12</v>
      </c>
      <c r="H3047" s="2" t="s">
        <v>217</v>
      </c>
      <c r="I3047" s="6">
        <v>0.11</v>
      </c>
      <c r="J3047" s="2" t="str">
        <f t="shared" si="47"/>
        <v>2020-09</v>
      </c>
    </row>
    <row r="3048" spans="1:10" x14ac:dyDescent="0.2">
      <c r="A3048" s="2" t="s">
        <v>2546</v>
      </c>
      <c r="B3048" s="2" t="s">
        <v>97</v>
      </c>
      <c r="C3048" s="2" t="s">
        <v>44</v>
      </c>
      <c r="D3048" s="2">
        <v>350</v>
      </c>
      <c r="E3048" s="5">
        <v>44074</v>
      </c>
      <c r="F3048" s="2">
        <v>548</v>
      </c>
      <c r="G3048" s="2" t="s">
        <v>17</v>
      </c>
      <c r="H3048" s="2" t="s">
        <v>98</v>
      </c>
      <c r="I3048" s="6">
        <v>0.1</v>
      </c>
      <c r="J3048" s="2" t="str">
        <f t="shared" si="47"/>
        <v>2020-08</v>
      </c>
    </row>
    <row r="3049" spans="1:10" x14ac:dyDescent="0.2">
      <c r="A3049" s="2" t="s">
        <v>368</v>
      </c>
      <c r="B3049" s="2" t="s">
        <v>34</v>
      </c>
      <c r="C3049" s="2" t="s">
        <v>50</v>
      </c>
      <c r="D3049" s="2">
        <v>1000</v>
      </c>
      <c r="E3049" s="5">
        <v>44069</v>
      </c>
      <c r="F3049" s="2">
        <v>65.400000000000006</v>
      </c>
      <c r="G3049" s="2" t="s">
        <v>17</v>
      </c>
      <c r="H3049" s="2" t="s">
        <v>23</v>
      </c>
      <c r="I3049" s="7" t="s">
        <v>2547</v>
      </c>
      <c r="J3049" s="2" t="str">
        <f t="shared" si="47"/>
        <v>2020-08</v>
      </c>
    </row>
    <row r="3050" spans="1:10" x14ac:dyDescent="0.2">
      <c r="A3050" s="2" t="s">
        <v>2548</v>
      </c>
      <c r="B3050" s="2" t="s">
        <v>89</v>
      </c>
      <c r="C3050" s="2" t="s">
        <v>84</v>
      </c>
      <c r="D3050" s="2" t="s">
        <v>2954</v>
      </c>
      <c r="E3050" s="5">
        <v>44069</v>
      </c>
      <c r="F3050" s="2" t="s">
        <v>2954</v>
      </c>
      <c r="G3050" s="2" t="s">
        <v>45</v>
      </c>
      <c r="H3050" s="2" t="s">
        <v>23</v>
      </c>
      <c r="I3050" s="6" t="s">
        <v>2954</v>
      </c>
      <c r="J3050" s="2" t="str">
        <f t="shared" si="47"/>
        <v>2020-08</v>
      </c>
    </row>
    <row r="3051" spans="1:10" x14ac:dyDescent="0.2">
      <c r="A3051" s="2" t="s">
        <v>2549</v>
      </c>
      <c r="B3051" s="2" t="s">
        <v>1106</v>
      </c>
      <c r="C3051" s="2" t="s">
        <v>48</v>
      </c>
      <c r="D3051" s="2">
        <v>30</v>
      </c>
      <c r="E3051" s="5">
        <v>44067</v>
      </c>
      <c r="F3051" s="2">
        <v>36</v>
      </c>
      <c r="G3051" s="2" t="s">
        <v>17</v>
      </c>
      <c r="H3051" s="2" t="s">
        <v>274</v>
      </c>
      <c r="I3051" s="6" t="s">
        <v>2954</v>
      </c>
      <c r="J3051" s="2" t="str">
        <f t="shared" si="47"/>
        <v>2020-08</v>
      </c>
    </row>
    <row r="3052" spans="1:10" x14ac:dyDescent="0.2">
      <c r="A3052" s="2" t="s">
        <v>2550</v>
      </c>
      <c r="B3052" s="2" t="s">
        <v>47</v>
      </c>
      <c r="C3052" s="2" t="s">
        <v>235</v>
      </c>
      <c r="D3052" s="2" t="s">
        <v>2954</v>
      </c>
      <c r="E3052" s="5">
        <v>44067</v>
      </c>
      <c r="F3052" s="2">
        <v>9.5</v>
      </c>
      <c r="G3052" s="2" t="s">
        <v>45</v>
      </c>
      <c r="H3052" s="2" t="s">
        <v>23</v>
      </c>
      <c r="I3052" s="6" t="s">
        <v>2954</v>
      </c>
      <c r="J3052" s="2" t="str">
        <f t="shared" si="47"/>
        <v>2020-08</v>
      </c>
    </row>
    <row r="3053" spans="1:10" x14ac:dyDescent="0.2">
      <c r="A3053" s="2" t="s">
        <v>2551</v>
      </c>
      <c r="B3053" s="2" t="s">
        <v>34</v>
      </c>
      <c r="C3053" s="2" t="s">
        <v>243</v>
      </c>
      <c r="D3053" s="2" t="s">
        <v>2954</v>
      </c>
      <c r="E3053" s="5">
        <v>44063</v>
      </c>
      <c r="F3053" s="2">
        <v>76.2</v>
      </c>
      <c r="G3053" s="2" t="s">
        <v>66</v>
      </c>
      <c r="H3053" s="2" t="s">
        <v>23</v>
      </c>
      <c r="I3053" s="6" t="s">
        <v>2954</v>
      </c>
      <c r="J3053" s="2" t="str">
        <f t="shared" si="47"/>
        <v>2020-08</v>
      </c>
    </row>
    <row r="3054" spans="1:10" x14ac:dyDescent="0.2">
      <c r="A3054" s="2" t="s">
        <v>2552</v>
      </c>
      <c r="B3054" s="2" t="s">
        <v>54</v>
      </c>
      <c r="C3054" s="2" t="s">
        <v>32</v>
      </c>
      <c r="D3054" s="2">
        <v>8</v>
      </c>
      <c r="E3054" s="5">
        <v>44062</v>
      </c>
      <c r="F3054" s="2">
        <v>15.5</v>
      </c>
      <c r="G3054" s="2" t="s">
        <v>132</v>
      </c>
      <c r="H3054" s="2" t="s">
        <v>55</v>
      </c>
      <c r="I3054" s="6">
        <v>0.8</v>
      </c>
      <c r="J3054" s="2" t="str">
        <f t="shared" si="47"/>
        <v>2020-08</v>
      </c>
    </row>
    <row r="3055" spans="1:10" x14ac:dyDescent="0.2">
      <c r="A3055" s="2" t="s">
        <v>2553</v>
      </c>
      <c r="B3055" s="2" t="s">
        <v>74</v>
      </c>
      <c r="C3055" s="2" t="s">
        <v>44</v>
      </c>
      <c r="D3055" s="2" t="s">
        <v>2954</v>
      </c>
      <c r="E3055" s="5">
        <v>44062</v>
      </c>
      <c r="F3055" s="2">
        <v>1.3</v>
      </c>
      <c r="G3055" s="2" t="s">
        <v>132</v>
      </c>
      <c r="H3055" s="2" t="s">
        <v>76</v>
      </c>
      <c r="I3055" s="6" t="s">
        <v>2954</v>
      </c>
      <c r="J3055" s="2" t="str">
        <f t="shared" si="47"/>
        <v>2020-08</v>
      </c>
    </row>
    <row r="3056" spans="1:10" x14ac:dyDescent="0.2">
      <c r="A3056" s="2" t="s">
        <v>2554</v>
      </c>
      <c r="B3056" s="2" t="s">
        <v>34</v>
      </c>
      <c r="C3056" s="2" t="s">
        <v>48</v>
      </c>
      <c r="D3056" s="2" t="s">
        <v>2954</v>
      </c>
      <c r="E3056" s="5">
        <v>44061</v>
      </c>
      <c r="F3056" s="2">
        <v>10</v>
      </c>
      <c r="G3056" s="2" t="s">
        <v>41</v>
      </c>
      <c r="H3056" s="2" t="s">
        <v>23</v>
      </c>
      <c r="I3056" s="6">
        <v>1</v>
      </c>
      <c r="J3056" s="2" t="str">
        <f t="shared" si="47"/>
        <v>2020-08</v>
      </c>
    </row>
    <row r="3057" spans="1:10" x14ac:dyDescent="0.2">
      <c r="A3057" s="2" t="s">
        <v>2503</v>
      </c>
      <c r="B3057" s="2" t="s">
        <v>628</v>
      </c>
      <c r="C3057" s="2" t="s">
        <v>35</v>
      </c>
      <c r="D3057" s="2" t="s">
        <v>2954</v>
      </c>
      <c r="E3057" s="5">
        <v>44060</v>
      </c>
      <c r="F3057" s="2">
        <v>105</v>
      </c>
      <c r="G3057" s="2" t="s">
        <v>12</v>
      </c>
      <c r="H3057" s="2" t="s">
        <v>224</v>
      </c>
      <c r="I3057" s="6" t="s">
        <v>2954</v>
      </c>
      <c r="J3057" s="2" t="str">
        <f t="shared" si="47"/>
        <v>2020-08</v>
      </c>
    </row>
    <row r="3058" spans="1:10" x14ac:dyDescent="0.2">
      <c r="A3058" s="2" t="s">
        <v>1111</v>
      </c>
      <c r="B3058" s="2" t="s">
        <v>105</v>
      </c>
      <c r="C3058" s="2" t="s">
        <v>142</v>
      </c>
      <c r="D3058" s="2">
        <v>30</v>
      </c>
      <c r="E3058" s="5">
        <v>44057</v>
      </c>
      <c r="F3058" s="2">
        <v>122.3</v>
      </c>
      <c r="G3058" s="2" t="s">
        <v>17</v>
      </c>
      <c r="H3058" s="2" t="s">
        <v>106</v>
      </c>
      <c r="I3058" s="6" t="s">
        <v>2954</v>
      </c>
      <c r="J3058" s="2" t="str">
        <f t="shared" si="47"/>
        <v>2020-08</v>
      </c>
    </row>
    <row r="3059" spans="1:10" x14ac:dyDescent="0.2">
      <c r="A3059" s="2" t="s">
        <v>471</v>
      </c>
      <c r="B3059" s="2" t="s">
        <v>25</v>
      </c>
      <c r="C3059" s="2" t="s">
        <v>78</v>
      </c>
      <c r="D3059" s="2" t="s">
        <v>2954</v>
      </c>
      <c r="E3059" s="5">
        <v>44057</v>
      </c>
      <c r="F3059" s="2">
        <v>350.2</v>
      </c>
      <c r="G3059" s="2" t="s">
        <v>62</v>
      </c>
      <c r="H3059" s="2" t="s">
        <v>23</v>
      </c>
      <c r="I3059" s="6" t="s">
        <v>2954</v>
      </c>
      <c r="J3059" s="2" t="str">
        <f t="shared" si="47"/>
        <v>2020-08</v>
      </c>
    </row>
    <row r="3060" spans="1:10" x14ac:dyDescent="0.2">
      <c r="A3060" s="2" t="s">
        <v>2555</v>
      </c>
      <c r="B3060" s="2" t="s">
        <v>47</v>
      </c>
      <c r="C3060" s="2" t="s">
        <v>52</v>
      </c>
      <c r="D3060" s="2" t="s">
        <v>2954</v>
      </c>
      <c r="E3060" s="5">
        <v>44055</v>
      </c>
      <c r="F3060" s="2">
        <v>45</v>
      </c>
      <c r="G3060" s="2" t="s">
        <v>12</v>
      </c>
      <c r="H3060" s="2" t="s">
        <v>23</v>
      </c>
      <c r="I3060" s="6" t="s">
        <v>2954</v>
      </c>
      <c r="J3060" s="2" t="str">
        <f t="shared" si="47"/>
        <v>2020-08</v>
      </c>
    </row>
    <row r="3061" spans="1:10" x14ac:dyDescent="0.2">
      <c r="A3061" s="2" t="s">
        <v>300</v>
      </c>
      <c r="B3061" s="2" t="s">
        <v>34</v>
      </c>
      <c r="C3061" s="2" t="s">
        <v>35</v>
      </c>
      <c r="D3061" s="2">
        <v>250</v>
      </c>
      <c r="E3061" s="5">
        <v>44054</v>
      </c>
      <c r="F3061" s="2">
        <v>2.2999999999999998</v>
      </c>
      <c r="G3061" s="2" t="s">
        <v>12</v>
      </c>
      <c r="H3061" s="2" t="s">
        <v>23</v>
      </c>
      <c r="I3061" s="6">
        <v>0.25</v>
      </c>
      <c r="J3061" s="2" t="str">
        <f t="shared" si="47"/>
        <v>2020-08</v>
      </c>
    </row>
    <row r="3062" spans="1:10" x14ac:dyDescent="0.2">
      <c r="A3062" s="2" t="s">
        <v>2556</v>
      </c>
      <c r="B3062" s="2" t="s">
        <v>217</v>
      </c>
      <c r="C3062" s="2" t="s">
        <v>11</v>
      </c>
      <c r="D3062" s="2">
        <v>20</v>
      </c>
      <c r="E3062" s="5">
        <v>44051</v>
      </c>
      <c r="F3062" s="2">
        <v>0.97550000000000003</v>
      </c>
      <c r="G3062" s="2" t="s">
        <v>132</v>
      </c>
      <c r="H3062" s="2" t="s">
        <v>217</v>
      </c>
      <c r="I3062" s="6">
        <v>1</v>
      </c>
      <c r="J3062" s="2" t="str">
        <f t="shared" si="47"/>
        <v>2020-08</v>
      </c>
    </row>
    <row r="3063" spans="1:10" x14ac:dyDescent="0.2">
      <c r="A3063" s="2" t="s">
        <v>2165</v>
      </c>
      <c r="B3063" s="2" t="s">
        <v>25</v>
      </c>
      <c r="C3063" s="2" t="s">
        <v>142</v>
      </c>
      <c r="D3063" s="2">
        <v>150</v>
      </c>
      <c r="E3063" s="5">
        <v>44050</v>
      </c>
      <c r="F3063" s="2">
        <v>186.4</v>
      </c>
      <c r="G3063" s="2" t="s">
        <v>75</v>
      </c>
      <c r="H3063" s="2" t="s">
        <v>23</v>
      </c>
      <c r="I3063" s="6">
        <v>0.38</v>
      </c>
      <c r="J3063" s="2" t="str">
        <f t="shared" si="47"/>
        <v>2020-08</v>
      </c>
    </row>
    <row r="3064" spans="1:10" x14ac:dyDescent="0.2">
      <c r="A3064" s="2" t="s">
        <v>2557</v>
      </c>
      <c r="B3064" s="2" t="s">
        <v>2558</v>
      </c>
      <c r="C3064" s="2" t="s">
        <v>52</v>
      </c>
      <c r="D3064" s="2" t="s">
        <v>2954</v>
      </c>
      <c r="E3064" s="5">
        <v>44050</v>
      </c>
      <c r="F3064" s="2">
        <v>1.8</v>
      </c>
      <c r="G3064" s="2" t="s">
        <v>132</v>
      </c>
      <c r="H3064" s="2" t="s">
        <v>2559</v>
      </c>
      <c r="I3064" s="6" t="s">
        <v>2954</v>
      </c>
      <c r="J3064" s="2" t="str">
        <f t="shared" si="47"/>
        <v>2020-08</v>
      </c>
    </row>
    <row r="3065" spans="1:10" x14ac:dyDescent="0.2">
      <c r="A3065" s="2" t="s">
        <v>2560</v>
      </c>
      <c r="B3065" s="2" t="s">
        <v>335</v>
      </c>
      <c r="C3065" s="2" t="s">
        <v>11</v>
      </c>
      <c r="D3065" s="2">
        <v>75</v>
      </c>
      <c r="E3065" s="5">
        <v>44049</v>
      </c>
      <c r="F3065" s="2">
        <v>53</v>
      </c>
      <c r="G3065" s="2" t="s">
        <v>37</v>
      </c>
      <c r="H3065" s="2" t="s">
        <v>106</v>
      </c>
      <c r="I3065" s="6">
        <v>0.5</v>
      </c>
      <c r="J3065" s="2" t="str">
        <f t="shared" si="47"/>
        <v>2020-08</v>
      </c>
    </row>
    <row r="3066" spans="1:10" x14ac:dyDescent="0.2">
      <c r="A3066" s="2" t="s">
        <v>2561</v>
      </c>
      <c r="B3066" s="2" t="s">
        <v>115</v>
      </c>
      <c r="C3066" s="2" t="s">
        <v>50</v>
      </c>
      <c r="D3066" s="2">
        <v>56</v>
      </c>
      <c r="E3066" s="5">
        <v>44048</v>
      </c>
      <c r="F3066" s="2">
        <v>20</v>
      </c>
      <c r="G3066" s="2" t="s">
        <v>12</v>
      </c>
      <c r="H3066" s="2" t="s">
        <v>23</v>
      </c>
      <c r="I3066" s="6" t="s">
        <v>2954</v>
      </c>
      <c r="J3066" s="2" t="str">
        <f t="shared" si="47"/>
        <v>2020-08</v>
      </c>
    </row>
    <row r="3067" spans="1:10" x14ac:dyDescent="0.2">
      <c r="A3067" s="2" t="s">
        <v>1940</v>
      </c>
      <c r="B3067" s="2" t="s">
        <v>245</v>
      </c>
      <c r="C3067" s="2" t="s">
        <v>44</v>
      </c>
      <c r="D3067" s="2">
        <v>4375</v>
      </c>
      <c r="E3067" s="5">
        <v>44042</v>
      </c>
      <c r="F3067" s="2" t="s">
        <v>2954</v>
      </c>
      <c r="G3067" s="2" t="s">
        <v>45</v>
      </c>
      <c r="H3067" s="2" t="s">
        <v>246</v>
      </c>
      <c r="I3067" s="6">
        <v>0.25</v>
      </c>
      <c r="J3067" s="2" t="str">
        <f t="shared" si="47"/>
        <v>2020-07</v>
      </c>
    </row>
    <row r="3068" spans="1:10" x14ac:dyDescent="0.2">
      <c r="A3068" s="2" t="s">
        <v>2562</v>
      </c>
      <c r="B3068" s="2" t="s">
        <v>34</v>
      </c>
      <c r="C3068" s="2" t="s">
        <v>142</v>
      </c>
      <c r="D3068" s="2">
        <v>87</v>
      </c>
      <c r="E3068" s="5">
        <v>44042</v>
      </c>
      <c r="F3068" s="2">
        <v>42.4</v>
      </c>
      <c r="G3068" s="2" t="s">
        <v>45</v>
      </c>
      <c r="H3068" s="2" t="s">
        <v>23</v>
      </c>
      <c r="I3068" s="6">
        <v>1</v>
      </c>
      <c r="J3068" s="2" t="str">
        <f t="shared" si="47"/>
        <v>2020-07</v>
      </c>
    </row>
    <row r="3069" spans="1:10" x14ac:dyDescent="0.2">
      <c r="A3069" s="2" t="s">
        <v>2563</v>
      </c>
      <c r="B3069" s="2" t="s">
        <v>25</v>
      </c>
      <c r="C3069" s="2" t="s">
        <v>16</v>
      </c>
      <c r="D3069" s="2" t="s">
        <v>2954</v>
      </c>
      <c r="E3069" s="5">
        <v>44042</v>
      </c>
      <c r="F3069" s="2">
        <v>472</v>
      </c>
      <c r="G3069" s="2" t="s">
        <v>45</v>
      </c>
      <c r="H3069" s="2" t="s">
        <v>23</v>
      </c>
      <c r="I3069" s="6" t="s">
        <v>2954</v>
      </c>
      <c r="J3069" s="2" t="str">
        <f t="shared" si="47"/>
        <v>2020-07</v>
      </c>
    </row>
    <row r="3070" spans="1:10" x14ac:dyDescent="0.2">
      <c r="A3070" s="2" t="s">
        <v>2564</v>
      </c>
      <c r="B3070" s="2" t="s">
        <v>34</v>
      </c>
      <c r="C3070" s="2" t="s">
        <v>11</v>
      </c>
      <c r="D3070" s="2" t="s">
        <v>2954</v>
      </c>
      <c r="E3070" s="5">
        <v>44041</v>
      </c>
      <c r="F3070" s="2">
        <v>13</v>
      </c>
      <c r="G3070" s="2" t="s">
        <v>12</v>
      </c>
      <c r="H3070" s="2" t="s">
        <v>23</v>
      </c>
      <c r="I3070" s="6" t="s">
        <v>2954</v>
      </c>
      <c r="J3070" s="2" t="str">
        <f t="shared" si="47"/>
        <v>2020-07</v>
      </c>
    </row>
    <row r="3071" spans="1:10" x14ac:dyDescent="0.2">
      <c r="A3071" s="2" t="s">
        <v>361</v>
      </c>
      <c r="B3071" s="2" t="s">
        <v>47</v>
      </c>
      <c r="C3071" s="2" t="s">
        <v>363</v>
      </c>
      <c r="D3071" s="2">
        <v>180</v>
      </c>
      <c r="E3071" s="5">
        <v>44040</v>
      </c>
      <c r="F3071" s="2">
        <v>649</v>
      </c>
      <c r="G3071" s="2" t="s">
        <v>12</v>
      </c>
      <c r="H3071" s="2" t="s">
        <v>23</v>
      </c>
      <c r="I3071" s="6">
        <v>0.09</v>
      </c>
      <c r="J3071" s="2" t="str">
        <f t="shared" si="47"/>
        <v>2020-07</v>
      </c>
    </row>
    <row r="3072" spans="1:10" x14ac:dyDescent="0.2">
      <c r="A3072" s="2" t="s">
        <v>371</v>
      </c>
      <c r="B3072" s="2" t="s">
        <v>100</v>
      </c>
      <c r="C3072" s="2" t="s">
        <v>11</v>
      </c>
      <c r="D3072" s="2">
        <v>350</v>
      </c>
      <c r="E3072" s="5">
        <v>44039</v>
      </c>
      <c r="F3072" s="2">
        <v>1600</v>
      </c>
      <c r="G3072" s="2" t="s">
        <v>959</v>
      </c>
      <c r="H3072" s="2" t="s">
        <v>98</v>
      </c>
      <c r="I3072" s="6">
        <v>0.05</v>
      </c>
      <c r="J3072" s="2" t="str">
        <f t="shared" si="47"/>
        <v>2020-07</v>
      </c>
    </row>
    <row r="3073" spans="1:10" x14ac:dyDescent="0.2">
      <c r="A3073" s="2" t="s">
        <v>2565</v>
      </c>
      <c r="B3073" s="2" t="s">
        <v>74</v>
      </c>
      <c r="C3073" s="2" t="s">
        <v>16</v>
      </c>
      <c r="D3073" s="2">
        <v>75</v>
      </c>
      <c r="E3073" s="5">
        <v>44039</v>
      </c>
      <c r="F3073" s="2">
        <v>60.18</v>
      </c>
      <c r="G3073" s="2" t="s">
        <v>37</v>
      </c>
      <c r="H3073" s="2" t="s">
        <v>76</v>
      </c>
      <c r="I3073" s="6">
        <v>0.72</v>
      </c>
      <c r="J3073" s="2" t="str">
        <f t="shared" si="47"/>
        <v>2020-07</v>
      </c>
    </row>
    <row r="3074" spans="1:10" x14ac:dyDescent="0.2">
      <c r="A3074" s="2" t="s">
        <v>2566</v>
      </c>
      <c r="B3074" s="2" t="s">
        <v>54</v>
      </c>
      <c r="C3074" s="2" t="s">
        <v>68</v>
      </c>
      <c r="D3074" s="2" t="s">
        <v>2954</v>
      </c>
      <c r="E3074" s="5">
        <v>44039</v>
      </c>
      <c r="F3074" s="2">
        <v>29.7</v>
      </c>
      <c r="G3074" s="2" t="s">
        <v>12</v>
      </c>
      <c r="H3074" s="2" t="s">
        <v>55</v>
      </c>
      <c r="I3074" s="6" t="s">
        <v>2954</v>
      </c>
      <c r="J3074" s="2" t="str">
        <f t="shared" si="47"/>
        <v>2020-07</v>
      </c>
    </row>
    <row r="3075" spans="1:10" x14ac:dyDescent="0.2">
      <c r="A3075" s="2" t="s">
        <v>177</v>
      </c>
      <c r="B3075" s="2" t="s">
        <v>34</v>
      </c>
      <c r="C3075" s="2" t="s">
        <v>68</v>
      </c>
      <c r="D3075" s="2">
        <v>64</v>
      </c>
      <c r="E3075" s="5">
        <v>44035</v>
      </c>
      <c r="F3075" s="2">
        <v>309</v>
      </c>
      <c r="G3075" s="2" t="s">
        <v>75</v>
      </c>
      <c r="H3075" s="2" t="s">
        <v>23</v>
      </c>
      <c r="I3075" s="6">
        <v>0.12</v>
      </c>
      <c r="J3075" s="2" t="str">
        <f t="shared" ref="J3075:J3138" si="48">TEXT(E3075,"YYYY-MM")</f>
        <v>2020-07</v>
      </c>
    </row>
    <row r="3076" spans="1:10" x14ac:dyDescent="0.2">
      <c r="A3076" s="2" t="s">
        <v>2567</v>
      </c>
      <c r="B3076" s="2" t="s">
        <v>398</v>
      </c>
      <c r="C3076" s="2" t="s">
        <v>142</v>
      </c>
      <c r="D3076" s="2" t="s">
        <v>2954</v>
      </c>
      <c r="E3076" s="5">
        <v>44035</v>
      </c>
      <c r="F3076" s="2">
        <v>27</v>
      </c>
      <c r="G3076" s="2" t="s">
        <v>37</v>
      </c>
      <c r="H3076" s="2" t="s">
        <v>399</v>
      </c>
      <c r="I3076" s="6">
        <v>1</v>
      </c>
      <c r="J3076" s="2" t="str">
        <f t="shared" si="48"/>
        <v>2020-07</v>
      </c>
    </row>
    <row r="3077" spans="1:10" x14ac:dyDescent="0.2">
      <c r="A3077" s="2" t="s">
        <v>642</v>
      </c>
      <c r="B3077" s="2" t="s">
        <v>34</v>
      </c>
      <c r="C3077" s="2" t="s">
        <v>84</v>
      </c>
      <c r="D3077" s="2">
        <v>960</v>
      </c>
      <c r="E3077" s="5">
        <v>44033</v>
      </c>
      <c r="F3077" s="2">
        <v>154</v>
      </c>
      <c r="G3077" s="2" t="s">
        <v>45</v>
      </c>
      <c r="H3077" s="2" t="s">
        <v>23</v>
      </c>
      <c r="I3077" s="6">
        <v>0.06</v>
      </c>
      <c r="J3077" s="2" t="str">
        <f t="shared" si="48"/>
        <v>2020-07</v>
      </c>
    </row>
    <row r="3078" spans="1:10" x14ac:dyDescent="0.2">
      <c r="A3078" s="2" t="s">
        <v>2568</v>
      </c>
      <c r="B3078" s="2" t="s">
        <v>28</v>
      </c>
      <c r="C3078" s="2" t="s">
        <v>16</v>
      </c>
      <c r="D3078" s="2">
        <v>22</v>
      </c>
      <c r="E3078" s="5">
        <v>44032</v>
      </c>
      <c r="F3078" s="2">
        <v>15</v>
      </c>
      <c r="G3078" s="2" t="s">
        <v>37</v>
      </c>
      <c r="H3078" s="2" t="s">
        <v>23</v>
      </c>
      <c r="I3078" s="6">
        <v>0.49</v>
      </c>
      <c r="J3078" s="2" t="str">
        <f t="shared" si="48"/>
        <v>2020-07</v>
      </c>
    </row>
    <row r="3079" spans="1:10" x14ac:dyDescent="0.2">
      <c r="A3079" s="2" t="s">
        <v>2569</v>
      </c>
      <c r="B3079" s="2" t="s">
        <v>100</v>
      </c>
      <c r="C3079" s="2" t="s">
        <v>117</v>
      </c>
      <c r="D3079" s="2">
        <v>120</v>
      </c>
      <c r="E3079" s="5">
        <v>44029</v>
      </c>
      <c r="F3079" s="2">
        <v>404.6</v>
      </c>
      <c r="G3079" s="2" t="s">
        <v>75</v>
      </c>
      <c r="H3079" s="2" t="s">
        <v>98</v>
      </c>
      <c r="I3079" s="6" t="s">
        <v>2954</v>
      </c>
      <c r="J3079" s="2" t="str">
        <f t="shared" si="48"/>
        <v>2020-07</v>
      </c>
    </row>
    <row r="3080" spans="1:10" x14ac:dyDescent="0.2">
      <c r="A3080" s="2" t="s">
        <v>2570</v>
      </c>
      <c r="B3080" s="2" t="s">
        <v>335</v>
      </c>
      <c r="C3080" s="2" t="s">
        <v>44</v>
      </c>
      <c r="D3080" s="2" t="s">
        <v>2954</v>
      </c>
      <c r="E3080" s="5">
        <v>44028</v>
      </c>
      <c r="F3080" s="2">
        <v>22.4</v>
      </c>
      <c r="G3080" s="2" t="s">
        <v>41</v>
      </c>
      <c r="H3080" s="2" t="s">
        <v>106</v>
      </c>
      <c r="I3080" s="6" t="s">
        <v>2954</v>
      </c>
      <c r="J3080" s="2" t="str">
        <f t="shared" si="48"/>
        <v>2020-07</v>
      </c>
    </row>
    <row r="3081" spans="1:10" x14ac:dyDescent="0.2">
      <c r="A3081" s="2" t="s">
        <v>2571</v>
      </c>
      <c r="B3081" s="2" t="s">
        <v>34</v>
      </c>
      <c r="C3081" s="2" t="s">
        <v>26</v>
      </c>
      <c r="D3081" s="2">
        <v>60</v>
      </c>
      <c r="E3081" s="5">
        <v>44027</v>
      </c>
      <c r="F3081" s="2">
        <v>251.2</v>
      </c>
      <c r="G3081" s="2" t="s">
        <v>75</v>
      </c>
      <c r="H3081" s="2" t="s">
        <v>23</v>
      </c>
      <c r="I3081" s="6">
        <v>0.15</v>
      </c>
      <c r="J3081" s="2" t="str">
        <f t="shared" si="48"/>
        <v>2020-07</v>
      </c>
    </row>
    <row r="3082" spans="1:10" x14ac:dyDescent="0.2">
      <c r="A3082" s="2" t="s">
        <v>2572</v>
      </c>
      <c r="B3082" s="2" t="s">
        <v>705</v>
      </c>
      <c r="C3082" s="2" t="s">
        <v>44</v>
      </c>
      <c r="D3082" s="2">
        <v>300</v>
      </c>
      <c r="E3082" s="5">
        <v>44026</v>
      </c>
      <c r="F3082" s="2">
        <v>197.2</v>
      </c>
      <c r="G3082" s="2" t="s">
        <v>45</v>
      </c>
      <c r="H3082" s="2" t="s">
        <v>55</v>
      </c>
      <c r="I3082" s="6">
        <v>0.2</v>
      </c>
      <c r="J3082" s="2" t="str">
        <f t="shared" si="48"/>
        <v>2020-07</v>
      </c>
    </row>
    <row r="3083" spans="1:10" x14ac:dyDescent="0.2">
      <c r="A3083" s="2" t="s">
        <v>543</v>
      </c>
      <c r="B3083" s="2" t="s">
        <v>401</v>
      </c>
      <c r="C3083" s="2" t="s">
        <v>235</v>
      </c>
      <c r="D3083" s="2" t="s">
        <v>2954</v>
      </c>
      <c r="E3083" s="5">
        <v>44026</v>
      </c>
      <c r="F3083" s="2">
        <v>307.60000000000002</v>
      </c>
      <c r="G3083" s="2" t="s">
        <v>62</v>
      </c>
      <c r="H3083" s="2" t="s">
        <v>23</v>
      </c>
      <c r="I3083" s="6" t="s">
        <v>2954</v>
      </c>
      <c r="J3083" s="2" t="str">
        <f t="shared" si="48"/>
        <v>2020-07</v>
      </c>
    </row>
    <row r="3084" spans="1:10" x14ac:dyDescent="0.2">
      <c r="A3084" s="2" t="s">
        <v>2573</v>
      </c>
      <c r="B3084" s="2" t="s">
        <v>34</v>
      </c>
      <c r="C3084" s="2" t="s">
        <v>35</v>
      </c>
      <c r="D3084" s="2">
        <v>63</v>
      </c>
      <c r="E3084" s="5">
        <v>44025</v>
      </c>
      <c r="F3084" s="2">
        <v>56</v>
      </c>
      <c r="G3084" s="2" t="s">
        <v>17</v>
      </c>
      <c r="H3084" s="2" t="s">
        <v>23</v>
      </c>
      <c r="I3084" s="6" t="s">
        <v>2954</v>
      </c>
      <c r="J3084" s="2" t="str">
        <f t="shared" si="48"/>
        <v>2020-07</v>
      </c>
    </row>
    <row r="3085" spans="1:10" x14ac:dyDescent="0.2">
      <c r="A3085" s="2" t="s">
        <v>674</v>
      </c>
      <c r="B3085" s="2" t="s">
        <v>538</v>
      </c>
      <c r="C3085" s="2" t="s">
        <v>170</v>
      </c>
      <c r="D3085" s="2">
        <v>140</v>
      </c>
      <c r="E3085" s="5">
        <v>44022</v>
      </c>
      <c r="F3085" s="2">
        <v>70</v>
      </c>
      <c r="G3085" s="2" t="s">
        <v>66</v>
      </c>
      <c r="H3085" s="2" t="s">
        <v>98</v>
      </c>
      <c r="I3085" s="6" t="s">
        <v>2954</v>
      </c>
      <c r="J3085" s="2" t="str">
        <f t="shared" si="48"/>
        <v>2020-07</v>
      </c>
    </row>
    <row r="3086" spans="1:10" x14ac:dyDescent="0.2">
      <c r="A3086" s="2" t="s">
        <v>2574</v>
      </c>
      <c r="B3086" s="2" t="s">
        <v>217</v>
      </c>
      <c r="C3086" s="2" t="s">
        <v>142</v>
      </c>
      <c r="D3086" s="2">
        <v>100</v>
      </c>
      <c r="E3086" s="5">
        <v>44021</v>
      </c>
      <c r="F3086" s="2">
        <v>307</v>
      </c>
      <c r="G3086" s="2" t="s">
        <v>75</v>
      </c>
      <c r="H3086" s="2" t="s">
        <v>217</v>
      </c>
      <c r="I3086" s="6">
        <v>0.12</v>
      </c>
      <c r="J3086" s="2" t="str">
        <f t="shared" si="48"/>
        <v>2020-07</v>
      </c>
    </row>
    <row r="3087" spans="1:10" x14ac:dyDescent="0.2">
      <c r="A3087" s="2" t="s">
        <v>2575</v>
      </c>
      <c r="B3087" s="2" t="s">
        <v>538</v>
      </c>
      <c r="C3087" s="2" t="s">
        <v>16</v>
      </c>
      <c r="D3087" s="2">
        <v>40</v>
      </c>
      <c r="E3087" s="5">
        <v>44021</v>
      </c>
      <c r="F3087" s="2">
        <v>25.6</v>
      </c>
      <c r="G3087" s="2" t="s">
        <v>45</v>
      </c>
      <c r="H3087" s="2" t="s">
        <v>98</v>
      </c>
      <c r="I3087" s="6" t="s">
        <v>2954</v>
      </c>
      <c r="J3087" s="2" t="str">
        <f t="shared" si="48"/>
        <v>2020-07</v>
      </c>
    </row>
    <row r="3088" spans="1:10" x14ac:dyDescent="0.2">
      <c r="A3088" s="2" t="s">
        <v>53</v>
      </c>
      <c r="B3088" s="2" t="s">
        <v>34</v>
      </c>
      <c r="C3088" s="2" t="s">
        <v>16</v>
      </c>
      <c r="D3088" s="2">
        <v>85</v>
      </c>
      <c r="E3088" s="5">
        <v>44020</v>
      </c>
      <c r="F3088" s="2">
        <v>746</v>
      </c>
      <c r="G3088" s="2" t="s">
        <v>17</v>
      </c>
      <c r="H3088" s="2" t="s">
        <v>23</v>
      </c>
      <c r="I3088" s="6" t="s">
        <v>2954</v>
      </c>
      <c r="J3088" s="2" t="str">
        <f t="shared" si="48"/>
        <v>2020-07</v>
      </c>
    </row>
    <row r="3089" spans="1:10" x14ac:dyDescent="0.2">
      <c r="A3089" s="2" t="s">
        <v>2576</v>
      </c>
      <c r="B3089" s="2" t="s">
        <v>25</v>
      </c>
      <c r="C3089" s="2" t="s">
        <v>16</v>
      </c>
      <c r="D3089" s="2" t="s">
        <v>2954</v>
      </c>
      <c r="E3089" s="5">
        <v>44020</v>
      </c>
      <c r="F3089" s="2">
        <v>1200</v>
      </c>
      <c r="G3089" s="2" t="s">
        <v>17</v>
      </c>
      <c r="H3089" s="2" t="s">
        <v>23</v>
      </c>
      <c r="I3089" s="6" t="s">
        <v>2954</v>
      </c>
      <c r="J3089" s="2" t="str">
        <f t="shared" si="48"/>
        <v>2020-07</v>
      </c>
    </row>
    <row r="3090" spans="1:10" x14ac:dyDescent="0.2">
      <c r="A3090" s="2" t="s">
        <v>2088</v>
      </c>
      <c r="B3090" s="2" t="s">
        <v>25</v>
      </c>
      <c r="C3090" s="2" t="s">
        <v>148</v>
      </c>
      <c r="D3090" s="2">
        <v>56</v>
      </c>
      <c r="E3090" s="5">
        <v>44013</v>
      </c>
      <c r="F3090" s="2">
        <v>117</v>
      </c>
      <c r="G3090" s="2" t="s">
        <v>66</v>
      </c>
      <c r="H3090" s="2" t="s">
        <v>23</v>
      </c>
      <c r="I3090" s="6" t="s">
        <v>2954</v>
      </c>
      <c r="J3090" s="2" t="str">
        <f t="shared" si="48"/>
        <v>2020-07</v>
      </c>
    </row>
    <row r="3091" spans="1:10" x14ac:dyDescent="0.2">
      <c r="A3091" s="2" t="s">
        <v>2577</v>
      </c>
      <c r="B3091" s="2" t="s">
        <v>34</v>
      </c>
      <c r="C3091" s="2" t="s">
        <v>26</v>
      </c>
      <c r="D3091" s="2">
        <v>18</v>
      </c>
      <c r="E3091" s="5">
        <v>44013</v>
      </c>
      <c r="F3091" s="2">
        <v>38</v>
      </c>
      <c r="G3091" s="2" t="s">
        <v>75</v>
      </c>
      <c r="H3091" s="2" t="s">
        <v>23</v>
      </c>
      <c r="I3091" s="6" t="s">
        <v>2954</v>
      </c>
      <c r="J3091" s="2" t="str">
        <f t="shared" si="48"/>
        <v>2020-07</v>
      </c>
    </row>
    <row r="3092" spans="1:10" x14ac:dyDescent="0.2">
      <c r="A3092" s="2" t="s">
        <v>2578</v>
      </c>
      <c r="B3092" s="2" t="s">
        <v>34</v>
      </c>
      <c r="C3092" s="2" t="s">
        <v>235</v>
      </c>
      <c r="D3092" s="2">
        <v>12</v>
      </c>
      <c r="E3092" s="5">
        <v>44013</v>
      </c>
      <c r="F3092" s="2">
        <v>19</v>
      </c>
      <c r="G3092" s="2" t="s">
        <v>66</v>
      </c>
      <c r="H3092" s="2" t="s">
        <v>23</v>
      </c>
      <c r="I3092" s="6" t="s">
        <v>2954</v>
      </c>
      <c r="J3092" s="2" t="str">
        <f t="shared" si="48"/>
        <v>2020-07</v>
      </c>
    </row>
    <row r="3093" spans="1:10" x14ac:dyDescent="0.2">
      <c r="A3093" s="2" t="s">
        <v>2579</v>
      </c>
      <c r="B3093" s="2" t="s">
        <v>60</v>
      </c>
      <c r="C3093" s="2" t="s">
        <v>35</v>
      </c>
      <c r="D3093" s="2">
        <v>5</v>
      </c>
      <c r="E3093" s="5">
        <v>44013</v>
      </c>
      <c r="F3093" s="2">
        <v>57.8</v>
      </c>
      <c r="G3093" s="2" t="s">
        <v>66</v>
      </c>
      <c r="H3093" s="2" t="s">
        <v>23</v>
      </c>
      <c r="I3093" s="6" t="s">
        <v>2954</v>
      </c>
      <c r="J3093" s="2" t="str">
        <f t="shared" si="48"/>
        <v>2020-07</v>
      </c>
    </row>
    <row r="3094" spans="1:10" x14ac:dyDescent="0.2">
      <c r="A3094" s="2" t="s">
        <v>2580</v>
      </c>
      <c r="B3094" s="2" t="s">
        <v>314</v>
      </c>
      <c r="C3094" s="2" t="s">
        <v>26</v>
      </c>
      <c r="D3094" s="2">
        <v>17</v>
      </c>
      <c r="E3094" s="5">
        <v>44012</v>
      </c>
      <c r="F3094" s="2">
        <v>100.8</v>
      </c>
      <c r="G3094" s="2" t="s">
        <v>66</v>
      </c>
      <c r="H3094" s="2" t="s">
        <v>23</v>
      </c>
      <c r="I3094" s="6">
        <v>0.05</v>
      </c>
      <c r="J3094" s="2" t="str">
        <f t="shared" si="48"/>
        <v>2020-06</v>
      </c>
    </row>
    <row r="3095" spans="1:10" x14ac:dyDescent="0.2">
      <c r="A3095" s="2" t="s">
        <v>2581</v>
      </c>
      <c r="B3095" s="2" t="s">
        <v>34</v>
      </c>
      <c r="C3095" s="2" t="s">
        <v>84</v>
      </c>
      <c r="D3095" s="2" t="s">
        <v>2954</v>
      </c>
      <c r="E3095" s="5">
        <v>44012</v>
      </c>
      <c r="F3095" s="2">
        <v>132</v>
      </c>
      <c r="G3095" s="2" t="s">
        <v>75</v>
      </c>
      <c r="H3095" s="2" t="s">
        <v>23</v>
      </c>
      <c r="I3095" s="6" t="s">
        <v>2954</v>
      </c>
      <c r="J3095" s="2" t="str">
        <f t="shared" si="48"/>
        <v>2020-06</v>
      </c>
    </row>
    <row r="3096" spans="1:10" x14ac:dyDescent="0.2">
      <c r="A3096" s="2" t="s">
        <v>2498</v>
      </c>
      <c r="B3096" s="2" t="s">
        <v>34</v>
      </c>
      <c r="C3096" s="2" t="s">
        <v>363</v>
      </c>
      <c r="D3096" s="2">
        <v>400</v>
      </c>
      <c r="E3096" s="5">
        <v>44011</v>
      </c>
      <c r="F3096" s="2">
        <v>1300</v>
      </c>
      <c r="G3096" s="2" t="s">
        <v>128</v>
      </c>
      <c r="H3096" s="2" t="s">
        <v>23</v>
      </c>
      <c r="I3096" s="6">
        <v>7.0000000000000007E-2</v>
      </c>
      <c r="J3096" s="2" t="str">
        <f t="shared" si="48"/>
        <v>2020-06</v>
      </c>
    </row>
    <row r="3097" spans="1:10" x14ac:dyDescent="0.2">
      <c r="A3097" s="2" t="s">
        <v>1645</v>
      </c>
      <c r="B3097" s="2" t="s">
        <v>100</v>
      </c>
      <c r="C3097" s="2" t="s">
        <v>52</v>
      </c>
      <c r="D3097" s="2">
        <v>130</v>
      </c>
      <c r="E3097" s="5">
        <v>44011</v>
      </c>
      <c r="F3097" s="2">
        <v>214.2</v>
      </c>
      <c r="G3097" s="2" t="s">
        <v>75</v>
      </c>
      <c r="H3097" s="2" t="s">
        <v>98</v>
      </c>
      <c r="I3097" s="6">
        <v>0.22</v>
      </c>
      <c r="J3097" s="2" t="str">
        <f t="shared" si="48"/>
        <v>2020-06</v>
      </c>
    </row>
    <row r="3098" spans="1:10" x14ac:dyDescent="0.2">
      <c r="A3098" s="2" t="s">
        <v>1939</v>
      </c>
      <c r="B3098" s="2" t="s">
        <v>381</v>
      </c>
      <c r="C3098" s="2" t="s">
        <v>52</v>
      </c>
      <c r="D3098" s="2">
        <v>100</v>
      </c>
      <c r="E3098" s="5">
        <v>44011</v>
      </c>
      <c r="F3098" s="2">
        <v>3600</v>
      </c>
      <c r="G3098" s="2" t="s">
        <v>12</v>
      </c>
      <c r="H3098" s="2" t="s">
        <v>76</v>
      </c>
      <c r="I3098" s="6" t="s">
        <v>2954</v>
      </c>
      <c r="J3098" s="2" t="str">
        <f t="shared" si="48"/>
        <v>2020-06</v>
      </c>
    </row>
    <row r="3099" spans="1:10" x14ac:dyDescent="0.2">
      <c r="A3099" s="2" t="s">
        <v>2525</v>
      </c>
      <c r="B3099" s="2" t="s">
        <v>34</v>
      </c>
      <c r="C3099" s="2" t="s">
        <v>142</v>
      </c>
      <c r="D3099" s="2">
        <v>61</v>
      </c>
      <c r="E3099" s="5">
        <v>44011</v>
      </c>
      <c r="F3099" s="2">
        <v>101.6</v>
      </c>
      <c r="G3099" s="2" t="s">
        <v>12</v>
      </c>
      <c r="H3099" s="2" t="s">
        <v>23</v>
      </c>
      <c r="I3099" s="6" t="s">
        <v>2954</v>
      </c>
      <c r="J3099" s="2" t="str">
        <f t="shared" si="48"/>
        <v>2020-06</v>
      </c>
    </row>
    <row r="3100" spans="1:10" x14ac:dyDescent="0.2">
      <c r="A3100" s="2" t="s">
        <v>196</v>
      </c>
      <c r="B3100" s="2" t="s">
        <v>43</v>
      </c>
      <c r="C3100" s="2" t="s">
        <v>48</v>
      </c>
      <c r="D3100" s="2">
        <v>20</v>
      </c>
      <c r="E3100" s="5">
        <v>44011</v>
      </c>
      <c r="F3100" s="2">
        <v>214.5</v>
      </c>
      <c r="G3100" s="2" t="s">
        <v>17</v>
      </c>
      <c r="H3100" s="2" t="s">
        <v>23</v>
      </c>
      <c r="I3100" s="6" t="s">
        <v>2954</v>
      </c>
      <c r="J3100" s="2" t="str">
        <f t="shared" si="48"/>
        <v>2020-06</v>
      </c>
    </row>
    <row r="3101" spans="1:10" x14ac:dyDescent="0.2">
      <c r="A3101" s="2" t="s">
        <v>2582</v>
      </c>
      <c r="B3101" s="2" t="s">
        <v>2583</v>
      </c>
      <c r="C3101" s="2" t="s">
        <v>142</v>
      </c>
      <c r="D3101" s="2" t="s">
        <v>2954</v>
      </c>
      <c r="E3101" s="5">
        <v>44010</v>
      </c>
      <c r="F3101" s="2">
        <v>4</v>
      </c>
      <c r="G3101" s="2" t="s">
        <v>12</v>
      </c>
      <c r="H3101" s="2" t="s">
        <v>23</v>
      </c>
      <c r="I3101" s="6">
        <v>1</v>
      </c>
      <c r="J3101" s="2" t="str">
        <f t="shared" si="48"/>
        <v>2020-06</v>
      </c>
    </row>
    <row r="3102" spans="1:10" x14ac:dyDescent="0.2">
      <c r="A3102" s="2" t="s">
        <v>2584</v>
      </c>
      <c r="B3102" s="2" t="s">
        <v>34</v>
      </c>
      <c r="C3102" s="2" t="s">
        <v>52</v>
      </c>
      <c r="D3102" s="2" t="s">
        <v>2954</v>
      </c>
      <c r="E3102" s="5">
        <v>44009</v>
      </c>
      <c r="F3102" s="2">
        <v>1200</v>
      </c>
      <c r="G3102" s="2" t="s">
        <v>66</v>
      </c>
      <c r="H3102" s="2" t="s">
        <v>23</v>
      </c>
      <c r="I3102" s="6" t="s">
        <v>2954</v>
      </c>
      <c r="J3102" s="2" t="str">
        <f t="shared" si="48"/>
        <v>2020-06</v>
      </c>
    </row>
    <row r="3103" spans="1:10" x14ac:dyDescent="0.2">
      <c r="A3103" s="2" t="s">
        <v>112</v>
      </c>
      <c r="B3103" s="2" t="s">
        <v>25</v>
      </c>
      <c r="C3103" s="2" t="s">
        <v>113</v>
      </c>
      <c r="D3103" s="2" t="s">
        <v>2954</v>
      </c>
      <c r="E3103" s="5">
        <v>44007</v>
      </c>
      <c r="F3103" s="2">
        <v>228</v>
      </c>
      <c r="G3103" s="2" t="s">
        <v>62</v>
      </c>
      <c r="H3103" s="2" t="s">
        <v>23</v>
      </c>
      <c r="I3103" s="6" t="s">
        <v>2954</v>
      </c>
      <c r="J3103" s="2" t="str">
        <f t="shared" si="48"/>
        <v>2020-06</v>
      </c>
    </row>
    <row r="3104" spans="1:10" x14ac:dyDescent="0.2">
      <c r="A3104" s="2" t="s">
        <v>1408</v>
      </c>
      <c r="B3104" s="2" t="s">
        <v>86</v>
      </c>
      <c r="C3104" s="2" t="s">
        <v>26</v>
      </c>
      <c r="D3104" s="2">
        <v>451</v>
      </c>
      <c r="E3104" s="5">
        <v>44006</v>
      </c>
      <c r="F3104" s="2" t="s">
        <v>2954</v>
      </c>
      <c r="G3104" s="2" t="s">
        <v>17</v>
      </c>
      <c r="H3104" s="2" t="s">
        <v>23</v>
      </c>
      <c r="I3104" s="6">
        <v>0.06</v>
      </c>
      <c r="J3104" s="2" t="str">
        <f t="shared" si="48"/>
        <v>2020-06</v>
      </c>
    </row>
    <row r="3105" spans="1:10" x14ac:dyDescent="0.2">
      <c r="A3105" s="2" t="s">
        <v>568</v>
      </c>
      <c r="B3105" s="2" t="s">
        <v>25</v>
      </c>
      <c r="C3105" s="2" t="s">
        <v>35</v>
      </c>
      <c r="D3105" s="2">
        <v>174</v>
      </c>
      <c r="E3105" s="5">
        <v>44006</v>
      </c>
      <c r="F3105" s="2">
        <v>455.2</v>
      </c>
      <c r="G3105" s="2" t="s">
        <v>17</v>
      </c>
      <c r="H3105" s="2" t="s">
        <v>23</v>
      </c>
      <c r="I3105" s="6">
        <v>0.12</v>
      </c>
      <c r="J3105" s="2" t="str">
        <f t="shared" si="48"/>
        <v>2020-06</v>
      </c>
    </row>
    <row r="3106" spans="1:10" x14ac:dyDescent="0.2">
      <c r="A3106" s="2" t="s">
        <v>1755</v>
      </c>
      <c r="B3106" s="2" t="s">
        <v>406</v>
      </c>
      <c r="C3106" s="2" t="s">
        <v>44</v>
      </c>
      <c r="D3106" s="2" t="s">
        <v>2954</v>
      </c>
      <c r="E3106" s="5">
        <v>44006</v>
      </c>
      <c r="F3106" s="2">
        <v>3200</v>
      </c>
      <c r="G3106" s="2" t="s">
        <v>62</v>
      </c>
      <c r="H3106" s="2" t="s">
        <v>23</v>
      </c>
      <c r="I3106" s="6" t="s">
        <v>2954</v>
      </c>
      <c r="J3106" s="2" t="str">
        <f t="shared" si="48"/>
        <v>2020-06</v>
      </c>
    </row>
    <row r="3107" spans="1:10" x14ac:dyDescent="0.2">
      <c r="A3107" s="2" t="s">
        <v>2585</v>
      </c>
      <c r="B3107" s="2" t="s">
        <v>398</v>
      </c>
      <c r="C3107" s="2" t="s">
        <v>52</v>
      </c>
      <c r="D3107" s="2">
        <v>430</v>
      </c>
      <c r="E3107" s="5">
        <v>44005</v>
      </c>
      <c r="F3107" s="2">
        <v>4800</v>
      </c>
      <c r="G3107" s="2" t="s">
        <v>62</v>
      </c>
      <c r="H3107" s="2" t="s">
        <v>399</v>
      </c>
      <c r="I3107" s="6">
        <v>0.09</v>
      </c>
      <c r="J3107" s="2" t="str">
        <f t="shared" si="48"/>
        <v>2020-06</v>
      </c>
    </row>
    <row r="3108" spans="1:10" x14ac:dyDescent="0.2">
      <c r="A3108" s="2" t="s">
        <v>2586</v>
      </c>
      <c r="B3108" s="2" t="s">
        <v>86</v>
      </c>
      <c r="C3108" s="2" t="s">
        <v>16</v>
      </c>
      <c r="D3108" s="2">
        <v>90</v>
      </c>
      <c r="E3108" s="5">
        <v>44005</v>
      </c>
      <c r="F3108" s="2">
        <v>103</v>
      </c>
      <c r="G3108" s="2" t="s">
        <v>66</v>
      </c>
      <c r="H3108" s="2" t="s">
        <v>23</v>
      </c>
      <c r="I3108" s="6">
        <v>0.9</v>
      </c>
      <c r="J3108" s="2" t="str">
        <f t="shared" si="48"/>
        <v>2020-06</v>
      </c>
    </row>
    <row r="3109" spans="1:10" x14ac:dyDescent="0.2">
      <c r="A3109" s="2" t="s">
        <v>2587</v>
      </c>
      <c r="B3109" s="2" t="s">
        <v>34</v>
      </c>
      <c r="C3109" s="2" t="s">
        <v>78</v>
      </c>
      <c r="D3109" s="2">
        <v>6</v>
      </c>
      <c r="E3109" s="5">
        <v>44005</v>
      </c>
      <c r="F3109" s="2">
        <v>3</v>
      </c>
      <c r="G3109" s="2" t="s">
        <v>132</v>
      </c>
      <c r="H3109" s="2" t="s">
        <v>23</v>
      </c>
      <c r="I3109" s="6">
        <v>1</v>
      </c>
      <c r="J3109" s="2" t="str">
        <f t="shared" si="48"/>
        <v>2020-06</v>
      </c>
    </row>
    <row r="3110" spans="1:10" x14ac:dyDescent="0.2">
      <c r="A3110" s="2" t="s">
        <v>2588</v>
      </c>
      <c r="B3110" s="2" t="s">
        <v>34</v>
      </c>
      <c r="C3110" s="2" t="s">
        <v>16</v>
      </c>
      <c r="D3110" s="2">
        <v>715</v>
      </c>
      <c r="E3110" s="5">
        <v>44004</v>
      </c>
      <c r="F3110" s="2">
        <v>18</v>
      </c>
      <c r="G3110" s="2" t="s">
        <v>17</v>
      </c>
      <c r="H3110" s="2" t="s">
        <v>23</v>
      </c>
      <c r="I3110" s="6">
        <v>7.0000000000000007E-2</v>
      </c>
      <c r="J3110" s="2" t="str">
        <f t="shared" si="48"/>
        <v>2020-06</v>
      </c>
    </row>
    <row r="3111" spans="1:10" x14ac:dyDescent="0.2">
      <c r="A3111" s="2" t="s">
        <v>2589</v>
      </c>
      <c r="B3111" s="2" t="s">
        <v>54</v>
      </c>
      <c r="C3111" s="2" t="s">
        <v>148</v>
      </c>
      <c r="D3111" s="2">
        <v>200</v>
      </c>
      <c r="E3111" s="5">
        <v>44001</v>
      </c>
      <c r="F3111" s="2">
        <v>19500</v>
      </c>
      <c r="G3111" s="2" t="s">
        <v>81</v>
      </c>
      <c r="H3111" s="2" t="s">
        <v>55</v>
      </c>
      <c r="I3111" s="6" t="s">
        <v>2954</v>
      </c>
      <c r="J3111" s="2" t="str">
        <f t="shared" si="48"/>
        <v>2020-06</v>
      </c>
    </row>
    <row r="3112" spans="1:10" x14ac:dyDescent="0.2">
      <c r="A3112" s="2" t="s">
        <v>2590</v>
      </c>
      <c r="B3112" s="2" t="s">
        <v>25</v>
      </c>
      <c r="C3112" s="2" t="s">
        <v>235</v>
      </c>
      <c r="D3112" s="2">
        <v>15</v>
      </c>
      <c r="E3112" s="5">
        <v>44000</v>
      </c>
      <c r="F3112" s="2">
        <v>32</v>
      </c>
      <c r="G3112" s="2" t="s">
        <v>37</v>
      </c>
      <c r="H3112" s="2" t="s">
        <v>23</v>
      </c>
      <c r="I3112" s="6" t="s">
        <v>2954</v>
      </c>
      <c r="J3112" s="2" t="str">
        <f t="shared" si="48"/>
        <v>2020-06</v>
      </c>
    </row>
    <row r="3113" spans="1:10" x14ac:dyDescent="0.2">
      <c r="A3113" s="2" t="s">
        <v>2591</v>
      </c>
      <c r="B3113" s="2" t="s">
        <v>100</v>
      </c>
      <c r="C3113" s="2" t="s">
        <v>16</v>
      </c>
      <c r="D3113" s="2">
        <v>40</v>
      </c>
      <c r="E3113" s="5">
        <v>43999</v>
      </c>
      <c r="F3113" s="2">
        <v>582</v>
      </c>
      <c r="G3113" s="2" t="s">
        <v>199</v>
      </c>
      <c r="H3113" s="2" t="s">
        <v>98</v>
      </c>
      <c r="I3113" s="6">
        <v>0.25</v>
      </c>
      <c r="J3113" s="2" t="str">
        <f t="shared" si="48"/>
        <v>2020-06</v>
      </c>
    </row>
    <row r="3114" spans="1:10" x14ac:dyDescent="0.2">
      <c r="A3114" s="2" t="s">
        <v>2592</v>
      </c>
      <c r="B3114" s="2" t="s">
        <v>255</v>
      </c>
      <c r="C3114" s="2" t="s">
        <v>16</v>
      </c>
      <c r="D3114" s="2">
        <v>1500</v>
      </c>
      <c r="E3114" s="5">
        <v>43998</v>
      </c>
      <c r="F3114" s="2">
        <v>496</v>
      </c>
      <c r="G3114" s="2" t="s">
        <v>58</v>
      </c>
      <c r="H3114" s="2" t="s">
        <v>98</v>
      </c>
      <c r="I3114" s="6">
        <v>0.5</v>
      </c>
      <c r="J3114" s="2" t="str">
        <f t="shared" si="48"/>
        <v>2020-06</v>
      </c>
    </row>
    <row r="3115" spans="1:10" x14ac:dyDescent="0.2">
      <c r="A3115" s="2" t="s">
        <v>985</v>
      </c>
      <c r="B3115" s="2" t="s">
        <v>217</v>
      </c>
      <c r="C3115" s="2" t="s">
        <v>52</v>
      </c>
      <c r="D3115" s="2">
        <v>360</v>
      </c>
      <c r="E3115" s="5">
        <v>43998</v>
      </c>
      <c r="F3115" s="2">
        <v>9900</v>
      </c>
      <c r="G3115" s="2" t="s">
        <v>959</v>
      </c>
      <c r="H3115" s="2" t="s">
        <v>217</v>
      </c>
      <c r="I3115" s="6">
        <v>0.05</v>
      </c>
      <c r="J3115" s="2" t="str">
        <f t="shared" si="48"/>
        <v>2020-06</v>
      </c>
    </row>
    <row r="3116" spans="1:10" x14ac:dyDescent="0.2">
      <c r="A3116" s="2" t="s">
        <v>608</v>
      </c>
      <c r="B3116" s="2" t="s">
        <v>34</v>
      </c>
      <c r="C3116" s="2" t="s">
        <v>243</v>
      </c>
      <c r="D3116" s="2">
        <v>70</v>
      </c>
      <c r="E3116" s="5">
        <v>43998</v>
      </c>
      <c r="F3116" s="2">
        <v>40</v>
      </c>
      <c r="G3116" s="2" t="s">
        <v>17</v>
      </c>
      <c r="H3116" s="2" t="s">
        <v>23</v>
      </c>
      <c r="I3116" s="6">
        <v>0.01</v>
      </c>
      <c r="J3116" s="2" t="str">
        <f t="shared" si="48"/>
        <v>2020-06</v>
      </c>
    </row>
    <row r="3117" spans="1:10" x14ac:dyDescent="0.2">
      <c r="A3117" s="2" t="s">
        <v>2593</v>
      </c>
      <c r="B3117" s="2" t="s">
        <v>1276</v>
      </c>
      <c r="C3117" s="2" t="s">
        <v>32</v>
      </c>
      <c r="D3117" s="2">
        <v>44</v>
      </c>
      <c r="E3117" s="5">
        <v>43998</v>
      </c>
      <c r="F3117" s="2">
        <v>50</v>
      </c>
      <c r="G3117" s="2" t="s">
        <v>66</v>
      </c>
      <c r="H3117" s="2" t="s">
        <v>23</v>
      </c>
      <c r="I3117" s="6">
        <v>0.25</v>
      </c>
      <c r="J3117" s="2" t="str">
        <f t="shared" si="48"/>
        <v>2020-06</v>
      </c>
    </row>
    <row r="3118" spans="1:10" x14ac:dyDescent="0.2">
      <c r="A3118" s="2" t="s">
        <v>2594</v>
      </c>
      <c r="B3118" s="2" t="s">
        <v>60</v>
      </c>
      <c r="C3118" s="2" t="s">
        <v>243</v>
      </c>
      <c r="D3118" s="2" t="s">
        <v>2954</v>
      </c>
      <c r="E3118" s="5">
        <v>43997</v>
      </c>
      <c r="F3118" s="2">
        <v>117</v>
      </c>
      <c r="G3118" s="2" t="s">
        <v>45</v>
      </c>
      <c r="H3118" s="2" t="s">
        <v>23</v>
      </c>
      <c r="I3118" s="6">
        <v>0.11</v>
      </c>
      <c r="J3118" s="2" t="str">
        <f t="shared" si="48"/>
        <v>2020-06</v>
      </c>
    </row>
    <row r="3119" spans="1:10" x14ac:dyDescent="0.2">
      <c r="A3119" s="2" t="s">
        <v>2595</v>
      </c>
      <c r="B3119" s="2" t="s">
        <v>34</v>
      </c>
      <c r="C3119" s="2" t="s">
        <v>142</v>
      </c>
      <c r="D3119" s="2" t="s">
        <v>2954</v>
      </c>
      <c r="E3119" s="5">
        <v>43997</v>
      </c>
      <c r="F3119" s="2">
        <v>10</v>
      </c>
      <c r="G3119" s="2" t="s">
        <v>37</v>
      </c>
      <c r="H3119" s="2" t="s">
        <v>23</v>
      </c>
      <c r="I3119" s="6">
        <v>1</v>
      </c>
      <c r="J3119" s="2" t="str">
        <f t="shared" si="48"/>
        <v>2020-06</v>
      </c>
    </row>
    <row r="3120" spans="1:10" x14ac:dyDescent="0.2">
      <c r="A3120" s="2" t="s">
        <v>979</v>
      </c>
      <c r="B3120" s="2" t="s">
        <v>245</v>
      </c>
      <c r="C3120" s="2" t="s">
        <v>52</v>
      </c>
      <c r="D3120" s="2">
        <v>225</v>
      </c>
      <c r="E3120" s="5">
        <v>43994</v>
      </c>
      <c r="F3120" s="2">
        <v>24700</v>
      </c>
      <c r="G3120" s="2" t="s">
        <v>17</v>
      </c>
      <c r="H3120" s="2" t="s">
        <v>246</v>
      </c>
      <c r="I3120" s="6">
        <v>0.25</v>
      </c>
      <c r="J3120" s="2" t="str">
        <f t="shared" si="48"/>
        <v>2020-06</v>
      </c>
    </row>
    <row r="3121" spans="1:10" x14ac:dyDescent="0.2">
      <c r="A3121" s="2" t="s">
        <v>2596</v>
      </c>
      <c r="B3121" s="2" t="s">
        <v>34</v>
      </c>
      <c r="C3121" s="2" t="s">
        <v>16</v>
      </c>
      <c r="D3121" s="2">
        <v>63</v>
      </c>
      <c r="E3121" s="5">
        <v>43994</v>
      </c>
      <c r="F3121" s="2">
        <v>50</v>
      </c>
      <c r="G3121" s="2" t="s">
        <v>37</v>
      </c>
      <c r="H3121" s="2" t="s">
        <v>23</v>
      </c>
      <c r="I3121" s="6">
        <v>0.48</v>
      </c>
      <c r="J3121" s="2" t="str">
        <f t="shared" si="48"/>
        <v>2020-06</v>
      </c>
    </row>
    <row r="3122" spans="1:10" x14ac:dyDescent="0.2">
      <c r="A3122" s="2" t="s">
        <v>2597</v>
      </c>
      <c r="B3122" s="2" t="s">
        <v>2598</v>
      </c>
      <c r="C3122" s="2" t="s">
        <v>48</v>
      </c>
      <c r="D3122" s="2">
        <v>120</v>
      </c>
      <c r="E3122" s="5">
        <v>43993</v>
      </c>
      <c r="F3122" s="2" t="s">
        <v>2954</v>
      </c>
      <c r="G3122" s="2" t="s">
        <v>12</v>
      </c>
      <c r="H3122" s="2" t="s">
        <v>2599</v>
      </c>
      <c r="I3122" s="6">
        <v>0.1</v>
      </c>
      <c r="J3122" s="2" t="str">
        <f t="shared" si="48"/>
        <v>2020-06</v>
      </c>
    </row>
    <row r="3123" spans="1:10" x14ac:dyDescent="0.2">
      <c r="A3123" s="2" t="s">
        <v>446</v>
      </c>
      <c r="B3123" s="2" t="s">
        <v>25</v>
      </c>
      <c r="C3123" s="2" t="s">
        <v>142</v>
      </c>
      <c r="D3123" s="2">
        <v>3</v>
      </c>
      <c r="E3123" s="5">
        <v>43993</v>
      </c>
      <c r="F3123" s="2">
        <v>2</v>
      </c>
      <c r="G3123" s="2" t="s">
        <v>132</v>
      </c>
      <c r="H3123" s="2" t="s">
        <v>23</v>
      </c>
      <c r="I3123" s="6">
        <v>0.27</v>
      </c>
      <c r="J3123" s="2" t="str">
        <f t="shared" si="48"/>
        <v>2020-06</v>
      </c>
    </row>
    <row r="3124" spans="1:10" x14ac:dyDescent="0.2">
      <c r="A3124" s="2" t="s">
        <v>2600</v>
      </c>
      <c r="B3124" s="2" t="s">
        <v>89</v>
      </c>
      <c r="C3124" s="2" t="s">
        <v>235</v>
      </c>
      <c r="D3124" s="2">
        <v>10</v>
      </c>
      <c r="E3124" s="5">
        <v>43992</v>
      </c>
      <c r="F3124" s="2" t="s">
        <v>2954</v>
      </c>
      <c r="G3124" s="2" t="s">
        <v>12</v>
      </c>
      <c r="H3124" s="2" t="s">
        <v>23</v>
      </c>
      <c r="I3124" s="6">
        <v>0.18</v>
      </c>
      <c r="J3124" s="2" t="str">
        <f t="shared" si="48"/>
        <v>2020-06</v>
      </c>
    </row>
    <row r="3125" spans="1:10" x14ac:dyDescent="0.2">
      <c r="A3125" s="2" t="s">
        <v>2601</v>
      </c>
      <c r="B3125" s="2" t="s">
        <v>335</v>
      </c>
      <c r="C3125" s="2" t="s">
        <v>113</v>
      </c>
      <c r="D3125" s="2">
        <v>26</v>
      </c>
      <c r="E3125" s="5">
        <v>43991</v>
      </c>
      <c r="F3125" s="2">
        <v>39.6</v>
      </c>
      <c r="G3125" s="2" t="s">
        <v>12</v>
      </c>
      <c r="H3125" s="2" t="s">
        <v>106</v>
      </c>
      <c r="I3125" s="6" t="s">
        <v>2954</v>
      </c>
      <c r="J3125" s="2" t="str">
        <f t="shared" si="48"/>
        <v>2020-06</v>
      </c>
    </row>
    <row r="3126" spans="1:10" x14ac:dyDescent="0.2">
      <c r="A3126" s="2" t="s">
        <v>2602</v>
      </c>
      <c r="B3126" s="2" t="s">
        <v>34</v>
      </c>
      <c r="C3126" s="2" t="s">
        <v>235</v>
      </c>
      <c r="D3126" s="2">
        <v>46</v>
      </c>
      <c r="E3126" s="5">
        <v>43987</v>
      </c>
      <c r="F3126" s="2">
        <v>139</v>
      </c>
      <c r="G3126" s="2" t="s">
        <v>75</v>
      </c>
      <c r="H3126" s="2" t="s">
        <v>23</v>
      </c>
      <c r="I3126" s="6">
        <v>0.08</v>
      </c>
      <c r="J3126" s="2" t="str">
        <f t="shared" si="48"/>
        <v>2020-06</v>
      </c>
    </row>
    <row r="3127" spans="1:10" x14ac:dyDescent="0.2">
      <c r="A3127" s="2" t="s">
        <v>1353</v>
      </c>
      <c r="B3127" s="2" t="s">
        <v>34</v>
      </c>
      <c r="C3127" s="2" t="s">
        <v>16</v>
      </c>
      <c r="D3127" s="2">
        <v>18</v>
      </c>
      <c r="E3127" s="5">
        <v>43987</v>
      </c>
      <c r="F3127" s="2">
        <v>106</v>
      </c>
      <c r="G3127" s="2" t="s">
        <v>66</v>
      </c>
      <c r="H3127" s="2" t="s">
        <v>23</v>
      </c>
      <c r="I3127" s="6">
        <v>0.14000000000000001</v>
      </c>
      <c r="J3127" s="2" t="str">
        <f t="shared" si="48"/>
        <v>2020-06</v>
      </c>
    </row>
    <row r="3128" spans="1:10" x14ac:dyDescent="0.2">
      <c r="A3128" s="2" t="s">
        <v>2603</v>
      </c>
      <c r="B3128" s="2" t="s">
        <v>34</v>
      </c>
      <c r="C3128" s="2" t="s">
        <v>195</v>
      </c>
      <c r="D3128" s="2">
        <v>50</v>
      </c>
      <c r="E3128" s="5">
        <v>43986</v>
      </c>
      <c r="F3128" s="2">
        <v>52</v>
      </c>
      <c r="G3128" s="2" t="s">
        <v>66</v>
      </c>
      <c r="H3128" s="2" t="s">
        <v>23</v>
      </c>
      <c r="I3128" s="6">
        <v>0.4</v>
      </c>
      <c r="J3128" s="2" t="str">
        <f t="shared" si="48"/>
        <v>2020-06</v>
      </c>
    </row>
    <row r="3129" spans="1:10" x14ac:dyDescent="0.2">
      <c r="A3129" s="2" t="s">
        <v>2604</v>
      </c>
      <c r="B3129" s="2" t="s">
        <v>47</v>
      </c>
      <c r="C3129" s="2" t="s">
        <v>78</v>
      </c>
      <c r="D3129" s="2">
        <v>39</v>
      </c>
      <c r="E3129" s="5">
        <v>43986</v>
      </c>
      <c r="F3129" s="2">
        <v>29</v>
      </c>
      <c r="G3129" s="2" t="s">
        <v>41</v>
      </c>
      <c r="H3129" s="2" t="s">
        <v>23</v>
      </c>
      <c r="I3129" s="6">
        <v>0.14000000000000001</v>
      </c>
      <c r="J3129" s="2" t="str">
        <f t="shared" si="48"/>
        <v>2020-06</v>
      </c>
    </row>
    <row r="3130" spans="1:10" x14ac:dyDescent="0.2">
      <c r="A3130" s="2" t="s">
        <v>2605</v>
      </c>
      <c r="B3130" s="2" t="s">
        <v>34</v>
      </c>
      <c r="C3130" s="2" t="s">
        <v>52</v>
      </c>
      <c r="D3130" s="2" t="s">
        <v>2954</v>
      </c>
      <c r="E3130" s="5">
        <v>43986</v>
      </c>
      <c r="F3130" s="2">
        <v>75</v>
      </c>
      <c r="G3130" s="2" t="s">
        <v>66</v>
      </c>
      <c r="H3130" s="2" t="s">
        <v>23</v>
      </c>
      <c r="I3130" s="6" t="s">
        <v>2954</v>
      </c>
      <c r="J3130" s="2" t="str">
        <f t="shared" si="48"/>
        <v>2020-06</v>
      </c>
    </row>
    <row r="3131" spans="1:10" x14ac:dyDescent="0.2">
      <c r="A3131" s="2" t="s">
        <v>2606</v>
      </c>
      <c r="B3131" s="2" t="s">
        <v>54</v>
      </c>
      <c r="C3131" s="2" t="s">
        <v>16</v>
      </c>
      <c r="D3131" s="2">
        <v>120</v>
      </c>
      <c r="E3131" s="5">
        <v>43985</v>
      </c>
      <c r="F3131" s="2">
        <v>324</v>
      </c>
      <c r="G3131" s="2" t="s">
        <v>62</v>
      </c>
      <c r="H3131" s="2" t="s">
        <v>55</v>
      </c>
      <c r="I3131" s="6">
        <v>0.08</v>
      </c>
      <c r="J3131" s="2" t="str">
        <f t="shared" si="48"/>
        <v>2020-06</v>
      </c>
    </row>
    <row r="3132" spans="1:10" x14ac:dyDescent="0.2">
      <c r="A3132" s="2" t="s">
        <v>2029</v>
      </c>
      <c r="B3132" s="2" t="s">
        <v>34</v>
      </c>
      <c r="C3132" s="2" t="s">
        <v>135</v>
      </c>
      <c r="D3132" s="2">
        <v>70</v>
      </c>
      <c r="E3132" s="5">
        <v>43985</v>
      </c>
      <c r="F3132" s="2">
        <v>1</v>
      </c>
      <c r="G3132" s="2" t="s">
        <v>12</v>
      </c>
      <c r="H3132" s="2" t="s">
        <v>23</v>
      </c>
      <c r="I3132" s="6" t="s">
        <v>2954</v>
      </c>
      <c r="J3132" s="2" t="str">
        <f t="shared" si="48"/>
        <v>2020-06</v>
      </c>
    </row>
    <row r="3133" spans="1:10" x14ac:dyDescent="0.2">
      <c r="A3133" s="2" t="s">
        <v>2607</v>
      </c>
      <c r="B3133" s="2" t="s">
        <v>314</v>
      </c>
      <c r="C3133" s="2" t="s">
        <v>52</v>
      </c>
      <c r="D3133" s="2">
        <v>40</v>
      </c>
      <c r="E3133" s="5">
        <v>43985</v>
      </c>
      <c r="F3133" s="2">
        <v>117</v>
      </c>
      <c r="G3133" s="2" t="s">
        <v>75</v>
      </c>
      <c r="H3133" s="2" t="s">
        <v>23</v>
      </c>
      <c r="I3133" s="6">
        <v>0.21</v>
      </c>
      <c r="J3133" s="2" t="str">
        <f t="shared" si="48"/>
        <v>2020-06</v>
      </c>
    </row>
    <row r="3134" spans="1:10" x14ac:dyDescent="0.2">
      <c r="A3134" s="2" t="s">
        <v>2608</v>
      </c>
      <c r="B3134" s="2" t="s">
        <v>34</v>
      </c>
      <c r="C3134" s="2" t="s">
        <v>16</v>
      </c>
      <c r="D3134" s="2">
        <v>22</v>
      </c>
      <c r="E3134" s="5">
        <v>43985</v>
      </c>
      <c r="F3134" s="2">
        <v>120</v>
      </c>
      <c r="G3134" s="2" t="s">
        <v>62</v>
      </c>
      <c r="H3134" s="2" t="s">
        <v>23</v>
      </c>
      <c r="I3134" s="6">
        <v>0.14000000000000001</v>
      </c>
      <c r="J3134" s="2" t="str">
        <f t="shared" si="48"/>
        <v>2020-06</v>
      </c>
    </row>
    <row r="3135" spans="1:10" x14ac:dyDescent="0.2">
      <c r="A3135" s="2" t="s">
        <v>2609</v>
      </c>
      <c r="B3135" s="2" t="s">
        <v>74</v>
      </c>
      <c r="C3135" s="2" t="s">
        <v>52</v>
      </c>
      <c r="D3135" s="2">
        <v>100</v>
      </c>
      <c r="E3135" s="5">
        <v>43984</v>
      </c>
      <c r="F3135" s="2">
        <v>55</v>
      </c>
      <c r="G3135" s="2" t="s">
        <v>45</v>
      </c>
      <c r="H3135" s="2" t="s">
        <v>76</v>
      </c>
      <c r="I3135" s="6" t="s">
        <v>2954</v>
      </c>
      <c r="J3135" s="2" t="str">
        <f t="shared" si="48"/>
        <v>2020-06</v>
      </c>
    </row>
    <row r="3136" spans="1:10" x14ac:dyDescent="0.2">
      <c r="A3136" s="2" t="s">
        <v>93</v>
      </c>
      <c r="B3136" s="2" t="s">
        <v>158</v>
      </c>
      <c r="C3136" s="2" t="s">
        <v>52</v>
      </c>
      <c r="D3136" s="2">
        <v>40</v>
      </c>
      <c r="E3136" s="5">
        <v>43984</v>
      </c>
      <c r="F3136" s="2">
        <v>3100</v>
      </c>
      <c r="G3136" s="2" t="s">
        <v>199</v>
      </c>
      <c r="H3136" s="2" t="s">
        <v>23</v>
      </c>
      <c r="I3136" s="6">
        <v>0.02</v>
      </c>
      <c r="J3136" s="2" t="str">
        <f t="shared" si="48"/>
        <v>2020-06</v>
      </c>
    </row>
    <row r="3137" spans="1:10" x14ac:dyDescent="0.2">
      <c r="A3137" s="2" t="s">
        <v>1959</v>
      </c>
      <c r="B3137" s="2" t="s">
        <v>34</v>
      </c>
      <c r="C3137" s="2" t="s">
        <v>16</v>
      </c>
      <c r="D3137" s="2">
        <v>14</v>
      </c>
      <c r="E3137" s="5">
        <v>43984</v>
      </c>
      <c r="F3137" s="2">
        <v>453</v>
      </c>
      <c r="G3137" s="2" t="s">
        <v>66</v>
      </c>
      <c r="H3137" s="2" t="s">
        <v>23</v>
      </c>
      <c r="I3137" s="6">
        <v>0.15</v>
      </c>
      <c r="J3137" s="2" t="str">
        <f t="shared" si="48"/>
        <v>2020-06</v>
      </c>
    </row>
    <row r="3138" spans="1:10" x14ac:dyDescent="0.2">
      <c r="A3138" s="2" t="s">
        <v>2610</v>
      </c>
      <c r="B3138" s="2" t="s">
        <v>533</v>
      </c>
      <c r="C3138" s="2" t="s">
        <v>243</v>
      </c>
      <c r="D3138" s="2">
        <v>12</v>
      </c>
      <c r="E3138" s="5">
        <v>43984</v>
      </c>
      <c r="F3138" s="2">
        <v>58</v>
      </c>
      <c r="G3138" s="2" t="s">
        <v>37</v>
      </c>
      <c r="H3138" s="2" t="s">
        <v>23</v>
      </c>
      <c r="I3138" s="6">
        <v>0.16</v>
      </c>
      <c r="J3138" s="2" t="str">
        <f t="shared" si="48"/>
        <v>2020-06</v>
      </c>
    </row>
    <row r="3139" spans="1:10" x14ac:dyDescent="0.2">
      <c r="A3139" s="2" t="s">
        <v>2611</v>
      </c>
      <c r="B3139" s="2" t="s">
        <v>25</v>
      </c>
      <c r="C3139" s="2" t="s">
        <v>35</v>
      </c>
      <c r="D3139" s="2">
        <v>12</v>
      </c>
      <c r="E3139" s="5">
        <v>43984</v>
      </c>
      <c r="F3139" s="2">
        <v>10</v>
      </c>
      <c r="G3139" s="2" t="s">
        <v>45</v>
      </c>
      <c r="H3139" s="2" t="s">
        <v>23</v>
      </c>
      <c r="I3139" s="6" t="s">
        <v>2954</v>
      </c>
      <c r="J3139" s="2" t="str">
        <f t="shared" ref="J3139:J3202" si="49">TEXT(E3139,"YYYY-MM")</f>
        <v>2020-06</v>
      </c>
    </row>
    <row r="3140" spans="1:10" x14ac:dyDescent="0.2">
      <c r="A3140" s="2" t="s">
        <v>405</v>
      </c>
      <c r="B3140" s="2" t="s">
        <v>34</v>
      </c>
      <c r="C3140" s="2" t="s">
        <v>142</v>
      </c>
      <c r="D3140" s="2">
        <v>1400</v>
      </c>
      <c r="E3140" s="5">
        <v>43983</v>
      </c>
      <c r="F3140" s="2">
        <v>79</v>
      </c>
      <c r="G3140" s="2" t="s">
        <v>17</v>
      </c>
      <c r="H3140" s="2" t="s">
        <v>23</v>
      </c>
      <c r="I3140" s="6">
        <v>0.18</v>
      </c>
      <c r="J3140" s="2" t="str">
        <f t="shared" si="49"/>
        <v>2020-06</v>
      </c>
    </row>
    <row r="3141" spans="1:10" x14ac:dyDescent="0.2">
      <c r="A3141" s="2" t="s">
        <v>2546</v>
      </c>
      <c r="B3141" s="2" t="s">
        <v>255</v>
      </c>
      <c r="C3141" s="2" t="s">
        <v>44</v>
      </c>
      <c r="D3141" s="2">
        <v>350</v>
      </c>
      <c r="E3141" s="5">
        <v>43983</v>
      </c>
      <c r="F3141" s="2">
        <v>548</v>
      </c>
      <c r="G3141" s="2" t="s">
        <v>17</v>
      </c>
      <c r="H3141" s="2" t="s">
        <v>98</v>
      </c>
      <c r="I3141" s="6">
        <v>0.1</v>
      </c>
      <c r="J3141" s="2" t="str">
        <f t="shared" si="49"/>
        <v>2020-06</v>
      </c>
    </row>
    <row r="3142" spans="1:10" x14ac:dyDescent="0.2">
      <c r="A3142" s="2" t="s">
        <v>2612</v>
      </c>
      <c r="B3142" s="2" t="s">
        <v>43</v>
      </c>
      <c r="C3142" s="2" t="s">
        <v>148</v>
      </c>
      <c r="D3142" s="2">
        <v>24</v>
      </c>
      <c r="E3142" s="5">
        <v>43983</v>
      </c>
      <c r="F3142" s="2">
        <v>24</v>
      </c>
      <c r="G3142" s="2" t="s">
        <v>66</v>
      </c>
      <c r="H3142" s="2" t="s">
        <v>23</v>
      </c>
      <c r="I3142" s="6">
        <v>0.22</v>
      </c>
      <c r="J3142" s="2" t="str">
        <f t="shared" si="49"/>
        <v>2020-06</v>
      </c>
    </row>
    <row r="3143" spans="1:10" x14ac:dyDescent="0.2">
      <c r="A3143" s="2" t="s">
        <v>389</v>
      </c>
      <c r="B3143" s="2" t="s">
        <v>34</v>
      </c>
      <c r="C3143" s="2" t="s">
        <v>16</v>
      </c>
      <c r="D3143" s="2">
        <v>62</v>
      </c>
      <c r="E3143" s="5">
        <v>43980</v>
      </c>
      <c r="F3143" s="2">
        <v>732</v>
      </c>
      <c r="G3143" s="2" t="s">
        <v>66</v>
      </c>
      <c r="H3143" s="2" t="s">
        <v>23</v>
      </c>
      <c r="I3143" s="6">
        <v>0.15</v>
      </c>
      <c r="J3143" s="2" t="str">
        <f t="shared" si="49"/>
        <v>2020-05</v>
      </c>
    </row>
    <row r="3144" spans="1:10" x14ac:dyDescent="0.2">
      <c r="A3144" s="2" t="s">
        <v>2613</v>
      </c>
      <c r="B3144" s="2" t="s">
        <v>28</v>
      </c>
      <c r="C3144" s="2" t="s">
        <v>148</v>
      </c>
      <c r="D3144" s="2">
        <v>32</v>
      </c>
      <c r="E3144" s="5">
        <v>43980</v>
      </c>
      <c r="F3144" s="2">
        <v>17</v>
      </c>
      <c r="G3144" s="2" t="s">
        <v>41</v>
      </c>
      <c r="H3144" s="2" t="s">
        <v>23</v>
      </c>
      <c r="I3144" s="6">
        <v>0.6</v>
      </c>
      <c r="J3144" s="2" t="str">
        <f t="shared" si="49"/>
        <v>2020-05</v>
      </c>
    </row>
    <row r="3145" spans="1:10" x14ac:dyDescent="0.2">
      <c r="A3145" s="2" t="s">
        <v>2614</v>
      </c>
      <c r="B3145" s="2" t="s">
        <v>538</v>
      </c>
      <c r="C3145" s="2" t="s">
        <v>35</v>
      </c>
      <c r="D3145" s="2">
        <v>270</v>
      </c>
      <c r="E3145" s="5">
        <v>43979</v>
      </c>
      <c r="F3145" s="2">
        <v>224</v>
      </c>
      <c r="G3145" s="2" t="s">
        <v>12</v>
      </c>
      <c r="H3145" s="2" t="s">
        <v>98</v>
      </c>
      <c r="I3145" s="6">
        <v>0.18</v>
      </c>
      <c r="J3145" s="2" t="str">
        <f t="shared" si="49"/>
        <v>2020-05</v>
      </c>
    </row>
    <row r="3146" spans="1:10" x14ac:dyDescent="0.2">
      <c r="A3146" s="2" t="s">
        <v>1001</v>
      </c>
      <c r="B3146" s="2" t="s">
        <v>47</v>
      </c>
      <c r="C3146" s="2" t="s">
        <v>52</v>
      </c>
      <c r="D3146" s="2">
        <v>219</v>
      </c>
      <c r="E3146" s="5">
        <v>43979</v>
      </c>
      <c r="F3146" s="2">
        <v>340</v>
      </c>
      <c r="G3146" s="2" t="s">
        <v>17</v>
      </c>
      <c r="H3146" s="2" t="s">
        <v>23</v>
      </c>
      <c r="I3146" s="6">
        <v>0.3</v>
      </c>
      <c r="J3146" s="2" t="str">
        <f t="shared" si="49"/>
        <v>2020-05</v>
      </c>
    </row>
    <row r="3147" spans="1:10" x14ac:dyDescent="0.2">
      <c r="A3147" s="2" t="s">
        <v>2153</v>
      </c>
      <c r="B3147" s="2" t="s">
        <v>34</v>
      </c>
      <c r="C3147" s="2" t="s">
        <v>35</v>
      </c>
      <c r="D3147" s="2">
        <v>200</v>
      </c>
      <c r="E3147" s="5">
        <v>43979</v>
      </c>
      <c r="F3147" s="2">
        <v>19</v>
      </c>
      <c r="G3147" s="2" t="s">
        <v>45</v>
      </c>
      <c r="H3147" s="2" t="s">
        <v>23</v>
      </c>
      <c r="I3147" s="6" t="s">
        <v>2954</v>
      </c>
      <c r="J3147" s="2" t="str">
        <f t="shared" si="49"/>
        <v>2020-05</v>
      </c>
    </row>
    <row r="3148" spans="1:10" x14ac:dyDescent="0.2">
      <c r="A3148" s="2" t="s">
        <v>1164</v>
      </c>
      <c r="B3148" s="2" t="s">
        <v>831</v>
      </c>
      <c r="C3148" s="2" t="s">
        <v>68</v>
      </c>
      <c r="D3148" s="2">
        <v>36</v>
      </c>
      <c r="E3148" s="5">
        <v>43979</v>
      </c>
      <c r="F3148" s="2">
        <v>157</v>
      </c>
      <c r="G3148" s="2" t="s">
        <v>128</v>
      </c>
      <c r="H3148" s="2" t="s">
        <v>274</v>
      </c>
      <c r="I3148" s="6">
        <v>0.08</v>
      </c>
      <c r="J3148" s="2" t="str">
        <f t="shared" si="49"/>
        <v>2020-05</v>
      </c>
    </row>
    <row r="3149" spans="1:10" x14ac:dyDescent="0.2">
      <c r="A3149" s="2" t="s">
        <v>2615</v>
      </c>
      <c r="B3149" s="2" t="s">
        <v>25</v>
      </c>
      <c r="C3149" s="2" t="s">
        <v>142</v>
      </c>
      <c r="D3149" s="2">
        <v>20</v>
      </c>
      <c r="E3149" s="5">
        <v>43979</v>
      </c>
      <c r="F3149" s="2">
        <v>7</v>
      </c>
      <c r="G3149" s="2" t="s">
        <v>41</v>
      </c>
      <c r="H3149" s="2" t="s">
        <v>23</v>
      </c>
      <c r="I3149" s="6">
        <v>0.25</v>
      </c>
      <c r="J3149" s="2" t="str">
        <f t="shared" si="49"/>
        <v>2020-05</v>
      </c>
    </row>
    <row r="3150" spans="1:10" x14ac:dyDescent="0.2">
      <c r="A3150" s="2" t="s">
        <v>2616</v>
      </c>
      <c r="B3150" s="2" t="s">
        <v>147</v>
      </c>
      <c r="C3150" s="2" t="s">
        <v>61</v>
      </c>
      <c r="D3150" s="2">
        <v>150</v>
      </c>
      <c r="E3150" s="5">
        <v>43978</v>
      </c>
      <c r="F3150" s="2">
        <v>89</v>
      </c>
      <c r="G3150" s="2" t="s">
        <v>45</v>
      </c>
      <c r="H3150" s="2" t="s">
        <v>23</v>
      </c>
      <c r="I3150" s="6">
        <v>0.12</v>
      </c>
      <c r="J3150" s="2" t="str">
        <f t="shared" si="49"/>
        <v>2020-05</v>
      </c>
    </row>
    <row r="3151" spans="1:10" x14ac:dyDescent="0.2">
      <c r="A3151" s="2" t="s">
        <v>2331</v>
      </c>
      <c r="B3151" s="2" t="s">
        <v>1472</v>
      </c>
      <c r="C3151" s="2" t="s">
        <v>16</v>
      </c>
      <c r="D3151" s="2">
        <v>62</v>
      </c>
      <c r="E3151" s="5">
        <v>43978</v>
      </c>
      <c r="F3151" s="2">
        <v>30</v>
      </c>
      <c r="G3151" s="2" t="s">
        <v>12</v>
      </c>
      <c r="H3151" s="2" t="s">
        <v>662</v>
      </c>
      <c r="I3151" s="6">
        <v>0.08</v>
      </c>
      <c r="J3151" s="2" t="str">
        <f t="shared" si="49"/>
        <v>2020-05</v>
      </c>
    </row>
    <row r="3152" spans="1:10" x14ac:dyDescent="0.2">
      <c r="A3152" s="2" t="s">
        <v>979</v>
      </c>
      <c r="B3152" s="2" t="s">
        <v>100</v>
      </c>
      <c r="C3152" s="2" t="s">
        <v>52</v>
      </c>
      <c r="D3152" s="2">
        <v>600</v>
      </c>
      <c r="E3152" s="5">
        <v>43977</v>
      </c>
      <c r="F3152" s="2">
        <v>24700</v>
      </c>
      <c r="G3152" s="2" t="s">
        <v>17</v>
      </c>
      <c r="H3152" s="2" t="s">
        <v>98</v>
      </c>
      <c r="I3152" s="6">
        <v>0.23</v>
      </c>
      <c r="J3152" s="2" t="str">
        <f t="shared" si="49"/>
        <v>2020-05</v>
      </c>
    </row>
    <row r="3153" spans="1:10" x14ac:dyDescent="0.2">
      <c r="A3153" s="2" t="s">
        <v>2617</v>
      </c>
      <c r="B3153" s="2" t="s">
        <v>60</v>
      </c>
      <c r="C3153" s="2" t="s">
        <v>61</v>
      </c>
      <c r="D3153" s="2">
        <v>137</v>
      </c>
      <c r="E3153" s="5">
        <v>43977</v>
      </c>
      <c r="F3153" s="2">
        <v>108</v>
      </c>
      <c r="G3153" s="2" t="s">
        <v>45</v>
      </c>
      <c r="H3153" s="2" t="s">
        <v>23</v>
      </c>
      <c r="I3153" s="6">
        <v>1</v>
      </c>
      <c r="J3153" s="2" t="str">
        <f t="shared" si="49"/>
        <v>2020-05</v>
      </c>
    </row>
    <row r="3154" spans="1:10" x14ac:dyDescent="0.2">
      <c r="A3154" s="2" t="s">
        <v>2618</v>
      </c>
      <c r="B3154" s="2" t="s">
        <v>43</v>
      </c>
      <c r="C3154" s="2" t="s">
        <v>16</v>
      </c>
      <c r="D3154" s="2">
        <v>50</v>
      </c>
      <c r="E3154" s="5">
        <v>43977</v>
      </c>
      <c r="F3154" s="2">
        <v>207</v>
      </c>
      <c r="G3154" s="2" t="s">
        <v>12</v>
      </c>
      <c r="H3154" s="2" t="s">
        <v>23</v>
      </c>
      <c r="I3154" s="6" t="s">
        <v>2954</v>
      </c>
      <c r="J3154" s="2" t="str">
        <f t="shared" si="49"/>
        <v>2020-05</v>
      </c>
    </row>
    <row r="3155" spans="1:10" x14ac:dyDescent="0.2">
      <c r="A3155" s="2" t="s">
        <v>2158</v>
      </c>
      <c r="B3155" s="2" t="s">
        <v>255</v>
      </c>
      <c r="C3155" s="2" t="s">
        <v>52</v>
      </c>
      <c r="D3155" s="2">
        <v>200</v>
      </c>
      <c r="E3155" s="5">
        <v>43976</v>
      </c>
      <c r="F3155" s="2">
        <v>247</v>
      </c>
      <c r="G3155" s="2" t="s">
        <v>75</v>
      </c>
      <c r="H3155" s="2" t="s">
        <v>98</v>
      </c>
      <c r="I3155" s="6" t="s">
        <v>2954</v>
      </c>
      <c r="J3155" s="2" t="str">
        <f t="shared" si="49"/>
        <v>2020-05</v>
      </c>
    </row>
    <row r="3156" spans="1:10" x14ac:dyDescent="0.2">
      <c r="A3156" s="2" t="s">
        <v>2619</v>
      </c>
      <c r="B3156" s="2" t="s">
        <v>2620</v>
      </c>
      <c r="C3156" s="2" t="s">
        <v>29</v>
      </c>
      <c r="D3156" s="2">
        <v>21</v>
      </c>
      <c r="E3156" s="5">
        <v>43973</v>
      </c>
      <c r="F3156" s="2" t="s">
        <v>2954</v>
      </c>
      <c r="G3156" s="2" t="s">
        <v>12</v>
      </c>
      <c r="H3156" s="2" t="s">
        <v>168</v>
      </c>
      <c r="I3156" s="6" t="s">
        <v>2954</v>
      </c>
      <c r="J3156" s="2" t="str">
        <f t="shared" si="49"/>
        <v>2020-05</v>
      </c>
    </row>
    <row r="3157" spans="1:10" x14ac:dyDescent="0.2">
      <c r="A3157" s="2" t="s">
        <v>2621</v>
      </c>
      <c r="B3157" s="2" t="s">
        <v>401</v>
      </c>
      <c r="C3157" s="2" t="s">
        <v>26</v>
      </c>
      <c r="D3157" s="2">
        <v>400</v>
      </c>
      <c r="E3157" s="5">
        <v>43972</v>
      </c>
      <c r="F3157" s="2">
        <v>146</v>
      </c>
      <c r="G3157" s="2" t="s">
        <v>45</v>
      </c>
      <c r="H3157" s="2" t="s">
        <v>23</v>
      </c>
      <c r="I3157" s="6">
        <v>0.1</v>
      </c>
      <c r="J3157" s="2" t="str">
        <f t="shared" si="49"/>
        <v>2020-05</v>
      </c>
    </row>
    <row r="3158" spans="1:10" x14ac:dyDescent="0.2">
      <c r="A3158" s="2" t="s">
        <v>2622</v>
      </c>
      <c r="B3158" s="2" t="s">
        <v>266</v>
      </c>
      <c r="C3158" s="2" t="s">
        <v>44</v>
      </c>
      <c r="D3158" s="2">
        <v>70</v>
      </c>
      <c r="E3158" s="5">
        <v>43972</v>
      </c>
      <c r="F3158" s="2">
        <v>3</v>
      </c>
      <c r="G3158" s="2" t="s">
        <v>41</v>
      </c>
      <c r="H3158" s="2" t="s">
        <v>98</v>
      </c>
      <c r="I3158" s="7" t="s">
        <v>1402</v>
      </c>
      <c r="J3158" s="2" t="str">
        <f t="shared" si="49"/>
        <v>2020-05</v>
      </c>
    </row>
    <row r="3159" spans="1:10" x14ac:dyDescent="0.2">
      <c r="A3159" s="2" t="s">
        <v>2623</v>
      </c>
      <c r="B3159" s="2" t="s">
        <v>25</v>
      </c>
      <c r="C3159" s="2" t="s">
        <v>78</v>
      </c>
      <c r="D3159" s="2">
        <v>18</v>
      </c>
      <c r="E3159" s="5">
        <v>43972</v>
      </c>
      <c r="F3159" s="2">
        <v>30</v>
      </c>
      <c r="G3159" s="2" t="s">
        <v>41</v>
      </c>
      <c r="H3159" s="2" t="s">
        <v>23</v>
      </c>
      <c r="I3159" s="6">
        <v>0.36</v>
      </c>
      <c r="J3159" s="2" t="str">
        <f t="shared" si="49"/>
        <v>2020-05</v>
      </c>
    </row>
    <row r="3160" spans="1:10" x14ac:dyDescent="0.2">
      <c r="A3160" s="2" t="s">
        <v>2624</v>
      </c>
      <c r="B3160" s="2" t="s">
        <v>162</v>
      </c>
      <c r="C3160" s="2" t="s">
        <v>52</v>
      </c>
      <c r="D3160" s="2" t="s">
        <v>2954</v>
      </c>
      <c r="E3160" s="5">
        <v>43972</v>
      </c>
      <c r="F3160" s="2">
        <v>100</v>
      </c>
      <c r="G3160" s="2" t="s">
        <v>45</v>
      </c>
      <c r="H3160" s="2" t="s">
        <v>163</v>
      </c>
      <c r="I3160" s="6" t="s">
        <v>2954</v>
      </c>
      <c r="J3160" s="2" t="str">
        <f t="shared" si="49"/>
        <v>2020-05</v>
      </c>
    </row>
    <row r="3161" spans="1:10" x14ac:dyDescent="0.2">
      <c r="A3161" s="2" t="s">
        <v>129</v>
      </c>
      <c r="B3161" s="2" t="s">
        <v>100</v>
      </c>
      <c r="C3161" s="2" t="s">
        <v>52</v>
      </c>
      <c r="D3161" s="2">
        <v>1400</v>
      </c>
      <c r="E3161" s="5">
        <v>43971</v>
      </c>
      <c r="F3161" s="2">
        <v>3800</v>
      </c>
      <c r="G3161" s="2" t="s">
        <v>130</v>
      </c>
      <c r="H3161" s="2" t="s">
        <v>98</v>
      </c>
      <c r="I3161" s="7" t="s">
        <v>1402</v>
      </c>
      <c r="J3161" s="2" t="str">
        <f t="shared" si="49"/>
        <v>2020-05</v>
      </c>
    </row>
    <row r="3162" spans="1:10" x14ac:dyDescent="0.2">
      <c r="A3162" s="2" t="s">
        <v>2625</v>
      </c>
      <c r="B3162" s="2" t="s">
        <v>34</v>
      </c>
      <c r="C3162" s="2" t="s">
        <v>170</v>
      </c>
      <c r="D3162" s="2">
        <v>300</v>
      </c>
      <c r="E3162" s="5">
        <v>43971</v>
      </c>
      <c r="F3162" s="2">
        <v>530</v>
      </c>
      <c r="G3162" s="2" t="s">
        <v>62</v>
      </c>
      <c r="H3162" s="2" t="s">
        <v>23</v>
      </c>
      <c r="I3162" s="6">
        <v>0.18</v>
      </c>
      <c r="J3162" s="2" t="str">
        <f t="shared" si="49"/>
        <v>2020-05</v>
      </c>
    </row>
    <row r="3163" spans="1:10" x14ac:dyDescent="0.2">
      <c r="A3163" s="2" t="s">
        <v>2626</v>
      </c>
      <c r="B3163" s="2" t="s">
        <v>2323</v>
      </c>
      <c r="C3163" s="2" t="s">
        <v>44</v>
      </c>
      <c r="D3163" s="2">
        <v>221</v>
      </c>
      <c r="E3163" s="5">
        <v>43971</v>
      </c>
      <c r="F3163" s="2">
        <v>62</v>
      </c>
      <c r="G3163" s="2" t="s">
        <v>37</v>
      </c>
      <c r="H3163" s="2" t="s">
        <v>23</v>
      </c>
      <c r="I3163" s="6">
        <v>1</v>
      </c>
      <c r="J3163" s="2" t="str">
        <f t="shared" si="49"/>
        <v>2020-05</v>
      </c>
    </row>
    <row r="3164" spans="1:10" x14ac:dyDescent="0.2">
      <c r="A3164" s="2" t="s">
        <v>444</v>
      </c>
      <c r="B3164" s="2" t="s">
        <v>34</v>
      </c>
      <c r="C3164" s="2" t="s">
        <v>16</v>
      </c>
      <c r="D3164" s="2">
        <v>112</v>
      </c>
      <c r="E3164" s="5">
        <v>43971</v>
      </c>
      <c r="F3164" s="2">
        <v>2500</v>
      </c>
      <c r="G3164" s="2" t="s">
        <v>199</v>
      </c>
      <c r="H3164" s="2" t="s">
        <v>23</v>
      </c>
      <c r="I3164" s="6">
        <v>7.0000000000000007E-2</v>
      </c>
      <c r="J3164" s="2" t="str">
        <f t="shared" si="49"/>
        <v>2020-05</v>
      </c>
    </row>
    <row r="3165" spans="1:10" x14ac:dyDescent="0.2">
      <c r="A3165" s="2" t="s">
        <v>485</v>
      </c>
      <c r="B3165" s="2" t="s">
        <v>100</v>
      </c>
      <c r="C3165" s="2" t="s">
        <v>26</v>
      </c>
      <c r="D3165" s="2">
        <v>101</v>
      </c>
      <c r="E3165" s="5">
        <v>43971</v>
      </c>
      <c r="F3165" s="2">
        <v>222</v>
      </c>
      <c r="G3165" s="2" t="s">
        <v>75</v>
      </c>
      <c r="H3165" s="2" t="s">
        <v>98</v>
      </c>
      <c r="I3165" s="6">
        <v>0.25</v>
      </c>
      <c r="J3165" s="2" t="str">
        <f t="shared" si="49"/>
        <v>2020-05</v>
      </c>
    </row>
    <row r="3166" spans="1:10" x14ac:dyDescent="0.2">
      <c r="A3166" s="2" t="s">
        <v>1876</v>
      </c>
      <c r="B3166" s="2" t="s">
        <v>34</v>
      </c>
      <c r="C3166" s="2" t="s">
        <v>113</v>
      </c>
      <c r="D3166" s="2">
        <v>39</v>
      </c>
      <c r="E3166" s="5">
        <v>43971</v>
      </c>
      <c r="F3166" s="2">
        <v>240</v>
      </c>
      <c r="G3166" s="2" t="s">
        <v>75</v>
      </c>
      <c r="H3166" s="2" t="s">
        <v>23</v>
      </c>
      <c r="I3166" s="6">
        <v>0.06</v>
      </c>
      <c r="J3166" s="2" t="str">
        <f t="shared" si="49"/>
        <v>2020-05</v>
      </c>
    </row>
    <row r="3167" spans="1:10" x14ac:dyDescent="0.2">
      <c r="A3167" s="2" t="s">
        <v>1264</v>
      </c>
      <c r="B3167" s="2" t="s">
        <v>100</v>
      </c>
      <c r="C3167" s="2" t="s">
        <v>142</v>
      </c>
      <c r="D3167" s="2">
        <v>450</v>
      </c>
      <c r="E3167" s="5">
        <v>43970</v>
      </c>
      <c r="F3167" s="2">
        <v>157</v>
      </c>
      <c r="G3167" s="2" t="s">
        <v>75</v>
      </c>
      <c r="H3167" s="2" t="s">
        <v>98</v>
      </c>
      <c r="I3167" s="6">
        <v>0.15</v>
      </c>
      <c r="J3167" s="2" t="str">
        <f t="shared" si="49"/>
        <v>2020-05</v>
      </c>
    </row>
    <row r="3168" spans="1:10" x14ac:dyDescent="0.2">
      <c r="A3168" s="2" t="s">
        <v>2130</v>
      </c>
      <c r="B3168" s="2" t="s">
        <v>54</v>
      </c>
      <c r="C3168" s="2" t="s">
        <v>44</v>
      </c>
      <c r="D3168" s="2">
        <v>69</v>
      </c>
      <c r="E3168" s="5">
        <v>43970</v>
      </c>
      <c r="F3168" s="2">
        <v>88</v>
      </c>
      <c r="G3168" s="2" t="s">
        <v>37</v>
      </c>
      <c r="H3168" s="2" t="s">
        <v>55</v>
      </c>
      <c r="I3168" s="6">
        <v>0.31</v>
      </c>
      <c r="J3168" s="2" t="str">
        <f t="shared" si="49"/>
        <v>2020-05</v>
      </c>
    </row>
    <row r="3169" spans="1:10" x14ac:dyDescent="0.2">
      <c r="A3169" s="2" t="s">
        <v>2627</v>
      </c>
      <c r="B3169" s="2" t="s">
        <v>54</v>
      </c>
      <c r="C3169" s="2" t="s">
        <v>78</v>
      </c>
      <c r="D3169" s="2">
        <v>10</v>
      </c>
      <c r="E3169" s="5">
        <v>43970</v>
      </c>
      <c r="F3169" s="2" t="s">
        <v>2954</v>
      </c>
      <c r="G3169" s="2" t="s">
        <v>12</v>
      </c>
      <c r="H3169" s="2" t="s">
        <v>55</v>
      </c>
      <c r="I3169" s="6">
        <v>1</v>
      </c>
      <c r="J3169" s="2" t="str">
        <f t="shared" si="49"/>
        <v>2020-05</v>
      </c>
    </row>
    <row r="3170" spans="1:10" x14ac:dyDescent="0.2">
      <c r="A3170" s="2" t="s">
        <v>2628</v>
      </c>
      <c r="B3170" s="2" t="s">
        <v>147</v>
      </c>
      <c r="C3170" s="2" t="s">
        <v>16</v>
      </c>
      <c r="D3170" s="2" t="s">
        <v>2954</v>
      </c>
      <c r="E3170" s="5">
        <v>43970</v>
      </c>
      <c r="F3170" s="2">
        <v>252</v>
      </c>
      <c r="G3170" s="2" t="s">
        <v>66</v>
      </c>
      <c r="H3170" s="2" t="s">
        <v>23</v>
      </c>
      <c r="I3170" s="6" t="s">
        <v>2954</v>
      </c>
      <c r="J3170" s="2" t="str">
        <f t="shared" si="49"/>
        <v>2020-05</v>
      </c>
    </row>
    <row r="3171" spans="1:10" x14ac:dyDescent="0.2">
      <c r="A3171" s="2" t="s">
        <v>979</v>
      </c>
      <c r="B3171" s="2" t="s">
        <v>34</v>
      </c>
      <c r="C3171" s="2" t="s">
        <v>52</v>
      </c>
      <c r="D3171" s="2">
        <v>3000</v>
      </c>
      <c r="E3171" s="5">
        <v>43969</v>
      </c>
      <c r="F3171" s="2">
        <v>24700</v>
      </c>
      <c r="G3171" s="2" t="s">
        <v>17</v>
      </c>
      <c r="H3171" s="2" t="s">
        <v>23</v>
      </c>
      <c r="I3171" s="6">
        <v>0.13</v>
      </c>
      <c r="J3171" s="2" t="str">
        <f t="shared" si="49"/>
        <v>2020-05</v>
      </c>
    </row>
    <row r="3172" spans="1:10" x14ac:dyDescent="0.2">
      <c r="A3172" s="2" t="s">
        <v>2629</v>
      </c>
      <c r="B3172" s="2" t="s">
        <v>217</v>
      </c>
      <c r="C3172" s="2" t="s">
        <v>44</v>
      </c>
      <c r="D3172" s="2">
        <v>1500</v>
      </c>
      <c r="E3172" s="5">
        <v>43969</v>
      </c>
      <c r="F3172" s="2" t="s">
        <v>2954</v>
      </c>
      <c r="G3172" s="2" t="s">
        <v>45</v>
      </c>
      <c r="H3172" s="2" t="s">
        <v>217</v>
      </c>
      <c r="I3172" s="6">
        <v>0.25</v>
      </c>
      <c r="J3172" s="2" t="str">
        <f t="shared" si="49"/>
        <v>2020-05</v>
      </c>
    </row>
    <row r="3173" spans="1:10" x14ac:dyDescent="0.2">
      <c r="A3173" s="2" t="s">
        <v>371</v>
      </c>
      <c r="B3173" s="2" t="s">
        <v>100</v>
      </c>
      <c r="C3173" s="2" t="s">
        <v>11</v>
      </c>
      <c r="D3173" s="2">
        <v>1100</v>
      </c>
      <c r="E3173" s="5">
        <v>43969</v>
      </c>
      <c r="F3173" s="2">
        <v>1600</v>
      </c>
      <c r="G3173" s="2" t="s">
        <v>959</v>
      </c>
      <c r="H3173" s="2" t="s">
        <v>98</v>
      </c>
      <c r="I3173" s="6">
        <v>0.14000000000000001</v>
      </c>
      <c r="J3173" s="2" t="str">
        <f t="shared" si="49"/>
        <v>2020-05</v>
      </c>
    </row>
    <row r="3174" spans="1:10" x14ac:dyDescent="0.2">
      <c r="A3174" s="2" t="s">
        <v>2589</v>
      </c>
      <c r="B3174" s="2" t="s">
        <v>97</v>
      </c>
      <c r="C3174" s="2" t="s">
        <v>148</v>
      </c>
      <c r="D3174" s="2">
        <v>100</v>
      </c>
      <c r="E3174" s="5">
        <v>43969</v>
      </c>
      <c r="F3174" s="2">
        <v>19500</v>
      </c>
      <c r="G3174" s="2" t="s">
        <v>81</v>
      </c>
      <c r="H3174" s="2" t="s">
        <v>98</v>
      </c>
      <c r="I3174" s="6">
        <v>0.2</v>
      </c>
      <c r="J3174" s="2" t="str">
        <f t="shared" si="49"/>
        <v>2020-05</v>
      </c>
    </row>
    <row r="3175" spans="1:10" x14ac:dyDescent="0.2">
      <c r="A3175" s="2" t="s">
        <v>2630</v>
      </c>
      <c r="B3175" s="2" t="s">
        <v>34</v>
      </c>
      <c r="C3175" s="2" t="s">
        <v>48</v>
      </c>
      <c r="D3175" s="2">
        <v>57</v>
      </c>
      <c r="E3175" s="5">
        <v>43969</v>
      </c>
      <c r="F3175" s="2">
        <v>553</v>
      </c>
      <c r="G3175" s="2" t="s">
        <v>128</v>
      </c>
      <c r="H3175" s="2" t="s">
        <v>23</v>
      </c>
      <c r="I3175" s="6" t="s">
        <v>2954</v>
      </c>
      <c r="J3175" s="2" t="str">
        <f t="shared" si="49"/>
        <v>2020-05</v>
      </c>
    </row>
    <row r="3176" spans="1:10" x14ac:dyDescent="0.2">
      <c r="A3176" s="2" t="s">
        <v>2631</v>
      </c>
      <c r="B3176" s="2" t="s">
        <v>34</v>
      </c>
      <c r="C3176" s="2" t="s">
        <v>632</v>
      </c>
      <c r="D3176" s="2">
        <v>45</v>
      </c>
      <c r="E3176" s="5">
        <v>43969</v>
      </c>
      <c r="F3176" s="2" t="s">
        <v>2954</v>
      </c>
      <c r="G3176" s="2" t="s">
        <v>199</v>
      </c>
      <c r="H3176" s="2" t="s">
        <v>23</v>
      </c>
      <c r="I3176" s="6">
        <v>0.05</v>
      </c>
      <c r="J3176" s="2" t="str">
        <f t="shared" si="49"/>
        <v>2020-05</v>
      </c>
    </row>
    <row r="3177" spans="1:10" x14ac:dyDescent="0.2">
      <c r="A3177" s="2" t="s">
        <v>1931</v>
      </c>
      <c r="B3177" s="2" t="s">
        <v>15</v>
      </c>
      <c r="C3177" s="2" t="s">
        <v>195</v>
      </c>
      <c r="D3177" s="2" t="s">
        <v>2954</v>
      </c>
      <c r="E3177" s="5">
        <v>43969</v>
      </c>
      <c r="F3177" s="2">
        <v>92</v>
      </c>
      <c r="G3177" s="2" t="s">
        <v>45</v>
      </c>
      <c r="H3177" s="2" t="s">
        <v>18</v>
      </c>
      <c r="I3177" s="6" t="s">
        <v>2954</v>
      </c>
      <c r="J3177" s="2" t="str">
        <f t="shared" si="49"/>
        <v>2020-05</v>
      </c>
    </row>
    <row r="3178" spans="1:10" x14ac:dyDescent="0.2">
      <c r="A3178" s="2" t="s">
        <v>2632</v>
      </c>
      <c r="B3178" s="2" t="s">
        <v>34</v>
      </c>
      <c r="C3178" s="2" t="s">
        <v>48</v>
      </c>
      <c r="D3178" s="2" t="s">
        <v>2954</v>
      </c>
      <c r="E3178" s="5">
        <v>43969</v>
      </c>
      <c r="F3178" s="2">
        <v>63</v>
      </c>
      <c r="G3178" s="2" t="s">
        <v>66</v>
      </c>
      <c r="H3178" s="2" t="s">
        <v>23</v>
      </c>
      <c r="I3178" s="6">
        <v>0.1</v>
      </c>
      <c r="J3178" s="2" t="str">
        <f t="shared" si="49"/>
        <v>2020-05</v>
      </c>
    </row>
    <row r="3179" spans="1:10" x14ac:dyDescent="0.2">
      <c r="A3179" s="2" t="s">
        <v>2633</v>
      </c>
      <c r="B3179" s="2" t="s">
        <v>481</v>
      </c>
      <c r="C3179" s="2" t="s">
        <v>148</v>
      </c>
      <c r="D3179" s="2">
        <v>250</v>
      </c>
      <c r="E3179" s="5">
        <v>43968</v>
      </c>
      <c r="F3179" s="2">
        <v>300</v>
      </c>
      <c r="G3179" s="2" t="s">
        <v>12</v>
      </c>
      <c r="H3179" s="2" t="s">
        <v>98</v>
      </c>
      <c r="I3179" s="6" t="s">
        <v>2954</v>
      </c>
      <c r="J3179" s="2" t="str">
        <f t="shared" si="49"/>
        <v>2020-05</v>
      </c>
    </row>
    <row r="3180" spans="1:10" x14ac:dyDescent="0.2">
      <c r="A3180" s="2" t="s">
        <v>1830</v>
      </c>
      <c r="B3180" s="2" t="s">
        <v>255</v>
      </c>
      <c r="C3180" s="2" t="s">
        <v>11</v>
      </c>
      <c r="D3180" s="2">
        <v>520</v>
      </c>
      <c r="E3180" s="5">
        <v>43966</v>
      </c>
      <c r="F3180" s="2">
        <v>914</v>
      </c>
      <c r="G3180" s="2" t="s">
        <v>130</v>
      </c>
      <c r="H3180" s="2" t="s">
        <v>98</v>
      </c>
      <c r="I3180" s="6">
        <v>0.13</v>
      </c>
      <c r="J3180" s="2" t="str">
        <f t="shared" si="49"/>
        <v>2020-05</v>
      </c>
    </row>
    <row r="3181" spans="1:10" x14ac:dyDescent="0.2">
      <c r="A3181" s="2" t="s">
        <v>2634</v>
      </c>
      <c r="B3181" s="2" t="s">
        <v>2635</v>
      </c>
      <c r="C3181" s="2" t="s">
        <v>16</v>
      </c>
      <c r="D3181" s="2">
        <v>500</v>
      </c>
      <c r="E3181" s="5">
        <v>43966</v>
      </c>
      <c r="F3181" s="2">
        <v>200</v>
      </c>
      <c r="G3181" s="2" t="s">
        <v>12</v>
      </c>
      <c r="H3181" s="2" t="s">
        <v>98</v>
      </c>
      <c r="I3181" s="6">
        <v>0.5</v>
      </c>
      <c r="J3181" s="2" t="str">
        <f t="shared" si="49"/>
        <v>2020-05</v>
      </c>
    </row>
    <row r="3182" spans="1:10" x14ac:dyDescent="0.2">
      <c r="A3182" s="2" t="s">
        <v>1610</v>
      </c>
      <c r="B3182" s="2" t="s">
        <v>34</v>
      </c>
      <c r="C3182" s="2" t="s">
        <v>68</v>
      </c>
      <c r="D3182" s="2">
        <v>16</v>
      </c>
      <c r="E3182" s="5">
        <v>43966</v>
      </c>
      <c r="F3182" s="2">
        <v>49</v>
      </c>
      <c r="G3182" s="2" t="s">
        <v>66</v>
      </c>
      <c r="H3182" s="2" t="s">
        <v>23</v>
      </c>
      <c r="I3182" s="6">
        <v>0.1</v>
      </c>
      <c r="J3182" s="2" t="str">
        <f t="shared" si="49"/>
        <v>2020-05</v>
      </c>
    </row>
    <row r="3183" spans="1:10" x14ac:dyDescent="0.2">
      <c r="A3183" s="2" t="s">
        <v>2636</v>
      </c>
      <c r="B3183" s="2" t="s">
        <v>25</v>
      </c>
      <c r="C3183" s="2" t="s">
        <v>142</v>
      </c>
      <c r="D3183" s="2" t="s">
        <v>2954</v>
      </c>
      <c r="E3183" s="5">
        <v>43966</v>
      </c>
      <c r="F3183" s="2">
        <v>3</v>
      </c>
      <c r="G3183" s="2" t="s">
        <v>132</v>
      </c>
      <c r="H3183" s="2" t="s">
        <v>23</v>
      </c>
      <c r="I3183" s="6">
        <v>1</v>
      </c>
      <c r="J3183" s="2" t="str">
        <f t="shared" si="49"/>
        <v>2020-05</v>
      </c>
    </row>
    <row r="3184" spans="1:10" x14ac:dyDescent="0.2">
      <c r="A3184" s="2" t="s">
        <v>497</v>
      </c>
      <c r="B3184" s="2" t="s">
        <v>34</v>
      </c>
      <c r="C3184" s="2" t="s">
        <v>52</v>
      </c>
      <c r="D3184" s="2">
        <v>150</v>
      </c>
      <c r="E3184" s="5">
        <v>43965</v>
      </c>
      <c r="F3184" s="2">
        <v>5300</v>
      </c>
      <c r="G3184" s="2" t="s">
        <v>45</v>
      </c>
      <c r="H3184" s="2" t="s">
        <v>23</v>
      </c>
      <c r="I3184" s="6">
        <v>0.08</v>
      </c>
      <c r="J3184" s="2" t="str">
        <f t="shared" si="49"/>
        <v>2020-05</v>
      </c>
    </row>
    <row r="3185" spans="1:10" x14ac:dyDescent="0.2">
      <c r="A3185" s="2" t="s">
        <v>2637</v>
      </c>
      <c r="B3185" s="2" t="s">
        <v>25</v>
      </c>
      <c r="C3185" s="2" t="s">
        <v>235</v>
      </c>
      <c r="D3185" s="2">
        <v>80</v>
      </c>
      <c r="E3185" s="5">
        <v>43965</v>
      </c>
      <c r="F3185" s="2" t="s">
        <v>2954</v>
      </c>
      <c r="G3185" s="2" t="s">
        <v>45</v>
      </c>
      <c r="H3185" s="2" t="s">
        <v>23</v>
      </c>
      <c r="I3185" s="6">
        <v>0.4</v>
      </c>
      <c r="J3185" s="2" t="str">
        <f t="shared" si="49"/>
        <v>2020-05</v>
      </c>
    </row>
    <row r="3186" spans="1:10" x14ac:dyDescent="0.2">
      <c r="A3186" s="2" t="s">
        <v>1735</v>
      </c>
      <c r="B3186" s="2" t="s">
        <v>25</v>
      </c>
      <c r="C3186" s="2" t="s">
        <v>26</v>
      </c>
      <c r="D3186" s="2">
        <v>70</v>
      </c>
      <c r="E3186" s="5">
        <v>43965</v>
      </c>
      <c r="F3186" s="2">
        <v>116</v>
      </c>
      <c r="G3186" s="2" t="s">
        <v>45</v>
      </c>
      <c r="H3186" s="2" t="s">
        <v>23</v>
      </c>
      <c r="I3186" s="6">
        <v>0.1</v>
      </c>
      <c r="J3186" s="2" t="str">
        <f t="shared" si="49"/>
        <v>2020-05</v>
      </c>
    </row>
    <row r="3187" spans="1:10" x14ac:dyDescent="0.2">
      <c r="A3187" s="2" t="s">
        <v>2638</v>
      </c>
      <c r="B3187" s="2" t="s">
        <v>34</v>
      </c>
      <c r="C3187" s="2" t="s">
        <v>52</v>
      </c>
      <c r="D3187" s="2">
        <v>35</v>
      </c>
      <c r="E3187" s="5">
        <v>43965</v>
      </c>
      <c r="F3187" s="2">
        <v>73</v>
      </c>
      <c r="G3187" s="2" t="s">
        <v>37</v>
      </c>
      <c r="H3187" s="2" t="s">
        <v>23</v>
      </c>
      <c r="I3187" s="6">
        <v>0.15</v>
      </c>
      <c r="J3187" s="2" t="str">
        <f t="shared" si="49"/>
        <v>2020-05</v>
      </c>
    </row>
    <row r="3188" spans="1:10" x14ac:dyDescent="0.2">
      <c r="A3188" s="2" t="s">
        <v>2639</v>
      </c>
      <c r="B3188" s="2" t="s">
        <v>34</v>
      </c>
      <c r="C3188" s="2" t="s">
        <v>16</v>
      </c>
      <c r="D3188" s="2">
        <v>30</v>
      </c>
      <c r="E3188" s="5">
        <v>43965</v>
      </c>
      <c r="F3188" s="2">
        <v>69</v>
      </c>
      <c r="G3188" s="2" t="s">
        <v>12</v>
      </c>
      <c r="H3188" s="2" t="s">
        <v>23</v>
      </c>
      <c r="I3188" s="6" t="s">
        <v>2954</v>
      </c>
      <c r="J3188" s="2" t="str">
        <f t="shared" si="49"/>
        <v>2020-05</v>
      </c>
    </row>
    <row r="3189" spans="1:10" x14ac:dyDescent="0.2">
      <c r="A3189" s="2" t="s">
        <v>2640</v>
      </c>
      <c r="B3189" s="2" t="s">
        <v>34</v>
      </c>
      <c r="C3189" s="2" t="s">
        <v>195</v>
      </c>
      <c r="D3189" s="2" t="s">
        <v>2954</v>
      </c>
      <c r="E3189" s="5">
        <v>43965</v>
      </c>
      <c r="F3189" s="2">
        <v>106</v>
      </c>
      <c r="G3189" s="2" t="s">
        <v>75</v>
      </c>
      <c r="H3189" s="2" t="s">
        <v>23</v>
      </c>
      <c r="I3189" s="6" t="s">
        <v>2954</v>
      </c>
      <c r="J3189" s="2" t="str">
        <f t="shared" si="49"/>
        <v>2020-05</v>
      </c>
    </row>
    <row r="3190" spans="1:10" x14ac:dyDescent="0.2">
      <c r="A3190" s="2" t="s">
        <v>2641</v>
      </c>
      <c r="B3190" s="2" t="s">
        <v>245</v>
      </c>
      <c r="C3190" s="2" t="s">
        <v>35</v>
      </c>
      <c r="D3190" s="2" t="s">
        <v>2954</v>
      </c>
      <c r="E3190" s="5">
        <v>43965</v>
      </c>
      <c r="F3190" s="2">
        <v>8</v>
      </c>
      <c r="G3190" s="2" t="s">
        <v>12</v>
      </c>
      <c r="H3190" s="2" t="s">
        <v>246</v>
      </c>
      <c r="I3190" s="6">
        <v>0.3</v>
      </c>
      <c r="J3190" s="2" t="str">
        <f t="shared" si="49"/>
        <v>2020-05</v>
      </c>
    </row>
    <row r="3191" spans="1:10" x14ac:dyDescent="0.2">
      <c r="A3191" s="2" t="s">
        <v>2642</v>
      </c>
      <c r="B3191" s="2" t="s">
        <v>147</v>
      </c>
      <c r="C3191" s="2" t="s">
        <v>26</v>
      </c>
      <c r="D3191" s="2" t="s">
        <v>2954</v>
      </c>
      <c r="E3191" s="5">
        <v>43965</v>
      </c>
      <c r="F3191" s="2">
        <v>375</v>
      </c>
      <c r="G3191" s="2" t="s">
        <v>66</v>
      </c>
      <c r="H3191" s="2" t="s">
        <v>23</v>
      </c>
      <c r="I3191" s="6" t="s">
        <v>2954</v>
      </c>
      <c r="J3191" s="2" t="str">
        <f t="shared" si="49"/>
        <v>2020-05</v>
      </c>
    </row>
    <row r="3192" spans="1:10" x14ac:dyDescent="0.2">
      <c r="A3192" s="2" t="s">
        <v>2643</v>
      </c>
      <c r="B3192" s="2" t="s">
        <v>34</v>
      </c>
      <c r="C3192" s="2" t="s">
        <v>142</v>
      </c>
      <c r="D3192" s="2">
        <v>669</v>
      </c>
      <c r="E3192" s="5">
        <v>43964</v>
      </c>
      <c r="F3192" s="2">
        <v>80</v>
      </c>
      <c r="G3192" s="2" t="s">
        <v>66</v>
      </c>
      <c r="H3192" s="2" t="s">
        <v>23</v>
      </c>
      <c r="I3192" s="6">
        <v>1</v>
      </c>
      <c r="J3192" s="2" t="str">
        <f t="shared" si="49"/>
        <v>2020-05</v>
      </c>
    </row>
    <row r="3193" spans="1:10" x14ac:dyDescent="0.2">
      <c r="A3193" s="2" t="s">
        <v>2644</v>
      </c>
      <c r="B3193" s="2" t="s">
        <v>2645</v>
      </c>
      <c r="C3193" s="2" t="s">
        <v>50</v>
      </c>
      <c r="D3193" s="2">
        <v>51</v>
      </c>
      <c r="E3193" s="5">
        <v>43964</v>
      </c>
      <c r="F3193" s="2">
        <v>2</v>
      </c>
      <c r="G3193" s="2" t="s">
        <v>12</v>
      </c>
      <c r="H3193" s="2" t="s">
        <v>662</v>
      </c>
      <c r="I3193" s="6">
        <v>0.4</v>
      </c>
      <c r="J3193" s="2" t="str">
        <f t="shared" si="49"/>
        <v>2020-05</v>
      </c>
    </row>
    <row r="3194" spans="1:10" x14ac:dyDescent="0.2">
      <c r="A3194" s="2" t="s">
        <v>2646</v>
      </c>
      <c r="B3194" s="2" t="s">
        <v>25</v>
      </c>
      <c r="C3194" s="2" t="s">
        <v>16</v>
      </c>
      <c r="D3194" s="2">
        <v>25</v>
      </c>
      <c r="E3194" s="5">
        <v>43964</v>
      </c>
      <c r="F3194" s="2">
        <v>10</v>
      </c>
      <c r="G3194" s="2" t="s">
        <v>12</v>
      </c>
      <c r="H3194" s="2" t="s">
        <v>23</v>
      </c>
      <c r="I3194" s="6">
        <v>0.18</v>
      </c>
      <c r="J3194" s="2" t="str">
        <f t="shared" si="49"/>
        <v>2020-05</v>
      </c>
    </row>
    <row r="3195" spans="1:10" x14ac:dyDescent="0.2">
      <c r="A3195" s="2" t="s">
        <v>2647</v>
      </c>
      <c r="B3195" s="2" t="s">
        <v>335</v>
      </c>
      <c r="C3195" s="2" t="s">
        <v>78</v>
      </c>
      <c r="D3195" s="2">
        <v>19</v>
      </c>
      <c r="E3195" s="5">
        <v>43964</v>
      </c>
      <c r="F3195" s="2" t="s">
        <v>2954</v>
      </c>
      <c r="G3195" s="2" t="s">
        <v>45</v>
      </c>
      <c r="H3195" s="2" t="s">
        <v>106</v>
      </c>
      <c r="I3195" s="6">
        <v>0.11</v>
      </c>
      <c r="J3195" s="2" t="str">
        <f t="shared" si="49"/>
        <v>2020-05</v>
      </c>
    </row>
    <row r="3196" spans="1:10" x14ac:dyDescent="0.2">
      <c r="A3196" s="2" t="s">
        <v>2050</v>
      </c>
      <c r="B3196" s="2" t="s">
        <v>34</v>
      </c>
      <c r="C3196" s="2" t="s">
        <v>243</v>
      </c>
      <c r="D3196" s="2">
        <v>17</v>
      </c>
      <c r="E3196" s="5">
        <v>43964</v>
      </c>
      <c r="F3196" s="2">
        <v>46</v>
      </c>
      <c r="G3196" s="2" t="s">
        <v>66</v>
      </c>
      <c r="H3196" s="2" t="s">
        <v>23</v>
      </c>
      <c r="I3196" s="6" t="s">
        <v>2954</v>
      </c>
      <c r="J3196" s="2" t="str">
        <f t="shared" si="49"/>
        <v>2020-05</v>
      </c>
    </row>
    <row r="3197" spans="1:10" x14ac:dyDescent="0.2">
      <c r="A3197" s="2" t="s">
        <v>2648</v>
      </c>
      <c r="B3197" s="2" t="s">
        <v>25</v>
      </c>
      <c r="C3197" s="2" t="s">
        <v>195</v>
      </c>
      <c r="D3197" s="2" t="s">
        <v>2954</v>
      </c>
      <c r="E3197" s="5">
        <v>43964</v>
      </c>
      <c r="F3197" s="2">
        <v>111</v>
      </c>
      <c r="G3197" s="2" t="s">
        <v>128</v>
      </c>
      <c r="H3197" s="2" t="s">
        <v>23</v>
      </c>
      <c r="I3197" s="6" t="s">
        <v>2954</v>
      </c>
      <c r="J3197" s="2" t="str">
        <f t="shared" si="49"/>
        <v>2020-05</v>
      </c>
    </row>
    <row r="3198" spans="1:10" x14ac:dyDescent="0.2">
      <c r="A3198" s="2" t="s">
        <v>2649</v>
      </c>
      <c r="B3198" s="2" t="s">
        <v>2650</v>
      </c>
      <c r="C3198" s="2" t="s">
        <v>117</v>
      </c>
      <c r="D3198" s="2" t="s">
        <v>2954</v>
      </c>
      <c r="E3198" s="5">
        <v>43964</v>
      </c>
      <c r="F3198" s="2">
        <v>1</v>
      </c>
      <c r="G3198" s="2" t="s">
        <v>132</v>
      </c>
      <c r="H3198" s="2" t="s">
        <v>2048</v>
      </c>
      <c r="I3198" s="6">
        <v>1</v>
      </c>
      <c r="J3198" s="2" t="str">
        <f t="shared" si="49"/>
        <v>2020-05</v>
      </c>
    </row>
    <row r="3199" spans="1:10" x14ac:dyDescent="0.2">
      <c r="A3199" s="2" t="s">
        <v>2651</v>
      </c>
      <c r="B3199" s="2" t="s">
        <v>34</v>
      </c>
      <c r="C3199" s="2" t="s">
        <v>29</v>
      </c>
      <c r="D3199" s="2" t="s">
        <v>2954</v>
      </c>
      <c r="E3199" s="5">
        <v>43964</v>
      </c>
      <c r="F3199" s="2">
        <v>574</v>
      </c>
      <c r="G3199" s="2" t="s">
        <v>66</v>
      </c>
      <c r="H3199" s="2" t="s">
        <v>23</v>
      </c>
      <c r="I3199" s="6">
        <v>0.1</v>
      </c>
      <c r="J3199" s="2" t="str">
        <f t="shared" si="49"/>
        <v>2020-05</v>
      </c>
    </row>
    <row r="3200" spans="1:10" x14ac:dyDescent="0.2">
      <c r="A3200" s="2" t="s">
        <v>2652</v>
      </c>
      <c r="B3200" s="2" t="s">
        <v>661</v>
      </c>
      <c r="C3200" s="2" t="s">
        <v>16</v>
      </c>
      <c r="D3200" s="2">
        <v>1300</v>
      </c>
      <c r="E3200" s="5">
        <v>43963</v>
      </c>
      <c r="F3200" s="2" t="s">
        <v>2954</v>
      </c>
      <c r="G3200" s="2" t="s">
        <v>17</v>
      </c>
      <c r="H3200" s="2" t="s">
        <v>662</v>
      </c>
      <c r="I3200" s="6">
        <v>0.2</v>
      </c>
      <c r="J3200" s="2" t="str">
        <f t="shared" si="49"/>
        <v>2020-05</v>
      </c>
    </row>
    <row r="3201" spans="1:10" x14ac:dyDescent="0.2">
      <c r="A3201" s="2" t="s">
        <v>592</v>
      </c>
      <c r="B3201" s="2" t="s">
        <v>34</v>
      </c>
      <c r="C3201" s="2" t="s">
        <v>148</v>
      </c>
      <c r="D3201" s="2">
        <v>73</v>
      </c>
      <c r="E3201" s="5">
        <v>43963</v>
      </c>
      <c r="F3201" s="2">
        <v>79</v>
      </c>
      <c r="G3201" s="2" t="s">
        <v>37</v>
      </c>
      <c r="H3201" s="2" t="s">
        <v>23</v>
      </c>
      <c r="I3201" s="6">
        <v>0.5</v>
      </c>
      <c r="J3201" s="2" t="str">
        <f t="shared" si="49"/>
        <v>2020-05</v>
      </c>
    </row>
    <row r="3202" spans="1:10" x14ac:dyDescent="0.2">
      <c r="A3202" s="2" t="s">
        <v>2653</v>
      </c>
      <c r="B3202" s="2" t="s">
        <v>34</v>
      </c>
      <c r="C3202" s="2" t="s">
        <v>243</v>
      </c>
      <c r="D3202" s="2">
        <v>65</v>
      </c>
      <c r="E3202" s="5">
        <v>43963</v>
      </c>
      <c r="F3202" s="2">
        <v>77</v>
      </c>
      <c r="G3202" s="2" t="s">
        <v>37</v>
      </c>
      <c r="H3202" s="2" t="s">
        <v>23</v>
      </c>
      <c r="I3202" s="6">
        <v>0.19</v>
      </c>
      <c r="J3202" s="2" t="str">
        <f t="shared" si="49"/>
        <v>2020-05</v>
      </c>
    </row>
    <row r="3203" spans="1:10" x14ac:dyDescent="0.2">
      <c r="A3203" s="2" t="s">
        <v>2654</v>
      </c>
      <c r="B3203" s="2" t="s">
        <v>314</v>
      </c>
      <c r="C3203" s="2" t="s">
        <v>84</v>
      </c>
      <c r="D3203" s="2">
        <v>36</v>
      </c>
      <c r="E3203" s="5">
        <v>43963</v>
      </c>
      <c r="F3203" s="2">
        <v>52</v>
      </c>
      <c r="G3203" s="2" t="s">
        <v>75</v>
      </c>
      <c r="H3203" s="2" t="s">
        <v>23</v>
      </c>
      <c r="I3203" s="6">
        <v>0.17</v>
      </c>
      <c r="J3203" s="2" t="str">
        <f t="shared" ref="J3203:J3266" si="50">TEXT(E3203,"YYYY-MM")</f>
        <v>2020-05</v>
      </c>
    </row>
    <row r="3204" spans="1:10" x14ac:dyDescent="0.2">
      <c r="A3204" s="2" t="s">
        <v>334</v>
      </c>
      <c r="B3204" s="2" t="s">
        <v>335</v>
      </c>
      <c r="C3204" s="2" t="s">
        <v>61</v>
      </c>
      <c r="D3204" s="2">
        <v>16</v>
      </c>
      <c r="E3204" s="5">
        <v>43963</v>
      </c>
      <c r="F3204" s="2">
        <v>104</v>
      </c>
      <c r="G3204" s="2" t="s">
        <v>75</v>
      </c>
      <c r="H3204" s="2" t="s">
        <v>106</v>
      </c>
      <c r="I3204" s="6">
        <v>0.03</v>
      </c>
      <c r="J3204" s="2" t="str">
        <f t="shared" si="50"/>
        <v>2020-05</v>
      </c>
    </row>
    <row r="3205" spans="1:10" x14ac:dyDescent="0.2">
      <c r="A3205" s="2" t="s">
        <v>2655</v>
      </c>
      <c r="B3205" s="2" t="s">
        <v>474</v>
      </c>
      <c r="C3205" s="2" t="s">
        <v>48</v>
      </c>
      <c r="D3205" s="2" t="s">
        <v>2954</v>
      </c>
      <c r="E3205" s="5">
        <v>43963</v>
      </c>
      <c r="F3205" s="2">
        <v>100</v>
      </c>
      <c r="G3205" s="2" t="s">
        <v>45</v>
      </c>
      <c r="H3205" s="2" t="s">
        <v>23</v>
      </c>
      <c r="I3205" s="6" t="s">
        <v>2954</v>
      </c>
      <c r="J3205" s="2" t="str">
        <f t="shared" si="50"/>
        <v>2020-05</v>
      </c>
    </row>
    <row r="3206" spans="1:10" x14ac:dyDescent="0.2">
      <c r="A3206" s="2" t="s">
        <v>946</v>
      </c>
      <c r="B3206" s="2" t="s">
        <v>25</v>
      </c>
      <c r="C3206" s="2" t="s">
        <v>16</v>
      </c>
      <c r="D3206" s="2" t="s">
        <v>2954</v>
      </c>
      <c r="E3206" s="5">
        <v>43963</v>
      </c>
      <c r="F3206" s="2">
        <v>47</v>
      </c>
      <c r="G3206" s="2" t="s">
        <v>37</v>
      </c>
      <c r="H3206" s="2" t="s">
        <v>23</v>
      </c>
      <c r="I3206" s="6" t="s">
        <v>2954</v>
      </c>
      <c r="J3206" s="2" t="str">
        <f t="shared" si="50"/>
        <v>2020-05</v>
      </c>
    </row>
    <row r="3207" spans="1:10" x14ac:dyDescent="0.2">
      <c r="A3207" s="2" t="s">
        <v>2656</v>
      </c>
      <c r="B3207" s="2" t="s">
        <v>54</v>
      </c>
      <c r="C3207" s="2" t="s">
        <v>16</v>
      </c>
      <c r="D3207" s="2">
        <v>60</v>
      </c>
      <c r="E3207" s="5">
        <v>43962</v>
      </c>
      <c r="F3207" s="2">
        <v>837</v>
      </c>
      <c r="G3207" s="2" t="s">
        <v>75</v>
      </c>
      <c r="H3207" s="2" t="s">
        <v>55</v>
      </c>
      <c r="I3207" s="6">
        <v>0.03</v>
      </c>
      <c r="J3207" s="2" t="str">
        <f t="shared" si="50"/>
        <v>2020-05</v>
      </c>
    </row>
    <row r="3208" spans="1:10" x14ac:dyDescent="0.2">
      <c r="A3208" s="2" t="s">
        <v>2657</v>
      </c>
      <c r="B3208" s="2" t="s">
        <v>25</v>
      </c>
      <c r="C3208" s="2" t="s">
        <v>148</v>
      </c>
      <c r="D3208" s="2">
        <v>28</v>
      </c>
      <c r="E3208" s="5">
        <v>43962</v>
      </c>
      <c r="F3208" s="2">
        <v>133</v>
      </c>
      <c r="G3208" s="2" t="s">
        <v>66</v>
      </c>
      <c r="H3208" s="2" t="s">
        <v>23</v>
      </c>
      <c r="I3208" s="6">
        <v>0.25</v>
      </c>
      <c r="J3208" s="2" t="str">
        <f t="shared" si="50"/>
        <v>2020-05</v>
      </c>
    </row>
    <row r="3209" spans="1:10" x14ac:dyDescent="0.2">
      <c r="A3209" s="2" t="s">
        <v>689</v>
      </c>
      <c r="B3209" s="2" t="s">
        <v>25</v>
      </c>
      <c r="C3209" s="2" t="s">
        <v>16</v>
      </c>
      <c r="D3209" s="2">
        <v>9</v>
      </c>
      <c r="E3209" s="5">
        <v>43959</v>
      </c>
      <c r="F3209" s="2">
        <v>782</v>
      </c>
      <c r="G3209" s="2" t="s">
        <v>75</v>
      </c>
      <c r="H3209" s="2" t="s">
        <v>23</v>
      </c>
      <c r="I3209" s="6">
        <v>0.01</v>
      </c>
      <c r="J3209" s="2" t="str">
        <f t="shared" si="50"/>
        <v>2020-05</v>
      </c>
    </row>
    <row r="3210" spans="1:10" x14ac:dyDescent="0.2">
      <c r="A3210" s="2" t="s">
        <v>2658</v>
      </c>
      <c r="B3210" s="2" t="s">
        <v>25</v>
      </c>
      <c r="C3210" s="2" t="s">
        <v>52</v>
      </c>
      <c r="D3210" s="2">
        <v>500</v>
      </c>
      <c r="E3210" s="5">
        <v>43958</v>
      </c>
      <c r="F3210" s="2">
        <v>11</v>
      </c>
      <c r="G3210" s="2" t="s">
        <v>45</v>
      </c>
      <c r="H3210" s="2" t="s">
        <v>23</v>
      </c>
      <c r="I3210" s="6">
        <v>1</v>
      </c>
      <c r="J3210" s="2" t="str">
        <f t="shared" si="50"/>
        <v>2020-05</v>
      </c>
    </row>
    <row r="3211" spans="1:10" x14ac:dyDescent="0.2">
      <c r="A3211" s="2" t="s">
        <v>1248</v>
      </c>
      <c r="B3211" s="2" t="s">
        <v>34</v>
      </c>
      <c r="C3211" s="2" t="s">
        <v>84</v>
      </c>
      <c r="D3211" s="2">
        <v>300</v>
      </c>
      <c r="E3211" s="5">
        <v>43958</v>
      </c>
      <c r="F3211" s="2">
        <v>204</v>
      </c>
      <c r="G3211" s="2" t="s">
        <v>45</v>
      </c>
      <c r="H3211" s="2" t="s">
        <v>23</v>
      </c>
      <c r="I3211" s="6">
        <v>0.3</v>
      </c>
      <c r="J3211" s="2" t="str">
        <f t="shared" si="50"/>
        <v>2020-05</v>
      </c>
    </row>
    <row r="3212" spans="1:10" x14ac:dyDescent="0.2">
      <c r="A3212" s="2" t="s">
        <v>2659</v>
      </c>
      <c r="B3212" s="2" t="s">
        <v>659</v>
      </c>
      <c r="C3212" s="2" t="s">
        <v>16</v>
      </c>
      <c r="D3212" s="2">
        <v>62</v>
      </c>
      <c r="E3212" s="5">
        <v>43958</v>
      </c>
      <c r="F3212" s="2">
        <v>78</v>
      </c>
      <c r="G3212" s="2" t="s">
        <v>37</v>
      </c>
      <c r="H3212" s="2" t="s">
        <v>606</v>
      </c>
      <c r="I3212" s="6">
        <v>0.5</v>
      </c>
      <c r="J3212" s="2" t="str">
        <f t="shared" si="50"/>
        <v>2020-05</v>
      </c>
    </row>
    <row r="3213" spans="1:10" x14ac:dyDescent="0.2">
      <c r="A3213" s="2" t="s">
        <v>2660</v>
      </c>
      <c r="B3213" s="2" t="s">
        <v>89</v>
      </c>
      <c r="C3213" s="2" t="s">
        <v>16</v>
      </c>
      <c r="D3213" s="2">
        <v>60</v>
      </c>
      <c r="E3213" s="5">
        <v>43958</v>
      </c>
      <c r="F3213" s="2">
        <v>263</v>
      </c>
      <c r="G3213" s="2" t="s">
        <v>128</v>
      </c>
      <c r="H3213" s="2" t="s">
        <v>23</v>
      </c>
      <c r="I3213" s="6">
        <v>0.12</v>
      </c>
      <c r="J3213" s="2" t="str">
        <f t="shared" si="50"/>
        <v>2020-05</v>
      </c>
    </row>
    <row r="3214" spans="1:10" x14ac:dyDescent="0.2">
      <c r="A3214" s="2" t="s">
        <v>2661</v>
      </c>
      <c r="B3214" s="2" t="s">
        <v>115</v>
      </c>
      <c r="C3214" s="2" t="s">
        <v>50</v>
      </c>
      <c r="D3214" s="2">
        <v>55</v>
      </c>
      <c r="E3214" s="5">
        <v>43958</v>
      </c>
      <c r="F3214" s="2">
        <v>145</v>
      </c>
      <c r="G3214" s="2" t="s">
        <v>75</v>
      </c>
      <c r="H3214" s="2" t="s">
        <v>23</v>
      </c>
      <c r="I3214" s="6" t="s">
        <v>2954</v>
      </c>
      <c r="J3214" s="2" t="str">
        <f t="shared" si="50"/>
        <v>2020-05</v>
      </c>
    </row>
    <row r="3215" spans="1:10" x14ac:dyDescent="0.2">
      <c r="A3215" s="2" t="s">
        <v>2662</v>
      </c>
      <c r="B3215" s="2" t="s">
        <v>34</v>
      </c>
      <c r="C3215" s="2" t="s">
        <v>16</v>
      </c>
      <c r="D3215" s="2">
        <v>28</v>
      </c>
      <c r="E3215" s="5">
        <v>43958</v>
      </c>
      <c r="F3215" s="2">
        <v>92</v>
      </c>
      <c r="G3215" s="2" t="s">
        <v>66</v>
      </c>
      <c r="H3215" s="2" t="s">
        <v>23</v>
      </c>
      <c r="I3215" s="6">
        <v>0.23</v>
      </c>
      <c r="J3215" s="2" t="str">
        <f t="shared" si="50"/>
        <v>2020-05</v>
      </c>
    </row>
    <row r="3216" spans="1:10" x14ac:dyDescent="0.2">
      <c r="A3216" s="2" t="s">
        <v>2663</v>
      </c>
      <c r="B3216" s="2" t="s">
        <v>398</v>
      </c>
      <c r="C3216" s="2" t="s">
        <v>44</v>
      </c>
      <c r="D3216" s="2" t="s">
        <v>2954</v>
      </c>
      <c r="E3216" s="5">
        <v>43958</v>
      </c>
      <c r="F3216" s="2" t="s">
        <v>2954</v>
      </c>
      <c r="G3216" s="2" t="s">
        <v>12</v>
      </c>
      <c r="H3216" s="2" t="s">
        <v>399</v>
      </c>
      <c r="I3216" s="6">
        <v>1</v>
      </c>
      <c r="J3216" s="2" t="str">
        <f t="shared" si="50"/>
        <v>2020-05</v>
      </c>
    </row>
    <row r="3217" spans="1:10" x14ac:dyDescent="0.2">
      <c r="A3217" s="2" t="s">
        <v>979</v>
      </c>
      <c r="B3217" s="2" t="s">
        <v>34</v>
      </c>
      <c r="C3217" s="2" t="s">
        <v>52</v>
      </c>
      <c r="D3217" s="2">
        <v>3700</v>
      </c>
      <c r="E3217" s="5">
        <v>43957</v>
      </c>
      <c r="F3217" s="2">
        <v>24700</v>
      </c>
      <c r="G3217" s="2" t="s">
        <v>17</v>
      </c>
      <c r="H3217" s="2" t="s">
        <v>23</v>
      </c>
      <c r="I3217" s="6">
        <v>0.14000000000000001</v>
      </c>
      <c r="J3217" s="2" t="str">
        <f t="shared" si="50"/>
        <v>2020-05</v>
      </c>
    </row>
    <row r="3218" spans="1:10" x14ac:dyDescent="0.2">
      <c r="A3218" s="2" t="s">
        <v>2664</v>
      </c>
      <c r="B3218" s="2" t="s">
        <v>89</v>
      </c>
      <c r="C3218" s="2" t="s">
        <v>243</v>
      </c>
      <c r="D3218" s="2">
        <v>130</v>
      </c>
      <c r="E3218" s="5">
        <v>43957</v>
      </c>
      <c r="F3218" s="2" t="s">
        <v>2954</v>
      </c>
      <c r="G3218" s="2" t="s">
        <v>199</v>
      </c>
      <c r="H3218" s="2" t="s">
        <v>23</v>
      </c>
      <c r="I3218" s="6">
        <v>0.33</v>
      </c>
      <c r="J3218" s="2" t="str">
        <f t="shared" si="50"/>
        <v>2020-05</v>
      </c>
    </row>
    <row r="3219" spans="1:10" x14ac:dyDescent="0.2">
      <c r="A3219" s="2" t="s">
        <v>2665</v>
      </c>
      <c r="B3219" s="2" t="s">
        <v>25</v>
      </c>
      <c r="C3219" s="2" t="s">
        <v>61</v>
      </c>
      <c r="D3219" s="2">
        <v>100</v>
      </c>
      <c r="E3219" s="5">
        <v>43957</v>
      </c>
      <c r="F3219" s="2">
        <v>15</v>
      </c>
      <c r="G3219" s="2" t="s">
        <v>45</v>
      </c>
      <c r="H3219" s="2" t="s">
        <v>23</v>
      </c>
      <c r="I3219" s="6" t="s">
        <v>2954</v>
      </c>
      <c r="J3219" s="2" t="str">
        <f t="shared" si="50"/>
        <v>2020-05</v>
      </c>
    </row>
    <row r="3220" spans="1:10" x14ac:dyDescent="0.2">
      <c r="A3220" s="2" t="s">
        <v>2666</v>
      </c>
      <c r="B3220" s="2" t="s">
        <v>47</v>
      </c>
      <c r="C3220" s="2" t="s">
        <v>26</v>
      </c>
      <c r="D3220" s="2">
        <v>50</v>
      </c>
      <c r="E3220" s="5">
        <v>43957</v>
      </c>
      <c r="F3220" s="2">
        <v>60</v>
      </c>
      <c r="G3220" s="2" t="s">
        <v>17</v>
      </c>
      <c r="H3220" s="2" t="s">
        <v>23</v>
      </c>
      <c r="I3220" s="6">
        <v>0.08</v>
      </c>
      <c r="J3220" s="2" t="str">
        <f t="shared" si="50"/>
        <v>2020-05</v>
      </c>
    </row>
    <row r="3221" spans="1:10" x14ac:dyDescent="0.2">
      <c r="A3221" s="2" t="s">
        <v>2667</v>
      </c>
      <c r="B3221" s="2" t="s">
        <v>34</v>
      </c>
      <c r="C3221" s="2" t="s">
        <v>243</v>
      </c>
      <c r="D3221" s="2">
        <v>50</v>
      </c>
      <c r="E3221" s="5">
        <v>43957</v>
      </c>
      <c r="F3221" s="2">
        <v>283</v>
      </c>
      <c r="G3221" s="2" t="s">
        <v>75</v>
      </c>
      <c r="H3221" s="2" t="s">
        <v>23</v>
      </c>
      <c r="I3221" s="6">
        <v>0.1</v>
      </c>
      <c r="J3221" s="2" t="str">
        <f t="shared" si="50"/>
        <v>2020-05</v>
      </c>
    </row>
    <row r="3222" spans="1:10" x14ac:dyDescent="0.2">
      <c r="A3222" s="2" t="s">
        <v>2668</v>
      </c>
      <c r="B3222" s="2" t="s">
        <v>203</v>
      </c>
      <c r="C3222" s="2" t="s">
        <v>16</v>
      </c>
      <c r="D3222" s="2" t="s">
        <v>2954</v>
      </c>
      <c r="E3222" s="5">
        <v>43957</v>
      </c>
      <c r="F3222" s="2">
        <v>170</v>
      </c>
      <c r="G3222" s="2" t="s">
        <v>37</v>
      </c>
      <c r="H3222" s="2" t="s">
        <v>204</v>
      </c>
      <c r="I3222" s="7" t="s">
        <v>1381</v>
      </c>
      <c r="J3222" s="2" t="str">
        <f t="shared" si="50"/>
        <v>2020-05</v>
      </c>
    </row>
    <row r="3223" spans="1:10" x14ac:dyDescent="0.2">
      <c r="A3223" s="2" t="s">
        <v>2669</v>
      </c>
      <c r="B3223" s="2" t="s">
        <v>34</v>
      </c>
      <c r="C3223" s="2" t="s">
        <v>243</v>
      </c>
      <c r="D3223" s="2" t="s">
        <v>2954</v>
      </c>
      <c r="E3223" s="5">
        <v>43957</v>
      </c>
      <c r="F3223" s="2">
        <v>743</v>
      </c>
      <c r="G3223" s="2" t="s">
        <v>128</v>
      </c>
      <c r="H3223" s="2" t="s">
        <v>23</v>
      </c>
      <c r="I3223" s="6" t="s">
        <v>2954</v>
      </c>
      <c r="J3223" s="2" t="str">
        <f t="shared" si="50"/>
        <v>2020-05</v>
      </c>
    </row>
    <row r="3224" spans="1:10" x14ac:dyDescent="0.2">
      <c r="A3224" s="2" t="s">
        <v>1306</v>
      </c>
      <c r="B3224" s="2" t="s">
        <v>34</v>
      </c>
      <c r="C3224" s="2" t="s">
        <v>44</v>
      </c>
      <c r="D3224" s="2">
        <v>1900</v>
      </c>
      <c r="E3224" s="5">
        <v>43956</v>
      </c>
      <c r="F3224" s="2">
        <v>5400</v>
      </c>
      <c r="G3224" s="2" t="s">
        <v>199</v>
      </c>
      <c r="H3224" s="2" t="s">
        <v>23</v>
      </c>
      <c r="I3224" s="6">
        <v>0.25</v>
      </c>
      <c r="J3224" s="2" t="str">
        <f t="shared" si="50"/>
        <v>2020-05</v>
      </c>
    </row>
    <row r="3225" spans="1:10" x14ac:dyDescent="0.2">
      <c r="A3225" s="2" t="s">
        <v>1886</v>
      </c>
      <c r="B3225" s="2" t="s">
        <v>34</v>
      </c>
      <c r="C3225" s="2" t="s">
        <v>35</v>
      </c>
      <c r="D3225" s="2">
        <v>900</v>
      </c>
      <c r="E3225" s="5">
        <v>43956</v>
      </c>
      <c r="F3225" s="2">
        <v>1500</v>
      </c>
      <c r="G3225" s="2" t="s">
        <v>12</v>
      </c>
      <c r="H3225" s="2" t="s">
        <v>23</v>
      </c>
      <c r="I3225" s="6">
        <v>0.3</v>
      </c>
      <c r="J3225" s="2" t="str">
        <f t="shared" si="50"/>
        <v>2020-05</v>
      </c>
    </row>
    <row r="3226" spans="1:10" x14ac:dyDescent="0.2">
      <c r="A3226" s="2" t="s">
        <v>2670</v>
      </c>
      <c r="B3226" s="2" t="s">
        <v>25</v>
      </c>
      <c r="C3226" s="2" t="s">
        <v>84</v>
      </c>
      <c r="D3226" s="2">
        <v>135</v>
      </c>
      <c r="E3226" s="5">
        <v>43956</v>
      </c>
      <c r="F3226" s="2">
        <v>181</v>
      </c>
      <c r="G3226" s="2" t="s">
        <v>75</v>
      </c>
      <c r="H3226" s="2" t="s">
        <v>23</v>
      </c>
      <c r="I3226" s="6">
        <v>0.1</v>
      </c>
      <c r="J3226" s="2" t="str">
        <f t="shared" si="50"/>
        <v>2020-05</v>
      </c>
    </row>
    <row r="3227" spans="1:10" x14ac:dyDescent="0.2">
      <c r="A3227" s="2" t="s">
        <v>649</v>
      </c>
      <c r="B3227" s="2" t="s">
        <v>25</v>
      </c>
      <c r="C3227" s="2" t="s">
        <v>84</v>
      </c>
      <c r="D3227" s="2">
        <v>40</v>
      </c>
      <c r="E3227" s="5">
        <v>43956</v>
      </c>
      <c r="F3227" s="2">
        <v>68</v>
      </c>
      <c r="G3227" s="2" t="s">
        <v>75</v>
      </c>
      <c r="H3227" s="2" t="s">
        <v>23</v>
      </c>
      <c r="I3227" s="6">
        <v>0.15</v>
      </c>
      <c r="J3227" s="2" t="str">
        <f t="shared" si="50"/>
        <v>2020-05</v>
      </c>
    </row>
    <row r="3228" spans="1:10" x14ac:dyDescent="0.2">
      <c r="A3228" s="2" t="s">
        <v>542</v>
      </c>
      <c r="B3228" s="2" t="s">
        <v>416</v>
      </c>
      <c r="C3228" s="2" t="s">
        <v>50</v>
      </c>
      <c r="D3228" s="2">
        <v>31</v>
      </c>
      <c r="E3228" s="5">
        <v>43956</v>
      </c>
      <c r="F3228" s="2">
        <v>90</v>
      </c>
      <c r="G3228" s="2" t="s">
        <v>66</v>
      </c>
      <c r="H3228" s="2" t="s">
        <v>417</v>
      </c>
      <c r="I3228" s="6" t="s">
        <v>2954</v>
      </c>
      <c r="J3228" s="2" t="str">
        <f t="shared" si="50"/>
        <v>2020-05</v>
      </c>
    </row>
    <row r="3229" spans="1:10" x14ac:dyDescent="0.2">
      <c r="A3229" s="2" t="s">
        <v>2671</v>
      </c>
      <c r="B3229" s="2" t="s">
        <v>89</v>
      </c>
      <c r="C3229" s="2" t="s">
        <v>84</v>
      </c>
      <c r="D3229" s="2">
        <v>25</v>
      </c>
      <c r="E3229" s="5">
        <v>43956</v>
      </c>
      <c r="F3229" s="2">
        <v>84</v>
      </c>
      <c r="G3229" s="2" t="s">
        <v>66</v>
      </c>
      <c r="H3229" s="2" t="s">
        <v>23</v>
      </c>
      <c r="I3229" s="6">
        <v>0.1</v>
      </c>
      <c r="J3229" s="2" t="str">
        <f t="shared" si="50"/>
        <v>2020-05</v>
      </c>
    </row>
    <row r="3230" spans="1:10" x14ac:dyDescent="0.2">
      <c r="A3230" s="2" t="s">
        <v>2672</v>
      </c>
      <c r="B3230" s="2" t="s">
        <v>34</v>
      </c>
      <c r="C3230" s="2" t="s">
        <v>48</v>
      </c>
      <c r="D3230" s="2" t="s">
        <v>2954</v>
      </c>
      <c r="E3230" s="5">
        <v>43956</v>
      </c>
      <c r="F3230" s="2">
        <v>1000</v>
      </c>
      <c r="G3230" s="2" t="s">
        <v>17</v>
      </c>
      <c r="H3230" s="2" t="s">
        <v>23</v>
      </c>
      <c r="I3230" s="6" t="s">
        <v>2954</v>
      </c>
      <c r="J3230" s="2" t="str">
        <f t="shared" si="50"/>
        <v>2020-05</v>
      </c>
    </row>
    <row r="3231" spans="1:10" x14ac:dyDescent="0.2">
      <c r="A3231" s="2" t="s">
        <v>2673</v>
      </c>
      <c r="B3231" s="2" t="s">
        <v>34</v>
      </c>
      <c r="C3231" s="2" t="s">
        <v>84</v>
      </c>
      <c r="D3231" s="2" t="s">
        <v>2954</v>
      </c>
      <c r="E3231" s="5">
        <v>43956</v>
      </c>
      <c r="F3231" s="2">
        <v>74</v>
      </c>
      <c r="G3231" s="2" t="s">
        <v>66</v>
      </c>
      <c r="H3231" s="2" t="s">
        <v>23</v>
      </c>
      <c r="I3231" s="6" t="s">
        <v>2954</v>
      </c>
      <c r="J3231" s="2" t="str">
        <f t="shared" si="50"/>
        <v>2020-05</v>
      </c>
    </row>
    <row r="3232" spans="1:10" x14ac:dyDescent="0.2">
      <c r="A3232" s="2" t="s">
        <v>2674</v>
      </c>
      <c r="B3232" s="2" t="s">
        <v>335</v>
      </c>
      <c r="C3232" s="2" t="s">
        <v>32</v>
      </c>
      <c r="D3232" s="2" t="s">
        <v>2954</v>
      </c>
      <c r="E3232" s="5">
        <v>43956</v>
      </c>
      <c r="F3232" s="2">
        <v>76</v>
      </c>
      <c r="G3232" s="2" t="s">
        <v>12</v>
      </c>
      <c r="H3232" s="2" t="s">
        <v>106</v>
      </c>
      <c r="I3232" s="6" t="s">
        <v>2954</v>
      </c>
      <c r="J3232" s="2" t="str">
        <f t="shared" si="50"/>
        <v>2020-05</v>
      </c>
    </row>
    <row r="3233" spans="1:10" x14ac:dyDescent="0.2">
      <c r="A3233" s="2" t="s">
        <v>2569</v>
      </c>
      <c r="B3233" s="2" t="s">
        <v>100</v>
      </c>
      <c r="C3233" s="2" t="s">
        <v>117</v>
      </c>
      <c r="D3233" s="2">
        <v>800</v>
      </c>
      <c r="E3233" s="5">
        <v>43955</v>
      </c>
      <c r="F3233" s="2">
        <v>404</v>
      </c>
      <c r="G3233" s="2" t="s">
        <v>75</v>
      </c>
      <c r="H3233" s="2" t="s">
        <v>98</v>
      </c>
      <c r="I3233" s="6">
        <v>0.16</v>
      </c>
      <c r="J3233" s="2" t="str">
        <f t="shared" si="50"/>
        <v>2020-05</v>
      </c>
    </row>
    <row r="3234" spans="1:10" x14ac:dyDescent="0.2">
      <c r="A3234" s="2" t="s">
        <v>2675</v>
      </c>
      <c r="B3234" s="2" t="s">
        <v>1827</v>
      </c>
      <c r="C3234" s="2" t="s">
        <v>52</v>
      </c>
      <c r="D3234" s="2">
        <v>536</v>
      </c>
      <c r="E3234" s="5">
        <v>43955</v>
      </c>
      <c r="F3234" s="2">
        <v>771</v>
      </c>
      <c r="G3234" s="2" t="s">
        <v>45</v>
      </c>
      <c r="H3234" s="2" t="s">
        <v>2307</v>
      </c>
      <c r="I3234" s="6">
        <v>0.31</v>
      </c>
      <c r="J3234" s="2" t="str">
        <f t="shared" si="50"/>
        <v>2020-05</v>
      </c>
    </row>
    <row r="3235" spans="1:10" x14ac:dyDescent="0.2">
      <c r="A3235" s="2" t="s">
        <v>2676</v>
      </c>
      <c r="B3235" s="2" t="s">
        <v>768</v>
      </c>
      <c r="C3235" s="2" t="s">
        <v>16</v>
      </c>
      <c r="D3235" s="2">
        <v>400</v>
      </c>
      <c r="E3235" s="5">
        <v>43955</v>
      </c>
      <c r="F3235" s="2">
        <v>175</v>
      </c>
      <c r="G3235" s="2" t="s">
        <v>37</v>
      </c>
      <c r="H3235" s="2" t="s">
        <v>768</v>
      </c>
      <c r="I3235" s="6">
        <v>0.2</v>
      </c>
      <c r="J3235" s="2" t="str">
        <f t="shared" si="50"/>
        <v>2020-05</v>
      </c>
    </row>
    <row r="3236" spans="1:10" x14ac:dyDescent="0.2">
      <c r="A3236" s="2" t="s">
        <v>775</v>
      </c>
      <c r="B3236" s="2" t="s">
        <v>416</v>
      </c>
      <c r="C3236" s="2" t="s">
        <v>195</v>
      </c>
      <c r="D3236" s="2">
        <v>63</v>
      </c>
      <c r="E3236" s="5">
        <v>43955</v>
      </c>
      <c r="F3236" s="2">
        <v>7</v>
      </c>
      <c r="G3236" s="2" t="s">
        <v>41</v>
      </c>
      <c r="H3236" s="2" t="s">
        <v>417</v>
      </c>
      <c r="I3236" s="6">
        <v>0.21</v>
      </c>
      <c r="J3236" s="2" t="str">
        <f t="shared" si="50"/>
        <v>2020-05</v>
      </c>
    </row>
    <row r="3237" spans="1:10" x14ac:dyDescent="0.2">
      <c r="A3237" s="2" t="s">
        <v>2677</v>
      </c>
      <c r="B3237" s="2" t="s">
        <v>188</v>
      </c>
      <c r="C3237" s="2" t="s">
        <v>29</v>
      </c>
      <c r="D3237" s="2">
        <v>62</v>
      </c>
      <c r="E3237" s="5">
        <v>43955</v>
      </c>
      <c r="F3237" s="2">
        <v>257</v>
      </c>
      <c r="G3237" s="2" t="s">
        <v>37</v>
      </c>
      <c r="H3237" s="2" t="s">
        <v>106</v>
      </c>
      <c r="I3237" s="6">
        <v>0.15</v>
      </c>
      <c r="J3237" s="2" t="str">
        <f t="shared" si="50"/>
        <v>2020-05</v>
      </c>
    </row>
    <row r="3238" spans="1:10" x14ac:dyDescent="0.2">
      <c r="A3238" s="2" t="s">
        <v>2678</v>
      </c>
      <c r="B3238" s="2" t="s">
        <v>273</v>
      </c>
      <c r="C3238" s="2" t="s">
        <v>68</v>
      </c>
      <c r="D3238" s="2">
        <v>60</v>
      </c>
      <c r="E3238" s="5">
        <v>43955</v>
      </c>
      <c r="F3238" s="2">
        <v>106</v>
      </c>
      <c r="G3238" s="2" t="s">
        <v>37</v>
      </c>
      <c r="H3238" s="2" t="s">
        <v>274</v>
      </c>
      <c r="I3238" s="6">
        <v>0.3</v>
      </c>
      <c r="J3238" s="2" t="str">
        <f t="shared" si="50"/>
        <v>2020-05</v>
      </c>
    </row>
    <row r="3239" spans="1:10" x14ac:dyDescent="0.2">
      <c r="A3239" s="2" t="s">
        <v>367</v>
      </c>
      <c r="B3239" s="2" t="s">
        <v>335</v>
      </c>
      <c r="C3239" s="2" t="s">
        <v>50</v>
      </c>
      <c r="D3239" s="2">
        <v>11</v>
      </c>
      <c r="E3239" s="5">
        <v>43955</v>
      </c>
      <c r="F3239" s="2">
        <v>11</v>
      </c>
      <c r="G3239" s="2" t="s">
        <v>41</v>
      </c>
      <c r="H3239" s="2" t="s">
        <v>106</v>
      </c>
      <c r="I3239" s="6">
        <v>0.08</v>
      </c>
      <c r="J3239" s="2" t="str">
        <f t="shared" si="50"/>
        <v>2020-05</v>
      </c>
    </row>
    <row r="3240" spans="1:10" x14ac:dyDescent="0.2">
      <c r="A3240" s="2" t="s">
        <v>2679</v>
      </c>
      <c r="B3240" s="2" t="s">
        <v>34</v>
      </c>
      <c r="C3240" s="2" t="s">
        <v>32</v>
      </c>
      <c r="D3240" s="2" t="s">
        <v>2954</v>
      </c>
      <c r="E3240" s="5">
        <v>43955</v>
      </c>
      <c r="F3240" s="2">
        <v>184</v>
      </c>
      <c r="G3240" s="2" t="s">
        <v>17</v>
      </c>
      <c r="H3240" s="2" t="s">
        <v>23</v>
      </c>
      <c r="I3240" s="6">
        <v>0.13</v>
      </c>
      <c r="J3240" s="2" t="str">
        <f t="shared" si="50"/>
        <v>2020-05</v>
      </c>
    </row>
    <row r="3241" spans="1:10" x14ac:dyDescent="0.2">
      <c r="A3241" s="2" t="s">
        <v>2680</v>
      </c>
      <c r="B3241" s="2" t="s">
        <v>2681</v>
      </c>
      <c r="C3241" s="2" t="s">
        <v>44</v>
      </c>
      <c r="D3241" s="2" t="s">
        <v>2954</v>
      </c>
      <c r="E3241" s="5">
        <v>43955</v>
      </c>
      <c r="F3241" s="2">
        <v>55</v>
      </c>
      <c r="G3241" s="2" t="s">
        <v>45</v>
      </c>
      <c r="H3241" s="2" t="s">
        <v>76</v>
      </c>
      <c r="I3241" s="6" t="s">
        <v>2954</v>
      </c>
      <c r="J3241" s="2" t="str">
        <f t="shared" si="50"/>
        <v>2020-05</v>
      </c>
    </row>
    <row r="3242" spans="1:10" x14ac:dyDescent="0.2">
      <c r="A3242" s="2" t="s">
        <v>1820</v>
      </c>
      <c r="B3242" s="2" t="s">
        <v>15</v>
      </c>
      <c r="C3242" s="2" t="s">
        <v>142</v>
      </c>
      <c r="D3242" s="2">
        <v>120</v>
      </c>
      <c r="E3242" s="5">
        <v>43954</v>
      </c>
      <c r="F3242" s="2">
        <v>386</v>
      </c>
      <c r="G3242" s="2" t="s">
        <v>75</v>
      </c>
      <c r="H3242" s="2" t="s">
        <v>18</v>
      </c>
      <c r="I3242" s="6">
        <v>0.1</v>
      </c>
      <c r="J3242" s="2" t="str">
        <f t="shared" si="50"/>
        <v>2020-05</v>
      </c>
    </row>
    <row r="3243" spans="1:10" x14ac:dyDescent="0.2">
      <c r="A3243" s="2" t="s">
        <v>2682</v>
      </c>
      <c r="B3243" s="2" t="s">
        <v>25</v>
      </c>
      <c r="C3243" s="2" t="s">
        <v>29</v>
      </c>
      <c r="D3243" s="2">
        <v>50</v>
      </c>
      <c r="E3243" s="5">
        <v>43954</v>
      </c>
      <c r="F3243" s="2">
        <v>46</v>
      </c>
      <c r="G3243" s="2" t="s">
        <v>17</v>
      </c>
      <c r="H3243" s="2" t="s">
        <v>23</v>
      </c>
      <c r="I3243" s="6" t="s">
        <v>2954</v>
      </c>
      <c r="J3243" s="2" t="str">
        <f t="shared" si="50"/>
        <v>2020-05</v>
      </c>
    </row>
    <row r="3244" spans="1:10" x14ac:dyDescent="0.2">
      <c r="A3244" s="2" t="s">
        <v>1755</v>
      </c>
      <c r="B3244" s="2" t="s">
        <v>54</v>
      </c>
      <c r="C3244" s="2" t="s">
        <v>44</v>
      </c>
      <c r="D3244" s="2">
        <v>150</v>
      </c>
      <c r="E3244" s="5">
        <v>43952</v>
      </c>
      <c r="F3244" s="2">
        <v>2400</v>
      </c>
      <c r="G3244" s="2" t="s">
        <v>62</v>
      </c>
      <c r="H3244" s="2" t="s">
        <v>55</v>
      </c>
      <c r="I3244" s="6" t="s">
        <v>2954</v>
      </c>
      <c r="J3244" s="2" t="str">
        <f t="shared" si="50"/>
        <v>2020-05</v>
      </c>
    </row>
    <row r="3245" spans="1:10" x14ac:dyDescent="0.2">
      <c r="A3245" s="2" t="s">
        <v>2683</v>
      </c>
      <c r="B3245" s="2" t="s">
        <v>25</v>
      </c>
      <c r="C3245" s="2" t="s">
        <v>68</v>
      </c>
      <c r="D3245" s="2">
        <v>110</v>
      </c>
      <c r="E3245" s="5">
        <v>43952</v>
      </c>
      <c r="F3245" s="2">
        <v>217</v>
      </c>
      <c r="G3245" s="2" t="s">
        <v>128</v>
      </c>
      <c r="H3245" s="2" t="s">
        <v>23</v>
      </c>
      <c r="I3245" s="6">
        <v>0.4</v>
      </c>
      <c r="J3245" s="2" t="str">
        <f t="shared" si="50"/>
        <v>2020-05</v>
      </c>
    </row>
    <row r="3246" spans="1:10" x14ac:dyDescent="0.2">
      <c r="A3246" s="2" t="s">
        <v>2684</v>
      </c>
      <c r="B3246" s="2" t="s">
        <v>54</v>
      </c>
      <c r="C3246" s="2" t="s">
        <v>235</v>
      </c>
      <c r="D3246" s="2">
        <v>95</v>
      </c>
      <c r="E3246" s="5">
        <v>43952</v>
      </c>
      <c r="F3246" s="2">
        <v>102</v>
      </c>
      <c r="G3246" s="2" t="s">
        <v>37</v>
      </c>
      <c r="H3246" s="2" t="s">
        <v>55</v>
      </c>
      <c r="I3246" s="6">
        <v>0.32</v>
      </c>
      <c r="J3246" s="2" t="str">
        <f t="shared" si="50"/>
        <v>2020-05</v>
      </c>
    </row>
    <row r="3247" spans="1:10" x14ac:dyDescent="0.2">
      <c r="A3247" s="2" t="s">
        <v>2685</v>
      </c>
      <c r="B3247" s="2" t="s">
        <v>34</v>
      </c>
      <c r="C3247" s="2" t="s">
        <v>35</v>
      </c>
      <c r="D3247" s="2">
        <v>80</v>
      </c>
      <c r="E3247" s="5">
        <v>43952</v>
      </c>
      <c r="F3247" s="2">
        <v>82</v>
      </c>
      <c r="G3247" s="2" t="s">
        <v>41</v>
      </c>
      <c r="H3247" s="2" t="s">
        <v>23</v>
      </c>
      <c r="I3247" s="6">
        <v>0.8</v>
      </c>
      <c r="J3247" s="2" t="str">
        <f t="shared" si="50"/>
        <v>2020-05</v>
      </c>
    </row>
    <row r="3248" spans="1:10" x14ac:dyDescent="0.2">
      <c r="A3248" s="2" t="s">
        <v>2686</v>
      </c>
      <c r="B3248" s="2" t="s">
        <v>89</v>
      </c>
      <c r="C3248" s="2" t="s">
        <v>32</v>
      </c>
      <c r="D3248" s="2">
        <v>70</v>
      </c>
      <c r="E3248" s="5">
        <v>43952</v>
      </c>
      <c r="F3248" s="2">
        <v>10</v>
      </c>
      <c r="G3248" s="2" t="s">
        <v>41</v>
      </c>
      <c r="H3248" s="2" t="s">
        <v>23</v>
      </c>
      <c r="I3248" s="6" t="s">
        <v>2954</v>
      </c>
      <c r="J3248" s="2" t="str">
        <f t="shared" si="50"/>
        <v>2020-05</v>
      </c>
    </row>
    <row r="3249" spans="1:10" x14ac:dyDescent="0.2">
      <c r="A3249" s="2" t="s">
        <v>2687</v>
      </c>
      <c r="B3249" s="2" t="s">
        <v>2688</v>
      </c>
      <c r="C3249" s="2" t="s">
        <v>16</v>
      </c>
      <c r="D3249" s="2">
        <v>35</v>
      </c>
      <c r="E3249" s="5">
        <v>43952</v>
      </c>
      <c r="F3249" s="2">
        <v>80</v>
      </c>
      <c r="G3249" s="2" t="s">
        <v>12</v>
      </c>
      <c r="H3249" s="2" t="s">
        <v>1489</v>
      </c>
      <c r="I3249" s="6" t="s">
        <v>2954</v>
      </c>
      <c r="J3249" s="2" t="str">
        <f t="shared" si="50"/>
        <v>2020-05</v>
      </c>
    </row>
    <row r="3250" spans="1:10" x14ac:dyDescent="0.2">
      <c r="A3250" s="2" t="s">
        <v>1123</v>
      </c>
      <c r="B3250" s="2" t="s">
        <v>25</v>
      </c>
      <c r="C3250" s="2" t="s">
        <v>235</v>
      </c>
      <c r="D3250" s="2">
        <v>26</v>
      </c>
      <c r="E3250" s="5">
        <v>43952</v>
      </c>
      <c r="F3250" s="2">
        <v>28</v>
      </c>
      <c r="G3250" s="2" t="s">
        <v>66</v>
      </c>
      <c r="H3250" s="2" t="s">
        <v>23</v>
      </c>
      <c r="I3250" s="6">
        <v>0.2</v>
      </c>
      <c r="J3250" s="2" t="str">
        <f t="shared" si="50"/>
        <v>2020-05</v>
      </c>
    </row>
    <row r="3251" spans="1:10" x14ac:dyDescent="0.2">
      <c r="A3251" s="2" t="s">
        <v>2689</v>
      </c>
      <c r="B3251" s="2" t="s">
        <v>34</v>
      </c>
      <c r="C3251" s="2" t="s">
        <v>52</v>
      </c>
      <c r="D3251" s="2" t="s">
        <v>2954</v>
      </c>
      <c r="E3251" s="5">
        <v>43952</v>
      </c>
      <c r="F3251" s="2">
        <v>24</v>
      </c>
      <c r="G3251" s="2" t="s">
        <v>45</v>
      </c>
      <c r="H3251" s="2" t="s">
        <v>23</v>
      </c>
      <c r="I3251" s="6">
        <v>1</v>
      </c>
      <c r="J3251" s="2" t="str">
        <f t="shared" si="50"/>
        <v>2020-05</v>
      </c>
    </row>
    <row r="3252" spans="1:10" x14ac:dyDescent="0.2">
      <c r="A3252" s="2" t="s">
        <v>2690</v>
      </c>
      <c r="B3252" s="2" t="s">
        <v>100</v>
      </c>
      <c r="C3252" s="2" t="s">
        <v>44</v>
      </c>
      <c r="D3252" s="2" t="s">
        <v>2954</v>
      </c>
      <c r="E3252" s="5">
        <v>43952</v>
      </c>
      <c r="F3252" s="2">
        <v>1</v>
      </c>
      <c r="G3252" s="2" t="s">
        <v>132</v>
      </c>
      <c r="H3252" s="2" t="s">
        <v>98</v>
      </c>
      <c r="I3252" s="6" t="s">
        <v>2954</v>
      </c>
      <c r="J3252" s="2" t="str">
        <f t="shared" si="50"/>
        <v>2020-05</v>
      </c>
    </row>
    <row r="3253" spans="1:10" x14ac:dyDescent="0.2">
      <c r="A3253" s="2" t="s">
        <v>630</v>
      </c>
      <c r="B3253" s="2" t="s">
        <v>89</v>
      </c>
      <c r="C3253" s="2" t="s">
        <v>50</v>
      </c>
      <c r="D3253" s="2">
        <v>100</v>
      </c>
      <c r="E3253" s="5">
        <v>43951</v>
      </c>
      <c r="F3253" s="2">
        <v>32</v>
      </c>
      <c r="G3253" s="2" t="s">
        <v>45</v>
      </c>
      <c r="H3253" s="2" t="s">
        <v>23</v>
      </c>
      <c r="I3253" s="6" t="s">
        <v>2954</v>
      </c>
      <c r="J3253" s="2" t="str">
        <f t="shared" si="50"/>
        <v>2020-04</v>
      </c>
    </row>
    <row r="3254" spans="1:10" x14ac:dyDescent="0.2">
      <c r="A3254" s="2" t="s">
        <v>2691</v>
      </c>
      <c r="B3254" s="2" t="s">
        <v>89</v>
      </c>
      <c r="C3254" s="2" t="s">
        <v>35</v>
      </c>
      <c r="D3254" s="2">
        <v>81</v>
      </c>
      <c r="E3254" s="5">
        <v>43951</v>
      </c>
      <c r="F3254" s="2">
        <v>156</v>
      </c>
      <c r="G3254" s="2" t="s">
        <v>45</v>
      </c>
      <c r="H3254" s="2" t="s">
        <v>23</v>
      </c>
      <c r="I3254" s="6" t="s">
        <v>2954</v>
      </c>
      <c r="J3254" s="2" t="str">
        <f t="shared" si="50"/>
        <v>2020-04</v>
      </c>
    </row>
    <row r="3255" spans="1:10" x14ac:dyDescent="0.2">
      <c r="A3255" s="2" t="s">
        <v>2692</v>
      </c>
      <c r="B3255" s="2" t="s">
        <v>47</v>
      </c>
      <c r="C3255" s="2" t="s">
        <v>135</v>
      </c>
      <c r="D3255" s="2" t="s">
        <v>2954</v>
      </c>
      <c r="E3255" s="5">
        <v>43951</v>
      </c>
      <c r="F3255" s="2">
        <v>75</v>
      </c>
      <c r="G3255" s="2" t="s">
        <v>12</v>
      </c>
      <c r="H3255" s="2" t="s">
        <v>23</v>
      </c>
      <c r="I3255" s="6" t="s">
        <v>2954</v>
      </c>
      <c r="J3255" s="2" t="str">
        <f t="shared" si="50"/>
        <v>2020-04</v>
      </c>
    </row>
    <row r="3256" spans="1:10" x14ac:dyDescent="0.2">
      <c r="A3256" s="2" t="s">
        <v>1018</v>
      </c>
      <c r="B3256" s="2" t="s">
        <v>34</v>
      </c>
      <c r="C3256" s="2" t="s">
        <v>243</v>
      </c>
      <c r="D3256" s="2" t="s">
        <v>2954</v>
      </c>
      <c r="E3256" s="5">
        <v>43951</v>
      </c>
      <c r="F3256" s="2">
        <v>660</v>
      </c>
      <c r="G3256" s="2" t="s">
        <v>128</v>
      </c>
      <c r="H3256" s="2" t="s">
        <v>23</v>
      </c>
      <c r="I3256" s="6" t="s">
        <v>2954</v>
      </c>
      <c r="J3256" s="2" t="str">
        <f t="shared" si="50"/>
        <v>2020-04</v>
      </c>
    </row>
    <row r="3257" spans="1:10" x14ac:dyDescent="0.2">
      <c r="A3257" s="2" t="s">
        <v>1537</v>
      </c>
      <c r="B3257" s="2" t="s">
        <v>34</v>
      </c>
      <c r="C3257" s="2" t="s">
        <v>235</v>
      </c>
      <c r="D3257" s="2" t="s">
        <v>2954</v>
      </c>
      <c r="E3257" s="5">
        <v>43951</v>
      </c>
      <c r="F3257" s="2">
        <v>145</v>
      </c>
      <c r="G3257" s="2" t="s">
        <v>128</v>
      </c>
      <c r="H3257" s="2" t="s">
        <v>23</v>
      </c>
      <c r="I3257" s="6">
        <v>0.14000000000000001</v>
      </c>
      <c r="J3257" s="2" t="str">
        <f t="shared" si="50"/>
        <v>2020-04</v>
      </c>
    </row>
    <row r="3258" spans="1:10" x14ac:dyDescent="0.2">
      <c r="A3258" s="2" t="s">
        <v>2693</v>
      </c>
      <c r="B3258" s="2" t="s">
        <v>28</v>
      </c>
      <c r="C3258" s="2" t="s">
        <v>11</v>
      </c>
      <c r="D3258" s="2" t="s">
        <v>2954</v>
      </c>
      <c r="E3258" s="5">
        <v>43951</v>
      </c>
      <c r="F3258" s="2">
        <v>15</v>
      </c>
      <c r="G3258" s="2" t="s">
        <v>41</v>
      </c>
      <c r="H3258" s="2" t="s">
        <v>23</v>
      </c>
      <c r="I3258" s="6">
        <v>1</v>
      </c>
      <c r="J3258" s="2" t="str">
        <f t="shared" si="50"/>
        <v>2020-04</v>
      </c>
    </row>
    <row r="3259" spans="1:10" x14ac:dyDescent="0.2">
      <c r="A3259" s="2" t="s">
        <v>1151</v>
      </c>
      <c r="B3259" s="2" t="s">
        <v>34</v>
      </c>
      <c r="C3259" s="2" t="s">
        <v>52</v>
      </c>
      <c r="D3259" s="2">
        <v>982</v>
      </c>
      <c r="E3259" s="5">
        <v>43950</v>
      </c>
      <c r="F3259" s="2">
        <v>4900</v>
      </c>
      <c r="G3259" s="2" t="s">
        <v>17</v>
      </c>
      <c r="H3259" s="2" t="s">
        <v>23</v>
      </c>
      <c r="I3259" s="6">
        <v>0.17</v>
      </c>
      <c r="J3259" s="2" t="str">
        <f t="shared" si="50"/>
        <v>2020-04</v>
      </c>
    </row>
    <row r="3260" spans="1:10" x14ac:dyDescent="0.2">
      <c r="A3260" s="2" t="s">
        <v>2589</v>
      </c>
      <c r="B3260" s="2" t="s">
        <v>34</v>
      </c>
      <c r="C3260" s="2" t="s">
        <v>148</v>
      </c>
      <c r="D3260" s="2">
        <v>300</v>
      </c>
      <c r="E3260" s="5">
        <v>43950</v>
      </c>
      <c r="F3260" s="2">
        <v>2250</v>
      </c>
      <c r="G3260" s="2" t="s">
        <v>81</v>
      </c>
      <c r="H3260" s="2" t="s">
        <v>23</v>
      </c>
      <c r="I3260" s="6" t="s">
        <v>2954</v>
      </c>
      <c r="J3260" s="2" t="str">
        <f t="shared" si="50"/>
        <v>2020-04</v>
      </c>
    </row>
    <row r="3261" spans="1:10" x14ac:dyDescent="0.2">
      <c r="A3261" s="2" t="s">
        <v>646</v>
      </c>
      <c r="B3261" s="2" t="s">
        <v>647</v>
      </c>
      <c r="C3261" s="2" t="s">
        <v>44</v>
      </c>
      <c r="D3261" s="2">
        <v>160</v>
      </c>
      <c r="E3261" s="5">
        <v>43950</v>
      </c>
      <c r="F3261" s="2">
        <v>229</v>
      </c>
      <c r="G3261" s="2" t="s">
        <v>45</v>
      </c>
      <c r="H3261" s="2" t="s">
        <v>23</v>
      </c>
      <c r="I3261" s="6">
        <v>0.08</v>
      </c>
      <c r="J3261" s="2" t="str">
        <f t="shared" si="50"/>
        <v>2020-04</v>
      </c>
    </row>
    <row r="3262" spans="1:10" x14ac:dyDescent="0.2">
      <c r="A3262" s="2" t="s">
        <v>1826</v>
      </c>
      <c r="B3262" s="2" t="s">
        <v>25</v>
      </c>
      <c r="C3262" s="2" t="s">
        <v>11</v>
      </c>
      <c r="D3262" s="2">
        <v>124</v>
      </c>
      <c r="E3262" s="5">
        <v>43950</v>
      </c>
      <c r="F3262" s="2">
        <v>89</v>
      </c>
      <c r="G3262" s="2" t="s">
        <v>37</v>
      </c>
      <c r="H3262" s="2" t="s">
        <v>23</v>
      </c>
      <c r="I3262" s="6" t="s">
        <v>2954</v>
      </c>
      <c r="J3262" s="2" t="str">
        <f t="shared" si="50"/>
        <v>2020-04</v>
      </c>
    </row>
    <row r="3263" spans="1:10" x14ac:dyDescent="0.2">
      <c r="A3263" s="2" t="s">
        <v>2694</v>
      </c>
      <c r="B3263" s="2" t="s">
        <v>34</v>
      </c>
      <c r="C3263" s="2" t="s">
        <v>52</v>
      </c>
      <c r="D3263" s="2">
        <v>80</v>
      </c>
      <c r="E3263" s="5">
        <v>43950</v>
      </c>
      <c r="F3263" s="2">
        <v>765</v>
      </c>
      <c r="G3263" s="2" t="s">
        <v>75</v>
      </c>
      <c r="H3263" s="2" t="s">
        <v>23</v>
      </c>
      <c r="I3263" s="6">
        <v>0.13</v>
      </c>
      <c r="J3263" s="2" t="str">
        <f t="shared" si="50"/>
        <v>2020-04</v>
      </c>
    </row>
    <row r="3264" spans="1:10" x14ac:dyDescent="0.2">
      <c r="A3264" s="2" t="s">
        <v>2695</v>
      </c>
      <c r="B3264" s="2" t="s">
        <v>25</v>
      </c>
      <c r="C3264" s="2" t="s">
        <v>170</v>
      </c>
      <c r="D3264" s="2">
        <v>24</v>
      </c>
      <c r="E3264" s="5">
        <v>43950</v>
      </c>
      <c r="F3264" s="2">
        <v>128</v>
      </c>
      <c r="G3264" s="2" t="s">
        <v>75</v>
      </c>
      <c r="H3264" s="2" t="s">
        <v>23</v>
      </c>
      <c r="I3264" s="6">
        <v>0.1</v>
      </c>
      <c r="J3264" s="2" t="str">
        <f t="shared" si="50"/>
        <v>2020-04</v>
      </c>
    </row>
    <row r="3265" spans="1:10" x14ac:dyDescent="0.2">
      <c r="A3265" s="2" t="s">
        <v>2696</v>
      </c>
      <c r="B3265" s="2" t="s">
        <v>2697</v>
      </c>
      <c r="C3265" s="2" t="s">
        <v>16</v>
      </c>
      <c r="D3265" s="2" t="s">
        <v>2954</v>
      </c>
      <c r="E3265" s="5">
        <v>43950</v>
      </c>
      <c r="F3265" s="2">
        <v>23</v>
      </c>
      <c r="G3265" s="2" t="s">
        <v>37</v>
      </c>
      <c r="H3265" s="2" t="s">
        <v>2698</v>
      </c>
      <c r="I3265" s="6" t="s">
        <v>2954</v>
      </c>
      <c r="J3265" s="2" t="str">
        <f t="shared" si="50"/>
        <v>2020-04</v>
      </c>
    </row>
    <row r="3266" spans="1:10" x14ac:dyDescent="0.2">
      <c r="A3266" s="2" t="s">
        <v>582</v>
      </c>
      <c r="B3266" s="2" t="s">
        <v>89</v>
      </c>
      <c r="C3266" s="2" t="s">
        <v>44</v>
      </c>
      <c r="D3266" s="2">
        <v>900</v>
      </c>
      <c r="E3266" s="5">
        <v>43949</v>
      </c>
      <c r="F3266" s="2">
        <v>3</v>
      </c>
      <c r="G3266" s="2" t="s">
        <v>17</v>
      </c>
      <c r="H3266" s="2" t="s">
        <v>23</v>
      </c>
      <c r="I3266" s="6">
        <v>0.25</v>
      </c>
      <c r="J3266" s="2" t="str">
        <f t="shared" si="50"/>
        <v>2020-04</v>
      </c>
    </row>
    <row r="3267" spans="1:10" x14ac:dyDescent="0.2">
      <c r="A3267" s="2" t="s">
        <v>2699</v>
      </c>
      <c r="B3267" s="2" t="s">
        <v>203</v>
      </c>
      <c r="C3267" s="2" t="s">
        <v>16</v>
      </c>
      <c r="D3267" s="2">
        <v>391</v>
      </c>
      <c r="E3267" s="5">
        <v>43949</v>
      </c>
      <c r="F3267" s="2" t="s">
        <v>2954</v>
      </c>
      <c r="G3267" s="2" t="s">
        <v>12</v>
      </c>
      <c r="H3267" s="2" t="s">
        <v>204</v>
      </c>
      <c r="I3267" s="6">
        <v>0.5</v>
      </c>
      <c r="J3267" s="2" t="str">
        <f t="shared" ref="J3267:J3330" si="51">TEXT(E3267,"YYYY-MM")</f>
        <v>2020-04</v>
      </c>
    </row>
    <row r="3268" spans="1:10" x14ac:dyDescent="0.2">
      <c r="A3268" s="2" t="s">
        <v>1400</v>
      </c>
      <c r="B3268" s="2" t="s">
        <v>54</v>
      </c>
      <c r="C3268" s="2" t="s">
        <v>11</v>
      </c>
      <c r="D3268" s="2">
        <v>367</v>
      </c>
      <c r="E3268" s="5">
        <v>43949</v>
      </c>
      <c r="F3268" s="2">
        <v>1500</v>
      </c>
      <c r="G3268" s="2" t="s">
        <v>58</v>
      </c>
      <c r="H3268" s="2" t="s">
        <v>55</v>
      </c>
      <c r="I3268" s="6">
        <v>0.15</v>
      </c>
      <c r="J3268" s="2" t="str">
        <f t="shared" si="51"/>
        <v>2020-04</v>
      </c>
    </row>
    <row r="3269" spans="1:10" x14ac:dyDescent="0.2">
      <c r="A3269" s="2" t="s">
        <v>2700</v>
      </c>
      <c r="B3269" s="2" t="s">
        <v>34</v>
      </c>
      <c r="C3269" s="2" t="s">
        <v>243</v>
      </c>
      <c r="D3269" s="2">
        <v>80</v>
      </c>
      <c r="E3269" s="5">
        <v>43949</v>
      </c>
      <c r="F3269" s="2">
        <v>156</v>
      </c>
      <c r="G3269" s="2" t="s">
        <v>12</v>
      </c>
      <c r="H3269" s="2" t="s">
        <v>23</v>
      </c>
      <c r="I3269" s="6">
        <v>0.18</v>
      </c>
      <c r="J3269" s="2" t="str">
        <f t="shared" si="51"/>
        <v>2020-04</v>
      </c>
    </row>
    <row r="3270" spans="1:10" x14ac:dyDescent="0.2">
      <c r="A3270" s="2" t="s">
        <v>2701</v>
      </c>
      <c r="B3270" s="2" t="s">
        <v>47</v>
      </c>
      <c r="C3270" s="2" t="s">
        <v>26</v>
      </c>
      <c r="D3270" s="2">
        <v>35</v>
      </c>
      <c r="E3270" s="5">
        <v>43949</v>
      </c>
      <c r="F3270" s="2">
        <v>70</v>
      </c>
      <c r="G3270" s="2" t="s">
        <v>12</v>
      </c>
      <c r="H3270" s="2" t="s">
        <v>23</v>
      </c>
      <c r="I3270" s="6">
        <v>0.15</v>
      </c>
      <c r="J3270" s="2" t="str">
        <f t="shared" si="51"/>
        <v>2020-04</v>
      </c>
    </row>
    <row r="3271" spans="1:10" x14ac:dyDescent="0.2">
      <c r="A3271" s="2" t="s">
        <v>2702</v>
      </c>
      <c r="B3271" s="2" t="s">
        <v>34</v>
      </c>
      <c r="C3271" s="2" t="s">
        <v>16</v>
      </c>
      <c r="D3271" s="2">
        <v>27</v>
      </c>
      <c r="E3271" s="5">
        <v>43949</v>
      </c>
      <c r="F3271" s="2">
        <v>71</v>
      </c>
      <c r="G3271" s="2" t="s">
        <v>37</v>
      </c>
      <c r="H3271" s="2" t="s">
        <v>23</v>
      </c>
      <c r="I3271" s="6">
        <v>0.25</v>
      </c>
      <c r="J3271" s="2" t="str">
        <f t="shared" si="51"/>
        <v>2020-04</v>
      </c>
    </row>
    <row r="3272" spans="1:10" x14ac:dyDescent="0.2">
      <c r="A3272" s="2" t="s">
        <v>2703</v>
      </c>
      <c r="B3272" s="2" t="s">
        <v>47</v>
      </c>
      <c r="C3272" s="2" t="s">
        <v>142</v>
      </c>
      <c r="D3272" s="2">
        <v>20</v>
      </c>
      <c r="E3272" s="5">
        <v>43949</v>
      </c>
      <c r="F3272" s="2">
        <v>2</v>
      </c>
      <c r="G3272" s="2" t="s">
        <v>132</v>
      </c>
      <c r="H3272" s="2" t="s">
        <v>23</v>
      </c>
      <c r="I3272" s="6">
        <v>0.5</v>
      </c>
      <c r="J3272" s="2" t="str">
        <f t="shared" si="51"/>
        <v>2020-04</v>
      </c>
    </row>
    <row r="3273" spans="1:10" x14ac:dyDescent="0.2">
      <c r="A3273" s="2" t="s">
        <v>383</v>
      </c>
      <c r="B3273" s="2" t="s">
        <v>89</v>
      </c>
      <c r="C3273" s="2" t="s">
        <v>29</v>
      </c>
      <c r="D3273" s="2" t="s">
        <v>2954</v>
      </c>
      <c r="E3273" s="5">
        <v>43949</v>
      </c>
      <c r="F3273" s="2">
        <v>436</v>
      </c>
      <c r="G3273" s="2" t="s">
        <v>128</v>
      </c>
      <c r="H3273" s="2" t="s">
        <v>23</v>
      </c>
      <c r="I3273" s="6" t="s">
        <v>2954</v>
      </c>
      <c r="J3273" s="2" t="str">
        <f t="shared" si="51"/>
        <v>2020-04</v>
      </c>
    </row>
    <row r="3274" spans="1:10" x14ac:dyDescent="0.2">
      <c r="A3274" s="2" t="s">
        <v>2704</v>
      </c>
      <c r="B3274" s="2" t="s">
        <v>34</v>
      </c>
      <c r="C3274" s="2" t="s">
        <v>16</v>
      </c>
      <c r="D3274" s="2" t="s">
        <v>2954</v>
      </c>
      <c r="E3274" s="5">
        <v>43949</v>
      </c>
      <c r="F3274" s="2">
        <v>37</v>
      </c>
      <c r="G3274" s="2" t="s">
        <v>37</v>
      </c>
      <c r="H3274" s="2" t="s">
        <v>23</v>
      </c>
      <c r="I3274" s="6">
        <v>0.25</v>
      </c>
      <c r="J3274" s="2" t="str">
        <f t="shared" si="51"/>
        <v>2020-04</v>
      </c>
    </row>
    <row r="3275" spans="1:10" x14ac:dyDescent="0.2">
      <c r="A3275" s="2" t="s">
        <v>2705</v>
      </c>
      <c r="B3275" s="2" t="s">
        <v>34</v>
      </c>
      <c r="C3275" s="2" t="s">
        <v>29</v>
      </c>
      <c r="D3275" s="2">
        <v>260</v>
      </c>
      <c r="E3275" s="5">
        <v>43948</v>
      </c>
      <c r="F3275" s="2">
        <v>840</v>
      </c>
      <c r="G3275" s="2" t="s">
        <v>37</v>
      </c>
      <c r="H3275" s="2" t="s">
        <v>23</v>
      </c>
      <c r="I3275" s="6">
        <v>0.1</v>
      </c>
      <c r="J3275" s="2" t="str">
        <f t="shared" si="51"/>
        <v>2020-04</v>
      </c>
    </row>
    <row r="3276" spans="1:10" x14ac:dyDescent="0.2">
      <c r="A3276" s="2" t="s">
        <v>2356</v>
      </c>
      <c r="B3276" s="2" t="s">
        <v>28</v>
      </c>
      <c r="C3276" s="2" t="s">
        <v>148</v>
      </c>
      <c r="D3276" s="2">
        <v>20</v>
      </c>
      <c r="E3276" s="5">
        <v>43948</v>
      </c>
      <c r="F3276" s="2">
        <v>24</v>
      </c>
      <c r="G3276" s="2" t="s">
        <v>41</v>
      </c>
      <c r="H3276" s="2" t="s">
        <v>23</v>
      </c>
      <c r="I3276" s="6">
        <v>0.2</v>
      </c>
      <c r="J3276" s="2" t="str">
        <f t="shared" si="51"/>
        <v>2020-04</v>
      </c>
    </row>
    <row r="3277" spans="1:10" x14ac:dyDescent="0.2">
      <c r="A3277" s="2" t="s">
        <v>2706</v>
      </c>
      <c r="B3277" s="2" t="s">
        <v>250</v>
      </c>
      <c r="C3277" s="2" t="s">
        <v>84</v>
      </c>
      <c r="D3277" s="2" t="s">
        <v>2954</v>
      </c>
      <c r="E3277" s="5">
        <v>43948</v>
      </c>
      <c r="F3277" s="2">
        <v>4</v>
      </c>
      <c r="G3277" s="2" t="s">
        <v>132</v>
      </c>
      <c r="H3277" s="2" t="s">
        <v>23</v>
      </c>
      <c r="I3277" s="7" t="s">
        <v>1381</v>
      </c>
      <c r="J3277" s="2" t="str">
        <f t="shared" si="51"/>
        <v>2020-04</v>
      </c>
    </row>
    <row r="3278" spans="1:10" x14ac:dyDescent="0.2">
      <c r="A3278" s="2" t="s">
        <v>1755</v>
      </c>
      <c r="B3278" s="2" t="s">
        <v>661</v>
      </c>
      <c r="C3278" s="2" t="s">
        <v>44</v>
      </c>
      <c r="D3278" s="2">
        <v>500</v>
      </c>
      <c r="E3278" s="5">
        <v>43946</v>
      </c>
      <c r="F3278" s="2">
        <v>2400</v>
      </c>
      <c r="G3278" s="2" t="s">
        <v>62</v>
      </c>
      <c r="H3278" s="2" t="s">
        <v>662</v>
      </c>
      <c r="I3278" s="6" t="s">
        <v>2954</v>
      </c>
      <c r="J3278" s="2" t="str">
        <f t="shared" si="51"/>
        <v>2020-04</v>
      </c>
    </row>
    <row r="3279" spans="1:10" x14ac:dyDescent="0.2">
      <c r="A3279" s="2" t="s">
        <v>2707</v>
      </c>
      <c r="B3279" s="2" t="s">
        <v>398</v>
      </c>
      <c r="C3279" s="2" t="s">
        <v>11</v>
      </c>
      <c r="D3279" s="2">
        <v>250</v>
      </c>
      <c r="E3279" s="5">
        <v>43946</v>
      </c>
      <c r="F3279" s="2" t="s">
        <v>2954</v>
      </c>
      <c r="G3279" s="2" t="s">
        <v>41</v>
      </c>
      <c r="H3279" s="2" t="s">
        <v>399</v>
      </c>
      <c r="I3279" s="6">
        <v>1</v>
      </c>
      <c r="J3279" s="2" t="str">
        <f t="shared" si="51"/>
        <v>2020-04</v>
      </c>
    </row>
    <row r="3280" spans="1:10" x14ac:dyDescent="0.2">
      <c r="A3280" s="2" t="s">
        <v>2708</v>
      </c>
      <c r="B3280" s="2" t="s">
        <v>2709</v>
      </c>
      <c r="C3280" s="2" t="s">
        <v>29</v>
      </c>
      <c r="D3280" s="2">
        <v>30</v>
      </c>
      <c r="E3280" s="5">
        <v>43946</v>
      </c>
      <c r="F3280" s="2">
        <v>17</v>
      </c>
      <c r="G3280" s="2" t="s">
        <v>37</v>
      </c>
      <c r="H3280" s="2" t="s">
        <v>23</v>
      </c>
      <c r="I3280" s="6">
        <v>0.2</v>
      </c>
      <c r="J3280" s="2" t="str">
        <f t="shared" si="51"/>
        <v>2020-04</v>
      </c>
    </row>
    <row r="3281" spans="1:10" x14ac:dyDescent="0.2">
      <c r="A3281" s="2" t="s">
        <v>2710</v>
      </c>
      <c r="B3281" s="2" t="s">
        <v>47</v>
      </c>
      <c r="C3281" s="2" t="s">
        <v>52</v>
      </c>
      <c r="D3281" s="2">
        <v>57</v>
      </c>
      <c r="E3281" s="5">
        <v>43945</v>
      </c>
      <c r="F3281" s="2">
        <v>88</v>
      </c>
      <c r="G3281" s="2" t="s">
        <v>37</v>
      </c>
      <c r="H3281" s="2" t="s">
        <v>23</v>
      </c>
      <c r="I3281" s="6">
        <v>0.36</v>
      </c>
      <c r="J3281" s="2" t="str">
        <f t="shared" si="51"/>
        <v>2020-04</v>
      </c>
    </row>
    <row r="3282" spans="1:10" x14ac:dyDescent="0.2">
      <c r="A3282" s="2" t="s">
        <v>2711</v>
      </c>
      <c r="B3282" s="2" t="s">
        <v>335</v>
      </c>
      <c r="C3282" s="2" t="s">
        <v>113</v>
      </c>
      <c r="D3282" s="2">
        <v>36</v>
      </c>
      <c r="E3282" s="5">
        <v>43945</v>
      </c>
      <c r="F3282" s="2">
        <v>60</v>
      </c>
      <c r="G3282" s="2" t="s">
        <v>37</v>
      </c>
      <c r="H3282" s="2" t="s">
        <v>106</v>
      </c>
      <c r="I3282" s="6">
        <v>0.23</v>
      </c>
      <c r="J3282" s="2" t="str">
        <f t="shared" si="51"/>
        <v>2020-04</v>
      </c>
    </row>
    <row r="3283" spans="1:10" x14ac:dyDescent="0.2">
      <c r="A3283" s="2" t="s">
        <v>2712</v>
      </c>
      <c r="B3283" s="2" t="s">
        <v>314</v>
      </c>
      <c r="C3283" s="2" t="s">
        <v>26</v>
      </c>
      <c r="D3283" s="2">
        <v>19</v>
      </c>
      <c r="E3283" s="5">
        <v>43945</v>
      </c>
      <c r="F3283" s="2">
        <v>7</v>
      </c>
      <c r="G3283" s="2" t="s">
        <v>41</v>
      </c>
      <c r="H3283" s="2" t="s">
        <v>23</v>
      </c>
      <c r="I3283" s="6">
        <v>0.3</v>
      </c>
      <c r="J3283" s="2" t="str">
        <f t="shared" si="51"/>
        <v>2020-04</v>
      </c>
    </row>
    <row r="3284" spans="1:10" x14ac:dyDescent="0.2">
      <c r="A3284" s="2" t="s">
        <v>2568</v>
      </c>
      <c r="B3284" s="2" t="s">
        <v>28</v>
      </c>
      <c r="C3284" s="2" t="s">
        <v>16</v>
      </c>
      <c r="D3284" s="2">
        <v>18</v>
      </c>
      <c r="E3284" s="5">
        <v>43945</v>
      </c>
      <c r="F3284" s="2">
        <v>15</v>
      </c>
      <c r="G3284" s="2" t="s">
        <v>37</v>
      </c>
      <c r="H3284" s="2" t="s">
        <v>23</v>
      </c>
      <c r="I3284" s="6">
        <v>0.22</v>
      </c>
      <c r="J3284" s="2" t="str">
        <f t="shared" si="51"/>
        <v>2020-04</v>
      </c>
    </row>
    <row r="3285" spans="1:10" x14ac:dyDescent="0.2">
      <c r="A3285" s="2" t="s">
        <v>2713</v>
      </c>
      <c r="B3285" s="2" t="s">
        <v>74</v>
      </c>
      <c r="C3285" s="2" t="s">
        <v>44</v>
      </c>
      <c r="D3285" s="2">
        <v>15</v>
      </c>
      <c r="E3285" s="5">
        <v>43945</v>
      </c>
      <c r="F3285" s="2">
        <v>30</v>
      </c>
      <c r="G3285" s="2" t="s">
        <v>37</v>
      </c>
      <c r="H3285" s="2" t="s">
        <v>76</v>
      </c>
      <c r="I3285" s="6">
        <v>0.25</v>
      </c>
      <c r="J3285" s="2" t="str">
        <f t="shared" si="51"/>
        <v>2020-04</v>
      </c>
    </row>
    <row r="3286" spans="1:10" x14ac:dyDescent="0.2">
      <c r="A3286" s="2" t="s">
        <v>2714</v>
      </c>
      <c r="B3286" s="2" t="s">
        <v>34</v>
      </c>
      <c r="C3286" s="2" t="s">
        <v>32</v>
      </c>
      <c r="D3286" s="2">
        <v>10</v>
      </c>
      <c r="E3286" s="5">
        <v>43945</v>
      </c>
      <c r="F3286" s="2">
        <v>29</v>
      </c>
      <c r="G3286" s="2" t="s">
        <v>37</v>
      </c>
      <c r="H3286" s="2" t="s">
        <v>23</v>
      </c>
      <c r="I3286" s="6">
        <v>0.33</v>
      </c>
      <c r="J3286" s="2" t="str">
        <f t="shared" si="51"/>
        <v>2020-04</v>
      </c>
    </row>
    <row r="3287" spans="1:10" x14ac:dyDescent="0.2">
      <c r="A3287" s="2" t="s">
        <v>2715</v>
      </c>
      <c r="B3287" s="2" t="s">
        <v>314</v>
      </c>
      <c r="C3287" s="2" t="s">
        <v>35</v>
      </c>
      <c r="D3287" s="2">
        <v>6</v>
      </c>
      <c r="E3287" s="5">
        <v>43945</v>
      </c>
      <c r="F3287" s="2">
        <v>12</v>
      </c>
      <c r="G3287" s="2" t="s">
        <v>12</v>
      </c>
      <c r="H3287" s="2" t="s">
        <v>23</v>
      </c>
      <c r="I3287" s="6">
        <v>0.21</v>
      </c>
      <c r="J3287" s="2" t="str">
        <f t="shared" si="51"/>
        <v>2020-04</v>
      </c>
    </row>
    <row r="3288" spans="1:10" x14ac:dyDescent="0.2">
      <c r="A3288" s="2" t="s">
        <v>2716</v>
      </c>
      <c r="B3288" s="2" t="s">
        <v>661</v>
      </c>
      <c r="C3288" s="2" t="s">
        <v>61</v>
      </c>
      <c r="D3288" s="2">
        <v>4</v>
      </c>
      <c r="E3288" s="5">
        <v>43945</v>
      </c>
      <c r="F3288" s="2">
        <v>2</v>
      </c>
      <c r="G3288" s="2" t="s">
        <v>41</v>
      </c>
      <c r="H3288" s="2" t="s">
        <v>662</v>
      </c>
      <c r="I3288" s="6">
        <v>1</v>
      </c>
      <c r="J3288" s="2" t="str">
        <f t="shared" si="51"/>
        <v>2020-04</v>
      </c>
    </row>
    <row r="3289" spans="1:10" x14ac:dyDescent="0.2">
      <c r="A3289" s="2" t="s">
        <v>2717</v>
      </c>
      <c r="B3289" s="2" t="s">
        <v>25</v>
      </c>
      <c r="C3289" s="2" t="s">
        <v>235</v>
      </c>
      <c r="D3289" s="2" t="s">
        <v>2954</v>
      </c>
      <c r="E3289" s="5">
        <v>43945</v>
      </c>
      <c r="F3289" s="2">
        <v>54</v>
      </c>
      <c r="G3289" s="2" t="s">
        <v>45</v>
      </c>
      <c r="H3289" s="2" t="s">
        <v>23</v>
      </c>
      <c r="I3289" s="6" t="s">
        <v>2954</v>
      </c>
      <c r="J3289" s="2" t="str">
        <f t="shared" si="51"/>
        <v>2020-04</v>
      </c>
    </row>
    <row r="3290" spans="1:10" x14ac:dyDescent="0.2">
      <c r="A3290" s="2" t="s">
        <v>1008</v>
      </c>
      <c r="B3290" s="2" t="s">
        <v>54</v>
      </c>
      <c r="C3290" s="2" t="s">
        <v>16</v>
      </c>
      <c r="D3290" s="2" t="s">
        <v>2954</v>
      </c>
      <c r="E3290" s="5">
        <v>43945</v>
      </c>
      <c r="F3290" s="2">
        <v>122</v>
      </c>
      <c r="G3290" s="2" t="s">
        <v>128</v>
      </c>
      <c r="H3290" s="2" t="s">
        <v>55</v>
      </c>
      <c r="I3290" s="6" t="s">
        <v>2954</v>
      </c>
      <c r="J3290" s="2" t="str">
        <f t="shared" si="51"/>
        <v>2020-04</v>
      </c>
    </row>
    <row r="3291" spans="1:10" x14ac:dyDescent="0.2">
      <c r="A3291" s="2" t="s">
        <v>2304</v>
      </c>
      <c r="B3291" s="2" t="s">
        <v>158</v>
      </c>
      <c r="C3291" s="2" t="s">
        <v>142</v>
      </c>
      <c r="D3291" s="2">
        <v>100</v>
      </c>
      <c r="E3291" s="5">
        <v>43944</v>
      </c>
      <c r="F3291" s="2">
        <v>160</v>
      </c>
      <c r="G3291" s="2" t="s">
        <v>66</v>
      </c>
      <c r="H3291" s="2" t="s">
        <v>23</v>
      </c>
      <c r="I3291" s="6">
        <v>0.12</v>
      </c>
      <c r="J3291" s="2" t="str">
        <f t="shared" si="51"/>
        <v>2020-04</v>
      </c>
    </row>
    <row r="3292" spans="1:10" x14ac:dyDescent="0.2">
      <c r="A3292" s="2" t="s">
        <v>2718</v>
      </c>
      <c r="B3292" s="2" t="s">
        <v>34</v>
      </c>
      <c r="C3292" s="2" t="s">
        <v>68</v>
      </c>
      <c r="D3292" s="2">
        <v>87</v>
      </c>
      <c r="E3292" s="5">
        <v>43944</v>
      </c>
      <c r="F3292" s="2">
        <v>583</v>
      </c>
      <c r="G3292" s="2" t="s">
        <v>66</v>
      </c>
      <c r="H3292" s="2" t="s">
        <v>23</v>
      </c>
      <c r="I3292" s="6">
        <v>0.15</v>
      </c>
      <c r="J3292" s="2" t="str">
        <f t="shared" si="51"/>
        <v>2020-04</v>
      </c>
    </row>
    <row r="3293" spans="1:10" x14ac:dyDescent="0.2">
      <c r="A3293" s="2" t="s">
        <v>432</v>
      </c>
      <c r="B3293" s="2" t="s">
        <v>25</v>
      </c>
      <c r="C3293" s="2" t="s">
        <v>243</v>
      </c>
      <c r="D3293" s="2">
        <v>80</v>
      </c>
      <c r="E3293" s="5">
        <v>43944</v>
      </c>
      <c r="F3293" s="2">
        <v>274</v>
      </c>
      <c r="G3293" s="2" t="s">
        <v>62</v>
      </c>
      <c r="H3293" s="2" t="s">
        <v>23</v>
      </c>
      <c r="I3293" s="6">
        <v>0.09</v>
      </c>
      <c r="J3293" s="2" t="str">
        <f t="shared" si="51"/>
        <v>2020-04</v>
      </c>
    </row>
    <row r="3294" spans="1:10" x14ac:dyDescent="0.2">
      <c r="A3294" s="2" t="s">
        <v>2719</v>
      </c>
      <c r="B3294" s="2" t="s">
        <v>25</v>
      </c>
      <c r="C3294" s="2" t="s">
        <v>32</v>
      </c>
      <c r="D3294" s="2">
        <v>70</v>
      </c>
      <c r="E3294" s="5">
        <v>43944</v>
      </c>
      <c r="F3294" s="2">
        <v>1300</v>
      </c>
      <c r="G3294" s="2" t="s">
        <v>12</v>
      </c>
      <c r="H3294" s="2" t="s">
        <v>23</v>
      </c>
      <c r="I3294" s="6">
        <v>0.05</v>
      </c>
      <c r="J3294" s="2" t="str">
        <f t="shared" si="51"/>
        <v>2020-04</v>
      </c>
    </row>
    <row r="3295" spans="1:10" x14ac:dyDescent="0.2">
      <c r="A3295" s="2" t="s">
        <v>2720</v>
      </c>
      <c r="B3295" s="2" t="s">
        <v>25</v>
      </c>
      <c r="C3295" s="2" t="s">
        <v>26</v>
      </c>
      <c r="D3295" s="2">
        <v>6</v>
      </c>
      <c r="E3295" s="5">
        <v>43944</v>
      </c>
      <c r="F3295" s="2">
        <v>68</v>
      </c>
      <c r="G3295" s="2" t="s">
        <v>66</v>
      </c>
      <c r="H3295" s="2" t="s">
        <v>23</v>
      </c>
      <c r="I3295" s="6" t="s">
        <v>2954</v>
      </c>
      <c r="J3295" s="2" t="str">
        <f t="shared" si="51"/>
        <v>2020-04</v>
      </c>
    </row>
    <row r="3296" spans="1:10" x14ac:dyDescent="0.2">
      <c r="A3296" s="2" t="s">
        <v>629</v>
      </c>
      <c r="B3296" s="2" t="s">
        <v>28</v>
      </c>
      <c r="C3296" s="2" t="s">
        <v>170</v>
      </c>
      <c r="D3296" s="2" t="s">
        <v>2954</v>
      </c>
      <c r="E3296" s="5">
        <v>43944</v>
      </c>
      <c r="F3296" s="2">
        <v>665</v>
      </c>
      <c r="G3296" s="2" t="s">
        <v>75</v>
      </c>
      <c r="H3296" s="2" t="s">
        <v>23</v>
      </c>
      <c r="I3296" s="6">
        <v>0.01</v>
      </c>
      <c r="J3296" s="2" t="str">
        <f t="shared" si="51"/>
        <v>2020-04</v>
      </c>
    </row>
    <row r="3297" spans="1:10" x14ac:dyDescent="0.2">
      <c r="A3297" s="2" t="s">
        <v>2721</v>
      </c>
      <c r="B3297" s="2" t="s">
        <v>314</v>
      </c>
      <c r="C3297" s="2" t="s">
        <v>142</v>
      </c>
      <c r="D3297" s="2" t="s">
        <v>2954</v>
      </c>
      <c r="E3297" s="5">
        <v>43944</v>
      </c>
      <c r="F3297" s="2">
        <v>78</v>
      </c>
      <c r="G3297" s="2" t="s">
        <v>45</v>
      </c>
      <c r="H3297" s="2" t="s">
        <v>23</v>
      </c>
      <c r="I3297" s="6" t="s">
        <v>2954</v>
      </c>
      <c r="J3297" s="2" t="str">
        <f t="shared" si="51"/>
        <v>2020-04</v>
      </c>
    </row>
    <row r="3298" spans="1:10" x14ac:dyDescent="0.2">
      <c r="A3298" s="2" t="s">
        <v>2722</v>
      </c>
      <c r="B3298" s="2" t="s">
        <v>34</v>
      </c>
      <c r="C3298" s="2" t="s">
        <v>26</v>
      </c>
      <c r="D3298" s="2" t="s">
        <v>2954</v>
      </c>
      <c r="E3298" s="5">
        <v>43944</v>
      </c>
      <c r="F3298" s="2">
        <v>50</v>
      </c>
      <c r="G3298" s="2" t="s">
        <v>37</v>
      </c>
      <c r="H3298" s="2" t="s">
        <v>23</v>
      </c>
      <c r="I3298" s="6" t="s">
        <v>2954</v>
      </c>
      <c r="J3298" s="2" t="str">
        <f t="shared" si="51"/>
        <v>2020-04</v>
      </c>
    </row>
    <row r="3299" spans="1:10" x14ac:dyDescent="0.2">
      <c r="A3299" s="2" t="s">
        <v>2723</v>
      </c>
      <c r="B3299" s="2" t="s">
        <v>194</v>
      </c>
      <c r="C3299" s="2" t="s">
        <v>35</v>
      </c>
      <c r="D3299" s="2">
        <v>1000</v>
      </c>
      <c r="E3299" s="5">
        <v>43943</v>
      </c>
      <c r="F3299" s="2">
        <v>2600</v>
      </c>
      <c r="G3299" s="2" t="s">
        <v>128</v>
      </c>
      <c r="H3299" s="2" t="s">
        <v>23</v>
      </c>
      <c r="I3299" s="6">
        <v>0.5</v>
      </c>
      <c r="J3299" s="2" t="str">
        <f t="shared" si="51"/>
        <v>2020-04</v>
      </c>
    </row>
    <row r="3300" spans="1:10" x14ac:dyDescent="0.2">
      <c r="A3300" s="2" t="s">
        <v>2724</v>
      </c>
      <c r="B3300" s="2" t="s">
        <v>378</v>
      </c>
      <c r="C3300" s="2" t="s">
        <v>68</v>
      </c>
      <c r="D3300" s="2">
        <v>55</v>
      </c>
      <c r="E3300" s="5">
        <v>43943</v>
      </c>
      <c r="F3300" s="2">
        <v>24</v>
      </c>
      <c r="G3300" s="2" t="s">
        <v>37</v>
      </c>
      <c r="H3300" s="2" t="s">
        <v>23</v>
      </c>
      <c r="I3300" s="7" t="s">
        <v>1402</v>
      </c>
      <c r="J3300" s="2" t="str">
        <f t="shared" si="51"/>
        <v>2020-04</v>
      </c>
    </row>
    <row r="3301" spans="1:10" x14ac:dyDescent="0.2">
      <c r="A3301" s="2" t="s">
        <v>2725</v>
      </c>
      <c r="B3301" s="2" t="s">
        <v>34</v>
      </c>
      <c r="C3301" s="2" t="s">
        <v>52</v>
      </c>
      <c r="D3301" s="2">
        <v>10</v>
      </c>
      <c r="E3301" s="5">
        <v>43943</v>
      </c>
      <c r="F3301" s="2">
        <v>52</v>
      </c>
      <c r="G3301" s="2" t="s">
        <v>41</v>
      </c>
      <c r="H3301" s="2" t="s">
        <v>23</v>
      </c>
      <c r="I3301" s="6">
        <v>0.14000000000000001</v>
      </c>
      <c r="J3301" s="2" t="str">
        <f t="shared" si="51"/>
        <v>2020-04</v>
      </c>
    </row>
    <row r="3302" spans="1:10" x14ac:dyDescent="0.2">
      <c r="A3302" s="2" t="s">
        <v>2663</v>
      </c>
      <c r="B3302" s="2" t="s">
        <v>398</v>
      </c>
      <c r="C3302" s="2" t="s">
        <v>44</v>
      </c>
      <c r="D3302" s="2" t="s">
        <v>2954</v>
      </c>
      <c r="E3302" s="5">
        <v>43943</v>
      </c>
      <c r="F3302" s="2" t="s">
        <v>2954</v>
      </c>
      <c r="G3302" s="2" t="s">
        <v>12</v>
      </c>
      <c r="H3302" s="2" t="s">
        <v>399</v>
      </c>
      <c r="I3302" s="7" t="s">
        <v>1381</v>
      </c>
      <c r="J3302" s="2" t="str">
        <f t="shared" si="51"/>
        <v>2020-04</v>
      </c>
    </row>
    <row r="3303" spans="1:10" x14ac:dyDescent="0.2">
      <c r="A3303" s="2" t="s">
        <v>1077</v>
      </c>
      <c r="B3303" s="2" t="s">
        <v>34</v>
      </c>
      <c r="C3303" s="2" t="s">
        <v>243</v>
      </c>
      <c r="D3303" s="2" t="s">
        <v>2954</v>
      </c>
      <c r="E3303" s="5">
        <v>43943</v>
      </c>
      <c r="F3303" s="2">
        <v>17</v>
      </c>
      <c r="G3303" s="2" t="s">
        <v>41</v>
      </c>
      <c r="H3303" s="2" t="s">
        <v>23</v>
      </c>
      <c r="I3303" s="6" t="s">
        <v>2954</v>
      </c>
      <c r="J3303" s="2" t="str">
        <f t="shared" si="51"/>
        <v>2020-04</v>
      </c>
    </row>
    <row r="3304" spans="1:10" x14ac:dyDescent="0.2">
      <c r="A3304" s="2" t="s">
        <v>1984</v>
      </c>
      <c r="B3304" s="2" t="s">
        <v>28</v>
      </c>
      <c r="C3304" s="2" t="s">
        <v>195</v>
      </c>
      <c r="D3304" s="2" t="s">
        <v>2954</v>
      </c>
      <c r="E3304" s="5">
        <v>43943</v>
      </c>
      <c r="F3304" s="2">
        <v>61</v>
      </c>
      <c r="G3304" s="2" t="s">
        <v>66</v>
      </c>
      <c r="H3304" s="2" t="s">
        <v>23</v>
      </c>
      <c r="I3304" s="6" t="s">
        <v>2954</v>
      </c>
      <c r="J3304" s="2" t="str">
        <f t="shared" si="51"/>
        <v>2020-04</v>
      </c>
    </row>
    <row r="3305" spans="1:10" x14ac:dyDescent="0.2">
      <c r="A3305" s="2" t="s">
        <v>1415</v>
      </c>
      <c r="B3305" s="2" t="s">
        <v>273</v>
      </c>
      <c r="C3305" s="2" t="s">
        <v>363</v>
      </c>
      <c r="D3305" s="2" t="s">
        <v>2954</v>
      </c>
      <c r="E3305" s="5">
        <v>43943</v>
      </c>
      <c r="F3305" s="2">
        <v>15</v>
      </c>
      <c r="G3305" s="2" t="s">
        <v>17</v>
      </c>
      <c r="H3305" s="2" t="s">
        <v>274</v>
      </c>
      <c r="I3305" s="6">
        <v>0.1</v>
      </c>
      <c r="J3305" s="2" t="str">
        <f t="shared" si="51"/>
        <v>2020-04</v>
      </c>
    </row>
    <row r="3306" spans="1:10" x14ac:dyDescent="0.2">
      <c r="A3306" s="2" t="s">
        <v>371</v>
      </c>
      <c r="B3306" s="2" t="s">
        <v>100</v>
      </c>
      <c r="C3306" s="2" t="s">
        <v>11</v>
      </c>
      <c r="D3306" s="2">
        <v>800</v>
      </c>
      <c r="E3306" s="5">
        <v>43942</v>
      </c>
      <c r="F3306" s="2">
        <v>1600</v>
      </c>
      <c r="G3306" s="2" t="s">
        <v>959</v>
      </c>
      <c r="H3306" s="2" t="s">
        <v>98</v>
      </c>
      <c r="I3306" s="6" t="s">
        <v>2954</v>
      </c>
      <c r="J3306" s="2" t="str">
        <f t="shared" si="51"/>
        <v>2020-04</v>
      </c>
    </row>
    <row r="3307" spans="1:10" x14ac:dyDescent="0.2">
      <c r="A3307" s="2" t="s">
        <v>480</v>
      </c>
      <c r="B3307" s="2" t="s">
        <v>97</v>
      </c>
      <c r="C3307" s="2" t="s">
        <v>16</v>
      </c>
      <c r="D3307" s="2">
        <v>500</v>
      </c>
      <c r="E3307" s="5">
        <v>43942</v>
      </c>
      <c r="F3307" s="2">
        <v>2200</v>
      </c>
      <c r="G3307" s="2" t="s">
        <v>12</v>
      </c>
      <c r="H3307" s="2" t="s">
        <v>98</v>
      </c>
      <c r="I3307" s="6" t="s">
        <v>2954</v>
      </c>
      <c r="J3307" s="2" t="str">
        <f t="shared" si="51"/>
        <v>2020-04</v>
      </c>
    </row>
    <row r="3308" spans="1:10" x14ac:dyDescent="0.2">
      <c r="A3308" s="2" t="s">
        <v>655</v>
      </c>
      <c r="B3308" s="2" t="s">
        <v>34</v>
      </c>
      <c r="C3308" s="2" t="s">
        <v>16</v>
      </c>
      <c r="D3308" s="2">
        <v>460</v>
      </c>
      <c r="E3308" s="5">
        <v>43942</v>
      </c>
      <c r="F3308" s="2">
        <v>392</v>
      </c>
      <c r="G3308" s="2" t="s">
        <v>17</v>
      </c>
      <c r="H3308" s="2" t="s">
        <v>23</v>
      </c>
      <c r="I3308" s="6">
        <v>0.3</v>
      </c>
      <c r="J3308" s="2" t="str">
        <f t="shared" si="51"/>
        <v>2020-04</v>
      </c>
    </row>
    <row r="3309" spans="1:10" x14ac:dyDescent="0.2">
      <c r="A3309" s="2" t="s">
        <v>1736</v>
      </c>
      <c r="B3309" s="2" t="s">
        <v>34</v>
      </c>
      <c r="C3309" s="2" t="s">
        <v>35</v>
      </c>
      <c r="D3309" s="2">
        <v>155</v>
      </c>
      <c r="E3309" s="5">
        <v>43942</v>
      </c>
      <c r="F3309" s="2">
        <v>613</v>
      </c>
      <c r="G3309" s="2" t="s">
        <v>128</v>
      </c>
      <c r="H3309" s="2" t="s">
        <v>23</v>
      </c>
      <c r="I3309" s="6">
        <v>0.1</v>
      </c>
      <c r="J3309" s="2" t="str">
        <f t="shared" si="51"/>
        <v>2020-04</v>
      </c>
    </row>
    <row r="3310" spans="1:10" x14ac:dyDescent="0.2">
      <c r="A3310" s="2" t="s">
        <v>2494</v>
      </c>
      <c r="B3310" s="2" t="s">
        <v>25</v>
      </c>
      <c r="C3310" s="2" t="s">
        <v>142</v>
      </c>
      <c r="D3310" s="2">
        <v>78</v>
      </c>
      <c r="E3310" s="5">
        <v>43942</v>
      </c>
      <c r="F3310" s="2">
        <v>339</v>
      </c>
      <c r="G3310" s="2" t="s">
        <v>17</v>
      </c>
      <c r="H3310" s="2" t="s">
        <v>23</v>
      </c>
      <c r="I3310" s="6">
        <v>0.21</v>
      </c>
      <c r="J3310" s="2" t="str">
        <f t="shared" si="51"/>
        <v>2020-04</v>
      </c>
    </row>
    <row r="3311" spans="1:10" x14ac:dyDescent="0.2">
      <c r="A3311" s="2" t="s">
        <v>2209</v>
      </c>
      <c r="B3311" s="2" t="s">
        <v>28</v>
      </c>
      <c r="C3311" s="2" t="s">
        <v>32</v>
      </c>
      <c r="D3311" s="2">
        <v>40</v>
      </c>
      <c r="E3311" s="5">
        <v>43942</v>
      </c>
      <c r="F3311" s="2">
        <v>42</v>
      </c>
      <c r="G3311" s="2" t="s">
        <v>37</v>
      </c>
      <c r="H3311" s="2" t="s">
        <v>23</v>
      </c>
      <c r="I3311" s="6">
        <v>0.13</v>
      </c>
      <c r="J3311" s="2" t="str">
        <f t="shared" si="51"/>
        <v>2020-04</v>
      </c>
    </row>
    <row r="3312" spans="1:10" x14ac:dyDescent="0.2">
      <c r="A3312" s="2" t="s">
        <v>2726</v>
      </c>
      <c r="B3312" s="2" t="s">
        <v>335</v>
      </c>
      <c r="C3312" s="2" t="s">
        <v>16</v>
      </c>
      <c r="D3312" s="2">
        <v>38</v>
      </c>
      <c r="E3312" s="5">
        <v>43942</v>
      </c>
      <c r="F3312" s="2">
        <v>75</v>
      </c>
      <c r="G3312" s="2" t="s">
        <v>37</v>
      </c>
      <c r="H3312" s="2" t="s">
        <v>106</v>
      </c>
      <c r="I3312" s="6">
        <v>0.09</v>
      </c>
      <c r="J3312" s="2" t="str">
        <f t="shared" si="51"/>
        <v>2020-04</v>
      </c>
    </row>
    <row r="3313" spans="1:10" x14ac:dyDescent="0.2">
      <c r="A3313" s="2" t="s">
        <v>2045</v>
      </c>
      <c r="B3313" s="2" t="s">
        <v>34</v>
      </c>
      <c r="C3313" s="2" t="s">
        <v>235</v>
      </c>
      <c r="D3313" s="2">
        <v>30</v>
      </c>
      <c r="E3313" s="5">
        <v>43942</v>
      </c>
      <c r="F3313" s="2">
        <v>165</v>
      </c>
      <c r="G3313" s="2" t="s">
        <v>75</v>
      </c>
      <c r="H3313" s="2" t="s">
        <v>23</v>
      </c>
      <c r="I3313" s="6">
        <v>0.13</v>
      </c>
      <c r="J3313" s="2" t="str">
        <f t="shared" si="51"/>
        <v>2020-04</v>
      </c>
    </row>
    <row r="3314" spans="1:10" x14ac:dyDescent="0.2">
      <c r="A3314" s="2" t="s">
        <v>2499</v>
      </c>
      <c r="B3314" s="2" t="s">
        <v>34</v>
      </c>
      <c r="C3314" s="2" t="s">
        <v>61</v>
      </c>
      <c r="D3314" s="2">
        <v>19</v>
      </c>
      <c r="E3314" s="5">
        <v>43942</v>
      </c>
      <c r="F3314" s="2">
        <v>48</v>
      </c>
      <c r="G3314" s="2" t="s">
        <v>37</v>
      </c>
      <c r="H3314" s="2" t="s">
        <v>23</v>
      </c>
      <c r="I3314" s="6" t="s">
        <v>2954</v>
      </c>
      <c r="J3314" s="2" t="str">
        <f t="shared" si="51"/>
        <v>2020-04</v>
      </c>
    </row>
    <row r="3315" spans="1:10" x14ac:dyDescent="0.2">
      <c r="A3315" s="2" t="s">
        <v>2727</v>
      </c>
      <c r="B3315" s="2" t="s">
        <v>401</v>
      </c>
      <c r="C3315" s="2" t="s">
        <v>235</v>
      </c>
      <c r="D3315" s="2">
        <v>13</v>
      </c>
      <c r="E3315" s="5">
        <v>43942</v>
      </c>
      <c r="F3315" s="2" t="s">
        <v>2954</v>
      </c>
      <c r="G3315" s="2" t="s">
        <v>12</v>
      </c>
      <c r="H3315" s="2" t="s">
        <v>23</v>
      </c>
      <c r="I3315" s="6" t="s">
        <v>2954</v>
      </c>
      <c r="J3315" s="2" t="str">
        <f t="shared" si="51"/>
        <v>2020-04</v>
      </c>
    </row>
    <row r="3316" spans="1:10" x14ac:dyDescent="0.2">
      <c r="A3316" s="2" t="s">
        <v>2728</v>
      </c>
      <c r="B3316" s="2" t="s">
        <v>15</v>
      </c>
      <c r="C3316" s="2" t="s">
        <v>170</v>
      </c>
      <c r="D3316" s="2">
        <v>10</v>
      </c>
      <c r="E3316" s="5">
        <v>43942</v>
      </c>
      <c r="F3316" s="2">
        <v>84</v>
      </c>
      <c r="G3316" s="2" t="s">
        <v>75</v>
      </c>
      <c r="H3316" s="2" t="s">
        <v>18</v>
      </c>
      <c r="I3316" s="6">
        <v>0.1</v>
      </c>
      <c r="J3316" s="2" t="str">
        <f t="shared" si="51"/>
        <v>2020-04</v>
      </c>
    </row>
    <row r="3317" spans="1:10" x14ac:dyDescent="0.2">
      <c r="A3317" s="2" t="s">
        <v>2729</v>
      </c>
      <c r="B3317" s="2" t="s">
        <v>768</v>
      </c>
      <c r="C3317" s="2" t="s">
        <v>44</v>
      </c>
      <c r="D3317" s="2">
        <v>300</v>
      </c>
      <c r="E3317" s="5">
        <v>43941</v>
      </c>
      <c r="F3317" s="2">
        <v>521</v>
      </c>
      <c r="G3317" s="2" t="s">
        <v>75</v>
      </c>
      <c r="H3317" s="2" t="s">
        <v>768</v>
      </c>
      <c r="I3317" s="6">
        <v>0.15</v>
      </c>
      <c r="J3317" s="2" t="str">
        <f t="shared" si="51"/>
        <v>2020-04</v>
      </c>
    </row>
    <row r="3318" spans="1:10" x14ac:dyDescent="0.2">
      <c r="A3318" s="2" t="s">
        <v>1627</v>
      </c>
      <c r="B3318" s="2" t="s">
        <v>25</v>
      </c>
      <c r="C3318" s="2" t="s">
        <v>22</v>
      </c>
      <c r="D3318" s="2">
        <v>91</v>
      </c>
      <c r="E3318" s="5">
        <v>43941</v>
      </c>
      <c r="F3318" s="2">
        <v>10</v>
      </c>
      <c r="G3318" s="2" t="s">
        <v>12</v>
      </c>
      <c r="H3318" s="2" t="s">
        <v>23</v>
      </c>
      <c r="I3318" s="6">
        <v>0.14000000000000001</v>
      </c>
      <c r="J3318" s="2" t="str">
        <f t="shared" si="51"/>
        <v>2020-04</v>
      </c>
    </row>
    <row r="3319" spans="1:10" x14ac:dyDescent="0.2">
      <c r="A3319" s="2" t="s">
        <v>2730</v>
      </c>
      <c r="B3319" s="2" t="s">
        <v>47</v>
      </c>
      <c r="C3319" s="2" t="s">
        <v>26</v>
      </c>
      <c r="D3319" s="2">
        <v>90</v>
      </c>
      <c r="E3319" s="5">
        <v>43941</v>
      </c>
      <c r="F3319" s="2">
        <v>58</v>
      </c>
      <c r="G3319" s="2" t="s">
        <v>75</v>
      </c>
      <c r="H3319" s="2" t="s">
        <v>23</v>
      </c>
      <c r="I3319" s="6">
        <v>0.25</v>
      </c>
      <c r="J3319" s="2" t="str">
        <f t="shared" si="51"/>
        <v>2020-04</v>
      </c>
    </row>
    <row r="3320" spans="1:10" x14ac:dyDescent="0.2">
      <c r="A3320" s="2" t="s">
        <v>2731</v>
      </c>
      <c r="B3320" s="2" t="s">
        <v>1790</v>
      </c>
      <c r="C3320" s="2" t="s">
        <v>16</v>
      </c>
      <c r="D3320" s="2">
        <v>90</v>
      </c>
      <c r="E3320" s="5">
        <v>43941</v>
      </c>
      <c r="F3320" s="2">
        <v>38</v>
      </c>
      <c r="G3320" s="2" t="s">
        <v>37</v>
      </c>
      <c r="H3320" s="2" t="s">
        <v>956</v>
      </c>
      <c r="I3320" s="6">
        <v>0.3</v>
      </c>
      <c r="J3320" s="2" t="str">
        <f t="shared" si="51"/>
        <v>2020-04</v>
      </c>
    </row>
    <row r="3321" spans="1:10" x14ac:dyDescent="0.2">
      <c r="A3321" s="2" t="s">
        <v>1819</v>
      </c>
      <c r="B3321" s="2" t="s">
        <v>1311</v>
      </c>
      <c r="C3321" s="2" t="s">
        <v>113</v>
      </c>
      <c r="D3321" s="2">
        <v>33</v>
      </c>
      <c r="E3321" s="5">
        <v>43941</v>
      </c>
      <c r="F3321" s="2">
        <v>1</v>
      </c>
      <c r="G3321" s="2" t="s">
        <v>132</v>
      </c>
      <c r="H3321" s="2" t="s">
        <v>662</v>
      </c>
      <c r="I3321" s="6">
        <v>0.25</v>
      </c>
      <c r="J3321" s="2" t="str">
        <f t="shared" si="51"/>
        <v>2020-04</v>
      </c>
    </row>
    <row r="3322" spans="1:10" x14ac:dyDescent="0.2">
      <c r="A3322" s="2" t="s">
        <v>2732</v>
      </c>
      <c r="B3322" s="2" t="s">
        <v>34</v>
      </c>
      <c r="C3322" s="2" t="s">
        <v>52</v>
      </c>
      <c r="D3322" s="2">
        <v>28</v>
      </c>
      <c r="E3322" s="5">
        <v>43941</v>
      </c>
      <c r="F3322" s="2">
        <v>71</v>
      </c>
      <c r="G3322" s="2" t="s">
        <v>66</v>
      </c>
      <c r="H3322" s="2" t="s">
        <v>23</v>
      </c>
      <c r="I3322" s="6" t="s">
        <v>2954</v>
      </c>
      <c r="J3322" s="2" t="str">
        <f t="shared" si="51"/>
        <v>2020-04</v>
      </c>
    </row>
    <row r="3323" spans="1:10" x14ac:dyDescent="0.2">
      <c r="A3323" s="2" t="s">
        <v>1703</v>
      </c>
      <c r="B3323" s="2" t="s">
        <v>34</v>
      </c>
      <c r="C3323" s="2" t="s">
        <v>32</v>
      </c>
      <c r="D3323" s="2">
        <v>23</v>
      </c>
      <c r="E3323" s="5">
        <v>43941</v>
      </c>
      <c r="F3323" s="2">
        <v>50</v>
      </c>
      <c r="G3323" s="2" t="s">
        <v>66</v>
      </c>
      <c r="H3323" s="2" t="s">
        <v>23</v>
      </c>
      <c r="I3323" s="6">
        <v>0.09</v>
      </c>
      <c r="J3323" s="2" t="str">
        <f t="shared" si="51"/>
        <v>2020-04</v>
      </c>
    </row>
    <row r="3324" spans="1:10" x14ac:dyDescent="0.2">
      <c r="A3324" s="2" t="s">
        <v>2251</v>
      </c>
      <c r="B3324" s="2" t="s">
        <v>34</v>
      </c>
      <c r="C3324" s="2" t="s">
        <v>32</v>
      </c>
      <c r="D3324" s="2">
        <v>10</v>
      </c>
      <c r="E3324" s="5">
        <v>43941</v>
      </c>
      <c r="F3324" s="2">
        <v>100</v>
      </c>
      <c r="G3324" s="2" t="s">
        <v>66</v>
      </c>
      <c r="H3324" s="2" t="s">
        <v>23</v>
      </c>
      <c r="I3324" s="6">
        <v>0.03</v>
      </c>
      <c r="J3324" s="2" t="str">
        <f t="shared" si="51"/>
        <v>2020-04</v>
      </c>
    </row>
    <row r="3325" spans="1:10" x14ac:dyDescent="0.2">
      <c r="A3325" s="2" t="s">
        <v>2733</v>
      </c>
      <c r="B3325" s="2" t="s">
        <v>34</v>
      </c>
      <c r="C3325" s="2" t="s">
        <v>44</v>
      </c>
      <c r="D3325" s="2" t="s">
        <v>2954</v>
      </c>
      <c r="E3325" s="5">
        <v>43941</v>
      </c>
      <c r="F3325" s="2">
        <v>40.5</v>
      </c>
      <c r="G3325" s="2" t="s">
        <v>37</v>
      </c>
      <c r="H3325" s="2" t="s">
        <v>23</v>
      </c>
      <c r="I3325" s="6">
        <v>0.6</v>
      </c>
      <c r="J3325" s="2" t="str">
        <f t="shared" si="51"/>
        <v>2020-04</v>
      </c>
    </row>
    <row r="3326" spans="1:10" x14ac:dyDescent="0.2">
      <c r="A3326" s="2" t="s">
        <v>2734</v>
      </c>
      <c r="B3326" s="2" t="s">
        <v>34</v>
      </c>
      <c r="C3326" s="2" t="s">
        <v>16</v>
      </c>
      <c r="D3326" s="2" t="s">
        <v>2954</v>
      </c>
      <c r="E3326" s="5">
        <v>43939</v>
      </c>
      <c r="F3326" s="2">
        <v>126</v>
      </c>
      <c r="G3326" s="2" t="s">
        <v>128</v>
      </c>
      <c r="H3326" s="2" t="s">
        <v>23</v>
      </c>
      <c r="I3326" s="6">
        <v>1</v>
      </c>
      <c r="J3326" s="2" t="str">
        <f t="shared" si="51"/>
        <v>2020-04</v>
      </c>
    </row>
    <row r="3327" spans="1:10" x14ac:dyDescent="0.2">
      <c r="A3327" s="2" t="s">
        <v>2735</v>
      </c>
      <c r="B3327" s="2" t="s">
        <v>100</v>
      </c>
      <c r="C3327" s="2" t="s">
        <v>170</v>
      </c>
      <c r="D3327" s="2">
        <v>200</v>
      </c>
      <c r="E3327" s="5">
        <v>43938</v>
      </c>
      <c r="F3327" s="2">
        <v>293</v>
      </c>
      <c r="G3327" s="2" t="s">
        <v>75</v>
      </c>
      <c r="H3327" s="2" t="s">
        <v>98</v>
      </c>
      <c r="I3327" s="6" t="s">
        <v>2954</v>
      </c>
      <c r="J3327" s="2" t="str">
        <f t="shared" si="51"/>
        <v>2020-04</v>
      </c>
    </row>
    <row r="3328" spans="1:10" x14ac:dyDescent="0.2">
      <c r="A3328" s="2" t="s">
        <v>2736</v>
      </c>
      <c r="B3328" s="2" t="s">
        <v>2645</v>
      </c>
      <c r="C3328" s="2" t="s">
        <v>61</v>
      </c>
      <c r="D3328" s="2">
        <v>140</v>
      </c>
      <c r="E3328" s="5">
        <v>43938</v>
      </c>
      <c r="F3328" s="2">
        <v>37</v>
      </c>
      <c r="G3328" s="2" t="s">
        <v>75</v>
      </c>
      <c r="H3328" s="2" t="s">
        <v>662</v>
      </c>
      <c r="I3328" s="7" t="s">
        <v>1402</v>
      </c>
      <c r="J3328" s="2" t="str">
        <f t="shared" si="51"/>
        <v>2020-04</v>
      </c>
    </row>
    <row r="3329" spans="1:10" x14ac:dyDescent="0.2">
      <c r="A3329" s="2" t="s">
        <v>1137</v>
      </c>
      <c r="B3329" s="2" t="s">
        <v>25</v>
      </c>
      <c r="C3329" s="2" t="s">
        <v>84</v>
      </c>
      <c r="D3329" s="2">
        <v>120</v>
      </c>
      <c r="E3329" s="5">
        <v>43938</v>
      </c>
      <c r="F3329" s="2">
        <v>110</v>
      </c>
      <c r="G3329" s="2" t="s">
        <v>75</v>
      </c>
      <c r="H3329" s="2" t="s">
        <v>23</v>
      </c>
      <c r="I3329" s="6">
        <v>0.28000000000000003</v>
      </c>
      <c r="J3329" s="2" t="str">
        <f t="shared" si="51"/>
        <v>2020-04</v>
      </c>
    </row>
    <row r="3330" spans="1:10" x14ac:dyDescent="0.2">
      <c r="A3330" s="2" t="s">
        <v>2463</v>
      </c>
      <c r="B3330" s="2" t="s">
        <v>661</v>
      </c>
      <c r="C3330" s="2" t="s">
        <v>148</v>
      </c>
      <c r="D3330" s="2">
        <v>88</v>
      </c>
      <c r="E3330" s="5">
        <v>43938</v>
      </c>
      <c r="F3330" s="2">
        <v>335</v>
      </c>
      <c r="G3330" s="2" t="s">
        <v>75</v>
      </c>
      <c r="H3330" s="2" t="s">
        <v>662</v>
      </c>
      <c r="I3330" s="6">
        <v>0.08</v>
      </c>
      <c r="J3330" s="2" t="str">
        <f t="shared" si="51"/>
        <v>2020-04</v>
      </c>
    </row>
    <row r="3331" spans="1:10" x14ac:dyDescent="0.2">
      <c r="A3331" s="2" t="s">
        <v>1302</v>
      </c>
      <c r="B3331" s="2" t="s">
        <v>661</v>
      </c>
      <c r="C3331" s="2" t="s">
        <v>148</v>
      </c>
      <c r="D3331" s="2">
        <v>47</v>
      </c>
      <c r="E3331" s="5">
        <v>43938</v>
      </c>
      <c r="F3331" s="2">
        <v>263</v>
      </c>
      <c r="G3331" s="2" t="s">
        <v>66</v>
      </c>
      <c r="H3331" s="2" t="s">
        <v>662</v>
      </c>
      <c r="I3331" s="6">
        <v>0.1</v>
      </c>
      <c r="J3331" s="2" t="str">
        <f t="shared" ref="J3331:J3394" si="52">TEXT(E3331,"YYYY-MM")</f>
        <v>2020-04</v>
      </c>
    </row>
    <row r="3332" spans="1:10" x14ac:dyDescent="0.2">
      <c r="A3332" s="2" t="s">
        <v>2574</v>
      </c>
      <c r="B3332" s="2" t="s">
        <v>217</v>
      </c>
      <c r="C3332" s="2" t="s">
        <v>142</v>
      </c>
      <c r="D3332" s="2">
        <v>44</v>
      </c>
      <c r="E3332" s="5">
        <v>43938</v>
      </c>
      <c r="F3332" s="2">
        <v>307</v>
      </c>
      <c r="G3332" s="2" t="s">
        <v>75</v>
      </c>
      <c r="H3332" s="2" t="s">
        <v>217</v>
      </c>
      <c r="I3332" s="6">
        <v>0.05</v>
      </c>
      <c r="J3332" s="2" t="str">
        <f t="shared" si="52"/>
        <v>2020-04</v>
      </c>
    </row>
    <row r="3333" spans="1:10" x14ac:dyDescent="0.2">
      <c r="A3333" s="2" t="s">
        <v>2737</v>
      </c>
      <c r="B3333" s="2" t="s">
        <v>180</v>
      </c>
      <c r="C3333" s="2" t="s">
        <v>61</v>
      </c>
      <c r="D3333" s="2">
        <v>40</v>
      </c>
      <c r="E3333" s="5">
        <v>43938</v>
      </c>
      <c r="F3333" s="2">
        <v>34</v>
      </c>
      <c r="G3333" s="2" t="s">
        <v>37</v>
      </c>
      <c r="H3333" s="2" t="s">
        <v>181</v>
      </c>
      <c r="I3333" s="6" t="s">
        <v>2954</v>
      </c>
      <c r="J3333" s="2" t="str">
        <f t="shared" si="52"/>
        <v>2020-04</v>
      </c>
    </row>
    <row r="3334" spans="1:10" x14ac:dyDescent="0.2">
      <c r="A3334" s="2" t="s">
        <v>2141</v>
      </c>
      <c r="B3334" s="2" t="s">
        <v>47</v>
      </c>
      <c r="C3334" s="2" t="s">
        <v>11</v>
      </c>
      <c r="D3334" s="2">
        <v>35</v>
      </c>
      <c r="E3334" s="5">
        <v>43938</v>
      </c>
      <c r="F3334" s="2">
        <v>478</v>
      </c>
      <c r="G3334" s="2" t="s">
        <v>959</v>
      </c>
      <c r="H3334" s="2" t="s">
        <v>23</v>
      </c>
      <c r="I3334" s="6">
        <v>0.1</v>
      </c>
      <c r="J3334" s="2" t="str">
        <f t="shared" si="52"/>
        <v>2020-04</v>
      </c>
    </row>
    <row r="3335" spans="1:10" x14ac:dyDescent="0.2">
      <c r="A3335" s="2" t="s">
        <v>2204</v>
      </c>
      <c r="B3335" s="2" t="s">
        <v>34</v>
      </c>
      <c r="C3335" s="2" t="s">
        <v>26</v>
      </c>
      <c r="D3335" s="2">
        <v>30</v>
      </c>
      <c r="E3335" s="5">
        <v>43938</v>
      </c>
      <c r="F3335" s="2">
        <v>100</v>
      </c>
      <c r="G3335" s="2" t="s">
        <v>66</v>
      </c>
      <c r="H3335" s="2" t="s">
        <v>23</v>
      </c>
      <c r="I3335" s="6">
        <v>0.18</v>
      </c>
      <c r="J3335" s="2" t="str">
        <f t="shared" si="52"/>
        <v>2020-04</v>
      </c>
    </row>
    <row r="3336" spans="1:10" x14ac:dyDescent="0.2">
      <c r="A3336" s="2" t="s">
        <v>2738</v>
      </c>
      <c r="B3336" s="2" t="s">
        <v>89</v>
      </c>
      <c r="C3336" s="2" t="s">
        <v>195</v>
      </c>
      <c r="D3336" s="2">
        <v>13</v>
      </c>
      <c r="E3336" s="5">
        <v>43938</v>
      </c>
      <c r="F3336" s="2">
        <v>1</v>
      </c>
      <c r="G3336" s="2" t="s">
        <v>12</v>
      </c>
      <c r="H3336" s="2" t="s">
        <v>23</v>
      </c>
      <c r="I3336" s="6">
        <v>0.37</v>
      </c>
      <c r="J3336" s="2" t="str">
        <f t="shared" si="52"/>
        <v>2020-04</v>
      </c>
    </row>
    <row r="3337" spans="1:10" x14ac:dyDescent="0.2">
      <c r="A3337" s="2" t="s">
        <v>2739</v>
      </c>
      <c r="B3337" s="2" t="s">
        <v>34</v>
      </c>
      <c r="C3337" s="2" t="s">
        <v>22</v>
      </c>
      <c r="D3337" s="2" t="s">
        <v>2954</v>
      </c>
      <c r="E3337" s="5">
        <v>43938</v>
      </c>
      <c r="F3337" s="2">
        <v>69</v>
      </c>
      <c r="G3337" s="2" t="s">
        <v>37</v>
      </c>
      <c r="H3337" s="2" t="s">
        <v>23</v>
      </c>
      <c r="I3337" s="6">
        <v>0.12</v>
      </c>
      <c r="J3337" s="2" t="str">
        <f t="shared" si="52"/>
        <v>2020-04</v>
      </c>
    </row>
    <row r="3338" spans="1:10" x14ac:dyDescent="0.2">
      <c r="A3338" s="2" t="s">
        <v>2740</v>
      </c>
      <c r="B3338" s="2" t="s">
        <v>89</v>
      </c>
      <c r="C3338" s="2" t="s">
        <v>29</v>
      </c>
      <c r="D3338" s="2" t="s">
        <v>2954</v>
      </c>
      <c r="E3338" s="5">
        <v>43938</v>
      </c>
      <c r="F3338" s="2">
        <v>18</v>
      </c>
      <c r="G3338" s="2" t="s">
        <v>41</v>
      </c>
      <c r="H3338" s="2" t="s">
        <v>23</v>
      </c>
      <c r="I3338" s="6">
        <v>0.38</v>
      </c>
      <c r="J3338" s="2" t="str">
        <f t="shared" si="52"/>
        <v>2020-04</v>
      </c>
    </row>
    <row r="3339" spans="1:10" x14ac:dyDescent="0.2">
      <c r="A3339" s="2" t="s">
        <v>2393</v>
      </c>
      <c r="B3339" s="2" t="s">
        <v>25</v>
      </c>
      <c r="C3339" s="2" t="s">
        <v>11</v>
      </c>
      <c r="D3339" s="2" t="s">
        <v>2954</v>
      </c>
      <c r="E3339" s="5">
        <v>43938</v>
      </c>
      <c r="F3339" s="2">
        <v>96</v>
      </c>
      <c r="G3339" s="2" t="s">
        <v>45</v>
      </c>
      <c r="H3339" s="2" t="s">
        <v>23</v>
      </c>
      <c r="I3339" s="6" t="s">
        <v>2954</v>
      </c>
      <c r="J3339" s="2" t="str">
        <f t="shared" si="52"/>
        <v>2020-04</v>
      </c>
    </row>
    <row r="3340" spans="1:10" x14ac:dyDescent="0.2">
      <c r="A3340" s="2" t="s">
        <v>2741</v>
      </c>
      <c r="B3340" s="2" t="s">
        <v>335</v>
      </c>
      <c r="C3340" s="2" t="s">
        <v>26</v>
      </c>
      <c r="D3340" s="2" t="s">
        <v>2954</v>
      </c>
      <c r="E3340" s="5">
        <v>43938</v>
      </c>
      <c r="F3340" s="2">
        <v>59</v>
      </c>
      <c r="G3340" s="2" t="s">
        <v>12</v>
      </c>
      <c r="H3340" s="2" t="s">
        <v>106</v>
      </c>
      <c r="I3340" s="6" t="s">
        <v>2954</v>
      </c>
      <c r="J3340" s="2" t="str">
        <f t="shared" si="52"/>
        <v>2020-04</v>
      </c>
    </row>
    <row r="3341" spans="1:10" x14ac:dyDescent="0.2">
      <c r="A3341" s="2" t="s">
        <v>2742</v>
      </c>
      <c r="B3341" s="2" t="s">
        <v>89</v>
      </c>
      <c r="C3341" s="2" t="s">
        <v>52</v>
      </c>
      <c r="D3341" s="2">
        <v>130</v>
      </c>
      <c r="E3341" s="5">
        <v>43937</v>
      </c>
      <c r="F3341" s="2">
        <v>1</v>
      </c>
      <c r="G3341" s="2" t="s">
        <v>17</v>
      </c>
      <c r="H3341" s="2" t="s">
        <v>23</v>
      </c>
      <c r="I3341" s="6">
        <v>0.13</v>
      </c>
      <c r="J3341" s="2" t="str">
        <f t="shared" si="52"/>
        <v>2020-04</v>
      </c>
    </row>
    <row r="3342" spans="1:10" x14ac:dyDescent="0.2">
      <c r="A3342" s="2" t="s">
        <v>2743</v>
      </c>
      <c r="B3342" s="2" t="s">
        <v>217</v>
      </c>
      <c r="C3342" s="2" t="s">
        <v>16</v>
      </c>
      <c r="D3342" s="2">
        <v>65</v>
      </c>
      <c r="E3342" s="5">
        <v>43937</v>
      </c>
      <c r="F3342" s="2">
        <v>42</v>
      </c>
      <c r="G3342" s="2" t="s">
        <v>37</v>
      </c>
      <c r="H3342" s="2" t="s">
        <v>217</v>
      </c>
      <c r="I3342" s="6">
        <v>0.18</v>
      </c>
      <c r="J3342" s="2" t="str">
        <f t="shared" si="52"/>
        <v>2020-04</v>
      </c>
    </row>
    <row r="3343" spans="1:10" x14ac:dyDescent="0.2">
      <c r="A3343" s="2" t="s">
        <v>2744</v>
      </c>
      <c r="B3343" s="2" t="s">
        <v>538</v>
      </c>
      <c r="C3343" s="2" t="s">
        <v>26</v>
      </c>
      <c r="D3343" s="2">
        <v>60</v>
      </c>
      <c r="E3343" s="5">
        <v>43937</v>
      </c>
      <c r="F3343" s="2">
        <v>76</v>
      </c>
      <c r="G3343" s="2" t="s">
        <v>66</v>
      </c>
      <c r="H3343" s="2" t="s">
        <v>98</v>
      </c>
      <c r="I3343" s="6">
        <v>0.2</v>
      </c>
      <c r="J3343" s="2" t="str">
        <f t="shared" si="52"/>
        <v>2020-04</v>
      </c>
    </row>
    <row r="3344" spans="1:10" x14ac:dyDescent="0.2">
      <c r="A3344" s="2" t="s">
        <v>2745</v>
      </c>
      <c r="B3344" s="2" t="s">
        <v>335</v>
      </c>
      <c r="C3344" s="2" t="s">
        <v>26</v>
      </c>
      <c r="D3344" s="2" t="s">
        <v>2954</v>
      </c>
      <c r="E3344" s="5">
        <v>43937</v>
      </c>
      <c r="F3344" s="2">
        <v>11</v>
      </c>
      <c r="G3344" s="2" t="s">
        <v>41</v>
      </c>
      <c r="H3344" s="2" t="s">
        <v>106</v>
      </c>
      <c r="I3344" s="6" t="s">
        <v>2954</v>
      </c>
      <c r="J3344" s="2" t="str">
        <f t="shared" si="52"/>
        <v>2020-04</v>
      </c>
    </row>
    <row r="3345" spans="1:10" x14ac:dyDescent="0.2">
      <c r="A3345" s="2" t="s">
        <v>448</v>
      </c>
      <c r="B3345" s="2" t="s">
        <v>115</v>
      </c>
      <c r="C3345" s="2" t="s">
        <v>26</v>
      </c>
      <c r="D3345" s="2" t="s">
        <v>2954</v>
      </c>
      <c r="E3345" s="5">
        <v>43937</v>
      </c>
      <c r="F3345" s="2">
        <v>59</v>
      </c>
      <c r="G3345" s="2" t="s">
        <v>66</v>
      </c>
      <c r="H3345" s="2" t="s">
        <v>23</v>
      </c>
      <c r="I3345" s="6" t="s">
        <v>2954</v>
      </c>
      <c r="J3345" s="2" t="str">
        <f t="shared" si="52"/>
        <v>2020-04</v>
      </c>
    </row>
    <row r="3346" spans="1:10" x14ac:dyDescent="0.2">
      <c r="A3346" s="2" t="s">
        <v>2746</v>
      </c>
      <c r="B3346" s="2" t="s">
        <v>25</v>
      </c>
      <c r="C3346" s="2" t="s">
        <v>142</v>
      </c>
      <c r="D3346" s="2" t="s">
        <v>2954</v>
      </c>
      <c r="E3346" s="5">
        <v>43937</v>
      </c>
      <c r="F3346" s="2">
        <v>16</v>
      </c>
      <c r="G3346" s="2" t="s">
        <v>41</v>
      </c>
      <c r="H3346" s="2" t="s">
        <v>23</v>
      </c>
      <c r="I3346" s="6" t="s">
        <v>2954</v>
      </c>
      <c r="J3346" s="2" t="str">
        <f t="shared" si="52"/>
        <v>2020-04</v>
      </c>
    </row>
    <row r="3347" spans="1:10" x14ac:dyDescent="0.2">
      <c r="A3347" s="2" t="s">
        <v>2747</v>
      </c>
      <c r="B3347" s="2" t="s">
        <v>2709</v>
      </c>
      <c r="C3347" s="2" t="s">
        <v>26</v>
      </c>
      <c r="D3347" s="2" t="s">
        <v>2954</v>
      </c>
      <c r="E3347" s="5">
        <v>43937</v>
      </c>
      <c r="F3347" s="2" t="s">
        <v>2954</v>
      </c>
      <c r="G3347" s="2" t="s">
        <v>12</v>
      </c>
      <c r="H3347" s="2" t="s">
        <v>23</v>
      </c>
      <c r="I3347" s="6" t="s">
        <v>2954</v>
      </c>
      <c r="J3347" s="2" t="str">
        <f t="shared" si="52"/>
        <v>2020-04</v>
      </c>
    </row>
    <row r="3348" spans="1:10" x14ac:dyDescent="0.2">
      <c r="A3348" s="2" t="s">
        <v>2748</v>
      </c>
      <c r="B3348" s="2" t="s">
        <v>34</v>
      </c>
      <c r="C3348" s="2" t="s">
        <v>22</v>
      </c>
      <c r="D3348" s="2" t="s">
        <v>2954</v>
      </c>
      <c r="E3348" s="5">
        <v>43937</v>
      </c>
      <c r="F3348" s="2">
        <v>1</v>
      </c>
      <c r="G3348" s="2" t="s">
        <v>132</v>
      </c>
      <c r="H3348" s="2" t="s">
        <v>23</v>
      </c>
      <c r="I3348" s="6">
        <v>1</v>
      </c>
      <c r="J3348" s="2" t="str">
        <f t="shared" si="52"/>
        <v>2020-04</v>
      </c>
    </row>
    <row r="3349" spans="1:10" x14ac:dyDescent="0.2">
      <c r="A3349" s="2" t="s">
        <v>2749</v>
      </c>
      <c r="B3349" s="2" t="s">
        <v>414</v>
      </c>
      <c r="C3349" s="2" t="s">
        <v>148</v>
      </c>
      <c r="D3349" s="2" t="s">
        <v>2954</v>
      </c>
      <c r="E3349" s="5">
        <v>43937</v>
      </c>
      <c r="F3349" s="2">
        <v>2</v>
      </c>
      <c r="G3349" s="2" t="s">
        <v>41</v>
      </c>
      <c r="H3349" s="2" t="s">
        <v>23</v>
      </c>
      <c r="I3349" s="6" t="s">
        <v>2954</v>
      </c>
      <c r="J3349" s="2" t="str">
        <f t="shared" si="52"/>
        <v>2020-04</v>
      </c>
    </row>
    <row r="3350" spans="1:10" x14ac:dyDescent="0.2">
      <c r="A3350" s="2" t="s">
        <v>1160</v>
      </c>
      <c r="B3350" s="2" t="s">
        <v>34</v>
      </c>
      <c r="C3350" s="2" t="s">
        <v>148</v>
      </c>
      <c r="D3350" s="2">
        <v>600</v>
      </c>
      <c r="E3350" s="5">
        <v>43936</v>
      </c>
      <c r="F3350" s="2">
        <v>1500</v>
      </c>
      <c r="G3350" s="2" t="s">
        <v>128</v>
      </c>
      <c r="H3350" s="2" t="s">
        <v>23</v>
      </c>
      <c r="I3350" s="7" t="s">
        <v>1402</v>
      </c>
      <c r="J3350" s="2" t="str">
        <f t="shared" si="52"/>
        <v>2020-04</v>
      </c>
    </row>
    <row r="3351" spans="1:10" x14ac:dyDescent="0.2">
      <c r="A3351" s="2" t="s">
        <v>211</v>
      </c>
      <c r="B3351" s="2" t="s">
        <v>34</v>
      </c>
      <c r="C3351" s="2" t="s">
        <v>35</v>
      </c>
      <c r="D3351" s="2">
        <v>200</v>
      </c>
      <c r="E3351" s="5">
        <v>43936</v>
      </c>
      <c r="F3351" s="2">
        <v>288</v>
      </c>
      <c r="G3351" s="2" t="s">
        <v>17</v>
      </c>
      <c r="H3351" s="2" t="s">
        <v>23</v>
      </c>
      <c r="I3351" s="6">
        <v>0.2</v>
      </c>
      <c r="J3351" s="2" t="str">
        <f t="shared" si="52"/>
        <v>2020-04</v>
      </c>
    </row>
    <row r="3352" spans="1:10" x14ac:dyDescent="0.2">
      <c r="A3352" s="2" t="s">
        <v>2750</v>
      </c>
      <c r="B3352" s="2" t="s">
        <v>538</v>
      </c>
      <c r="C3352" s="2" t="s">
        <v>142</v>
      </c>
      <c r="D3352" s="2">
        <v>200</v>
      </c>
      <c r="E3352" s="5">
        <v>43936</v>
      </c>
      <c r="F3352" s="2">
        <v>19</v>
      </c>
      <c r="G3352" s="2" t="s">
        <v>66</v>
      </c>
      <c r="H3352" s="2" t="s">
        <v>98</v>
      </c>
      <c r="I3352" s="6">
        <v>0.4</v>
      </c>
      <c r="J3352" s="2" t="str">
        <f t="shared" si="52"/>
        <v>2020-04</v>
      </c>
    </row>
    <row r="3353" spans="1:10" x14ac:dyDescent="0.2">
      <c r="A3353" s="2" t="s">
        <v>1038</v>
      </c>
      <c r="B3353" s="2" t="s">
        <v>34</v>
      </c>
      <c r="C3353" s="2" t="s">
        <v>11</v>
      </c>
      <c r="D3353" s="2">
        <v>200</v>
      </c>
      <c r="E3353" s="5">
        <v>43936</v>
      </c>
      <c r="F3353" s="2">
        <v>423</v>
      </c>
      <c r="G3353" s="2" t="s">
        <v>12</v>
      </c>
      <c r="H3353" s="2" t="s">
        <v>23</v>
      </c>
      <c r="I3353" s="6">
        <v>0.67</v>
      </c>
      <c r="J3353" s="2" t="str">
        <f t="shared" si="52"/>
        <v>2020-04</v>
      </c>
    </row>
    <row r="3354" spans="1:10" x14ac:dyDescent="0.2">
      <c r="A3354" s="2" t="s">
        <v>584</v>
      </c>
      <c r="B3354" s="2" t="s">
        <v>34</v>
      </c>
      <c r="C3354" s="2" t="s">
        <v>16</v>
      </c>
      <c r="D3354" s="2">
        <v>161</v>
      </c>
      <c r="E3354" s="5">
        <v>43936</v>
      </c>
      <c r="F3354" s="2">
        <v>447</v>
      </c>
      <c r="G3354" s="2" t="s">
        <v>128</v>
      </c>
      <c r="H3354" s="2" t="s">
        <v>23</v>
      </c>
      <c r="I3354" s="6">
        <v>0.16</v>
      </c>
      <c r="J3354" s="2" t="str">
        <f t="shared" si="52"/>
        <v>2020-04</v>
      </c>
    </row>
    <row r="3355" spans="1:10" x14ac:dyDescent="0.2">
      <c r="A3355" s="2" t="s">
        <v>2751</v>
      </c>
      <c r="B3355" s="2" t="s">
        <v>398</v>
      </c>
      <c r="C3355" s="2" t="s">
        <v>16</v>
      </c>
      <c r="D3355" s="2">
        <v>100</v>
      </c>
      <c r="E3355" s="5">
        <v>43936</v>
      </c>
      <c r="F3355" s="2">
        <v>160</v>
      </c>
      <c r="G3355" s="2" t="s">
        <v>75</v>
      </c>
      <c r="H3355" s="2" t="s">
        <v>399</v>
      </c>
      <c r="I3355" s="6" t="s">
        <v>2954</v>
      </c>
      <c r="J3355" s="2" t="str">
        <f t="shared" si="52"/>
        <v>2020-04</v>
      </c>
    </row>
    <row r="3356" spans="1:10" x14ac:dyDescent="0.2">
      <c r="A3356" s="2" t="s">
        <v>2752</v>
      </c>
      <c r="B3356" s="2" t="s">
        <v>34</v>
      </c>
      <c r="C3356" s="2" t="s">
        <v>68</v>
      </c>
      <c r="D3356" s="2">
        <v>40</v>
      </c>
      <c r="E3356" s="5">
        <v>43936</v>
      </c>
      <c r="F3356" s="2">
        <v>72</v>
      </c>
      <c r="G3356" s="2" t="s">
        <v>66</v>
      </c>
      <c r="H3356" s="2" t="s">
        <v>23</v>
      </c>
      <c r="I3356" s="6">
        <v>0.25</v>
      </c>
      <c r="J3356" s="2" t="str">
        <f t="shared" si="52"/>
        <v>2020-04</v>
      </c>
    </row>
    <row r="3357" spans="1:10" x14ac:dyDescent="0.2">
      <c r="A3357" s="2" t="s">
        <v>2753</v>
      </c>
      <c r="B3357" s="2" t="s">
        <v>34</v>
      </c>
      <c r="C3357" s="2" t="s">
        <v>52</v>
      </c>
      <c r="D3357" s="2">
        <v>15</v>
      </c>
      <c r="E3357" s="5">
        <v>43936</v>
      </c>
      <c r="F3357" s="2">
        <v>40</v>
      </c>
      <c r="G3357" s="2" t="s">
        <v>41</v>
      </c>
      <c r="H3357" s="2" t="s">
        <v>23</v>
      </c>
      <c r="I3357" s="6">
        <v>0.2</v>
      </c>
      <c r="J3357" s="2" t="str">
        <f t="shared" si="52"/>
        <v>2020-04</v>
      </c>
    </row>
    <row r="3358" spans="1:10" x14ac:dyDescent="0.2">
      <c r="A3358" s="2" t="s">
        <v>554</v>
      </c>
      <c r="B3358" s="2" t="s">
        <v>335</v>
      </c>
      <c r="C3358" s="2" t="s">
        <v>142</v>
      </c>
      <c r="D3358" s="2">
        <v>14</v>
      </c>
      <c r="E3358" s="5">
        <v>43936</v>
      </c>
      <c r="F3358" s="2">
        <v>51</v>
      </c>
      <c r="G3358" s="2" t="s">
        <v>37</v>
      </c>
      <c r="H3358" s="2" t="s">
        <v>106</v>
      </c>
      <c r="I3358" s="6" t="s">
        <v>2954</v>
      </c>
      <c r="J3358" s="2" t="str">
        <f t="shared" si="52"/>
        <v>2020-04</v>
      </c>
    </row>
    <row r="3359" spans="1:10" x14ac:dyDescent="0.2">
      <c r="A3359" s="2" t="s">
        <v>347</v>
      </c>
      <c r="B3359" s="2" t="s">
        <v>34</v>
      </c>
      <c r="C3359" s="2" t="s">
        <v>142</v>
      </c>
      <c r="D3359" s="2">
        <v>13</v>
      </c>
      <c r="E3359" s="5">
        <v>43936</v>
      </c>
      <c r="F3359" s="2">
        <v>34</v>
      </c>
      <c r="G3359" s="2" t="s">
        <v>66</v>
      </c>
      <c r="H3359" s="2" t="s">
        <v>23</v>
      </c>
      <c r="I3359" s="6" t="s">
        <v>2954</v>
      </c>
      <c r="J3359" s="2" t="str">
        <f t="shared" si="52"/>
        <v>2020-04</v>
      </c>
    </row>
    <row r="3360" spans="1:10" x14ac:dyDescent="0.2">
      <c r="A3360" s="2" t="s">
        <v>2754</v>
      </c>
      <c r="B3360" s="2" t="s">
        <v>693</v>
      </c>
      <c r="C3360" s="2" t="s">
        <v>29</v>
      </c>
      <c r="D3360" s="2" t="s">
        <v>2954</v>
      </c>
      <c r="E3360" s="5">
        <v>43936</v>
      </c>
      <c r="F3360" s="2">
        <v>100</v>
      </c>
      <c r="G3360" s="2" t="s">
        <v>45</v>
      </c>
      <c r="H3360" s="2" t="s">
        <v>23</v>
      </c>
      <c r="I3360" s="6">
        <v>0.2</v>
      </c>
      <c r="J3360" s="2" t="str">
        <f t="shared" si="52"/>
        <v>2020-04</v>
      </c>
    </row>
    <row r="3361" spans="1:10" x14ac:dyDescent="0.2">
      <c r="A3361" s="2" t="s">
        <v>2755</v>
      </c>
      <c r="B3361" s="2" t="s">
        <v>398</v>
      </c>
      <c r="C3361" s="2" t="s">
        <v>35</v>
      </c>
      <c r="D3361" s="2" t="s">
        <v>2954</v>
      </c>
      <c r="E3361" s="5">
        <v>43936</v>
      </c>
      <c r="F3361" s="2">
        <v>7</v>
      </c>
      <c r="G3361" s="2" t="s">
        <v>41</v>
      </c>
      <c r="H3361" s="2" t="s">
        <v>399</v>
      </c>
      <c r="I3361" s="6">
        <v>0.3</v>
      </c>
      <c r="J3361" s="2" t="str">
        <f t="shared" si="52"/>
        <v>2020-04</v>
      </c>
    </row>
    <row r="3362" spans="1:10" x14ac:dyDescent="0.2">
      <c r="A3362" s="2" t="s">
        <v>1211</v>
      </c>
      <c r="B3362" s="2" t="s">
        <v>34</v>
      </c>
      <c r="C3362" s="2" t="s">
        <v>109</v>
      </c>
      <c r="D3362" s="2" t="s">
        <v>2954</v>
      </c>
      <c r="E3362" s="5">
        <v>43936</v>
      </c>
      <c r="F3362" s="2">
        <v>1800</v>
      </c>
      <c r="G3362" s="2" t="s">
        <v>81</v>
      </c>
      <c r="H3362" s="2" t="s">
        <v>23</v>
      </c>
      <c r="I3362" s="6" t="s">
        <v>2954</v>
      </c>
      <c r="J3362" s="2" t="str">
        <f t="shared" si="52"/>
        <v>2020-04</v>
      </c>
    </row>
    <row r="3363" spans="1:10" x14ac:dyDescent="0.2">
      <c r="A3363" s="2" t="s">
        <v>1364</v>
      </c>
      <c r="B3363" s="2" t="s">
        <v>34</v>
      </c>
      <c r="C3363" s="2" t="s">
        <v>142</v>
      </c>
      <c r="D3363" s="2">
        <v>235</v>
      </c>
      <c r="E3363" s="5">
        <v>43935</v>
      </c>
      <c r="F3363" s="2">
        <v>358</v>
      </c>
      <c r="G3363" s="2" t="s">
        <v>17</v>
      </c>
      <c r="H3363" s="2" t="s">
        <v>23</v>
      </c>
      <c r="I3363" s="6">
        <v>0.1</v>
      </c>
      <c r="J3363" s="2" t="str">
        <f t="shared" si="52"/>
        <v>2020-04</v>
      </c>
    </row>
    <row r="3364" spans="1:10" x14ac:dyDescent="0.2">
      <c r="A3364" s="2" t="s">
        <v>2756</v>
      </c>
      <c r="B3364" s="2" t="s">
        <v>335</v>
      </c>
      <c r="C3364" s="2" t="s">
        <v>11</v>
      </c>
      <c r="D3364" s="2">
        <v>131</v>
      </c>
      <c r="E3364" s="5">
        <v>43935</v>
      </c>
      <c r="F3364" s="2">
        <v>224</v>
      </c>
      <c r="G3364" s="2" t="s">
        <v>128</v>
      </c>
      <c r="H3364" s="2" t="s">
        <v>106</v>
      </c>
      <c r="I3364" s="6">
        <v>0.23</v>
      </c>
      <c r="J3364" s="2" t="str">
        <f t="shared" si="52"/>
        <v>2020-04</v>
      </c>
    </row>
    <row r="3365" spans="1:10" x14ac:dyDescent="0.2">
      <c r="A3365" s="2" t="s">
        <v>2757</v>
      </c>
      <c r="B3365" s="2" t="s">
        <v>34</v>
      </c>
      <c r="C3365" s="2" t="s">
        <v>68</v>
      </c>
      <c r="D3365" s="2">
        <v>58</v>
      </c>
      <c r="E3365" s="5">
        <v>43935</v>
      </c>
      <c r="F3365" s="2">
        <v>59</v>
      </c>
      <c r="G3365" s="2" t="s">
        <v>37</v>
      </c>
      <c r="H3365" s="2" t="s">
        <v>23</v>
      </c>
      <c r="I3365" s="6">
        <v>0.3</v>
      </c>
      <c r="J3365" s="2" t="str">
        <f t="shared" si="52"/>
        <v>2020-04</v>
      </c>
    </row>
    <row r="3366" spans="1:10" x14ac:dyDescent="0.2">
      <c r="A3366" s="2" t="s">
        <v>2758</v>
      </c>
      <c r="B3366" s="2" t="s">
        <v>34</v>
      </c>
      <c r="C3366" s="2" t="s">
        <v>35</v>
      </c>
      <c r="D3366" s="2">
        <v>45</v>
      </c>
      <c r="E3366" s="5">
        <v>43935</v>
      </c>
      <c r="F3366" s="2">
        <v>90</v>
      </c>
      <c r="G3366" s="2" t="s">
        <v>37</v>
      </c>
      <c r="H3366" s="2" t="s">
        <v>23</v>
      </c>
      <c r="I3366" s="7" t="s">
        <v>1402</v>
      </c>
      <c r="J3366" s="2" t="str">
        <f t="shared" si="52"/>
        <v>2020-04</v>
      </c>
    </row>
    <row r="3367" spans="1:10" x14ac:dyDescent="0.2">
      <c r="A3367" s="2" t="s">
        <v>2093</v>
      </c>
      <c r="B3367" s="2" t="s">
        <v>34</v>
      </c>
      <c r="C3367" s="2" t="s">
        <v>35</v>
      </c>
      <c r="D3367" s="2">
        <v>21</v>
      </c>
      <c r="E3367" s="5">
        <v>43935</v>
      </c>
      <c r="F3367" s="2">
        <v>132</v>
      </c>
      <c r="G3367" s="2" t="s">
        <v>75</v>
      </c>
      <c r="H3367" s="2" t="s">
        <v>23</v>
      </c>
      <c r="I3367" s="6" t="s">
        <v>2954</v>
      </c>
      <c r="J3367" s="2" t="str">
        <f t="shared" si="52"/>
        <v>2020-04</v>
      </c>
    </row>
    <row r="3368" spans="1:10" x14ac:dyDescent="0.2">
      <c r="A3368" s="2" t="s">
        <v>2759</v>
      </c>
      <c r="B3368" s="2" t="s">
        <v>34</v>
      </c>
      <c r="C3368" s="2" t="s">
        <v>243</v>
      </c>
      <c r="D3368" s="2">
        <v>15</v>
      </c>
      <c r="E3368" s="5">
        <v>43935</v>
      </c>
      <c r="F3368" s="2">
        <v>190</v>
      </c>
      <c r="G3368" s="2" t="s">
        <v>128</v>
      </c>
      <c r="H3368" s="2" t="s">
        <v>23</v>
      </c>
      <c r="I3368" s="6" t="s">
        <v>2954</v>
      </c>
      <c r="J3368" s="2" t="str">
        <f t="shared" si="52"/>
        <v>2020-04</v>
      </c>
    </row>
    <row r="3369" spans="1:10" x14ac:dyDescent="0.2">
      <c r="A3369" s="2" t="s">
        <v>2760</v>
      </c>
      <c r="B3369" s="2" t="s">
        <v>661</v>
      </c>
      <c r="C3369" s="2" t="s">
        <v>68</v>
      </c>
      <c r="D3369" s="2">
        <v>10</v>
      </c>
      <c r="E3369" s="5">
        <v>43935</v>
      </c>
      <c r="F3369" s="2">
        <v>5</v>
      </c>
      <c r="G3369" s="2" t="s">
        <v>12</v>
      </c>
      <c r="H3369" s="2" t="s">
        <v>662</v>
      </c>
      <c r="I3369" s="6" t="s">
        <v>2954</v>
      </c>
      <c r="J3369" s="2" t="str">
        <f t="shared" si="52"/>
        <v>2020-04</v>
      </c>
    </row>
    <row r="3370" spans="1:10" x14ac:dyDescent="0.2">
      <c r="A3370" s="2" t="s">
        <v>2511</v>
      </c>
      <c r="B3370" s="2" t="s">
        <v>34</v>
      </c>
      <c r="C3370" s="2" t="s">
        <v>16</v>
      </c>
      <c r="D3370" s="2" t="s">
        <v>2954</v>
      </c>
      <c r="E3370" s="5">
        <v>43935</v>
      </c>
      <c r="F3370" s="2">
        <v>584</v>
      </c>
      <c r="G3370" s="2" t="s">
        <v>12</v>
      </c>
      <c r="H3370" s="2" t="s">
        <v>23</v>
      </c>
      <c r="I3370" s="6" t="s">
        <v>2954</v>
      </c>
      <c r="J3370" s="2" t="str">
        <f t="shared" si="52"/>
        <v>2020-04</v>
      </c>
    </row>
    <row r="3371" spans="1:10" x14ac:dyDescent="0.2">
      <c r="A3371" s="2" t="s">
        <v>2761</v>
      </c>
      <c r="B3371" s="2" t="s">
        <v>217</v>
      </c>
      <c r="C3371" s="2" t="s">
        <v>44</v>
      </c>
      <c r="D3371" s="2" t="s">
        <v>2954</v>
      </c>
      <c r="E3371" s="5">
        <v>43935</v>
      </c>
      <c r="F3371" s="2">
        <v>134</v>
      </c>
      <c r="G3371" s="2" t="s">
        <v>66</v>
      </c>
      <c r="H3371" s="2" t="s">
        <v>217</v>
      </c>
      <c r="I3371" s="6" t="s">
        <v>2954</v>
      </c>
      <c r="J3371" s="2" t="str">
        <f t="shared" si="52"/>
        <v>2020-04</v>
      </c>
    </row>
    <row r="3372" spans="1:10" x14ac:dyDescent="0.2">
      <c r="A3372" s="2" t="s">
        <v>1466</v>
      </c>
      <c r="B3372" s="2" t="s">
        <v>314</v>
      </c>
      <c r="C3372" s="2" t="s">
        <v>142</v>
      </c>
      <c r="D3372" s="2">
        <v>2800</v>
      </c>
      <c r="E3372" s="5">
        <v>43934</v>
      </c>
      <c r="F3372" s="2">
        <v>1400</v>
      </c>
      <c r="G3372" s="2" t="s">
        <v>17</v>
      </c>
      <c r="H3372" s="2" t="s">
        <v>23</v>
      </c>
      <c r="I3372" s="6">
        <v>0.44</v>
      </c>
      <c r="J3372" s="2" t="str">
        <f t="shared" si="52"/>
        <v>2020-04</v>
      </c>
    </row>
    <row r="3373" spans="1:10" x14ac:dyDescent="0.2">
      <c r="A3373" s="2" t="s">
        <v>2762</v>
      </c>
      <c r="B3373" s="2" t="s">
        <v>34</v>
      </c>
      <c r="C3373" s="2" t="s">
        <v>52</v>
      </c>
      <c r="D3373" s="2">
        <v>100</v>
      </c>
      <c r="E3373" s="5">
        <v>43934</v>
      </c>
      <c r="F3373" s="2">
        <v>955</v>
      </c>
      <c r="G3373" s="2" t="s">
        <v>37</v>
      </c>
      <c r="H3373" s="2" t="s">
        <v>23</v>
      </c>
      <c r="I3373" s="6">
        <v>0.1</v>
      </c>
      <c r="J3373" s="2" t="str">
        <f t="shared" si="52"/>
        <v>2020-04</v>
      </c>
    </row>
    <row r="3374" spans="1:10" x14ac:dyDescent="0.2">
      <c r="A3374" s="2" t="s">
        <v>660</v>
      </c>
      <c r="B3374" s="2" t="s">
        <v>661</v>
      </c>
      <c r="C3374" s="2" t="s">
        <v>16</v>
      </c>
      <c r="D3374" s="2">
        <v>70</v>
      </c>
      <c r="E3374" s="5">
        <v>43934</v>
      </c>
      <c r="F3374" s="2">
        <v>120</v>
      </c>
      <c r="G3374" s="2" t="s">
        <v>37</v>
      </c>
      <c r="H3374" s="2" t="s">
        <v>662</v>
      </c>
      <c r="I3374" s="6">
        <v>0.1</v>
      </c>
      <c r="J3374" s="2" t="str">
        <f t="shared" si="52"/>
        <v>2020-04</v>
      </c>
    </row>
    <row r="3375" spans="1:10" x14ac:dyDescent="0.2">
      <c r="A3375" s="2" t="s">
        <v>2763</v>
      </c>
      <c r="B3375" s="2" t="s">
        <v>34</v>
      </c>
      <c r="C3375" s="2" t="s">
        <v>170</v>
      </c>
      <c r="D3375" s="2">
        <v>50</v>
      </c>
      <c r="E3375" s="5">
        <v>43934</v>
      </c>
      <c r="F3375" s="2">
        <v>12</v>
      </c>
      <c r="G3375" s="2" t="s">
        <v>41</v>
      </c>
      <c r="H3375" s="2" t="s">
        <v>23</v>
      </c>
      <c r="I3375" s="6">
        <v>0.25</v>
      </c>
      <c r="J3375" s="2" t="str">
        <f t="shared" si="52"/>
        <v>2020-04</v>
      </c>
    </row>
    <row r="3376" spans="1:10" x14ac:dyDescent="0.2">
      <c r="A3376" s="2" t="s">
        <v>2764</v>
      </c>
      <c r="B3376" s="2" t="s">
        <v>335</v>
      </c>
      <c r="C3376" s="2" t="s">
        <v>16</v>
      </c>
      <c r="D3376" s="2">
        <v>17</v>
      </c>
      <c r="E3376" s="5">
        <v>43934</v>
      </c>
      <c r="F3376" s="2">
        <v>119</v>
      </c>
      <c r="G3376" s="2" t="s">
        <v>37</v>
      </c>
      <c r="H3376" s="2" t="s">
        <v>106</v>
      </c>
      <c r="I3376" s="6">
        <v>0.08</v>
      </c>
      <c r="J3376" s="2" t="str">
        <f t="shared" si="52"/>
        <v>2020-04</v>
      </c>
    </row>
    <row r="3377" spans="1:10" x14ac:dyDescent="0.2">
      <c r="A3377" s="2" t="s">
        <v>532</v>
      </c>
      <c r="B3377" s="2" t="s">
        <v>533</v>
      </c>
      <c r="C3377" s="2" t="s">
        <v>235</v>
      </c>
      <c r="D3377" s="2">
        <v>201</v>
      </c>
      <c r="E3377" s="5">
        <v>43931</v>
      </c>
      <c r="F3377" s="2">
        <v>185</v>
      </c>
      <c r="G3377" s="2" t="s">
        <v>12</v>
      </c>
      <c r="H3377" s="2" t="s">
        <v>23</v>
      </c>
      <c r="I3377" s="6" t="s">
        <v>2954</v>
      </c>
      <c r="J3377" s="2" t="str">
        <f t="shared" si="52"/>
        <v>2020-04</v>
      </c>
    </row>
    <row r="3378" spans="1:10" x14ac:dyDescent="0.2">
      <c r="A3378" s="2" t="s">
        <v>477</v>
      </c>
      <c r="B3378" s="2" t="s">
        <v>478</v>
      </c>
      <c r="C3378" s="2" t="s">
        <v>44</v>
      </c>
      <c r="D3378" s="2">
        <v>35</v>
      </c>
      <c r="E3378" s="5">
        <v>43931</v>
      </c>
      <c r="F3378" s="2">
        <v>3</v>
      </c>
      <c r="G3378" s="2" t="s">
        <v>12</v>
      </c>
      <c r="H3378" s="2" t="s">
        <v>23</v>
      </c>
      <c r="I3378" s="6">
        <v>0.16</v>
      </c>
      <c r="J3378" s="2" t="str">
        <f t="shared" si="52"/>
        <v>2020-04</v>
      </c>
    </row>
    <row r="3379" spans="1:10" x14ac:dyDescent="0.2">
      <c r="A3379" s="2" t="s">
        <v>2765</v>
      </c>
      <c r="B3379" s="2" t="s">
        <v>661</v>
      </c>
      <c r="C3379" s="2" t="s">
        <v>16</v>
      </c>
      <c r="D3379" s="2">
        <v>30</v>
      </c>
      <c r="E3379" s="5">
        <v>43931</v>
      </c>
      <c r="F3379" s="2">
        <v>14</v>
      </c>
      <c r="G3379" s="2" t="s">
        <v>37</v>
      </c>
      <c r="H3379" s="2" t="s">
        <v>662</v>
      </c>
      <c r="I3379" s="6" t="s">
        <v>2954</v>
      </c>
      <c r="J3379" s="2" t="str">
        <f t="shared" si="52"/>
        <v>2020-04</v>
      </c>
    </row>
    <row r="3380" spans="1:10" x14ac:dyDescent="0.2">
      <c r="A3380" s="2" t="s">
        <v>2006</v>
      </c>
      <c r="B3380" s="2" t="s">
        <v>314</v>
      </c>
      <c r="C3380" s="2" t="s">
        <v>84</v>
      </c>
      <c r="D3380" s="2">
        <v>28</v>
      </c>
      <c r="E3380" s="5">
        <v>43931</v>
      </c>
      <c r="F3380" s="2">
        <v>29</v>
      </c>
      <c r="G3380" s="2" t="s">
        <v>66</v>
      </c>
      <c r="H3380" s="2" t="s">
        <v>23</v>
      </c>
      <c r="I3380" s="6" t="s">
        <v>2954</v>
      </c>
      <c r="J3380" s="2" t="str">
        <f t="shared" si="52"/>
        <v>2020-04</v>
      </c>
    </row>
    <row r="3381" spans="1:10" x14ac:dyDescent="0.2">
      <c r="A3381" s="2" t="s">
        <v>2766</v>
      </c>
      <c r="B3381" s="2" t="s">
        <v>89</v>
      </c>
      <c r="C3381" s="2" t="s">
        <v>243</v>
      </c>
      <c r="D3381" s="2">
        <v>20</v>
      </c>
      <c r="E3381" s="5">
        <v>43931</v>
      </c>
      <c r="F3381" s="2">
        <v>85</v>
      </c>
      <c r="G3381" s="2" t="s">
        <v>12</v>
      </c>
      <c r="H3381" s="2" t="s">
        <v>23</v>
      </c>
      <c r="I3381" s="6">
        <v>0.28999999999999998</v>
      </c>
      <c r="J3381" s="2" t="str">
        <f t="shared" si="52"/>
        <v>2020-04</v>
      </c>
    </row>
    <row r="3382" spans="1:10" x14ac:dyDescent="0.2">
      <c r="A3382" s="2" t="s">
        <v>2767</v>
      </c>
      <c r="B3382" s="2" t="s">
        <v>34</v>
      </c>
      <c r="C3382" s="2" t="s">
        <v>363</v>
      </c>
      <c r="D3382" s="2">
        <v>16</v>
      </c>
      <c r="E3382" s="5">
        <v>43931</v>
      </c>
      <c r="F3382" s="2">
        <v>35</v>
      </c>
      <c r="G3382" s="2" t="s">
        <v>37</v>
      </c>
      <c r="H3382" s="2" t="s">
        <v>23</v>
      </c>
      <c r="I3382" s="6">
        <v>0.27</v>
      </c>
      <c r="J3382" s="2" t="str">
        <f t="shared" si="52"/>
        <v>2020-04</v>
      </c>
    </row>
    <row r="3383" spans="1:10" x14ac:dyDescent="0.2">
      <c r="A3383" s="2" t="s">
        <v>2768</v>
      </c>
      <c r="B3383" s="2" t="s">
        <v>28</v>
      </c>
      <c r="C3383" s="2" t="s">
        <v>48</v>
      </c>
      <c r="D3383" s="2">
        <v>6</v>
      </c>
      <c r="E3383" s="5">
        <v>43931</v>
      </c>
      <c r="F3383" s="2">
        <v>1</v>
      </c>
      <c r="G3383" s="2" t="s">
        <v>12</v>
      </c>
      <c r="H3383" s="2" t="s">
        <v>23</v>
      </c>
      <c r="I3383" s="6">
        <v>1</v>
      </c>
      <c r="J3383" s="2" t="str">
        <f t="shared" si="52"/>
        <v>2020-04</v>
      </c>
    </row>
    <row r="3384" spans="1:10" x14ac:dyDescent="0.2">
      <c r="A3384" s="2" t="s">
        <v>2769</v>
      </c>
      <c r="B3384" s="2" t="s">
        <v>28</v>
      </c>
      <c r="C3384" s="2" t="s">
        <v>235</v>
      </c>
      <c r="D3384" s="2">
        <v>5</v>
      </c>
      <c r="E3384" s="5">
        <v>43931</v>
      </c>
      <c r="F3384" s="2" t="s">
        <v>2954</v>
      </c>
      <c r="G3384" s="2" t="s">
        <v>12</v>
      </c>
      <c r="H3384" s="2" t="s">
        <v>23</v>
      </c>
      <c r="I3384" s="6">
        <v>0.31</v>
      </c>
      <c r="J3384" s="2" t="str">
        <f t="shared" si="52"/>
        <v>2020-04</v>
      </c>
    </row>
    <row r="3385" spans="1:10" x14ac:dyDescent="0.2">
      <c r="A3385" s="2" t="s">
        <v>2770</v>
      </c>
      <c r="B3385" s="2" t="s">
        <v>47</v>
      </c>
      <c r="C3385" s="2" t="s">
        <v>16</v>
      </c>
      <c r="D3385" s="2" t="s">
        <v>2954</v>
      </c>
      <c r="E3385" s="5">
        <v>43931</v>
      </c>
      <c r="F3385" s="2">
        <v>119</v>
      </c>
      <c r="G3385" s="2" t="s">
        <v>66</v>
      </c>
      <c r="H3385" s="2" t="s">
        <v>23</v>
      </c>
      <c r="I3385" s="6" t="s">
        <v>2954</v>
      </c>
      <c r="J3385" s="2" t="str">
        <f t="shared" si="52"/>
        <v>2020-04</v>
      </c>
    </row>
    <row r="3386" spans="1:10" x14ac:dyDescent="0.2">
      <c r="A3386" s="2" t="s">
        <v>2573</v>
      </c>
      <c r="B3386" s="2" t="s">
        <v>34</v>
      </c>
      <c r="C3386" s="2" t="s">
        <v>35</v>
      </c>
      <c r="D3386" s="2">
        <v>1000</v>
      </c>
      <c r="E3386" s="5">
        <v>43930</v>
      </c>
      <c r="F3386" s="2">
        <v>56</v>
      </c>
      <c r="G3386" s="2" t="s">
        <v>17</v>
      </c>
      <c r="H3386" s="2" t="s">
        <v>23</v>
      </c>
      <c r="I3386" s="6">
        <v>0.17</v>
      </c>
      <c r="J3386" s="2" t="str">
        <f t="shared" si="52"/>
        <v>2020-04</v>
      </c>
    </row>
    <row r="3387" spans="1:10" x14ac:dyDescent="0.2">
      <c r="A3387" s="2" t="s">
        <v>2606</v>
      </c>
      <c r="B3387" s="2" t="s">
        <v>1092</v>
      </c>
      <c r="C3387" s="2" t="s">
        <v>16</v>
      </c>
      <c r="D3387" s="2">
        <v>165</v>
      </c>
      <c r="E3387" s="5">
        <v>43930</v>
      </c>
      <c r="F3387" s="2">
        <v>324</v>
      </c>
      <c r="G3387" s="2" t="s">
        <v>62</v>
      </c>
      <c r="H3387" s="2" t="s">
        <v>23</v>
      </c>
      <c r="I3387" s="6" t="s">
        <v>2954</v>
      </c>
      <c r="J3387" s="2" t="str">
        <f t="shared" si="52"/>
        <v>2020-04</v>
      </c>
    </row>
    <row r="3388" spans="1:10" x14ac:dyDescent="0.2">
      <c r="A3388" s="2" t="s">
        <v>2371</v>
      </c>
      <c r="B3388" s="2" t="s">
        <v>115</v>
      </c>
      <c r="C3388" s="2" t="s">
        <v>632</v>
      </c>
      <c r="D3388" s="2">
        <v>150</v>
      </c>
      <c r="E3388" s="5">
        <v>43930</v>
      </c>
      <c r="F3388" s="2">
        <v>410</v>
      </c>
      <c r="G3388" s="2" t="s">
        <v>37</v>
      </c>
      <c r="H3388" s="2" t="s">
        <v>23</v>
      </c>
      <c r="I3388" s="6">
        <v>0.1</v>
      </c>
      <c r="J3388" s="2" t="str">
        <f t="shared" si="52"/>
        <v>2020-04</v>
      </c>
    </row>
    <row r="3389" spans="1:10" x14ac:dyDescent="0.2">
      <c r="A3389" s="2" t="s">
        <v>2771</v>
      </c>
      <c r="B3389" s="2" t="s">
        <v>661</v>
      </c>
      <c r="C3389" s="2" t="s">
        <v>16</v>
      </c>
      <c r="D3389" s="2">
        <v>136</v>
      </c>
      <c r="E3389" s="5">
        <v>43930</v>
      </c>
      <c r="F3389" s="2">
        <v>26</v>
      </c>
      <c r="G3389" s="2" t="s">
        <v>37</v>
      </c>
      <c r="H3389" s="2" t="s">
        <v>662</v>
      </c>
      <c r="I3389" s="6">
        <v>0.31</v>
      </c>
      <c r="J3389" s="2" t="str">
        <f t="shared" si="52"/>
        <v>2020-04</v>
      </c>
    </row>
    <row r="3390" spans="1:10" x14ac:dyDescent="0.2">
      <c r="A3390" s="2" t="s">
        <v>540</v>
      </c>
      <c r="B3390" s="2" t="s">
        <v>147</v>
      </c>
      <c r="C3390" s="2" t="s">
        <v>243</v>
      </c>
      <c r="D3390" s="2">
        <v>90</v>
      </c>
      <c r="E3390" s="5">
        <v>43930</v>
      </c>
      <c r="F3390" s="2">
        <v>689</v>
      </c>
      <c r="G3390" s="2" t="s">
        <v>17</v>
      </c>
      <c r="H3390" s="2" t="s">
        <v>23</v>
      </c>
      <c r="I3390" s="6">
        <v>0.1</v>
      </c>
      <c r="J3390" s="2" t="str">
        <f t="shared" si="52"/>
        <v>2020-04</v>
      </c>
    </row>
    <row r="3391" spans="1:10" x14ac:dyDescent="0.2">
      <c r="A3391" s="2" t="s">
        <v>915</v>
      </c>
      <c r="B3391" s="2" t="s">
        <v>34</v>
      </c>
      <c r="C3391" s="2" t="s">
        <v>243</v>
      </c>
      <c r="D3391" s="2">
        <v>90</v>
      </c>
      <c r="E3391" s="5">
        <v>43930</v>
      </c>
      <c r="F3391" s="2">
        <v>114</v>
      </c>
      <c r="G3391" s="2" t="s">
        <v>75</v>
      </c>
      <c r="H3391" s="2" t="s">
        <v>23</v>
      </c>
      <c r="I3391" s="6">
        <v>0.34</v>
      </c>
      <c r="J3391" s="2" t="str">
        <f t="shared" si="52"/>
        <v>2020-04</v>
      </c>
    </row>
    <row r="3392" spans="1:10" x14ac:dyDescent="0.2">
      <c r="A3392" s="2" t="s">
        <v>2772</v>
      </c>
      <c r="B3392" s="2" t="s">
        <v>294</v>
      </c>
      <c r="C3392" s="2" t="s">
        <v>113</v>
      </c>
      <c r="D3392" s="2">
        <v>40</v>
      </c>
      <c r="E3392" s="5">
        <v>43930</v>
      </c>
      <c r="F3392" s="2">
        <v>59</v>
      </c>
      <c r="G3392" s="2" t="s">
        <v>37</v>
      </c>
      <c r="H3392" s="2" t="s">
        <v>23</v>
      </c>
      <c r="I3392" s="6">
        <v>0.32</v>
      </c>
      <c r="J3392" s="2" t="str">
        <f t="shared" si="52"/>
        <v>2020-04</v>
      </c>
    </row>
    <row r="3393" spans="1:10" x14ac:dyDescent="0.2">
      <c r="A3393" s="2" t="s">
        <v>2146</v>
      </c>
      <c r="B3393" s="2" t="s">
        <v>335</v>
      </c>
      <c r="C3393" s="2" t="s">
        <v>142</v>
      </c>
      <c r="D3393" s="2">
        <v>36</v>
      </c>
      <c r="E3393" s="5">
        <v>43930</v>
      </c>
      <c r="F3393" s="2">
        <v>28</v>
      </c>
      <c r="G3393" s="2" t="s">
        <v>37</v>
      </c>
      <c r="H3393" s="2" t="s">
        <v>106</v>
      </c>
      <c r="I3393" s="6">
        <v>0.15</v>
      </c>
      <c r="J3393" s="2" t="str">
        <f t="shared" si="52"/>
        <v>2020-04</v>
      </c>
    </row>
    <row r="3394" spans="1:10" x14ac:dyDescent="0.2">
      <c r="A3394" s="2" t="s">
        <v>894</v>
      </c>
      <c r="B3394" s="2" t="s">
        <v>378</v>
      </c>
      <c r="C3394" s="2" t="s">
        <v>243</v>
      </c>
      <c r="D3394" s="2">
        <v>25</v>
      </c>
      <c r="E3394" s="5">
        <v>43930</v>
      </c>
      <c r="F3394" s="2">
        <v>137.5</v>
      </c>
      <c r="G3394" s="2" t="s">
        <v>37</v>
      </c>
      <c r="H3394" s="2" t="s">
        <v>23</v>
      </c>
      <c r="I3394" s="6">
        <v>0.05</v>
      </c>
      <c r="J3394" s="2" t="str">
        <f t="shared" si="52"/>
        <v>2020-04</v>
      </c>
    </row>
    <row r="3395" spans="1:10" x14ac:dyDescent="0.2">
      <c r="A3395" s="2" t="s">
        <v>2773</v>
      </c>
      <c r="B3395" s="2" t="s">
        <v>335</v>
      </c>
      <c r="C3395" s="2" t="s">
        <v>61</v>
      </c>
      <c r="D3395" s="2">
        <v>14</v>
      </c>
      <c r="E3395" s="5">
        <v>43930</v>
      </c>
      <c r="F3395" s="2" t="s">
        <v>2954</v>
      </c>
      <c r="G3395" s="2" t="s">
        <v>12</v>
      </c>
      <c r="H3395" s="2" t="s">
        <v>106</v>
      </c>
      <c r="I3395" s="6">
        <v>7.0000000000000007E-2</v>
      </c>
      <c r="J3395" s="2" t="str">
        <f t="shared" ref="J3395:J3458" si="53">TEXT(E3395,"YYYY-MM")</f>
        <v>2020-04</v>
      </c>
    </row>
    <row r="3396" spans="1:10" x14ac:dyDescent="0.2">
      <c r="A3396" s="2" t="s">
        <v>2774</v>
      </c>
      <c r="B3396" s="2" t="s">
        <v>54</v>
      </c>
      <c r="C3396" s="2" t="s">
        <v>26</v>
      </c>
      <c r="D3396" s="2">
        <v>8</v>
      </c>
      <c r="E3396" s="5">
        <v>43930</v>
      </c>
      <c r="F3396" s="2">
        <v>32</v>
      </c>
      <c r="G3396" s="2" t="s">
        <v>12</v>
      </c>
      <c r="H3396" s="2" t="s">
        <v>55</v>
      </c>
      <c r="I3396" s="6">
        <v>0.04</v>
      </c>
      <c r="J3396" s="2" t="str">
        <f t="shared" si="53"/>
        <v>2020-04</v>
      </c>
    </row>
    <row r="3397" spans="1:10" x14ac:dyDescent="0.2">
      <c r="A3397" s="2" t="s">
        <v>2775</v>
      </c>
      <c r="B3397" s="2" t="s">
        <v>34</v>
      </c>
      <c r="C3397" s="2" t="s">
        <v>22</v>
      </c>
      <c r="D3397" s="2" t="s">
        <v>2954</v>
      </c>
      <c r="E3397" s="5">
        <v>43930</v>
      </c>
      <c r="F3397" s="2">
        <v>18</v>
      </c>
      <c r="G3397" s="2" t="s">
        <v>12</v>
      </c>
      <c r="H3397" s="2" t="s">
        <v>23</v>
      </c>
      <c r="I3397" s="6" t="s">
        <v>2954</v>
      </c>
      <c r="J3397" s="2" t="str">
        <f t="shared" si="53"/>
        <v>2020-04</v>
      </c>
    </row>
    <row r="3398" spans="1:10" x14ac:dyDescent="0.2">
      <c r="A3398" s="2" t="s">
        <v>2776</v>
      </c>
      <c r="B3398" s="2" t="s">
        <v>54</v>
      </c>
      <c r="C3398" s="2" t="s">
        <v>22</v>
      </c>
      <c r="D3398" s="2" t="s">
        <v>2954</v>
      </c>
      <c r="E3398" s="5">
        <v>43930</v>
      </c>
      <c r="F3398" s="2">
        <v>40</v>
      </c>
      <c r="G3398" s="2" t="s">
        <v>37</v>
      </c>
      <c r="H3398" s="2" t="s">
        <v>55</v>
      </c>
      <c r="I3398" s="6">
        <v>0.3</v>
      </c>
      <c r="J3398" s="2" t="str">
        <f t="shared" si="53"/>
        <v>2020-04</v>
      </c>
    </row>
    <row r="3399" spans="1:10" x14ac:dyDescent="0.2">
      <c r="A3399" s="2" t="s">
        <v>2777</v>
      </c>
      <c r="B3399" s="2" t="s">
        <v>47</v>
      </c>
      <c r="C3399" s="2" t="s">
        <v>16</v>
      </c>
      <c r="D3399" s="2" t="s">
        <v>2954</v>
      </c>
      <c r="E3399" s="5">
        <v>43930</v>
      </c>
      <c r="F3399" s="2">
        <v>217</v>
      </c>
      <c r="G3399" s="2" t="s">
        <v>12</v>
      </c>
      <c r="H3399" s="2" t="s">
        <v>23</v>
      </c>
      <c r="I3399" s="6" t="s">
        <v>2954</v>
      </c>
      <c r="J3399" s="2" t="str">
        <f t="shared" si="53"/>
        <v>2020-04</v>
      </c>
    </row>
    <row r="3400" spans="1:10" x14ac:dyDescent="0.2">
      <c r="A3400" s="2" t="s">
        <v>1323</v>
      </c>
      <c r="B3400" s="2" t="s">
        <v>34</v>
      </c>
      <c r="C3400" s="2" t="s">
        <v>35</v>
      </c>
      <c r="D3400" s="2">
        <v>500</v>
      </c>
      <c r="E3400" s="5">
        <v>43929</v>
      </c>
      <c r="F3400" s="2">
        <v>332</v>
      </c>
      <c r="G3400" s="2" t="s">
        <v>17</v>
      </c>
      <c r="H3400" s="2" t="s">
        <v>23</v>
      </c>
      <c r="I3400" s="6">
        <v>0.45</v>
      </c>
      <c r="J3400" s="2" t="str">
        <f t="shared" si="53"/>
        <v>2020-04</v>
      </c>
    </row>
    <row r="3401" spans="1:10" x14ac:dyDescent="0.2">
      <c r="A3401" s="2" t="s">
        <v>1108</v>
      </c>
      <c r="B3401" s="2" t="s">
        <v>100</v>
      </c>
      <c r="C3401" s="2" t="s">
        <v>142</v>
      </c>
      <c r="D3401" s="2">
        <v>200</v>
      </c>
      <c r="E3401" s="5">
        <v>43929</v>
      </c>
      <c r="F3401" s="2">
        <v>215</v>
      </c>
      <c r="G3401" s="2" t="s">
        <v>75</v>
      </c>
      <c r="H3401" s="2" t="s">
        <v>98</v>
      </c>
      <c r="I3401" s="6">
        <v>0.28000000000000003</v>
      </c>
      <c r="J3401" s="2" t="str">
        <f t="shared" si="53"/>
        <v>2020-04</v>
      </c>
    </row>
    <row r="3402" spans="1:10" x14ac:dyDescent="0.2">
      <c r="A3402" s="2" t="s">
        <v>2522</v>
      </c>
      <c r="B3402" s="2" t="s">
        <v>34</v>
      </c>
      <c r="C3402" s="2" t="s">
        <v>52</v>
      </c>
      <c r="D3402" s="2">
        <v>92</v>
      </c>
      <c r="E3402" s="5">
        <v>43929</v>
      </c>
      <c r="F3402" s="2">
        <v>95</v>
      </c>
      <c r="G3402" s="2" t="s">
        <v>66</v>
      </c>
      <c r="H3402" s="2" t="s">
        <v>23</v>
      </c>
      <c r="I3402" s="6">
        <v>0.33</v>
      </c>
      <c r="J3402" s="2" t="str">
        <f t="shared" si="53"/>
        <v>2020-04</v>
      </c>
    </row>
    <row r="3403" spans="1:10" x14ac:dyDescent="0.2">
      <c r="A3403" s="2" t="s">
        <v>2778</v>
      </c>
      <c r="B3403" s="2" t="s">
        <v>34</v>
      </c>
      <c r="C3403" s="2" t="s">
        <v>16</v>
      </c>
      <c r="D3403" s="2">
        <v>89</v>
      </c>
      <c r="E3403" s="5">
        <v>43929</v>
      </c>
      <c r="F3403" s="2">
        <v>40</v>
      </c>
      <c r="G3403" s="2" t="s">
        <v>37</v>
      </c>
      <c r="H3403" s="2" t="s">
        <v>23</v>
      </c>
      <c r="I3403" s="6">
        <v>0.45</v>
      </c>
      <c r="J3403" s="2" t="str">
        <f t="shared" si="53"/>
        <v>2020-04</v>
      </c>
    </row>
    <row r="3404" spans="1:10" x14ac:dyDescent="0.2">
      <c r="A3404" s="2" t="s">
        <v>469</v>
      </c>
      <c r="B3404" s="2" t="s">
        <v>34</v>
      </c>
      <c r="C3404" s="2" t="s">
        <v>84</v>
      </c>
      <c r="D3404" s="2">
        <v>86</v>
      </c>
      <c r="E3404" s="5">
        <v>43929</v>
      </c>
      <c r="F3404" s="2">
        <v>72</v>
      </c>
      <c r="G3404" s="2" t="s">
        <v>66</v>
      </c>
      <c r="H3404" s="2" t="s">
        <v>23</v>
      </c>
      <c r="I3404" s="6">
        <v>0.4</v>
      </c>
      <c r="J3404" s="2" t="str">
        <f t="shared" si="53"/>
        <v>2020-04</v>
      </c>
    </row>
    <row r="3405" spans="1:10" x14ac:dyDescent="0.2">
      <c r="A3405" s="2" t="s">
        <v>2779</v>
      </c>
      <c r="B3405" s="2" t="s">
        <v>2688</v>
      </c>
      <c r="C3405" s="2" t="s">
        <v>113</v>
      </c>
      <c r="D3405" s="2">
        <v>80</v>
      </c>
      <c r="E3405" s="5">
        <v>43929</v>
      </c>
      <c r="F3405" s="2">
        <v>91</v>
      </c>
      <c r="G3405" s="2" t="s">
        <v>66</v>
      </c>
      <c r="H3405" s="2" t="s">
        <v>1489</v>
      </c>
      <c r="I3405" s="7" t="s">
        <v>1402</v>
      </c>
      <c r="J3405" s="2" t="str">
        <f t="shared" si="53"/>
        <v>2020-04</v>
      </c>
    </row>
    <row r="3406" spans="1:10" x14ac:dyDescent="0.2">
      <c r="A3406" s="2" t="s">
        <v>2780</v>
      </c>
      <c r="B3406" s="2" t="s">
        <v>25</v>
      </c>
      <c r="C3406" s="2" t="s">
        <v>26</v>
      </c>
      <c r="D3406" s="2">
        <v>48</v>
      </c>
      <c r="E3406" s="5">
        <v>43929</v>
      </c>
      <c r="F3406" s="2">
        <v>64</v>
      </c>
      <c r="G3406" s="2" t="s">
        <v>66</v>
      </c>
      <c r="H3406" s="2" t="s">
        <v>23</v>
      </c>
      <c r="I3406" s="7" t="s">
        <v>1402</v>
      </c>
      <c r="J3406" s="2" t="str">
        <f t="shared" si="53"/>
        <v>2020-04</v>
      </c>
    </row>
    <row r="3407" spans="1:10" x14ac:dyDescent="0.2">
      <c r="A3407" s="2" t="s">
        <v>2781</v>
      </c>
      <c r="B3407" s="2" t="s">
        <v>25</v>
      </c>
      <c r="C3407" s="2" t="s">
        <v>148</v>
      </c>
      <c r="D3407" s="2">
        <v>40</v>
      </c>
      <c r="E3407" s="5">
        <v>43929</v>
      </c>
      <c r="F3407" s="2">
        <v>40</v>
      </c>
      <c r="G3407" s="2" t="s">
        <v>37</v>
      </c>
      <c r="H3407" s="2" t="s">
        <v>23</v>
      </c>
      <c r="I3407" s="6">
        <v>0.4</v>
      </c>
      <c r="J3407" s="2" t="str">
        <f t="shared" si="53"/>
        <v>2020-04</v>
      </c>
    </row>
    <row r="3408" spans="1:10" x14ac:dyDescent="0.2">
      <c r="A3408" s="2" t="s">
        <v>2177</v>
      </c>
      <c r="B3408" s="2" t="s">
        <v>34</v>
      </c>
      <c r="C3408" s="2" t="s">
        <v>26</v>
      </c>
      <c r="D3408" s="2">
        <v>30</v>
      </c>
      <c r="E3408" s="5">
        <v>43929</v>
      </c>
      <c r="F3408" s="2">
        <v>65</v>
      </c>
      <c r="G3408" s="2" t="s">
        <v>66</v>
      </c>
      <c r="H3408" s="2" t="s">
        <v>23</v>
      </c>
      <c r="I3408" s="6">
        <v>0.05</v>
      </c>
      <c r="J3408" s="2" t="str">
        <f t="shared" si="53"/>
        <v>2020-04</v>
      </c>
    </row>
    <row r="3409" spans="1:10" x14ac:dyDescent="0.2">
      <c r="A3409" s="2" t="s">
        <v>2782</v>
      </c>
      <c r="B3409" s="2" t="s">
        <v>64</v>
      </c>
      <c r="C3409" s="2" t="s">
        <v>26</v>
      </c>
      <c r="D3409" s="2">
        <v>25</v>
      </c>
      <c r="E3409" s="5">
        <v>43929</v>
      </c>
      <c r="F3409" s="2" t="s">
        <v>2954</v>
      </c>
      <c r="G3409" s="2" t="s">
        <v>12</v>
      </c>
      <c r="H3409" s="2" t="s">
        <v>23</v>
      </c>
      <c r="I3409" s="6">
        <v>0.25</v>
      </c>
      <c r="J3409" s="2" t="str">
        <f t="shared" si="53"/>
        <v>2020-04</v>
      </c>
    </row>
    <row r="3410" spans="1:10" x14ac:dyDescent="0.2">
      <c r="A3410" s="2" t="s">
        <v>472</v>
      </c>
      <c r="B3410" s="2" t="s">
        <v>47</v>
      </c>
      <c r="C3410" s="2" t="s">
        <v>26</v>
      </c>
      <c r="D3410" s="2">
        <v>21</v>
      </c>
      <c r="E3410" s="5">
        <v>43929</v>
      </c>
      <c r="F3410" s="2">
        <v>106</v>
      </c>
      <c r="G3410" s="2" t="s">
        <v>66</v>
      </c>
      <c r="H3410" s="2" t="s">
        <v>23</v>
      </c>
      <c r="I3410" s="6">
        <v>0.1</v>
      </c>
      <c r="J3410" s="2" t="str">
        <f t="shared" si="53"/>
        <v>2020-04</v>
      </c>
    </row>
    <row r="3411" spans="1:10" x14ac:dyDescent="0.2">
      <c r="A3411" s="2" t="s">
        <v>2783</v>
      </c>
      <c r="B3411" s="2" t="s">
        <v>661</v>
      </c>
      <c r="C3411" s="2" t="s">
        <v>84</v>
      </c>
      <c r="D3411" s="2">
        <v>18</v>
      </c>
      <c r="E3411" s="5">
        <v>43929</v>
      </c>
      <c r="F3411" s="2">
        <v>23</v>
      </c>
      <c r="G3411" s="2" t="s">
        <v>12</v>
      </c>
      <c r="H3411" s="2" t="s">
        <v>662</v>
      </c>
      <c r="I3411" s="6">
        <v>0.16</v>
      </c>
      <c r="J3411" s="2" t="str">
        <f t="shared" si="53"/>
        <v>2020-04</v>
      </c>
    </row>
    <row r="3412" spans="1:10" x14ac:dyDescent="0.2">
      <c r="A3412" s="2" t="s">
        <v>2784</v>
      </c>
      <c r="B3412" s="2" t="s">
        <v>335</v>
      </c>
      <c r="C3412" s="2" t="s">
        <v>78</v>
      </c>
      <c r="D3412" s="2">
        <v>17</v>
      </c>
      <c r="E3412" s="5">
        <v>43929</v>
      </c>
      <c r="F3412" s="2" t="s">
        <v>2954</v>
      </c>
      <c r="G3412" s="2" t="s">
        <v>12</v>
      </c>
      <c r="H3412" s="2" t="s">
        <v>106</v>
      </c>
      <c r="I3412" s="6">
        <v>0.1</v>
      </c>
      <c r="J3412" s="2" t="str">
        <f t="shared" si="53"/>
        <v>2020-04</v>
      </c>
    </row>
    <row r="3413" spans="1:10" x14ac:dyDescent="0.2">
      <c r="A3413" s="2" t="s">
        <v>2785</v>
      </c>
      <c r="B3413" s="2" t="s">
        <v>661</v>
      </c>
      <c r="C3413" s="2" t="s">
        <v>35</v>
      </c>
      <c r="D3413" s="2">
        <v>11</v>
      </c>
      <c r="E3413" s="5">
        <v>43929</v>
      </c>
      <c r="F3413" s="2">
        <v>16</v>
      </c>
      <c r="G3413" s="2" t="s">
        <v>37</v>
      </c>
      <c r="H3413" s="2" t="s">
        <v>662</v>
      </c>
      <c r="I3413" s="6">
        <v>0.1</v>
      </c>
      <c r="J3413" s="2" t="str">
        <f t="shared" si="53"/>
        <v>2020-04</v>
      </c>
    </row>
    <row r="3414" spans="1:10" x14ac:dyDescent="0.2">
      <c r="A3414" s="2" t="s">
        <v>2786</v>
      </c>
      <c r="B3414" s="2" t="s">
        <v>89</v>
      </c>
      <c r="C3414" s="2" t="s">
        <v>11</v>
      </c>
      <c r="D3414" s="2">
        <v>4</v>
      </c>
      <c r="E3414" s="5">
        <v>43929</v>
      </c>
      <c r="F3414" s="2">
        <v>26</v>
      </c>
      <c r="G3414" s="2" t="s">
        <v>41</v>
      </c>
      <c r="H3414" s="2" t="s">
        <v>23</v>
      </c>
      <c r="I3414" s="6">
        <v>0.12</v>
      </c>
      <c r="J3414" s="2" t="str">
        <f t="shared" si="53"/>
        <v>2020-04</v>
      </c>
    </row>
    <row r="3415" spans="1:10" x14ac:dyDescent="0.2">
      <c r="A3415" s="2" t="s">
        <v>2787</v>
      </c>
      <c r="B3415" s="2" t="s">
        <v>661</v>
      </c>
      <c r="C3415" s="2" t="s">
        <v>16</v>
      </c>
      <c r="D3415" s="2" t="s">
        <v>2954</v>
      </c>
      <c r="E3415" s="5">
        <v>43929</v>
      </c>
      <c r="F3415" s="2">
        <v>314</v>
      </c>
      <c r="G3415" s="2" t="s">
        <v>75</v>
      </c>
      <c r="H3415" s="2" t="s">
        <v>662</v>
      </c>
      <c r="I3415" s="6">
        <v>0.06</v>
      </c>
      <c r="J3415" s="2" t="str">
        <f t="shared" si="53"/>
        <v>2020-04</v>
      </c>
    </row>
    <row r="3416" spans="1:10" x14ac:dyDescent="0.2">
      <c r="A3416" s="2" t="s">
        <v>2788</v>
      </c>
      <c r="B3416" s="2" t="s">
        <v>43</v>
      </c>
      <c r="C3416" s="2" t="s">
        <v>26</v>
      </c>
      <c r="D3416" s="2" t="s">
        <v>2954</v>
      </c>
      <c r="E3416" s="5">
        <v>43929</v>
      </c>
      <c r="F3416" s="2">
        <v>58</v>
      </c>
      <c r="G3416" s="2" t="s">
        <v>66</v>
      </c>
      <c r="H3416" s="2" t="s">
        <v>23</v>
      </c>
      <c r="I3416" s="6" t="s">
        <v>2954</v>
      </c>
      <c r="J3416" s="2" t="str">
        <f t="shared" si="53"/>
        <v>2020-04</v>
      </c>
    </row>
    <row r="3417" spans="1:10" x14ac:dyDescent="0.2">
      <c r="A3417" s="2" t="s">
        <v>2761</v>
      </c>
      <c r="B3417" s="2" t="s">
        <v>217</v>
      </c>
      <c r="C3417" s="2" t="s">
        <v>44</v>
      </c>
      <c r="D3417" s="2" t="s">
        <v>2954</v>
      </c>
      <c r="E3417" s="5">
        <v>43929</v>
      </c>
      <c r="F3417" s="2">
        <v>134</v>
      </c>
      <c r="G3417" s="2" t="s">
        <v>66</v>
      </c>
      <c r="H3417" s="2" t="s">
        <v>217</v>
      </c>
      <c r="I3417" s="6">
        <v>0.1</v>
      </c>
      <c r="J3417" s="2" t="str">
        <f t="shared" si="53"/>
        <v>2020-04</v>
      </c>
    </row>
    <row r="3418" spans="1:10" x14ac:dyDescent="0.2">
      <c r="A3418" s="2" t="s">
        <v>2789</v>
      </c>
      <c r="B3418" s="2" t="s">
        <v>25</v>
      </c>
      <c r="C3418" s="2" t="s">
        <v>16</v>
      </c>
      <c r="D3418" s="2" t="s">
        <v>2954</v>
      </c>
      <c r="E3418" s="5">
        <v>43929</v>
      </c>
      <c r="F3418" s="2">
        <v>35</v>
      </c>
      <c r="G3418" s="2" t="s">
        <v>41</v>
      </c>
      <c r="H3418" s="2" t="s">
        <v>23</v>
      </c>
      <c r="I3418" s="6" t="s">
        <v>2954</v>
      </c>
      <c r="J3418" s="2" t="str">
        <f t="shared" si="53"/>
        <v>2020-04</v>
      </c>
    </row>
    <row r="3419" spans="1:10" x14ac:dyDescent="0.2">
      <c r="A3419" s="2" t="s">
        <v>2790</v>
      </c>
      <c r="B3419" s="2" t="s">
        <v>203</v>
      </c>
      <c r="C3419" s="2" t="s">
        <v>16</v>
      </c>
      <c r="D3419" s="2" t="s">
        <v>2954</v>
      </c>
      <c r="E3419" s="5">
        <v>43929</v>
      </c>
      <c r="F3419" s="2">
        <v>1</v>
      </c>
      <c r="G3419" s="2" t="s">
        <v>12</v>
      </c>
      <c r="H3419" s="2" t="s">
        <v>204</v>
      </c>
      <c r="I3419" s="6" t="s">
        <v>2954</v>
      </c>
      <c r="J3419" s="2" t="str">
        <f t="shared" si="53"/>
        <v>2020-04</v>
      </c>
    </row>
    <row r="3420" spans="1:10" x14ac:dyDescent="0.2">
      <c r="A3420" s="2" t="s">
        <v>2791</v>
      </c>
      <c r="B3420" s="2" t="s">
        <v>25</v>
      </c>
      <c r="C3420" s="2" t="s">
        <v>142</v>
      </c>
      <c r="D3420" s="2" t="s">
        <v>2954</v>
      </c>
      <c r="E3420" s="5">
        <v>43929</v>
      </c>
      <c r="F3420" s="2">
        <v>140</v>
      </c>
      <c r="G3420" s="2" t="s">
        <v>75</v>
      </c>
      <c r="H3420" s="2" t="s">
        <v>23</v>
      </c>
      <c r="I3420" s="6">
        <v>0.2</v>
      </c>
      <c r="J3420" s="2" t="str">
        <f t="shared" si="53"/>
        <v>2020-04</v>
      </c>
    </row>
    <row r="3421" spans="1:10" x14ac:dyDescent="0.2">
      <c r="A3421" s="2" t="s">
        <v>288</v>
      </c>
      <c r="B3421" s="2" t="s">
        <v>89</v>
      </c>
      <c r="C3421" s="2" t="s">
        <v>11</v>
      </c>
      <c r="D3421" s="2">
        <v>1300</v>
      </c>
      <c r="E3421" s="5">
        <v>43928</v>
      </c>
      <c r="F3421" s="2">
        <v>902</v>
      </c>
      <c r="G3421" s="2" t="s">
        <v>62</v>
      </c>
      <c r="H3421" s="2" t="s">
        <v>23</v>
      </c>
      <c r="I3421" s="6">
        <v>0.5</v>
      </c>
      <c r="J3421" s="2" t="str">
        <f t="shared" si="53"/>
        <v>2020-04</v>
      </c>
    </row>
    <row r="3422" spans="1:10" x14ac:dyDescent="0.2">
      <c r="A3422" s="2" t="s">
        <v>2792</v>
      </c>
      <c r="B3422" s="2" t="s">
        <v>89</v>
      </c>
      <c r="C3422" s="2" t="s">
        <v>11</v>
      </c>
      <c r="D3422" s="2">
        <v>400</v>
      </c>
      <c r="E3422" s="5">
        <v>43928</v>
      </c>
      <c r="F3422" s="2">
        <v>319</v>
      </c>
      <c r="G3422" s="2" t="s">
        <v>75</v>
      </c>
      <c r="H3422" s="2" t="s">
        <v>23</v>
      </c>
      <c r="I3422" s="6">
        <v>0.44</v>
      </c>
      <c r="J3422" s="2" t="str">
        <f t="shared" si="53"/>
        <v>2020-04</v>
      </c>
    </row>
    <row r="3423" spans="1:10" x14ac:dyDescent="0.2">
      <c r="A3423" s="2" t="s">
        <v>2793</v>
      </c>
      <c r="B3423" s="2" t="s">
        <v>89</v>
      </c>
      <c r="C3423" s="2" t="s">
        <v>32</v>
      </c>
      <c r="D3423" s="2">
        <v>340</v>
      </c>
      <c r="E3423" s="5">
        <v>43928</v>
      </c>
      <c r="F3423" s="2">
        <v>438</v>
      </c>
      <c r="G3423" s="2" t="s">
        <v>17</v>
      </c>
      <c r="H3423" s="2" t="s">
        <v>23</v>
      </c>
      <c r="I3423" s="6">
        <v>0.53</v>
      </c>
      <c r="J3423" s="2" t="str">
        <f t="shared" si="53"/>
        <v>2020-04</v>
      </c>
    </row>
    <row r="3424" spans="1:10" x14ac:dyDescent="0.2">
      <c r="A3424" s="2" t="s">
        <v>1191</v>
      </c>
      <c r="B3424" s="2" t="s">
        <v>28</v>
      </c>
      <c r="C3424" s="2" t="s">
        <v>148</v>
      </c>
      <c r="D3424" s="2">
        <v>236</v>
      </c>
      <c r="E3424" s="5">
        <v>43928</v>
      </c>
      <c r="F3424" s="2">
        <v>319</v>
      </c>
      <c r="G3424" s="2" t="s">
        <v>17</v>
      </c>
      <c r="H3424" s="2" t="s">
        <v>23</v>
      </c>
      <c r="I3424" s="6">
        <v>7.0000000000000007E-2</v>
      </c>
      <c r="J3424" s="2" t="str">
        <f t="shared" si="53"/>
        <v>2020-04</v>
      </c>
    </row>
    <row r="3425" spans="1:10" x14ac:dyDescent="0.2">
      <c r="A3425" s="2" t="s">
        <v>2794</v>
      </c>
      <c r="B3425" s="2" t="s">
        <v>34</v>
      </c>
      <c r="C3425" s="2" t="s">
        <v>26</v>
      </c>
      <c r="D3425" s="2">
        <v>100</v>
      </c>
      <c r="E3425" s="5">
        <v>43928</v>
      </c>
      <c r="F3425" s="2">
        <v>367</v>
      </c>
      <c r="G3425" s="2" t="s">
        <v>128</v>
      </c>
      <c r="H3425" s="2" t="s">
        <v>23</v>
      </c>
      <c r="I3425" s="6">
        <v>0.2</v>
      </c>
      <c r="J3425" s="2" t="str">
        <f t="shared" si="53"/>
        <v>2020-04</v>
      </c>
    </row>
    <row r="3426" spans="1:10" x14ac:dyDescent="0.2">
      <c r="A3426" s="2" t="s">
        <v>2795</v>
      </c>
      <c r="B3426" s="2" t="s">
        <v>34</v>
      </c>
      <c r="C3426" s="2" t="s">
        <v>16</v>
      </c>
      <c r="D3426" s="2">
        <v>94</v>
      </c>
      <c r="E3426" s="5">
        <v>43928</v>
      </c>
      <c r="F3426" s="2" t="s">
        <v>2954</v>
      </c>
      <c r="G3426" s="2" t="s">
        <v>12</v>
      </c>
      <c r="H3426" s="2" t="s">
        <v>23</v>
      </c>
      <c r="I3426" s="6" t="s">
        <v>2954</v>
      </c>
      <c r="J3426" s="2" t="str">
        <f t="shared" si="53"/>
        <v>2020-04</v>
      </c>
    </row>
    <row r="3427" spans="1:10" x14ac:dyDescent="0.2">
      <c r="A3427" s="2" t="s">
        <v>2796</v>
      </c>
      <c r="B3427" s="2" t="s">
        <v>60</v>
      </c>
      <c r="C3427" s="2" t="s">
        <v>142</v>
      </c>
      <c r="D3427" s="2">
        <v>87</v>
      </c>
      <c r="E3427" s="5">
        <v>43928</v>
      </c>
      <c r="F3427" s="2">
        <v>85</v>
      </c>
      <c r="G3427" s="2" t="s">
        <v>75</v>
      </c>
      <c r="H3427" s="2" t="s">
        <v>23</v>
      </c>
      <c r="I3427" s="6">
        <v>0.15</v>
      </c>
      <c r="J3427" s="2" t="str">
        <f t="shared" si="53"/>
        <v>2020-04</v>
      </c>
    </row>
    <row r="3428" spans="1:10" x14ac:dyDescent="0.2">
      <c r="A3428" s="2" t="s">
        <v>2797</v>
      </c>
      <c r="B3428" s="2" t="s">
        <v>34</v>
      </c>
      <c r="C3428" s="2" t="s">
        <v>32</v>
      </c>
      <c r="D3428" s="2">
        <v>65</v>
      </c>
      <c r="E3428" s="5">
        <v>43928</v>
      </c>
      <c r="F3428" s="2">
        <v>175</v>
      </c>
      <c r="G3428" s="2" t="s">
        <v>66</v>
      </c>
      <c r="H3428" s="2" t="s">
        <v>23</v>
      </c>
      <c r="I3428" s="6" t="s">
        <v>2954</v>
      </c>
      <c r="J3428" s="2" t="str">
        <f t="shared" si="53"/>
        <v>2020-04</v>
      </c>
    </row>
    <row r="3429" spans="1:10" x14ac:dyDescent="0.2">
      <c r="A3429" s="2" t="s">
        <v>298</v>
      </c>
      <c r="B3429" s="2" t="s">
        <v>25</v>
      </c>
      <c r="C3429" s="2" t="s">
        <v>142</v>
      </c>
      <c r="D3429" s="2">
        <v>60</v>
      </c>
      <c r="E3429" s="5">
        <v>43928</v>
      </c>
      <c r="F3429" s="2">
        <v>181</v>
      </c>
      <c r="G3429" s="2" t="s">
        <v>75</v>
      </c>
      <c r="H3429" s="2" t="s">
        <v>23</v>
      </c>
      <c r="I3429" s="6">
        <v>0.1</v>
      </c>
      <c r="J3429" s="2" t="str">
        <f t="shared" si="53"/>
        <v>2020-04</v>
      </c>
    </row>
    <row r="3430" spans="1:10" x14ac:dyDescent="0.2">
      <c r="A3430" s="2" t="s">
        <v>945</v>
      </c>
      <c r="B3430" s="2" t="s">
        <v>25</v>
      </c>
      <c r="C3430" s="2" t="s">
        <v>26</v>
      </c>
      <c r="D3430" s="2">
        <v>53</v>
      </c>
      <c r="E3430" s="5">
        <v>43928</v>
      </c>
      <c r="F3430" s="2">
        <v>607</v>
      </c>
      <c r="G3430" s="2" t="s">
        <v>199</v>
      </c>
      <c r="H3430" s="2" t="s">
        <v>23</v>
      </c>
      <c r="I3430" s="6">
        <v>0.08</v>
      </c>
      <c r="J3430" s="2" t="str">
        <f t="shared" si="53"/>
        <v>2020-04</v>
      </c>
    </row>
    <row r="3431" spans="1:10" x14ac:dyDescent="0.2">
      <c r="A3431" s="2" t="s">
        <v>2798</v>
      </c>
      <c r="B3431" s="2" t="s">
        <v>25</v>
      </c>
      <c r="C3431" s="2" t="s">
        <v>235</v>
      </c>
      <c r="D3431" s="2">
        <v>50</v>
      </c>
      <c r="E3431" s="5">
        <v>43928</v>
      </c>
      <c r="F3431" s="2">
        <v>190</v>
      </c>
      <c r="G3431" s="2" t="s">
        <v>12</v>
      </c>
      <c r="H3431" s="2" t="s">
        <v>23</v>
      </c>
      <c r="I3431" s="6">
        <v>7.0000000000000007E-2</v>
      </c>
      <c r="J3431" s="2" t="str">
        <f t="shared" si="53"/>
        <v>2020-04</v>
      </c>
    </row>
    <row r="3432" spans="1:10" x14ac:dyDescent="0.2">
      <c r="A3432" s="2" t="s">
        <v>2799</v>
      </c>
      <c r="B3432" s="2" t="s">
        <v>89</v>
      </c>
      <c r="C3432" s="2" t="s">
        <v>68</v>
      </c>
      <c r="D3432" s="2">
        <v>46</v>
      </c>
      <c r="E3432" s="5">
        <v>43928</v>
      </c>
      <c r="F3432" s="2" t="s">
        <v>2954</v>
      </c>
      <c r="G3432" s="2" t="s">
        <v>12</v>
      </c>
      <c r="H3432" s="2" t="s">
        <v>23</v>
      </c>
      <c r="I3432" s="6" t="s">
        <v>2954</v>
      </c>
      <c r="J3432" s="2" t="str">
        <f t="shared" si="53"/>
        <v>2020-04</v>
      </c>
    </row>
    <row r="3433" spans="1:10" x14ac:dyDescent="0.2">
      <c r="A3433" s="2" t="s">
        <v>2800</v>
      </c>
      <c r="B3433" s="2" t="s">
        <v>147</v>
      </c>
      <c r="C3433" s="2" t="s">
        <v>16</v>
      </c>
      <c r="D3433" s="2">
        <v>30</v>
      </c>
      <c r="E3433" s="5">
        <v>43928</v>
      </c>
      <c r="F3433" s="2">
        <v>99</v>
      </c>
      <c r="G3433" s="2" t="s">
        <v>66</v>
      </c>
      <c r="H3433" s="2" t="s">
        <v>23</v>
      </c>
      <c r="I3433" s="6" t="s">
        <v>2954</v>
      </c>
      <c r="J3433" s="2" t="str">
        <f t="shared" si="53"/>
        <v>2020-04</v>
      </c>
    </row>
    <row r="3434" spans="1:10" x14ac:dyDescent="0.2">
      <c r="A3434" s="2" t="s">
        <v>2801</v>
      </c>
      <c r="B3434" s="2" t="s">
        <v>43</v>
      </c>
      <c r="C3434" s="2" t="s">
        <v>113</v>
      </c>
      <c r="D3434" s="2" t="s">
        <v>2954</v>
      </c>
      <c r="E3434" s="5">
        <v>43928</v>
      </c>
      <c r="F3434" s="2">
        <v>15</v>
      </c>
      <c r="G3434" s="2" t="s">
        <v>41</v>
      </c>
      <c r="H3434" s="2" t="s">
        <v>23</v>
      </c>
      <c r="I3434" s="6" t="s">
        <v>2954</v>
      </c>
      <c r="J3434" s="2" t="str">
        <f t="shared" si="53"/>
        <v>2020-04</v>
      </c>
    </row>
    <row r="3435" spans="1:10" x14ac:dyDescent="0.2">
      <c r="A3435" s="2" t="s">
        <v>2802</v>
      </c>
      <c r="B3435" s="2" t="s">
        <v>147</v>
      </c>
      <c r="C3435" s="2" t="s">
        <v>26</v>
      </c>
      <c r="D3435" s="2" t="s">
        <v>2954</v>
      </c>
      <c r="E3435" s="5">
        <v>43928</v>
      </c>
      <c r="F3435" s="2">
        <v>41</v>
      </c>
      <c r="G3435" s="2" t="s">
        <v>199</v>
      </c>
      <c r="H3435" s="2" t="s">
        <v>23</v>
      </c>
      <c r="I3435" s="6" t="s">
        <v>2954</v>
      </c>
      <c r="J3435" s="2" t="str">
        <f t="shared" si="53"/>
        <v>2020-04</v>
      </c>
    </row>
    <row r="3436" spans="1:10" x14ac:dyDescent="0.2">
      <c r="A3436" s="2" t="s">
        <v>2183</v>
      </c>
      <c r="B3436" s="2" t="s">
        <v>34</v>
      </c>
      <c r="C3436" s="2" t="s">
        <v>16</v>
      </c>
      <c r="D3436" s="2">
        <v>100</v>
      </c>
      <c r="E3436" s="5">
        <v>43927</v>
      </c>
      <c r="F3436" s="2">
        <v>293</v>
      </c>
      <c r="G3436" s="2" t="s">
        <v>128</v>
      </c>
      <c r="H3436" s="2" t="s">
        <v>23</v>
      </c>
      <c r="I3436" s="6">
        <v>0.33</v>
      </c>
      <c r="J3436" s="2" t="str">
        <f t="shared" si="53"/>
        <v>2020-04</v>
      </c>
    </row>
    <row r="3437" spans="1:10" x14ac:dyDescent="0.2">
      <c r="A3437" s="2" t="s">
        <v>1618</v>
      </c>
      <c r="B3437" s="2" t="s">
        <v>742</v>
      </c>
      <c r="C3437" s="2" t="s">
        <v>26</v>
      </c>
      <c r="D3437" s="2">
        <v>100</v>
      </c>
      <c r="E3437" s="5">
        <v>43927</v>
      </c>
      <c r="F3437" s="2">
        <v>0.7</v>
      </c>
      <c r="G3437" s="2" t="s">
        <v>41</v>
      </c>
      <c r="H3437" s="2" t="s">
        <v>662</v>
      </c>
      <c r="I3437" s="6">
        <v>0.2</v>
      </c>
      <c r="J3437" s="2" t="str">
        <f t="shared" si="53"/>
        <v>2020-04</v>
      </c>
    </row>
    <row r="3438" spans="1:10" x14ac:dyDescent="0.2">
      <c r="A3438" s="2" t="s">
        <v>2803</v>
      </c>
      <c r="B3438" s="2" t="s">
        <v>25</v>
      </c>
      <c r="C3438" s="2" t="s">
        <v>26</v>
      </c>
      <c r="D3438" s="2">
        <v>77</v>
      </c>
      <c r="E3438" s="5">
        <v>43927</v>
      </c>
      <c r="F3438" s="2">
        <v>75</v>
      </c>
      <c r="G3438" s="2" t="s">
        <v>37</v>
      </c>
      <c r="H3438" s="2" t="s">
        <v>23</v>
      </c>
      <c r="I3438" s="6">
        <v>0.2</v>
      </c>
      <c r="J3438" s="2" t="str">
        <f t="shared" si="53"/>
        <v>2020-04</v>
      </c>
    </row>
    <row r="3439" spans="1:10" x14ac:dyDescent="0.2">
      <c r="A3439" s="2" t="s">
        <v>1424</v>
      </c>
      <c r="B3439" s="2" t="s">
        <v>661</v>
      </c>
      <c r="C3439" s="2" t="s">
        <v>16</v>
      </c>
      <c r="D3439" s="2">
        <v>60</v>
      </c>
      <c r="E3439" s="5">
        <v>43927</v>
      </c>
      <c r="F3439" s="2" t="s">
        <v>2954</v>
      </c>
      <c r="G3439" s="2" t="s">
        <v>12</v>
      </c>
      <c r="H3439" s="2" t="s">
        <v>662</v>
      </c>
      <c r="I3439" s="6">
        <v>0.06</v>
      </c>
      <c r="J3439" s="2" t="str">
        <f t="shared" si="53"/>
        <v>2020-04</v>
      </c>
    </row>
    <row r="3440" spans="1:10" x14ac:dyDescent="0.2">
      <c r="A3440" s="2" t="s">
        <v>2804</v>
      </c>
      <c r="B3440" s="2" t="s">
        <v>89</v>
      </c>
      <c r="C3440" s="2" t="s">
        <v>26</v>
      </c>
      <c r="D3440" s="2">
        <v>26</v>
      </c>
      <c r="E3440" s="5">
        <v>43927</v>
      </c>
      <c r="F3440" s="2">
        <v>28</v>
      </c>
      <c r="G3440" s="2" t="s">
        <v>45</v>
      </c>
      <c r="H3440" s="2" t="s">
        <v>23</v>
      </c>
      <c r="I3440" s="6">
        <v>0.1</v>
      </c>
      <c r="J3440" s="2" t="str">
        <f t="shared" si="53"/>
        <v>2020-04</v>
      </c>
    </row>
    <row r="3441" spans="1:10" x14ac:dyDescent="0.2">
      <c r="A3441" s="2" t="s">
        <v>1131</v>
      </c>
      <c r="B3441" s="2" t="s">
        <v>89</v>
      </c>
      <c r="C3441" s="2" t="s">
        <v>113</v>
      </c>
      <c r="D3441" s="2">
        <v>24</v>
      </c>
      <c r="E3441" s="5">
        <v>43927</v>
      </c>
      <c r="F3441" s="2">
        <v>92</v>
      </c>
      <c r="G3441" s="2" t="s">
        <v>66</v>
      </c>
      <c r="H3441" s="2" t="s">
        <v>23</v>
      </c>
      <c r="I3441" s="6">
        <v>0.14000000000000001</v>
      </c>
      <c r="J3441" s="2" t="str">
        <f t="shared" si="53"/>
        <v>2020-04</v>
      </c>
    </row>
    <row r="3442" spans="1:10" x14ac:dyDescent="0.2">
      <c r="A3442" s="2" t="s">
        <v>2805</v>
      </c>
      <c r="B3442" s="2" t="s">
        <v>188</v>
      </c>
      <c r="C3442" s="2" t="s">
        <v>52</v>
      </c>
      <c r="D3442" s="2">
        <v>23</v>
      </c>
      <c r="E3442" s="5">
        <v>43927</v>
      </c>
      <c r="F3442" s="2">
        <v>21</v>
      </c>
      <c r="G3442" s="2" t="s">
        <v>37</v>
      </c>
      <c r="H3442" s="2" t="s">
        <v>106</v>
      </c>
      <c r="I3442" s="6">
        <v>0.32</v>
      </c>
      <c r="J3442" s="2" t="str">
        <f t="shared" si="53"/>
        <v>2020-04</v>
      </c>
    </row>
    <row r="3443" spans="1:10" x14ac:dyDescent="0.2">
      <c r="A3443" s="2" t="s">
        <v>2806</v>
      </c>
      <c r="B3443" s="2" t="s">
        <v>335</v>
      </c>
      <c r="C3443" s="2" t="s">
        <v>16</v>
      </c>
      <c r="D3443" s="2">
        <v>15</v>
      </c>
      <c r="E3443" s="5">
        <v>43927</v>
      </c>
      <c r="F3443" s="2">
        <v>72</v>
      </c>
      <c r="G3443" s="2" t="s">
        <v>37</v>
      </c>
      <c r="H3443" s="2" t="s">
        <v>106</v>
      </c>
      <c r="I3443" s="6">
        <v>0.2</v>
      </c>
      <c r="J3443" s="2" t="str">
        <f t="shared" si="53"/>
        <v>2020-04</v>
      </c>
    </row>
    <row r="3444" spans="1:10" x14ac:dyDescent="0.2">
      <c r="A3444" s="2" t="s">
        <v>2807</v>
      </c>
      <c r="B3444" s="2" t="s">
        <v>314</v>
      </c>
      <c r="C3444" s="2" t="s">
        <v>68</v>
      </c>
      <c r="D3444" s="2">
        <v>10</v>
      </c>
      <c r="E3444" s="5">
        <v>43927</v>
      </c>
      <c r="F3444" s="2">
        <v>50</v>
      </c>
      <c r="G3444" s="2" t="s">
        <v>199</v>
      </c>
      <c r="H3444" s="2" t="s">
        <v>23</v>
      </c>
      <c r="I3444" s="6">
        <v>0.1</v>
      </c>
      <c r="J3444" s="2" t="str">
        <f t="shared" si="53"/>
        <v>2020-04</v>
      </c>
    </row>
    <row r="3445" spans="1:10" x14ac:dyDescent="0.2">
      <c r="A3445" s="2" t="s">
        <v>2808</v>
      </c>
      <c r="B3445" s="2" t="s">
        <v>2809</v>
      </c>
      <c r="C3445" s="2" t="s">
        <v>22</v>
      </c>
      <c r="D3445" s="2" t="s">
        <v>2954</v>
      </c>
      <c r="E3445" s="5">
        <v>43927</v>
      </c>
      <c r="F3445" s="2">
        <v>25</v>
      </c>
      <c r="G3445" s="2" t="s">
        <v>17</v>
      </c>
      <c r="H3445" s="2" t="s">
        <v>106</v>
      </c>
      <c r="I3445" s="6" t="s">
        <v>2954</v>
      </c>
      <c r="J3445" s="2" t="str">
        <f t="shared" si="53"/>
        <v>2020-04</v>
      </c>
    </row>
    <row r="3446" spans="1:10" x14ac:dyDescent="0.2">
      <c r="A3446" s="2" t="s">
        <v>679</v>
      </c>
      <c r="B3446" s="2" t="s">
        <v>89</v>
      </c>
      <c r="C3446" s="2" t="s">
        <v>44</v>
      </c>
      <c r="D3446" s="2" t="s">
        <v>2954</v>
      </c>
      <c r="E3446" s="5">
        <v>43927</v>
      </c>
      <c r="F3446" s="2">
        <v>183</v>
      </c>
      <c r="G3446" s="2" t="s">
        <v>75</v>
      </c>
      <c r="H3446" s="2" t="s">
        <v>23</v>
      </c>
      <c r="I3446" s="6" t="s">
        <v>2954</v>
      </c>
      <c r="J3446" s="2" t="str">
        <f t="shared" si="53"/>
        <v>2020-04</v>
      </c>
    </row>
    <row r="3447" spans="1:10" x14ac:dyDescent="0.2">
      <c r="A3447" s="2" t="s">
        <v>1613</v>
      </c>
      <c r="B3447" s="2" t="s">
        <v>401</v>
      </c>
      <c r="C3447" s="2" t="s">
        <v>243</v>
      </c>
      <c r="D3447" s="2" t="s">
        <v>2954</v>
      </c>
      <c r="E3447" s="5">
        <v>43927</v>
      </c>
      <c r="F3447" s="2">
        <v>227</v>
      </c>
      <c r="G3447" s="2" t="s">
        <v>66</v>
      </c>
      <c r="H3447" s="2" t="s">
        <v>23</v>
      </c>
      <c r="I3447" s="6" t="s">
        <v>2954</v>
      </c>
      <c r="J3447" s="2" t="str">
        <f t="shared" si="53"/>
        <v>2020-04</v>
      </c>
    </row>
    <row r="3448" spans="1:10" x14ac:dyDescent="0.2">
      <c r="A3448" s="2" t="s">
        <v>828</v>
      </c>
      <c r="B3448" s="2" t="s">
        <v>34</v>
      </c>
      <c r="C3448" s="2" t="s">
        <v>135</v>
      </c>
      <c r="D3448" s="2">
        <v>40</v>
      </c>
      <c r="E3448" s="5">
        <v>43926</v>
      </c>
      <c r="F3448" s="2">
        <v>100</v>
      </c>
      <c r="G3448" s="2" t="s">
        <v>12</v>
      </c>
      <c r="H3448" s="2" t="s">
        <v>23</v>
      </c>
      <c r="I3448" s="6">
        <v>0.25</v>
      </c>
      <c r="J3448" s="2" t="str">
        <f t="shared" si="53"/>
        <v>2020-04</v>
      </c>
    </row>
    <row r="3449" spans="1:10" x14ac:dyDescent="0.2">
      <c r="A3449" s="2" t="s">
        <v>2810</v>
      </c>
      <c r="B3449" s="2" t="s">
        <v>2014</v>
      </c>
      <c r="C3449" s="2" t="s">
        <v>35</v>
      </c>
      <c r="D3449" s="2">
        <v>50</v>
      </c>
      <c r="E3449" s="5">
        <v>43925</v>
      </c>
      <c r="F3449" s="2">
        <v>348</v>
      </c>
      <c r="G3449" s="2" t="s">
        <v>12</v>
      </c>
      <c r="H3449" s="2" t="s">
        <v>2015</v>
      </c>
      <c r="I3449" s="6">
        <v>0.12</v>
      </c>
      <c r="J3449" s="2" t="str">
        <f t="shared" si="53"/>
        <v>2020-04</v>
      </c>
    </row>
    <row r="3450" spans="1:10" x14ac:dyDescent="0.2">
      <c r="A3450" s="2" t="s">
        <v>2811</v>
      </c>
      <c r="B3450" s="2" t="s">
        <v>661</v>
      </c>
      <c r="C3450" s="2" t="s">
        <v>117</v>
      </c>
      <c r="D3450" s="2">
        <v>467</v>
      </c>
      <c r="E3450" s="5">
        <v>43924</v>
      </c>
      <c r="F3450" s="2">
        <v>300</v>
      </c>
      <c r="G3450" s="2" t="s">
        <v>75</v>
      </c>
      <c r="H3450" s="2" t="s">
        <v>662</v>
      </c>
      <c r="I3450" s="6">
        <v>0.33</v>
      </c>
      <c r="J3450" s="2" t="str">
        <f t="shared" si="53"/>
        <v>2020-04</v>
      </c>
    </row>
    <row r="3451" spans="1:10" x14ac:dyDescent="0.2">
      <c r="A3451" s="2" t="s">
        <v>510</v>
      </c>
      <c r="B3451" s="2" t="s">
        <v>34</v>
      </c>
      <c r="C3451" s="2" t="s">
        <v>26</v>
      </c>
      <c r="D3451" s="2">
        <v>300</v>
      </c>
      <c r="E3451" s="5">
        <v>43924</v>
      </c>
      <c r="F3451" s="2">
        <v>162</v>
      </c>
      <c r="G3451" s="2" t="s">
        <v>75</v>
      </c>
      <c r="H3451" s="2" t="s">
        <v>23</v>
      </c>
      <c r="I3451" s="6">
        <v>0.5</v>
      </c>
      <c r="J3451" s="2" t="str">
        <f t="shared" si="53"/>
        <v>2020-04</v>
      </c>
    </row>
    <row r="3452" spans="1:10" x14ac:dyDescent="0.2">
      <c r="A3452" s="2" t="s">
        <v>741</v>
      </c>
      <c r="B3452" s="2" t="s">
        <v>742</v>
      </c>
      <c r="C3452" s="2" t="s">
        <v>44</v>
      </c>
      <c r="D3452" s="2">
        <v>167</v>
      </c>
      <c r="E3452" s="5">
        <v>43924</v>
      </c>
      <c r="F3452" s="2" t="s">
        <v>2954</v>
      </c>
      <c r="G3452" s="2" t="s">
        <v>12</v>
      </c>
      <c r="H3452" s="2" t="s">
        <v>662</v>
      </c>
      <c r="I3452" s="6">
        <v>0.42</v>
      </c>
      <c r="J3452" s="2" t="str">
        <f t="shared" si="53"/>
        <v>2020-04</v>
      </c>
    </row>
    <row r="3453" spans="1:10" x14ac:dyDescent="0.2">
      <c r="A3453" s="2" t="s">
        <v>2812</v>
      </c>
      <c r="B3453" s="2" t="s">
        <v>34</v>
      </c>
      <c r="C3453" s="2" t="s">
        <v>142</v>
      </c>
      <c r="D3453" s="2">
        <v>147</v>
      </c>
      <c r="E3453" s="5">
        <v>43924</v>
      </c>
      <c r="F3453" s="2">
        <v>297</v>
      </c>
      <c r="G3453" s="2" t="s">
        <v>128</v>
      </c>
      <c r="H3453" s="2" t="s">
        <v>23</v>
      </c>
      <c r="I3453" s="6">
        <v>0.37</v>
      </c>
      <c r="J3453" s="2" t="str">
        <f t="shared" si="53"/>
        <v>2020-04</v>
      </c>
    </row>
    <row r="3454" spans="1:10" x14ac:dyDescent="0.2">
      <c r="A3454" s="2" t="s">
        <v>1333</v>
      </c>
      <c r="B3454" s="2" t="s">
        <v>34</v>
      </c>
      <c r="C3454" s="2" t="s">
        <v>52</v>
      </c>
      <c r="D3454" s="2">
        <v>140</v>
      </c>
      <c r="E3454" s="5">
        <v>43924</v>
      </c>
      <c r="F3454" s="2">
        <v>225</v>
      </c>
      <c r="G3454" s="2" t="s">
        <v>12</v>
      </c>
      <c r="H3454" s="2" t="s">
        <v>23</v>
      </c>
      <c r="I3454" s="6" t="s">
        <v>2954</v>
      </c>
      <c r="J3454" s="2" t="str">
        <f t="shared" si="53"/>
        <v>2020-04</v>
      </c>
    </row>
    <row r="3455" spans="1:10" x14ac:dyDescent="0.2">
      <c r="A3455" s="2" t="s">
        <v>2762</v>
      </c>
      <c r="B3455" s="2" t="s">
        <v>34</v>
      </c>
      <c r="C3455" s="2" t="s">
        <v>52</v>
      </c>
      <c r="D3455" s="2">
        <v>120</v>
      </c>
      <c r="E3455" s="5">
        <v>43924</v>
      </c>
      <c r="F3455" s="2">
        <v>955</v>
      </c>
      <c r="G3455" s="2" t="s">
        <v>37</v>
      </c>
      <c r="H3455" s="2" t="s">
        <v>23</v>
      </c>
      <c r="I3455" s="6" t="s">
        <v>2954</v>
      </c>
      <c r="J3455" s="2" t="str">
        <f t="shared" si="53"/>
        <v>2020-04</v>
      </c>
    </row>
    <row r="3456" spans="1:10" x14ac:dyDescent="0.2">
      <c r="A3456" s="2" t="s">
        <v>2813</v>
      </c>
      <c r="B3456" s="2" t="s">
        <v>398</v>
      </c>
      <c r="C3456" s="2" t="s">
        <v>44</v>
      </c>
      <c r="D3456" s="2">
        <v>100</v>
      </c>
      <c r="E3456" s="5">
        <v>43924</v>
      </c>
      <c r="F3456" s="2" t="s">
        <v>2954</v>
      </c>
      <c r="G3456" s="2" t="s">
        <v>12</v>
      </c>
      <c r="H3456" s="2" t="s">
        <v>399</v>
      </c>
      <c r="I3456" s="6">
        <v>0.1</v>
      </c>
      <c r="J3456" s="2" t="str">
        <f t="shared" si="53"/>
        <v>2020-04</v>
      </c>
    </row>
    <row r="3457" spans="1:10" x14ac:dyDescent="0.2">
      <c r="A3457" s="2" t="s">
        <v>2814</v>
      </c>
      <c r="B3457" s="2" t="s">
        <v>86</v>
      </c>
      <c r="C3457" s="2" t="s">
        <v>170</v>
      </c>
      <c r="D3457" s="2">
        <v>75</v>
      </c>
      <c r="E3457" s="5">
        <v>43924</v>
      </c>
      <c r="F3457" s="2">
        <v>35</v>
      </c>
      <c r="G3457" s="2" t="s">
        <v>37</v>
      </c>
      <c r="H3457" s="2" t="s">
        <v>23</v>
      </c>
      <c r="I3457" s="6">
        <v>7.0000000000000007E-2</v>
      </c>
      <c r="J3457" s="2" t="str">
        <f t="shared" si="53"/>
        <v>2020-04</v>
      </c>
    </row>
    <row r="3458" spans="1:10" x14ac:dyDescent="0.2">
      <c r="A3458" s="2" t="s">
        <v>617</v>
      </c>
      <c r="B3458" s="2" t="s">
        <v>89</v>
      </c>
      <c r="C3458" s="2" t="s">
        <v>142</v>
      </c>
      <c r="D3458" s="2">
        <v>60</v>
      </c>
      <c r="E3458" s="5">
        <v>43924</v>
      </c>
      <c r="F3458" s="2">
        <v>97</v>
      </c>
      <c r="G3458" s="2" t="s">
        <v>75</v>
      </c>
      <c r="H3458" s="2" t="s">
        <v>23</v>
      </c>
      <c r="I3458" s="6">
        <v>0.13</v>
      </c>
      <c r="J3458" s="2" t="str">
        <f t="shared" si="53"/>
        <v>2020-04</v>
      </c>
    </row>
    <row r="3459" spans="1:10" x14ac:dyDescent="0.2">
      <c r="A3459" s="2" t="s">
        <v>2815</v>
      </c>
      <c r="B3459" s="2" t="s">
        <v>25</v>
      </c>
      <c r="C3459" s="2" t="s">
        <v>16</v>
      </c>
      <c r="D3459" s="2">
        <v>35</v>
      </c>
      <c r="E3459" s="5">
        <v>43924</v>
      </c>
      <c r="F3459" s="2">
        <v>40</v>
      </c>
      <c r="G3459" s="2" t="s">
        <v>37</v>
      </c>
      <c r="H3459" s="2" t="s">
        <v>23</v>
      </c>
      <c r="I3459" s="6">
        <v>0.4</v>
      </c>
      <c r="J3459" s="2" t="str">
        <f t="shared" ref="J3459:J3522" si="54">TEXT(E3459,"YYYY-MM")</f>
        <v>2020-04</v>
      </c>
    </row>
    <row r="3460" spans="1:10" x14ac:dyDescent="0.2">
      <c r="A3460" s="2" t="s">
        <v>518</v>
      </c>
      <c r="B3460" s="2" t="s">
        <v>34</v>
      </c>
      <c r="C3460" s="2" t="s">
        <v>48</v>
      </c>
      <c r="D3460" s="2">
        <v>34</v>
      </c>
      <c r="E3460" s="5">
        <v>43924</v>
      </c>
      <c r="F3460" s="2">
        <v>247</v>
      </c>
      <c r="G3460" s="2" t="s">
        <v>75</v>
      </c>
      <c r="H3460" s="2" t="s">
        <v>23</v>
      </c>
      <c r="I3460" s="6">
        <v>0.13</v>
      </c>
      <c r="J3460" s="2" t="str">
        <f t="shared" si="54"/>
        <v>2020-04</v>
      </c>
    </row>
    <row r="3461" spans="1:10" x14ac:dyDescent="0.2">
      <c r="A3461" s="2" t="s">
        <v>1449</v>
      </c>
      <c r="B3461" s="2" t="s">
        <v>25</v>
      </c>
      <c r="C3461" s="2" t="s">
        <v>235</v>
      </c>
      <c r="D3461" s="2">
        <v>24</v>
      </c>
      <c r="E3461" s="5">
        <v>43924</v>
      </c>
      <c r="F3461" s="2">
        <v>80</v>
      </c>
      <c r="G3461" s="2" t="s">
        <v>128</v>
      </c>
      <c r="H3461" s="2" t="s">
        <v>23</v>
      </c>
      <c r="I3461" s="6">
        <v>0.08</v>
      </c>
      <c r="J3461" s="2" t="str">
        <f t="shared" si="54"/>
        <v>2020-04</v>
      </c>
    </row>
    <row r="3462" spans="1:10" x14ac:dyDescent="0.2">
      <c r="A3462" s="2" t="s">
        <v>1449</v>
      </c>
      <c r="B3462" s="2" t="s">
        <v>25</v>
      </c>
      <c r="C3462" s="2" t="s">
        <v>235</v>
      </c>
      <c r="D3462" s="2">
        <v>19</v>
      </c>
      <c r="E3462" s="5">
        <v>43924</v>
      </c>
      <c r="F3462" s="2">
        <v>80</v>
      </c>
      <c r="G3462" s="2" t="s">
        <v>128</v>
      </c>
      <c r="H3462" s="2" t="s">
        <v>23</v>
      </c>
      <c r="I3462" s="6" t="s">
        <v>2954</v>
      </c>
      <c r="J3462" s="2" t="str">
        <f t="shared" si="54"/>
        <v>2020-04</v>
      </c>
    </row>
    <row r="3463" spans="1:10" x14ac:dyDescent="0.2">
      <c r="A3463" s="2" t="s">
        <v>2816</v>
      </c>
      <c r="B3463" s="2" t="s">
        <v>335</v>
      </c>
      <c r="C3463" s="2" t="s">
        <v>32</v>
      </c>
      <c r="D3463" s="2">
        <v>18</v>
      </c>
      <c r="E3463" s="5">
        <v>43924</v>
      </c>
      <c r="F3463" s="2">
        <v>24</v>
      </c>
      <c r="G3463" s="2" t="s">
        <v>41</v>
      </c>
      <c r="H3463" s="2" t="s">
        <v>106</v>
      </c>
      <c r="I3463" s="6">
        <v>0.25</v>
      </c>
      <c r="J3463" s="2" t="str">
        <f t="shared" si="54"/>
        <v>2020-04</v>
      </c>
    </row>
    <row r="3464" spans="1:10" x14ac:dyDescent="0.2">
      <c r="A3464" s="2" t="s">
        <v>2817</v>
      </c>
      <c r="B3464" s="2" t="s">
        <v>47</v>
      </c>
      <c r="C3464" s="2" t="s">
        <v>32</v>
      </c>
      <c r="D3464" s="2">
        <v>17</v>
      </c>
      <c r="E3464" s="5">
        <v>43924</v>
      </c>
      <c r="F3464" s="2">
        <v>14</v>
      </c>
      <c r="G3464" s="2" t="s">
        <v>41</v>
      </c>
      <c r="H3464" s="2" t="s">
        <v>23</v>
      </c>
      <c r="I3464" s="6" t="s">
        <v>2954</v>
      </c>
      <c r="J3464" s="2" t="str">
        <f t="shared" si="54"/>
        <v>2020-04</v>
      </c>
    </row>
    <row r="3465" spans="1:10" x14ac:dyDescent="0.2">
      <c r="A3465" s="2" t="s">
        <v>2818</v>
      </c>
      <c r="B3465" s="2" t="s">
        <v>25</v>
      </c>
      <c r="C3465" s="2" t="s">
        <v>235</v>
      </c>
      <c r="D3465" s="2">
        <v>14</v>
      </c>
      <c r="E3465" s="5">
        <v>43924</v>
      </c>
      <c r="F3465" s="2" t="s">
        <v>2954</v>
      </c>
      <c r="G3465" s="2" t="s">
        <v>12</v>
      </c>
      <c r="H3465" s="2" t="s">
        <v>23</v>
      </c>
      <c r="I3465" s="6">
        <v>0.05</v>
      </c>
      <c r="J3465" s="2" t="str">
        <f t="shared" si="54"/>
        <v>2020-04</v>
      </c>
    </row>
    <row r="3466" spans="1:10" x14ac:dyDescent="0.2">
      <c r="A3466" s="2" t="s">
        <v>2819</v>
      </c>
      <c r="B3466" s="2" t="s">
        <v>147</v>
      </c>
      <c r="C3466" s="2" t="s">
        <v>142</v>
      </c>
      <c r="D3466" s="2">
        <v>12</v>
      </c>
      <c r="E3466" s="5">
        <v>43924</v>
      </c>
      <c r="F3466" s="2">
        <v>4</v>
      </c>
      <c r="G3466" s="2" t="s">
        <v>41</v>
      </c>
      <c r="H3466" s="2" t="s">
        <v>23</v>
      </c>
      <c r="I3466" s="6" t="s">
        <v>2954</v>
      </c>
      <c r="J3466" s="2" t="str">
        <f t="shared" si="54"/>
        <v>2020-04</v>
      </c>
    </row>
    <row r="3467" spans="1:10" x14ac:dyDescent="0.2">
      <c r="A3467" s="2" t="s">
        <v>2820</v>
      </c>
      <c r="B3467" s="2" t="s">
        <v>406</v>
      </c>
      <c r="C3467" s="2" t="s">
        <v>44</v>
      </c>
      <c r="D3467" s="2">
        <v>10</v>
      </c>
      <c r="E3467" s="5">
        <v>43924</v>
      </c>
      <c r="F3467" s="2" t="s">
        <v>2954</v>
      </c>
      <c r="G3467" s="2" t="s">
        <v>12</v>
      </c>
      <c r="H3467" s="2" t="s">
        <v>23</v>
      </c>
      <c r="I3467" s="6">
        <v>0.25</v>
      </c>
      <c r="J3467" s="2" t="str">
        <f t="shared" si="54"/>
        <v>2020-04</v>
      </c>
    </row>
    <row r="3468" spans="1:10" x14ac:dyDescent="0.2">
      <c r="A3468" s="2" t="s">
        <v>2821</v>
      </c>
      <c r="B3468" s="2" t="s">
        <v>378</v>
      </c>
      <c r="C3468" s="2" t="s">
        <v>235</v>
      </c>
      <c r="D3468" s="2">
        <v>5</v>
      </c>
      <c r="E3468" s="5">
        <v>43924</v>
      </c>
      <c r="F3468" s="2" t="s">
        <v>2954</v>
      </c>
      <c r="G3468" s="2" t="s">
        <v>12</v>
      </c>
      <c r="H3468" s="2" t="s">
        <v>23</v>
      </c>
      <c r="I3468" s="6">
        <v>0.2</v>
      </c>
      <c r="J3468" s="2" t="str">
        <f t="shared" si="54"/>
        <v>2020-04</v>
      </c>
    </row>
    <row r="3469" spans="1:10" x14ac:dyDescent="0.2">
      <c r="A3469" s="2" t="s">
        <v>2822</v>
      </c>
      <c r="B3469" s="2" t="s">
        <v>86</v>
      </c>
      <c r="C3469" s="2" t="s">
        <v>243</v>
      </c>
      <c r="D3469" s="2" t="s">
        <v>2954</v>
      </c>
      <c r="E3469" s="5">
        <v>43924</v>
      </c>
      <c r="F3469" s="2">
        <v>16</v>
      </c>
      <c r="G3469" s="2" t="s">
        <v>41</v>
      </c>
      <c r="H3469" s="2" t="s">
        <v>23</v>
      </c>
      <c r="I3469" s="6" t="s">
        <v>2954</v>
      </c>
      <c r="J3469" s="2" t="str">
        <f t="shared" si="54"/>
        <v>2020-04</v>
      </c>
    </row>
    <row r="3470" spans="1:10" x14ac:dyDescent="0.2">
      <c r="A3470" s="2" t="s">
        <v>2823</v>
      </c>
      <c r="B3470" s="2" t="s">
        <v>34</v>
      </c>
      <c r="C3470" s="2" t="s">
        <v>68</v>
      </c>
      <c r="D3470" s="2" t="s">
        <v>2954</v>
      </c>
      <c r="E3470" s="5">
        <v>43924</v>
      </c>
      <c r="F3470" s="2">
        <v>64</v>
      </c>
      <c r="G3470" s="2" t="s">
        <v>37</v>
      </c>
      <c r="H3470" s="2" t="s">
        <v>23</v>
      </c>
      <c r="I3470" s="6" t="s">
        <v>2954</v>
      </c>
      <c r="J3470" s="2" t="str">
        <f t="shared" si="54"/>
        <v>2020-04</v>
      </c>
    </row>
    <row r="3471" spans="1:10" x14ac:dyDescent="0.2">
      <c r="A3471" s="2" t="s">
        <v>2824</v>
      </c>
      <c r="B3471" s="2" t="s">
        <v>141</v>
      </c>
      <c r="C3471" s="2" t="s">
        <v>44</v>
      </c>
      <c r="D3471" s="2" t="s">
        <v>2954</v>
      </c>
      <c r="E3471" s="5">
        <v>43924</v>
      </c>
      <c r="F3471" s="2">
        <v>41</v>
      </c>
      <c r="G3471" s="2" t="s">
        <v>37</v>
      </c>
      <c r="H3471" s="2" t="s">
        <v>143</v>
      </c>
      <c r="I3471" s="6" t="s">
        <v>2954</v>
      </c>
      <c r="J3471" s="2" t="str">
        <f t="shared" si="54"/>
        <v>2020-04</v>
      </c>
    </row>
    <row r="3472" spans="1:10" x14ac:dyDescent="0.2">
      <c r="A3472" s="2" t="s">
        <v>2825</v>
      </c>
      <c r="B3472" s="2" t="s">
        <v>34</v>
      </c>
      <c r="C3472" s="2" t="s">
        <v>68</v>
      </c>
      <c r="D3472" s="2" t="s">
        <v>2954</v>
      </c>
      <c r="E3472" s="5">
        <v>43924</v>
      </c>
      <c r="F3472" s="2">
        <v>7</v>
      </c>
      <c r="G3472" s="2" t="s">
        <v>41</v>
      </c>
      <c r="H3472" s="2" t="s">
        <v>23</v>
      </c>
      <c r="I3472" s="6" t="s">
        <v>2954</v>
      </c>
      <c r="J3472" s="2" t="str">
        <f t="shared" si="54"/>
        <v>2020-04</v>
      </c>
    </row>
    <row r="3473" spans="1:10" x14ac:dyDescent="0.2">
      <c r="A3473" s="2" t="s">
        <v>2826</v>
      </c>
      <c r="B3473" s="2" t="s">
        <v>25</v>
      </c>
      <c r="C3473" s="2" t="s">
        <v>84</v>
      </c>
      <c r="D3473" s="2" t="s">
        <v>2954</v>
      </c>
      <c r="E3473" s="5">
        <v>43924</v>
      </c>
      <c r="F3473" s="2">
        <v>28</v>
      </c>
      <c r="G3473" s="2" t="s">
        <v>37</v>
      </c>
      <c r="H3473" s="2" t="s">
        <v>23</v>
      </c>
      <c r="I3473" s="6" t="s">
        <v>2954</v>
      </c>
      <c r="J3473" s="2" t="str">
        <f t="shared" si="54"/>
        <v>2020-04</v>
      </c>
    </row>
    <row r="3474" spans="1:10" x14ac:dyDescent="0.2">
      <c r="A3474" s="2" t="s">
        <v>2088</v>
      </c>
      <c r="B3474" s="2" t="s">
        <v>25</v>
      </c>
      <c r="C3474" s="2" t="s">
        <v>148</v>
      </c>
      <c r="D3474" s="2" t="s">
        <v>2954</v>
      </c>
      <c r="E3474" s="5">
        <v>43924</v>
      </c>
      <c r="F3474" s="2">
        <v>117</v>
      </c>
      <c r="G3474" s="2" t="s">
        <v>66</v>
      </c>
      <c r="H3474" s="2" t="s">
        <v>23</v>
      </c>
      <c r="I3474" s="6">
        <v>0.5</v>
      </c>
      <c r="J3474" s="2" t="str">
        <f t="shared" si="54"/>
        <v>2020-04</v>
      </c>
    </row>
    <row r="3475" spans="1:10" x14ac:dyDescent="0.2">
      <c r="A3475" s="2" t="s">
        <v>1955</v>
      </c>
      <c r="B3475" s="2" t="s">
        <v>1956</v>
      </c>
      <c r="C3475" s="2" t="s">
        <v>117</v>
      </c>
      <c r="D3475" s="2">
        <v>700</v>
      </c>
      <c r="E3475" s="5">
        <v>43923</v>
      </c>
      <c r="F3475" s="2">
        <v>114</v>
      </c>
      <c r="G3475" s="2" t="s">
        <v>17</v>
      </c>
      <c r="H3475" s="2" t="s">
        <v>23</v>
      </c>
      <c r="I3475" s="7" t="s">
        <v>1402</v>
      </c>
      <c r="J3475" s="2" t="str">
        <f t="shared" si="54"/>
        <v>2020-04</v>
      </c>
    </row>
    <row r="3476" spans="1:10" x14ac:dyDescent="0.2">
      <c r="A3476" s="2" t="s">
        <v>2498</v>
      </c>
      <c r="B3476" s="2" t="s">
        <v>34</v>
      </c>
      <c r="C3476" s="2" t="s">
        <v>363</v>
      </c>
      <c r="D3476" s="2">
        <v>240</v>
      </c>
      <c r="E3476" s="5">
        <v>43923</v>
      </c>
      <c r="F3476" s="2">
        <v>1200</v>
      </c>
      <c r="G3476" s="2" t="s">
        <v>75</v>
      </c>
      <c r="H3476" s="2" t="s">
        <v>23</v>
      </c>
      <c r="I3476" s="6">
        <v>0.03</v>
      </c>
      <c r="J3476" s="2" t="str">
        <f t="shared" si="54"/>
        <v>2020-04</v>
      </c>
    </row>
    <row r="3477" spans="1:10" x14ac:dyDescent="0.2">
      <c r="A3477" s="2" t="s">
        <v>981</v>
      </c>
      <c r="B3477" s="2" t="s">
        <v>335</v>
      </c>
      <c r="C3477" s="2" t="s">
        <v>11</v>
      </c>
      <c r="D3477" s="2">
        <v>196</v>
      </c>
      <c r="E3477" s="5">
        <v>43923</v>
      </c>
      <c r="F3477" s="2">
        <v>112</v>
      </c>
      <c r="G3477" s="2" t="s">
        <v>66</v>
      </c>
      <c r="H3477" s="2" t="s">
        <v>106</v>
      </c>
      <c r="I3477" s="6">
        <v>0.54</v>
      </c>
      <c r="J3477" s="2" t="str">
        <f t="shared" si="54"/>
        <v>2020-04</v>
      </c>
    </row>
    <row r="3478" spans="1:10" x14ac:dyDescent="0.2">
      <c r="A3478" s="2" t="s">
        <v>2827</v>
      </c>
      <c r="B3478" s="2" t="s">
        <v>25</v>
      </c>
      <c r="C3478" s="2" t="s">
        <v>117</v>
      </c>
      <c r="D3478" s="2">
        <v>154</v>
      </c>
      <c r="E3478" s="5">
        <v>43923</v>
      </c>
      <c r="F3478" s="2">
        <v>549</v>
      </c>
      <c r="G3478" s="2" t="s">
        <v>128</v>
      </c>
      <c r="H3478" s="2" t="s">
        <v>23</v>
      </c>
      <c r="I3478" s="6">
        <v>0.22</v>
      </c>
      <c r="J3478" s="2" t="str">
        <f t="shared" si="54"/>
        <v>2020-04</v>
      </c>
    </row>
    <row r="3479" spans="1:10" x14ac:dyDescent="0.2">
      <c r="A3479" s="2" t="s">
        <v>2828</v>
      </c>
      <c r="B3479" s="2" t="s">
        <v>381</v>
      </c>
      <c r="C3479" s="2" t="s">
        <v>117</v>
      </c>
      <c r="D3479" s="2">
        <v>100</v>
      </c>
      <c r="E3479" s="5">
        <v>43923</v>
      </c>
      <c r="F3479" s="2">
        <v>109</v>
      </c>
      <c r="G3479" s="2" t="s">
        <v>75</v>
      </c>
      <c r="H3479" s="2" t="s">
        <v>76</v>
      </c>
      <c r="I3479" s="6">
        <v>0.25</v>
      </c>
      <c r="J3479" s="2" t="str">
        <f t="shared" si="54"/>
        <v>2020-04</v>
      </c>
    </row>
    <row r="3480" spans="1:10" x14ac:dyDescent="0.2">
      <c r="A3480" s="2" t="s">
        <v>286</v>
      </c>
      <c r="B3480" s="2" t="s">
        <v>287</v>
      </c>
      <c r="C3480" s="2" t="s">
        <v>52</v>
      </c>
      <c r="D3480" s="2">
        <v>100</v>
      </c>
      <c r="E3480" s="5">
        <v>43923</v>
      </c>
      <c r="F3480" s="2">
        <v>167</v>
      </c>
      <c r="G3480" s="2" t="s">
        <v>37</v>
      </c>
      <c r="H3480" s="2" t="s">
        <v>291</v>
      </c>
      <c r="I3480" s="6" t="s">
        <v>2954</v>
      </c>
      <c r="J3480" s="2" t="str">
        <f t="shared" si="54"/>
        <v>2020-04</v>
      </c>
    </row>
    <row r="3481" spans="1:10" x14ac:dyDescent="0.2">
      <c r="A3481" s="2" t="s">
        <v>2829</v>
      </c>
      <c r="B3481" s="2" t="s">
        <v>25</v>
      </c>
      <c r="C3481" s="2" t="s">
        <v>148</v>
      </c>
      <c r="D3481" s="2">
        <v>90</v>
      </c>
      <c r="E3481" s="5">
        <v>43923</v>
      </c>
      <c r="F3481" s="2">
        <v>222</v>
      </c>
      <c r="G3481" s="2" t="s">
        <v>75</v>
      </c>
      <c r="H3481" s="2" t="s">
        <v>23</v>
      </c>
      <c r="I3481" s="6">
        <v>0.2</v>
      </c>
      <c r="J3481" s="2" t="str">
        <f t="shared" si="54"/>
        <v>2020-04</v>
      </c>
    </row>
    <row r="3482" spans="1:10" x14ac:dyDescent="0.2">
      <c r="A3482" s="2" t="s">
        <v>2830</v>
      </c>
      <c r="B3482" s="2" t="s">
        <v>25</v>
      </c>
      <c r="C3482" s="2" t="s">
        <v>142</v>
      </c>
      <c r="D3482" s="2">
        <v>70</v>
      </c>
      <c r="E3482" s="5">
        <v>43923</v>
      </c>
      <c r="F3482" s="2">
        <v>253</v>
      </c>
      <c r="G3482" s="2" t="s">
        <v>75</v>
      </c>
      <c r="H3482" s="2" t="s">
        <v>23</v>
      </c>
      <c r="I3482" s="6">
        <v>0.17</v>
      </c>
      <c r="J3482" s="2" t="str">
        <f t="shared" si="54"/>
        <v>2020-04</v>
      </c>
    </row>
    <row r="3483" spans="1:10" x14ac:dyDescent="0.2">
      <c r="A3483" s="2" t="s">
        <v>2831</v>
      </c>
      <c r="B3483" s="2" t="s">
        <v>34</v>
      </c>
      <c r="C3483" s="2" t="s">
        <v>142</v>
      </c>
      <c r="D3483" s="2">
        <v>65</v>
      </c>
      <c r="E3483" s="5">
        <v>43923</v>
      </c>
      <c r="F3483" s="2">
        <v>68</v>
      </c>
      <c r="G3483" s="2" t="s">
        <v>37</v>
      </c>
      <c r="H3483" s="2" t="s">
        <v>23</v>
      </c>
      <c r="I3483" s="6">
        <v>0.3</v>
      </c>
      <c r="J3483" s="2" t="str">
        <f t="shared" si="54"/>
        <v>2020-04</v>
      </c>
    </row>
    <row r="3484" spans="1:10" x14ac:dyDescent="0.2">
      <c r="A3484" s="2" t="s">
        <v>924</v>
      </c>
      <c r="B3484" s="2" t="s">
        <v>25</v>
      </c>
      <c r="C3484" s="2" t="s">
        <v>195</v>
      </c>
      <c r="D3484" s="2">
        <v>60</v>
      </c>
      <c r="E3484" s="5">
        <v>43923</v>
      </c>
      <c r="F3484" s="2">
        <v>152</v>
      </c>
      <c r="G3484" s="2" t="s">
        <v>37</v>
      </c>
      <c r="H3484" s="2" t="s">
        <v>23</v>
      </c>
      <c r="I3484" s="6" t="s">
        <v>2954</v>
      </c>
      <c r="J3484" s="2" t="str">
        <f t="shared" si="54"/>
        <v>2020-04</v>
      </c>
    </row>
    <row r="3485" spans="1:10" x14ac:dyDescent="0.2">
      <c r="A3485" s="2" t="s">
        <v>2163</v>
      </c>
      <c r="B3485" s="2" t="s">
        <v>89</v>
      </c>
      <c r="C3485" s="2" t="s">
        <v>68</v>
      </c>
      <c r="D3485" s="2">
        <v>59</v>
      </c>
      <c r="E3485" s="5">
        <v>43923</v>
      </c>
      <c r="F3485" s="2">
        <v>65</v>
      </c>
      <c r="G3485" s="2" t="s">
        <v>45</v>
      </c>
      <c r="H3485" s="2" t="s">
        <v>23</v>
      </c>
      <c r="I3485" s="6">
        <v>0.25</v>
      </c>
      <c r="J3485" s="2" t="str">
        <f t="shared" si="54"/>
        <v>2020-04</v>
      </c>
    </row>
    <row r="3486" spans="1:10" x14ac:dyDescent="0.2">
      <c r="A3486" s="2" t="s">
        <v>2832</v>
      </c>
      <c r="B3486" s="2" t="s">
        <v>97</v>
      </c>
      <c r="C3486" s="2" t="s">
        <v>52</v>
      </c>
      <c r="D3486" s="2">
        <v>40</v>
      </c>
      <c r="E3486" s="5">
        <v>43923</v>
      </c>
      <c r="F3486" s="2">
        <v>122</v>
      </c>
      <c r="G3486" s="2" t="s">
        <v>66</v>
      </c>
      <c r="H3486" s="2" t="s">
        <v>98</v>
      </c>
      <c r="I3486" s="6" t="s">
        <v>2954</v>
      </c>
      <c r="J3486" s="2" t="str">
        <f t="shared" si="54"/>
        <v>2020-04</v>
      </c>
    </row>
    <row r="3487" spans="1:10" x14ac:dyDescent="0.2">
      <c r="A3487" s="2" t="s">
        <v>2833</v>
      </c>
      <c r="B3487" s="2" t="s">
        <v>89</v>
      </c>
      <c r="C3487" s="2" t="s">
        <v>84</v>
      </c>
      <c r="D3487" s="2">
        <v>39</v>
      </c>
      <c r="E3487" s="5">
        <v>43923</v>
      </c>
      <c r="F3487" s="2">
        <v>118</v>
      </c>
      <c r="G3487" s="2" t="s">
        <v>199</v>
      </c>
      <c r="H3487" s="2" t="s">
        <v>23</v>
      </c>
      <c r="I3487" s="6">
        <v>0.2</v>
      </c>
      <c r="J3487" s="2" t="str">
        <f t="shared" si="54"/>
        <v>2020-04</v>
      </c>
    </row>
    <row r="3488" spans="1:10" x14ac:dyDescent="0.2">
      <c r="A3488" s="2" t="s">
        <v>1251</v>
      </c>
      <c r="B3488" s="2" t="s">
        <v>34</v>
      </c>
      <c r="C3488" s="2" t="s">
        <v>26</v>
      </c>
      <c r="D3488" s="2">
        <v>35</v>
      </c>
      <c r="E3488" s="5">
        <v>43923</v>
      </c>
      <c r="F3488" s="2">
        <v>102</v>
      </c>
      <c r="G3488" s="2" t="s">
        <v>66</v>
      </c>
      <c r="H3488" s="2" t="s">
        <v>23</v>
      </c>
      <c r="I3488" s="6" t="s">
        <v>2954</v>
      </c>
      <c r="J3488" s="2" t="str">
        <f t="shared" si="54"/>
        <v>2020-04</v>
      </c>
    </row>
    <row r="3489" spans="1:10" x14ac:dyDescent="0.2">
      <c r="A3489" s="2" t="s">
        <v>2834</v>
      </c>
      <c r="B3489" s="2" t="s">
        <v>34</v>
      </c>
      <c r="C3489" s="2" t="s">
        <v>68</v>
      </c>
      <c r="D3489" s="2">
        <v>35</v>
      </c>
      <c r="E3489" s="5">
        <v>43923</v>
      </c>
      <c r="F3489" s="2">
        <v>114</v>
      </c>
      <c r="G3489" s="2" t="s">
        <v>128</v>
      </c>
      <c r="H3489" s="2" t="s">
        <v>23</v>
      </c>
      <c r="I3489" s="6">
        <v>0.19</v>
      </c>
      <c r="J3489" s="2" t="str">
        <f t="shared" si="54"/>
        <v>2020-04</v>
      </c>
    </row>
    <row r="3490" spans="1:10" x14ac:dyDescent="0.2">
      <c r="A3490" s="2" t="s">
        <v>2835</v>
      </c>
      <c r="B3490" s="2" t="s">
        <v>401</v>
      </c>
      <c r="C3490" s="2" t="s">
        <v>235</v>
      </c>
      <c r="D3490" s="2">
        <v>30</v>
      </c>
      <c r="E3490" s="5">
        <v>43923</v>
      </c>
      <c r="F3490" s="2">
        <v>50</v>
      </c>
      <c r="G3490" s="2" t="s">
        <v>75</v>
      </c>
      <c r="H3490" s="2" t="s">
        <v>23</v>
      </c>
      <c r="I3490" s="6" t="s">
        <v>2954</v>
      </c>
      <c r="J3490" s="2" t="str">
        <f t="shared" si="54"/>
        <v>2020-04</v>
      </c>
    </row>
    <row r="3491" spans="1:10" x14ac:dyDescent="0.2">
      <c r="A3491" s="2" t="s">
        <v>2836</v>
      </c>
      <c r="B3491" s="2" t="s">
        <v>34</v>
      </c>
      <c r="C3491" s="2" t="s">
        <v>48</v>
      </c>
      <c r="D3491" s="2">
        <v>30</v>
      </c>
      <c r="E3491" s="5">
        <v>43923</v>
      </c>
      <c r="F3491" s="2">
        <v>151</v>
      </c>
      <c r="G3491" s="2" t="s">
        <v>12</v>
      </c>
      <c r="H3491" s="2" t="s">
        <v>23</v>
      </c>
      <c r="I3491" s="6">
        <v>0.15</v>
      </c>
      <c r="J3491" s="2" t="str">
        <f t="shared" si="54"/>
        <v>2020-04</v>
      </c>
    </row>
    <row r="3492" spans="1:10" x14ac:dyDescent="0.2">
      <c r="A3492" s="2" t="s">
        <v>2837</v>
      </c>
      <c r="B3492" s="2" t="s">
        <v>34</v>
      </c>
      <c r="C3492" s="2" t="s">
        <v>68</v>
      </c>
      <c r="D3492" s="2">
        <v>26</v>
      </c>
      <c r="E3492" s="5">
        <v>43923</v>
      </c>
      <c r="F3492" s="2">
        <v>40</v>
      </c>
      <c r="G3492" s="2" t="s">
        <v>37</v>
      </c>
      <c r="H3492" s="2" t="s">
        <v>23</v>
      </c>
      <c r="I3492" s="6" t="s">
        <v>2954</v>
      </c>
      <c r="J3492" s="2" t="str">
        <f t="shared" si="54"/>
        <v>2020-04</v>
      </c>
    </row>
    <row r="3493" spans="1:10" x14ac:dyDescent="0.2">
      <c r="A3493" s="2" t="s">
        <v>1392</v>
      </c>
      <c r="B3493" s="2" t="s">
        <v>25</v>
      </c>
      <c r="C3493" s="2" t="s">
        <v>26</v>
      </c>
      <c r="D3493" s="2">
        <v>23</v>
      </c>
      <c r="E3493" s="5">
        <v>43923</v>
      </c>
      <c r="F3493" s="2">
        <v>16</v>
      </c>
      <c r="G3493" s="2" t="s">
        <v>37</v>
      </c>
      <c r="H3493" s="2" t="s">
        <v>23</v>
      </c>
      <c r="I3493" s="6">
        <v>7.0000000000000007E-2</v>
      </c>
      <c r="J3493" s="2" t="str">
        <f t="shared" si="54"/>
        <v>2020-04</v>
      </c>
    </row>
    <row r="3494" spans="1:10" x14ac:dyDescent="0.2">
      <c r="A3494" s="2" t="s">
        <v>2838</v>
      </c>
      <c r="B3494" s="2" t="s">
        <v>28</v>
      </c>
      <c r="C3494" s="2" t="s">
        <v>61</v>
      </c>
      <c r="D3494" s="2">
        <v>7</v>
      </c>
      <c r="E3494" s="5">
        <v>43923</v>
      </c>
      <c r="F3494" s="2">
        <v>2</v>
      </c>
      <c r="G3494" s="2" t="s">
        <v>12</v>
      </c>
      <c r="H3494" s="2" t="s">
        <v>23</v>
      </c>
      <c r="I3494" s="6">
        <v>7.0000000000000007E-2</v>
      </c>
      <c r="J3494" s="2" t="str">
        <f t="shared" si="54"/>
        <v>2020-04</v>
      </c>
    </row>
    <row r="3495" spans="1:10" x14ac:dyDescent="0.2">
      <c r="A3495" s="2" t="s">
        <v>2839</v>
      </c>
      <c r="B3495" s="2" t="s">
        <v>100</v>
      </c>
      <c r="C3495" s="2" t="s">
        <v>16</v>
      </c>
      <c r="D3495" s="2">
        <v>6</v>
      </c>
      <c r="E3495" s="5">
        <v>43923</v>
      </c>
      <c r="F3495" s="2">
        <v>8</v>
      </c>
      <c r="G3495" s="2" t="s">
        <v>12</v>
      </c>
      <c r="H3495" s="2" t="s">
        <v>98</v>
      </c>
      <c r="I3495" s="6">
        <v>0.06</v>
      </c>
      <c r="J3495" s="2" t="str">
        <f t="shared" si="54"/>
        <v>2020-04</v>
      </c>
    </row>
    <row r="3496" spans="1:10" x14ac:dyDescent="0.2">
      <c r="A3496" s="2" t="s">
        <v>2840</v>
      </c>
      <c r="B3496" s="2" t="s">
        <v>147</v>
      </c>
      <c r="C3496" s="2" t="s">
        <v>11</v>
      </c>
      <c r="D3496" s="2">
        <v>5</v>
      </c>
      <c r="E3496" s="5">
        <v>43923</v>
      </c>
      <c r="F3496" s="2">
        <v>6</v>
      </c>
      <c r="G3496" s="2" t="s">
        <v>41</v>
      </c>
      <c r="H3496" s="2" t="s">
        <v>23</v>
      </c>
      <c r="I3496" s="6">
        <v>7.0000000000000007E-2</v>
      </c>
      <c r="J3496" s="2" t="str">
        <f t="shared" si="54"/>
        <v>2020-04</v>
      </c>
    </row>
    <row r="3497" spans="1:10" x14ac:dyDescent="0.2">
      <c r="A3497" s="2" t="s">
        <v>2841</v>
      </c>
      <c r="B3497" s="2" t="s">
        <v>115</v>
      </c>
      <c r="C3497" s="2" t="s">
        <v>148</v>
      </c>
      <c r="D3497" s="2" t="s">
        <v>2954</v>
      </c>
      <c r="E3497" s="5">
        <v>43923</v>
      </c>
      <c r="F3497" s="2" t="s">
        <v>2954</v>
      </c>
      <c r="G3497" s="2" t="s">
        <v>12</v>
      </c>
      <c r="H3497" s="2" t="s">
        <v>23</v>
      </c>
      <c r="I3497" s="6">
        <v>0.5</v>
      </c>
      <c r="J3497" s="2" t="str">
        <f t="shared" si="54"/>
        <v>2020-04</v>
      </c>
    </row>
    <row r="3498" spans="1:10" x14ac:dyDescent="0.2">
      <c r="A3498" s="2" t="s">
        <v>2842</v>
      </c>
      <c r="B3498" s="2" t="s">
        <v>100</v>
      </c>
      <c r="C3498" s="2" t="s">
        <v>142</v>
      </c>
      <c r="D3498" s="2" t="s">
        <v>2954</v>
      </c>
      <c r="E3498" s="5">
        <v>43923</v>
      </c>
      <c r="F3498" s="2">
        <v>102</v>
      </c>
      <c r="G3498" s="2" t="s">
        <v>199</v>
      </c>
      <c r="H3498" s="2" t="s">
        <v>98</v>
      </c>
      <c r="I3498" s="6" t="s">
        <v>2954</v>
      </c>
      <c r="J3498" s="2" t="str">
        <f t="shared" si="54"/>
        <v>2020-04</v>
      </c>
    </row>
    <row r="3499" spans="1:10" x14ac:dyDescent="0.2">
      <c r="A3499" s="2" t="s">
        <v>2301</v>
      </c>
      <c r="B3499" s="2" t="s">
        <v>34</v>
      </c>
      <c r="C3499" s="2" t="s">
        <v>142</v>
      </c>
      <c r="D3499" s="2" t="s">
        <v>2954</v>
      </c>
      <c r="E3499" s="5">
        <v>43923</v>
      </c>
      <c r="F3499" s="2">
        <v>70</v>
      </c>
      <c r="G3499" s="2" t="s">
        <v>66</v>
      </c>
      <c r="H3499" s="2" t="s">
        <v>23</v>
      </c>
      <c r="I3499" s="6" t="s">
        <v>2954</v>
      </c>
      <c r="J3499" s="2" t="str">
        <f t="shared" si="54"/>
        <v>2020-04</v>
      </c>
    </row>
    <row r="3500" spans="1:10" x14ac:dyDescent="0.2">
      <c r="A3500" s="2" t="s">
        <v>2843</v>
      </c>
      <c r="B3500" s="2" t="s">
        <v>1827</v>
      </c>
      <c r="C3500" s="2" t="s">
        <v>142</v>
      </c>
      <c r="D3500" s="2" t="s">
        <v>2954</v>
      </c>
      <c r="E3500" s="5">
        <v>43923</v>
      </c>
      <c r="F3500" s="2" t="s">
        <v>2954</v>
      </c>
      <c r="G3500" s="2" t="s">
        <v>12</v>
      </c>
      <c r="H3500" s="2" t="s">
        <v>2307</v>
      </c>
      <c r="I3500" s="6">
        <v>1</v>
      </c>
      <c r="J3500" s="2" t="str">
        <f t="shared" si="54"/>
        <v>2020-04</v>
      </c>
    </row>
    <row r="3501" spans="1:10" x14ac:dyDescent="0.2">
      <c r="A3501" s="2" t="s">
        <v>1775</v>
      </c>
      <c r="B3501" s="2" t="s">
        <v>25</v>
      </c>
      <c r="C3501" s="2" t="s">
        <v>29</v>
      </c>
      <c r="D3501" s="2" t="s">
        <v>2954</v>
      </c>
      <c r="E3501" s="5">
        <v>43923</v>
      </c>
      <c r="F3501" s="2" t="s">
        <v>2954</v>
      </c>
      <c r="G3501" s="2" t="s">
        <v>12</v>
      </c>
      <c r="H3501" s="2" t="s">
        <v>23</v>
      </c>
      <c r="I3501" s="6" t="s">
        <v>2954</v>
      </c>
      <c r="J3501" s="2" t="str">
        <f t="shared" si="54"/>
        <v>2020-04</v>
      </c>
    </row>
    <row r="3502" spans="1:10" x14ac:dyDescent="0.2">
      <c r="A3502" s="2" t="s">
        <v>2844</v>
      </c>
      <c r="B3502" s="2" t="s">
        <v>34</v>
      </c>
      <c r="C3502" s="2" t="s">
        <v>35</v>
      </c>
      <c r="D3502" s="2">
        <v>200</v>
      </c>
      <c r="E3502" s="5">
        <v>43922</v>
      </c>
      <c r="F3502" s="2">
        <v>48</v>
      </c>
      <c r="G3502" s="2" t="s">
        <v>37</v>
      </c>
      <c r="H3502" s="2" t="s">
        <v>23</v>
      </c>
      <c r="I3502" s="6" t="s">
        <v>2954</v>
      </c>
      <c r="J3502" s="2" t="str">
        <f t="shared" si="54"/>
        <v>2020-04</v>
      </c>
    </row>
    <row r="3503" spans="1:10" x14ac:dyDescent="0.2">
      <c r="A3503" s="2" t="s">
        <v>2845</v>
      </c>
      <c r="B3503" s="2" t="s">
        <v>2846</v>
      </c>
      <c r="C3503" s="2" t="s">
        <v>44</v>
      </c>
      <c r="D3503" s="2">
        <v>200</v>
      </c>
      <c r="E3503" s="5">
        <v>43922</v>
      </c>
      <c r="F3503" s="2" t="s">
        <v>2954</v>
      </c>
      <c r="G3503" s="2" t="s">
        <v>12</v>
      </c>
      <c r="H3503" s="2" t="s">
        <v>2847</v>
      </c>
      <c r="I3503" s="6">
        <v>0.33</v>
      </c>
      <c r="J3503" s="2" t="str">
        <f t="shared" si="54"/>
        <v>2020-04</v>
      </c>
    </row>
    <row r="3504" spans="1:10" x14ac:dyDescent="0.2">
      <c r="A3504" s="2" t="s">
        <v>2848</v>
      </c>
      <c r="B3504" s="2" t="s">
        <v>47</v>
      </c>
      <c r="C3504" s="2" t="s">
        <v>32</v>
      </c>
      <c r="D3504" s="2">
        <v>100</v>
      </c>
      <c r="E3504" s="5">
        <v>43922</v>
      </c>
      <c r="F3504" s="2">
        <v>75</v>
      </c>
      <c r="G3504" s="2" t="s">
        <v>37</v>
      </c>
      <c r="H3504" s="2" t="s">
        <v>23</v>
      </c>
      <c r="I3504" s="6">
        <v>0.2</v>
      </c>
      <c r="J3504" s="2" t="str">
        <f t="shared" si="54"/>
        <v>2020-04</v>
      </c>
    </row>
    <row r="3505" spans="1:10" x14ac:dyDescent="0.2">
      <c r="A3505" s="2" t="s">
        <v>150</v>
      </c>
      <c r="B3505" s="2" t="s">
        <v>314</v>
      </c>
      <c r="C3505" s="2" t="s">
        <v>26</v>
      </c>
      <c r="D3505" s="2">
        <v>52</v>
      </c>
      <c r="E3505" s="5">
        <v>43922</v>
      </c>
      <c r="F3505" s="2">
        <v>159</v>
      </c>
      <c r="G3505" s="2" t="s">
        <v>75</v>
      </c>
      <c r="H3505" s="2" t="s">
        <v>23</v>
      </c>
      <c r="I3505" s="6">
        <v>0.12</v>
      </c>
      <c r="J3505" s="2" t="str">
        <f t="shared" si="54"/>
        <v>2020-04</v>
      </c>
    </row>
    <row r="3506" spans="1:10" x14ac:dyDescent="0.2">
      <c r="A3506" s="2" t="s">
        <v>941</v>
      </c>
      <c r="B3506" s="2" t="s">
        <v>74</v>
      </c>
      <c r="C3506" s="2" t="s">
        <v>235</v>
      </c>
      <c r="D3506" s="2">
        <v>51</v>
      </c>
      <c r="E3506" s="5">
        <v>43922</v>
      </c>
      <c r="F3506" s="2">
        <v>8.5</v>
      </c>
      <c r="G3506" s="2" t="s">
        <v>41</v>
      </c>
      <c r="H3506" s="2" t="s">
        <v>76</v>
      </c>
      <c r="I3506" s="6">
        <v>0.25</v>
      </c>
      <c r="J3506" s="2" t="str">
        <f t="shared" si="54"/>
        <v>2020-04</v>
      </c>
    </row>
    <row r="3507" spans="1:10" x14ac:dyDescent="0.2">
      <c r="A3507" s="2" t="s">
        <v>2849</v>
      </c>
      <c r="B3507" s="2" t="s">
        <v>34</v>
      </c>
      <c r="C3507" s="2" t="s">
        <v>16</v>
      </c>
      <c r="D3507" s="2">
        <v>50</v>
      </c>
      <c r="E3507" s="5">
        <v>43922</v>
      </c>
      <c r="F3507" s="2">
        <v>190</v>
      </c>
      <c r="G3507" s="2" t="s">
        <v>66</v>
      </c>
      <c r="H3507" s="2" t="s">
        <v>23</v>
      </c>
      <c r="I3507" s="6">
        <v>0.2</v>
      </c>
      <c r="J3507" s="2" t="str">
        <f t="shared" si="54"/>
        <v>2020-04</v>
      </c>
    </row>
    <row r="3508" spans="1:10" x14ac:dyDescent="0.2">
      <c r="A3508" s="2" t="s">
        <v>2850</v>
      </c>
      <c r="B3508" s="2" t="s">
        <v>34</v>
      </c>
      <c r="C3508" s="2" t="s">
        <v>84</v>
      </c>
      <c r="D3508" s="2">
        <v>46</v>
      </c>
      <c r="E3508" s="5">
        <v>43922</v>
      </c>
      <c r="F3508" s="2">
        <v>52</v>
      </c>
      <c r="G3508" s="2" t="s">
        <v>66</v>
      </c>
      <c r="H3508" s="2" t="s">
        <v>23</v>
      </c>
      <c r="I3508" s="6">
        <v>0.13</v>
      </c>
      <c r="J3508" s="2" t="str">
        <f t="shared" si="54"/>
        <v>2020-04</v>
      </c>
    </row>
    <row r="3509" spans="1:10" x14ac:dyDescent="0.2">
      <c r="A3509" s="2" t="s">
        <v>2851</v>
      </c>
      <c r="B3509" s="2" t="s">
        <v>538</v>
      </c>
      <c r="C3509" s="2" t="s">
        <v>16</v>
      </c>
      <c r="D3509" s="2">
        <v>45</v>
      </c>
      <c r="E3509" s="5">
        <v>43922</v>
      </c>
      <c r="F3509" s="2">
        <v>143</v>
      </c>
      <c r="G3509" s="2" t="s">
        <v>12</v>
      </c>
      <c r="H3509" s="2" t="s">
        <v>98</v>
      </c>
      <c r="I3509" s="6">
        <v>0.09</v>
      </c>
      <c r="J3509" s="2" t="str">
        <f t="shared" si="54"/>
        <v>2020-04</v>
      </c>
    </row>
    <row r="3510" spans="1:10" x14ac:dyDescent="0.2">
      <c r="A3510" s="2" t="s">
        <v>2852</v>
      </c>
      <c r="B3510" s="2" t="s">
        <v>43</v>
      </c>
      <c r="C3510" s="2" t="s">
        <v>52</v>
      </c>
      <c r="D3510" s="2">
        <v>28</v>
      </c>
      <c r="E3510" s="5">
        <v>43922</v>
      </c>
      <c r="F3510" s="2" t="s">
        <v>2954</v>
      </c>
      <c r="G3510" s="2" t="s">
        <v>12</v>
      </c>
      <c r="H3510" s="2" t="s">
        <v>23</v>
      </c>
      <c r="I3510" s="6">
        <v>0.37</v>
      </c>
      <c r="J3510" s="2" t="str">
        <f t="shared" si="54"/>
        <v>2020-04</v>
      </c>
    </row>
    <row r="3511" spans="1:10" x14ac:dyDescent="0.2">
      <c r="A3511" s="2" t="s">
        <v>1751</v>
      </c>
      <c r="B3511" s="2" t="s">
        <v>15</v>
      </c>
      <c r="C3511" s="2" t="s">
        <v>195</v>
      </c>
      <c r="D3511" s="2">
        <v>24</v>
      </c>
      <c r="E3511" s="5">
        <v>43922</v>
      </c>
      <c r="F3511" s="2">
        <v>100</v>
      </c>
      <c r="G3511" s="2" t="s">
        <v>66</v>
      </c>
      <c r="H3511" s="2" t="s">
        <v>18</v>
      </c>
      <c r="I3511" s="6">
        <v>0.09</v>
      </c>
      <c r="J3511" s="2" t="str">
        <f t="shared" si="54"/>
        <v>2020-04</v>
      </c>
    </row>
    <row r="3512" spans="1:10" x14ac:dyDescent="0.2">
      <c r="A3512" s="2" t="s">
        <v>2853</v>
      </c>
      <c r="B3512" s="2" t="s">
        <v>89</v>
      </c>
      <c r="C3512" s="2" t="s">
        <v>26</v>
      </c>
      <c r="D3512" s="2">
        <v>20</v>
      </c>
      <c r="E3512" s="5">
        <v>43922</v>
      </c>
      <c r="F3512" s="2">
        <v>16</v>
      </c>
      <c r="G3512" s="2" t="s">
        <v>41</v>
      </c>
      <c r="H3512" s="2" t="s">
        <v>23</v>
      </c>
      <c r="I3512" s="6">
        <v>0.2</v>
      </c>
      <c r="J3512" s="2" t="str">
        <f t="shared" si="54"/>
        <v>2020-04</v>
      </c>
    </row>
    <row r="3513" spans="1:10" x14ac:dyDescent="0.2">
      <c r="A3513" s="2" t="s">
        <v>2854</v>
      </c>
      <c r="B3513" s="2" t="s">
        <v>60</v>
      </c>
      <c r="C3513" s="2" t="s">
        <v>44</v>
      </c>
      <c r="D3513" s="2">
        <v>18</v>
      </c>
      <c r="E3513" s="5">
        <v>43922</v>
      </c>
      <c r="F3513" s="2">
        <v>11</v>
      </c>
      <c r="G3513" s="2" t="s">
        <v>41</v>
      </c>
      <c r="H3513" s="2" t="s">
        <v>23</v>
      </c>
      <c r="I3513" s="6" t="s">
        <v>2954</v>
      </c>
      <c r="J3513" s="2" t="str">
        <f t="shared" si="54"/>
        <v>2020-04</v>
      </c>
    </row>
    <row r="3514" spans="1:10" x14ac:dyDescent="0.2">
      <c r="A3514" s="2" t="s">
        <v>2855</v>
      </c>
      <c r="B3514" s="2" t="s">
        <v>335</v>
      </c>
      <c r="C3514" s="2" t="s">
        <v>16</v>
      </c>
      <c r="D3514" s="2">
        <v>17</v>
      </c>
      <c r="E3514" s="5">
        <v>43922</v>
      </c>
      <c r="F3514" s="2">
        <v>50</v>
      </c>
      <c r="G3514" s="2" t="s">
        <v>37</v>
      </c>
      <c r="H3514" s="2" t="s">
        <v>106</v>
      </c>
      <c r="I3514" s="6">
        <v>0.2</v>
      </c>
      <c r="J3514" s="2" t="str">
        <f t="shared" si="54"/>
        <v>2020-04</v>
      </c>
    </row>
    <row r="3515" spans="1:10" x14ac:dyDescent="0.2">
      <c r="A3515" s="2" t="s">
        <v>2856</v>
      </c>
      <c r="B3515" s="2" t="s">
        <v>28</v>
      </c>
      <c r="C3515" s="2" t="s">
        <v>26</v>
      </c>
      <c r="D3515" s="2">
        <v>15</v>
      </c>
      <c r="E3515" s="5">
        <v>43922</v>
      </c>
      <c r="F3515" s="2">
        <v>46</v>
      </c>
      <c r="G3515" s="2" t="s">
        <v>66</v>
      </c>
      <c r="H3515" s="2" t="s">
        <v>23</v>
      </c>
      <c r="I3515" s="6">
        <v>0.25</v>
      </c>
      <c r="J3515" s="2" t="str">
        <f t="shared" si="54"/>
        <v>2020-04</v>
      </c>
    </row>
    <row r="3516" spans="1:10" x14ac:dyDescent="0.2">
      <c r="A3516" s="2" t="s">
        <v>2857</v>
      </c>
      <c r="B3516" s="2" t="s">
        <v>34</v>
      </c>
      <c r="C3516" s="2" t="s">
        <v>32</v>
      </c>
      <c r="D3516" s="2">
        <v>9</v>
      </c>
      <c r="E3516" s="5">
        <v>43922</v>
      </c>
      <c r="F3516" s="2">
        <v>15</v>
      </c>
      <c r="G3516" s="2" t="s">
        <v>41</v>
      </c>
      <c r="H3516" s="2" t="s">
        <v>23</v>
      </c>
      <c r="I3516" s="6">
        <v>0.4</v>
      </c>
      <c r="J3516" s="2" t="str">
        <f t="shared" si="54"/>
        <v>2020-04</v>
      </c>
    </row>
    <row r="3517" spans="1:10" x14ac:dyDescent="0.2">
      <c r="A3517" s="2" t="s">
        <v>2858</v>
      </c>
      <c r="B3517" s="2" t="s">
        <v>47</v>
      </c>
      <c r="C3517" s="2" t="s">
        <v>16</v>
      </c>
      <c r="D3517" s="2" t="s">
        <v>2954</v>
      </c>
      <c r="E3517" s="5">
        <v>43922</v>
      </c>
      <c r="F3517" s="2" t="s">
        <v>2954</v>
      </c>
      <c r="G3517" s="2" t="s">
        <v>12</v>
      </c>
      <c r="H3517" s="2" t="s">
        <v>23</v>
      </c>
      <c r="I3517" s="6" t="s">
        <v>2954</v>
      </c>
      <c r="J3517" s="2" t="str">
        <f t="shared" si="54"/>
        <v>2020-04</v>
      </c>
    </row>
    <row r="3518" spans="1:10" x14ac:dyDescent="0.2">
      <c r="A3518" s="2" t="s">
        <v>2859</v>
      </c>
      <c r="B3518" s="2" t="s">
        <v>47</v>
      </c>
      <c r="C3518" s="2" t="s">
        <v>142</v>
      </c>
      <c r="D3518" s="2" t="s">
        <v>2954</v>
      </c>
      <c r="E3518" s="5">
        <v>43922</v>
      </c>
      <c r="F3518" s="2">
        <v>197</v>
      </c>
      <c r="G3518" s="2" t="s">
        <v>75</v>
      </c>
      <c r="H3518" s="2" t="s">
        <v>23</v>
      </c>
      <c r="I3518" s="6" t="s">
        <v>2954</v>
      </c>
      <c r="J3518" s="2" t="str">
        <f t="shared" si="54"/>
        <v>2020-04</v>
      </c>
    </row>
    <row r="3519" spans="1:10" x14ac:dyDescent="0.2">
      <c r="A3519" s="2" t="s">
        <v>2860</v>
      </c>
      <c r="B3519" s="2" t="s">
        <v>34</v>
      </c>
      <c r="C3519" s="2" t="s">
        <v>142</v>
      </c>
      <c r="D3519" s="2" t="s">
        <v>2954</v>
      </c>
      <c r="E3519" s="5">
        <v>43922</v>
      </c>
      <c r="F3519" s="2">
        <v>62</v>
      </c>
      <c r="G3519" s="2" t="s">
        <v>66</v>
      </c>
      <c r="H3519" s="2" t="s">
        <v>23</v>
      </c>
      <c r="I3519" s="6">
        <v>0.5</v>
      </c>
      <c r="J3519" s="2" t="str">
        <f t="shared" si="54"/>
        <v>2020-04</v>
      </c>
    </row>
    <row r="3520" spans="1:10" x14ac:dyDescent="0.2">
      <c r="A3520" s="2" t="s">
        <v>2861</v>
      </c>
      <c r="B3520" s="2" t="s">
        <v>2862</v>
      </c>
      <c r="C3520" s="2" t="s">
        <v>363</v>
      </c>
      <c r="D3520" s="2" t="s">
        <v>2954</v>
      </c>
      <c r="E3520" s="5">
        <v>43922</v>
      </c>
      <c r="F3520" s="2">
        <v>46</v>
      </c>
      <c r="G3520" s="2" t="s">
        <v>66</v>
      </c>
      <c r="H3520" s="2" t="s">
        <v>23</v>
      </c>
      <c r="I3520" s="6" t="s">
        <v>2954</v>
      </c>
      <c r="J3520" s="2" t="str">
        <f t="shared" si="54"/>
        <v>2020-04</v>
      </c>
    </row>
    <row r="3521" spans="1:10" x14ac:dyDescent="0.2">
      <c r="A3521" s="2" t="s">
        <v>2863</v>
      </c>
      <c r="B3521" s="2" t="s">
        <v>25</v>
      </c>
      <c r="C3521" s="2" t="s">
        <v>26</v>
      </c>
      <c r="D3521" s="2" t="s">
        <v>2954</v>
      </c>
      <c r="E3521" s="5">
        <v>43922</v>
      </c>
      <c r="F3521" s="2">
        <v>81</v>
      </c>
      <c r="G3521" s="2" t="s">
        <v>66</v>
      </c>
      <c r="H3521" s="2" t="s">
        <v>23</v>
      </c>
      <c r="I3521" s="6">
        <v>0.6</v>
      </c>
      <c r="J3521" s="2" t="str">
        <f t="shared" si="54"/>
        <v>2020-04</v>
      </c>
    </row>
    <row r="3522" spans="1:10" x14ac:dyDescent="0.2">
      <c r="A3522" s="2" t="s">
        <v>2864</v>
      </c>
      <c r="B3522" s="2" t="s">
        <v>401</v>
      </c>
      <c r="C3522" s="2" t="s">
        <v>44</v>
      </c>
      <c r="D3522" s="2" t="s">
        <v>2954</v>
      </c>
      <c r="E3522" s="5">
        <v>43922</v>
      </c>
      <c r="F3522" s="2">
        <v>33</v>
      </c>
      <c r="G3522" s="2" t="s">
        <v>37</v>
      </c>
      <c r="H3522" s="2" t="s">
        <v>23</v>
      </c>
      <c r="I3522" s="6">
        <v>0.5</v>
      </c>
      <c r="J3522" s="2" t="str">
        <f t="shared" si="54"/>
        <v>2020-04</v>
      </c>
    </row>
    <row r="3523" spans="1:10" x14ac:dyDescent="0.2">
      <c r="A3523" s="2" t="s">
        <v>2865</v>
      </c>
      <c r="B3523" s="2" t="s">
        <v>34</v>
      </c>
      <c r="C3523" s="2" t="s">
        <v>170</v>
      </c>
      <c r="D3523" s="2">
        <v>349</v>
      </c>
      <c r="E3523" s="5">
        <v>43921</v>
      </c>
      <c r="F3523" s="2">
        <v>227</v>
      </c>
      <c r="G3523" s="2" t="s">
        <v>75</v>
      </c>
      <c r="H3523" s="2" t="s">
        <v>23</v>
      </c>
      <c r="I3523" s="6">
        <v>0.18</v>
      </c>
      <c r="J3523" s="2" t="str">
        <f t="shared" ref="J3523:J3586" si="55">TEXT(E3523,"YYYY-MM")</f>
        <v>2020-03</v>
      </c>
    </row>
    <row r="3524" spans="1:10" x14ac:dyDescent="0.2">
      <c r="A3524" s="2" t="s">
        <v>2866</v>
      </c>
      <c r="B3524" s="2" t="s">
        <v>147</v>
      </c>
      <c r="C3524" s="2" t="s">
        <v>26</v>
      </c>
      <c r="D3524" s="2">
        <v>210</v>
      </c>
      <c r="E3524" s="5">
        <v>43921</v>
      </c>
      <c r="F3524" s="2">
        <v>89</v>
      </c>
      <c r="G3524" s="2" t="s">
        <v>66</v>
      </c>
      <c r="H3524" s="2" t="s">
        <v>23</v>
      </c>
      <c r="I3524" s="6">
        <v>0.3</v>
      </c>
      <c r="J3524" s="2" t="str">
        <f t="shared" si="55"/>
        <v>2020-03</v>
      </c>
    </row>
    <row r="3525" spans="1:10" x14ac:dyDescent="0.2">
      <c r="A3525" s="2" t="s">
        <v>2867</v>
      </c>
      <c r="B3525" s="2" t="s">
        <v>28</v>
      </c>
      <c r="C3525" s="2" t="s">
        <v>35</v>
      </c>
      <c r="D3525" s="2">
        <v>194</v>
      </c>
      <c r="E3525" s="5">
        <v>43921</v>
      </c>
      <c r="F3525" s="2">
        <v>310</v>
      </c>
      <c r="G3525" s="2" t="s">
        <v>58</v>
      </c>
      <c r="H3525" s="2" t="s">
        <v>23</v>
      </c>
      <c r="I3525" s="7" t="s">
        <v>2868</v>
      </c>
      <c r="J3525" s="2" t="str">
        <f t="shared" si="55"/>
        <v>2020-03</v>
      </c>
    </row>
    <row r="3526" spans="1:10" x14ac:dyDescent="0.2">
      <c r="A3526" s="2" t="s">
        <v>2869</v>
      </c>
      <c r="B3526" s="2" t="s">
        <v>34</v>
      </c>
      <c r="C3526" s="2" t="s">
        <v>52</v>
      </c>
      <c r="D3526" s="2">
        <v>108</v>
      </c>
      <c r="E3526" s="5">
        <v>43921</v>
      </c>
      <c r="F3526" s="2">
        <v>467</v>
      </c>
      <c r="G3526" s="2" t="s">
        <v>128</v>
      </c>
      <c r="H3526" s="2" t="s">
        <v>23</v>
      </c>
      <c r="I3526" s="6">
        <v>0.3</v>
      </c>
      <c r="J3526" s="2" t="str">
        <f t="shared" si="55"/>
        <v>2020-03</v>
      </c>
    </row>
    <row r="3527" spans="1:10" x14ac:dyDescent="0.2">
      <c r="A3527" s="2" t="s">
        <v>2870</v>
      </c>
      <c r="B3527" s="2" t="s">
        <v>86</v>
      </c>
      <c r="C3527" s="2" t="s">
        <v>170</v>
      </c>
      <c r="D3527" s="2">
        <v>65</v>
      </c>
      <c r="E3527" s="5">
        <v>43921</v>
      </c>
      <c r="F3527" s="2">
        <v>69</v>
      </c>
      <c r="G3527" s="2" t="s">
        <v>75</v>
      </c>
      <c r="H3527" s="2" t="s">
        <v>23</v>
      </c>
      <c r="I3527" s="6">
        <v>0.37</v>
      </c>
      <c r="J3527" s="2" t="str">
        <f t="shared" si="55"/>
        <v>2020-03</v>
      </c>
    </row>
    <row r="3528" spans="1:10" x14ac:dyDescent="0.2">
      <c r="A3528" s="2" t="s">
        <v>2871</v>
      </c>
      <c r="B3528" s="2" t="s">
        <v>137</v>
      </c>
      <c r="C3528" s="2" t="s">
        <v>148</v>
      </c>
      <c r="D3528" s="2">
        <v>50</v>
      </c>
      <c r="E3528" s="5">
        <v>43921</v>
      </c>
      <c r="F3528" s="2" t="s">
        <v>2954</v>
      </c>
      <c r="G3528" s="2" t="s">
        <v>45</v>
      </c>
      <c r="H3528" s="2" t="s">
        <v>23</v>
      </c>
      <c r="I3528" s="6">
        <v>0.25</v>
      </c>
      <c r="J3528" s="2" t="str">
        <f t="shared" si="55"/>
        <v>2020-03</v>
      </c>
    </row>
    <row r="3529" spans="1:10" x14ac:dyDescent="0.2">
      <c r="A3529" s="2" t="s">
        <v>2872</v>
      </c>
      <c r="B3529" s="2" t="s">
        <v>378</v>
      </c>
      <c r="C3529" s="2" t="s">
        <v>26</v>
      </c>
      <c r="D3529" s="2">
        <v>40</v>
      </c>
      <c r="E3529" s="5">
        <v>43921</v>
      </c>
      <c r="F3529" s="2">
        <v>55</v>
      </c>
      <c r="G3529" s="2" t="s">
        <v>12</v>
      </c>
      <c r="H3529" s="2" t="s">
        <v>23</v>
      </c>
      <c r="I3529" s="6" t="s">
        <v>2954</v>
      </c>
      <c r="J3529" s="2" t="str">
        <f t="shared" si="55"/>
        <v>2020-03</v>
      </c>
    </row>
    <row r="3530" spans="1:10" x14ac:dyDescent="0.2">
      <c r="A3530" s="2" t="s">
        <v>2873</v>
      </c>
      <c r="B3530" s="2" t="s">
        <v>34</v>
      </c>
      <c r="C3530" s="2" t="s">
        <v>84</v>
      </c>
      <c r="D3530" s="2">
        <v>20</v>
      </c>
      <c r="E3530" s="5">
        <v>43921</v>
      </c>
      <c r="F3530" s="2">
        <v>26</v>
      </c>
      <c r="G3530" s="2" t="s">
        <v>37</v>
      </c>
      <c r="H3530" s="2" t="s">
        <v>23</v>
      </c>
      <c r="I3530" s="6" t="s">
        <v>2954</v>
      </c>
      <c r="J3530" s="2" t="str">
        <f t="shared" si="55"/>
        <v>2020-03</v>
      </c>
    </row>
    <row r="3531" spans="1:10" x14ac:dyDescent="0.2">
      <c r="A3531" s="2" t="s">
        <v>2874</v>
      </c>
      <c r="B3531" s="2" t="s">
        <v>28</v>
      </c>
      <c r="C3531" s="2" t="s">
        <v>117</v>
      </c>
      <c r="D3531" s="2">
        <v>17</v>
      </c>
      <c r="E3531" s="5">
        <v>43921</v>
      </c>
      <c r="F3531" s="2">
        <v>91</v>
      </c>
      <c r="G3531" s="2" t="s">
        <v>66</v>
      </c>
      <c r="H3531" s="2" t="s">
        <v>23</v>
      </c>
      <c r="I3531" s="6">
        <v>0.04</v>
      </c>
      <c r="J3531" s="2" t="str">
        <f t="shared" si="55"/>
        <v>2020-03</v>
      </c>
    </row>
    <row r="3532" spans="1:10" x14ac:dyDescent="0.2">
      <c r="A3532" s="2" t="s">
        <v>2875</v>
      </c>
      <c r="B3532" s="2" t="s">
        <v>137</v>
      </c>
      <c r="C3532" s="2" t="s">
        <v>26</v>
      </c>
      <c r="D3532" s="2">
        <v>5</v>
      </c>
      <c r="E3532" s="5">
        <v>43921</v>
      </c>
      <c r="F3532" s="2">
        <v>26</v>
      </c>
      <c r="G3532" s="2" t="s">
        <v>37</v>
      </c>
      <c r="H3532" s="2" t="s">
        <v>23</v>
      </c>
      <c r="I3532" s="6">
        <v>0.14000000000000001</v>
      </c>
      <c r="J3532" s="2" t="str">
        <f t="shared" si="55"/>
        <v>2020-03</v>
      </c>
    </row>
    <row r="3533" spans="1:10" x14ac:dyDescent="0.2">
      <c r="A3533" s="2" t="s">
        <v>2876</v>
      </c>
      <c r="B3533" s="2" t="s">
        <v>34</v>
      </c>
      <c r="C3533" s="2" t="s">
        <v>44</v>
      </c>
      <c r="D3533" s="2" t="s">
        <v>2954</v>
      </c>
      <c r="E3533" s="5">
        <v>43921</v>
      </c>
      <c r="F3533" s="2">
        <v>67</v>
      </c>
      <c r="G3533" s="2" t="s">
        <v>66</v>
      </c>
      <c r="H3533" s="2" t="s">
        <v>23</v>
      </c>
      <c r="I3533" s="6" t="s">
        <v>2954</v>
      </c>
      <c r="J3533" s="2" t="str">
        <f t="shared" si="55"/>
        <v>2020-03</v>
      </c>
    </row>
    <row r="3534" spans="1:10" x14ac:dyDescent="0.2">
      <c r="A3534" s="2" t="s">
        <v>2877</v>
      </c>
      <c r="B3534" s="2" t="s">
        <v>147</v>
      </c>
      <c r="C3534" s="2" t="s">
        <v>26</v>
      </c>
      <c r="D3534" s="2" t="s">
        <v>2954</v>
      </c>
      <c r="E3534" s="5">
        <v>43921</v>
      </c>
      <c r="F3534" s="2">
        <v>4</v>
      </c>
      <c r="G3534" s="2" t="s">
        <v>132</v>
      </c>
      <c r="H3534" s="2" t="s">
        <v>23</v>
      </c>
      <c r="I3534" s="6" t="s">
        <v>2954</v>
      </c>
      <c r="J3534" s="2" t="str">
        <f t="shared" si="55"/>
        <v>2020-03</v>
      </c>
    </row>
    <row r="3535" spans="1:10" x14ac:dyDescent="0.2">
      <c r="A3535" s="2" t="s">
        <v>2518</v>
      </c>
      <c r="B3535" s="2" t="s">
        <v>25</v>
      </c>
      <c r="C3535" s="2" t="s">
        <v>44</v>
      </c>
      <c r="D3535" s="2" t="s">
        <v>2954</v>
      </c>
      <c r="E3535" s="5">
        <v>43921</v>
      </c>
      <c r="F3535" s="2">
        <v>116</v>
      </c>
      <c r="G3535" s="2" t="s">
        <v>37</v>
      </c>
      <c r="H3535" s="2" t="s">
        <v>23</v>
      </c>
      <c r="I3535" s="6">
        <v>0.3</v>
      </c>
      <c r="J3535" s="2" t="str">
        <f t="shared" si="55"/>
        <v>2020-03</v>
      </c>
    </row>
    <row r="3536" spans="1:10" x14ac:dyDescent="0.2">
      <c r="A3536" s="2" t="s">
        <v>2878</v>
      </c>
      <c r="B3536" s="2" t="s">
        <v>86</v>
      </c>
      <c r="C3536" s="2" t="s">
        <v>68</v>
      </c>
      <c r="D3536" s="2" t="s">
        <v>2954</v>
      </c>
      <c r="E3536" s="5">
        <v>43921</v>
      </c>
      <c r="F3536" s="2">
        <v>8</v>
      </c>
      <c r="G3536" s="2" t="s">
        <v>41</v>
      </c>
      <c r="H3536" s="2" t="s">
        <v>23</v>
      </c>
      <c r="I3536" s="7" t="s">
        <v>1402</v>
      </c>
      <c r="J3536" s="2" t="str">
        <f t="shared" si="55"/>
        <v>2020-03</v>
      </c>
    </row>
    <row r="3537" spans="1:10" x14ac:dyDescent="0.2">
      <c r="A3537" s="2" t="s">
        <v>2879</v>
      </c>
      <c r="B3537" s="2" t="s">
        <v>147</v>
      </c>
      <c r="C3537" s="2" t="s">
        <v>16</v>
      </c>
      <c r="D3537" s="2" t="s">
        <v>2954</v>
      </c>
      <c r="E3537" s="5">
        <v>43921</v>
      </c>
      <c r="F3537" s="2" t="s">
        <v>2954</v>
      </c>
      <c r="G3537" s="2" t="s">
        <v>12</v>
      </c>
      <c r="H3537" s="2" t="s">
        <v>23</v>
      </c>
      <c r="I3537" s="6" t="s">
        <v>2954</v>
      </c>
      <c r="J3537" s="2" t="str">
        <f t="shared" si="55"/>
        <v>2020-03</v>
      </c>
    </row>
    <row r="3538" spans="1:10" x14ac:dyDescent="0.2">
      <c r="A3538" s="2" t="s">
        <v>2880</v>
      </c>
      <c r="B3538" s="2" t="s">
        <v>89</v>
      </c>
      <c r="C3538" s="2" t="s">
        <v>48</v>
      </c>
      <c r="D3538" s="2" t="s">
        <v>2954</v>
      </c>
      <c r="E3538" s="5">
        <v>43921</v>
      </c>
      <c r="F3538" s="2">
        <v>130</v>
      </c>
      <c r="G3538" s="2" t="s">
        <v>128</v>
      </c>
      <c r="H3538" s="2" t="s">
        <v>23</v>
      </c>
      <c r="I3538" s="6" t="s">
        <v>2954</v>
      </c>
      <c r="J3538" s="2" t="str">
        <f t="shared" si="55"/>
        <v>2020-03</v>
      </c>
    </row>
    <row r="3539" spans="1:10" x14ac:dyDescent="0.2">
      <c r="A3539" s="2" t="s">
        <v>1702</v>
      </c>
      <c r="B3539" s="2" t="s">
        <v>34</v>
      </c>
      <c r="C3539" s="2" t="s">
        <v>35</v>
      </c>
      <c r="D3539" s="2">
        <v>250</v>
      </c>
      <c r="E3539" s="5">
        <v>43920</v>
      </c>
      <c r="F3539" s="2">
        <v>423</v>
      </c>
      <c r="G3539" s="2" t="s">
        <v>62</v>
      </c>
      <c r="H3539" s="2" t="s">
        <v>23</v>
      </c>
      <c r="I3539" s="6">
        <v>0.3</v>
      </c>
      <c r="J3539" s="2" t="str">
        <f t="shared" si="55"/>
        <v>2020-03</v>
      </c>
    </row>
    <row r="3540" spans="1:10" x14ac:dyDescent="0.2">
      <c r="A3540" s="2" t="s">
        <v>2881</v>
      </c>
      <c r="B3540" s="2" t="s">
        <v>86</v>
      </c>
      <c r="C3540" s="2" t="s">
        <v>109</v>
      </c>
      <c r="D3540" s="2">
        <v>120</v>
      </c>
      <c r="E3540" s="5">
        <v>43920</v>
      </c>
      <c r="F3540" s="2">
        <v>423</v>
      </c>
      <c r="G3540" s="2" t="s">
        <v>75</v>
      </c>
      <c r="H3540" s="2" t="s">
        <v>23</v>
      </c>
      <c r="I3540" s="6">
        <v>0.25</v>
      </c>
      <c r="J3540" s="2" t="str">
        <f t="shared" si="55"/>
        <v>2020-03</v>
      </c>
    </row>
    <row r="3541" spans="1:10" x14ac:dyDescent="0.2">
      <c r="A3541" s="2" t="s">
        <v>2882</v>
      </c>
      <c r="B3541" s="2" t="s">
        <v>97</v>
      </c>
      <c r="C3541" s="2" t="s">
        <v>44</v>
      </c>
      <c r="D3541" s="2">
        <v>80</v>
      </c>
      <c r="E3541" s="5">
        <v>43920</v>
      </c>
      <c r="F3541" s="2">
        <v>48</v>
      </c>
      <c r="G3541" s="2" t="s">
        <v>37</v>
      </c>
      <c r="H3541" s="2" t="s">
        <v>98</v>
      </c>
      <c r="I3541" s="6">
        <v>0.2</v>
      </c>
      <c r="J3541" s="2" t="str">
        <f t="shared" si="55"/>
        <v>2020-03</v>
      </c>
    </row>
    <row r="3542" spans="1:10" x14ac:dyDescent="0.2">
      <c r="A3542" s="2" t="s">
        <v>2883</v>
      </c>
      <c r="B3542" s="2" t="s">
        <v>15</v>
      </c>
      <c r="C3542" s="2" t="s">
        <v>68</v>
      </c>
      <c r="D3542" s="2">
        <v>70</v>
      </c>
      <c r="E3542" s="5">
        <v>43920</v>
      </c>
      <c r="F3542" s="2">
        <v>45</v>
      </c>
      <c r="G3542" s="2" t="s">
        <v>41</v>
      </c>
      <c r="H3542" s="2" t="s">
        <v>18</v>
      </c>
      <c r="I3542" s="6">
        <v>0.3</v>
      </c>
      <c r="J3542" s="2" t="str">
        <f t="shared" si="55"/>
        <v>2020-03</v>
      </c>
    </row>
    <row r="3543" spans="1:10" x14ac:dyDescent="0.2">
      <c r="A3543" s="2" t="s">
        <v>1355</v>
      </c>
      <c r="B3543" s="2" t="s">
        <v>47</v>
      </c>
      <c r="C3543" s="2" t="s">
        <v>16</v>
      </c>
      <c r="D3543" s="2">
        <v>51</v>
      </c>
      <c r="E3543" s="5">
        <v>43920</v>
      </c>
      <c r="F3543" s="2">
        <v>110</v>
      </c>
      <c r="G3543" s="2" t="s">
        <v>66</v>
      </c>
      <c r="H3543" s="2" t="s">
        <v>23</v>
      </c>
      <c r="I3543" s="6">
        <v>0.3</v>
      </c>
      <c r="J3543" s="2" t="str">
        <f t="shared" si="55"/>
        <v>2020-03</v>
      </c>
    </row>
    <row r="3544" spans="1:10" x14ac:dyDescent="0.2">
      <c r="A3544" s="2" t="s">
        <v>2884</v>
      </c>
      <c r="B3544" s="2" t="s">
        <v>28</v>
      </c>
      <c r="C3544" s="2" t="s">
        <v>235</v>
      </c>
      <c r="D3544" s="2">
        <v>31</v>
      </c>
      <c r="E3544" s="5">
        <v>43920</v>
      </c>
      <c r="F3544" s="2">
        <v>77</v>
      </c>
      <c r="G3544" s="2" t="s">
        <v>17</v>
      </c>
      <c r="H3544" s="2" t="s">
        <v>23</v>
      </c>
      <c r="I3544" s="6">
        <v>0.09</v>
      </c>
      <c r="J3544" s="2" t="str">
        <f t="shared" si="55"/>
        <v>2020-03</v>
      </c>
    </row>
    <row r="3545" spans="1:10" x14ac:dyDescent="0.2">
      <c r="A3545" s="2" t="s">
        <v>2885</v>
      </c>
      <c r="B3545" s="2" t="s">
        <v>34</v>
      </c>
      <c r="C3545" s="2" t="s">
        <v>170</v>
      </c>
      <c r="D3545" s="2">
        <v>30</v>
      </c>
      <c r="E3545" s="5">
        <v>43920</v>
      </c>
      <c r="F3545" s="2" t="s">
        <v>2954</v>
      </c>
      <c r="G3545" s="2" t="s">
        <v>12</v>
      </c>
      <c r="H3545" s="2" t="s">
        <v>23</v>
      </c>
      <c r="I3545" s="6">
        <v>0.1</v>
      </c>
      <c r="J3545" s="2" t="str">
        <f t="shared" si="55"/>
        <v>2020-03</v>
      </c>
    </row>
    <row r="3546" spans="1:10" x14ac:dyDescent="0.2">
      <c r="A3546" s="2" t="s">
        <v>2886</v>
      </c>
      <c r="B3546" s="2" t="s">
        <v>89</v>
      </c>
      <c r="C3546" s="2" t="s">
        <v>29</v>
      </c>
      <c r="D3546" s="2">
        <v>30</v>
      </c>
      <c r="E3546" s="5">
        <v>43920</v>
      </c>
      <c r="F3546" s="2">
        <v>110</v>
      </c>
      <c r="G3546" s="2" t="s">
        <v>128</v>
      </c>
      <c r="H3546" s="2" t="s">
        <v>23</v>
      </c>
      <c r="I3546" s="6" t="s">
        <v>2954</v>
      </c>
      <c r="J3546" s="2" t="str">
        <f t="shared" si="55"/>
        <v>2020-03</v>
      </c>
    </row>
    <row r="3547" spans="1:10" x14ac:dyDescent="0.2">
      <c r="A3547" s="2" t="s">
        <v>2887</v>
      </c>
      <c r="B3547" s="2" t="s">
        <v>416</v>
      </c>
      <c r="C3547" s="2" t="s">
        <v>52</v>
      </c>
      <c r="D3547" s="2">
        <v>30</v>
      </c>
      <c r="E3547" s="5">
        <v>43920</v>
      </c>
      <c r="F3547" s="2">
        <v>82</v>
      </c>
      <c r="G3547" s="2" t="s">
        <v>41</v>
      </c>
      <c r="H3547" s="2" t="s">
        <v>417</v>
      </c>
      <c r="I3547" s="6" t="s">
        <v>2954</v>
      </c>
      <c r="J3547" s="2" t="str">
        <f t="shared" si="55"/>
        <v>2020-03</v>
      </c>
    </row>
    <row r="3548" spans="1:10" x14ac:dyDescent="0.2">
      <c r="A3548" s="2" t="s">
        <v>2888</v>
      </c>
      <c r="B3548" s="2" t="s">
        <v>25</v>
      </c>
      <c r="C3548" s="2" t="s">
        <v>148</v>
      </c>
      <c r="D3548" s="2">
        <v>25</v>
      </c>
      <c r="E3548" s="5">
        <v>43920</v>
      </c>
      <c r="F3548" s="2">
        <v>18</v>
      </c>
      <c r="G3548" s="2" t="s">
        <v>41</v>
      </c>
      <c r="H3548" s="2" t="s">
        <v>23</v>
      </c>
      <c r="I3548" s="6">
        <v>0.75</v>
      </c>
      <c r="J3548" s="2" t="str">
        <f t="shared" si="55"/>
        <v>2020-03</v>
      </c>
    </row>
    <row r="3549" spans="1:10" x14ac:dyDescent="0.2">
      <c r="A3549" s="2" t="s">
        <v>823</v>
      </c>
      <c r="B3549" s="2" t="s">
        <v>34</v>
      </c>
      <c r="C3549" s="2" t="s">
        <v>142</v>
      </c>
      <c r="D3549" s="2">
        <v>20</v>
      </c>
      <c r="E3549" s="5">
        <v>43920</v>
      </c>
      <c r="F3549" s="2">
        <v>75</v>
      </c>
      <c r="G3549" s="2" t="s">
        <v>41</v>
      </c>
      <c r="H3549" s="2" t="s">
        <v>23</v>
      </c>
      <c r="I3549" s="6" t="s">
        <v>2954</v>
      </c>
      <c r="J3549" s="2" t="str">
        <f t="shared" si="55"/>
        <v>2020-03</v>
      </c>
    </row>
    <row r="3550" spans="1:10" x14ac:dyDescent="0.2">
      <c r="A3550" s="2" t="s">
        <v>2889</v>
      </c>
      <c r="B3550" s="2" t="s">
        <v>25</v>
      </c>
      <c r="C3550" s="2" t="s">
        <v>11</v>
      </c>
      <c r="D3550" s="2">
        <v>9</v>
      </c>
      <c r="E3550" s="5">
        <v>43920</v>
      </c>
      <c r="F3550" s="2">
        <v>15</v>
      </c>
      <c r="G3550" s="2" t="s">
        <v>132</v>
      </c>
      <c r="H3550" s="2" t="s">
        <v>23</v>
      </c>
      <c r="I3550" s="6">
        <v>0.5</v>
      </c>
      <c r="J3550" s="2" t="str">
        <f t="shared" si="55"/>
        <v>2020-03</v>
      </c>
    </row>
    <row r="3551" spans="1:10" x14ac:dyDescent="0.2">
      <c r="A3551" s="2" t="s">
        <v>2890</v>
      </c>
      <c r="B3551" s="2" t="s">
        <v>34</v>
      </c>
      <c r="C3551" s="2" t="s">
        <v>142</v>
      </c>
      <c r="D3551" s="2" t="s">
        <v>2954</v>
      </c>
      <c r="E3551" s="5">
        <v>43920</v>
      </c>
      <c r="F3551" s="2">
        <v>31</v>
      </c>
      <c r="G3551" s="2" t="s">
        <v>66</v>
      </c>
      <c r="H3551" s="2" t="s">
        <v>23</v>
      </c>
      <c r="I3551" s="6" t="s">
        <v>2954</v>
      </c>
      <c r="J3551" s="2" t="str">
        <f t="shared" si="55"/>
        <v>2020-03</v>
      </c>
    </row>
    <row r="3552" spans="1:10" x14ac:dyDescent="0.2">
      <c r="A3552" s="2" t="s">
        <v>1049</v>
      </c>
      <c r="B3552" s="2" t="s">
        <v>47</v>
      </c>
      <c r="C3552" s="2" t="s">
        <v>84</v>
      </c>
      <c r="D3552" s="2">
        <v>400</v>
      </c>
      <c r="E3552" s="5">
        <v>43919</v>
      </c>
      <c r="F3552" s="2">
        <v>219</v>
      </c>
      <c r="G3552" s="2" t="s">
        <v>37</v>
      </c>
      <c r="H3552" s="2" t="s">
        <v>23</v>
      </c>
      <c r="I3552" s="6">
        <v>0.39</v>
      </c>
      <c r="J3552" s="2" t="str">
        <f t="shared" si="55"/>
        <v>2020-03</v>
      </c>
    </row>
    <row r="3553" spans="1:10" x14ac:dyDescent="0.2">
      <c r="A3553" s="2" t="s">
        <v>2891</v>
      </c>
      <c r="B3553" s="2" t="s">
        <v>28</v>
      </c>
      <c r="C3553" s="2" t="s">
        <v>26</v>
      </c>
      <c r="D3553" s="2">
        <v>17</v>
      </c>
      <c r="E3553" s="5">
        <v>43919</v>
      </c>
      <c r="F3553" s="2">
        <v>25</v>
      </c>
      <c r="G3553" s="2" t="s">
        <v>37</v>
      </c>
      <c r="H3553" s="2" t="s">
        <v>23</v>
      </c>
      <c r="I3553" s="6">
        <v>1</v>
      </c>
      <c r="J3553" s="2" t="str">
        <f t="shared" si="55"/>
        <v>2020-03</v>
      </c>
    </row>
    <row r="3554" spans="1:10" x14ac:dyDescent="0.2">
      <c r="A3554" s="2" t="s">
        <v>2892</v>
      </c>
      <c r="B3554" s="2" t="s">
        <v>34</v>
      </c>
      <c r="C3554" s="2" t="s">
        <v>35</v>
      </c>
      <c r="D3554" s="2">
        <v>10</v>
      </c>
      <c r="E3554" s="5">
        <v>43919</v>
      </c>
      <c r="F3554" s="2">
        <v>13</v>
      </c>
      <c r="G3554" s="2" t="s">
        <v>41</v>
      </c>
      <c r="H3554" s="2" t="s">
        <v>23</v>
      </c>
      <c r="I3554" s="6" t="s">
        <v>2954</v>
      </c>
      <c r="J3554" s="2" t="str">
        <f t="shared" si="55"/>
        <v>2020-03</v>
      </c>
    </row>
    <row r="3555" spans="1:10" x14ac:dyDescent="0.2">
      <c r="A3555" s="2" t="s">
        <v>2893</v>
      </c>
      <c r="B3555" s="2" t="s">
        <v>255</v>
      </c>
      <c r="C3555" s="2" t="s">
        <v>44</v>
      </c>
      <c r="D3555" s="2">
        <v>250</v>
      </c>
      <c r="E3555" s="5">
        <v>43918</v>
      </c>
      <c r="F3555" s="2">
        <v>47</v>
      </c>
      <c r="G3555" s="2" t="s">
        <v>75</v>
      </c>
      <c r="H3555" s="2" t="s">
        <v>98</v>
      </c>
      <c r="I3555" s="6">
        <v>0.5</v>
      </c>
      <c r="J3555" s="2" t="str">
        <f t="shared" si="55"/>
        <v>2020-03</v>
      </c>
    </row>
    <row r="3556" spans="1:10" x14ac:dyDescent="0.2">
      <c r="A3556" s="2" t="s">
        <v>2589</v>
      </c>
      <c r="B3556" s="2" t="s">
        <v>25</v>
      </c>
      <c r="C3556" s="2" t="s">
        <v>148</v>
      </c>
      <c r="D3556" s="2">
        <v>250</v>
      </c>
      <c r="E3556" s="5">
        <v>43918</v>
      </c>
      <c r="F3556" s="2">
        <v>2250</v>
      </c>
      <c r="G3556" s="2" t="s">
        <v>81</v>
      </c>
      <c r="H3556" s="2" t="s">
        <v>23</v>
      </c>
      <c r="I3556" s="6" t="s">
        <v>2954</v>
      </c>
      <c r="J3556" s="2" t="str">
        <f t="shared" si="55"/>
        <v>2020-03</v>
      </c>
    </row>
    <row r="3557" spans="1:10" x14ac:dyDescent="0.2">
      <c r="A3557" s="2" t="s">
        <v>450</v>
      </c>
      <c r="B3557" s="2" t="s">
        <v>25</v>
      </c>
      <c r="C3557" s="2" t="s">
        <v>142</v>
      </c>
      <c r="D3557" s="2" t="s">
        <v>2954</v>
      </c>
      <c r="E3557" s="5">
        <v>43918</v>
      </c>
      <c r="F3557" s="2">
        <v>541</v>
      </c>
      <c r="G3557" s="2" t="s">
        <v>62</v>
      </c>
      <c r="H3557" s="2" t="s">
        <v>23</v>
      </c>
      <c r="I3557" s="6" t="s">
        <v>2954</v>
      </c>
      <c r="J3557" s="2" t="str">
        <f t="shared" si="55"/>
        <v>2020-03</v>
      </c>
    </row>
    <row r="3558" spans="1:10" x14ac:dyDescent="0.2">
      <c r="A3558" s="2" t="s">
        <v>2894</v>
      </c>
      <c r="B3558" s="2" t="s">
        <v>54</v>
      </c>
      <c r="C3558" s="2" t="s">
        <v>135</v>
      </c>
      <c r="D3558" s="2">
        <v>451</v>
      </c>
      <c r="E3558" s="5">
        <v>43917</v>
      </c>
      <c r="F3558" s="2">
        <v>3000</v>
      </c>
      <c r="G3558" s="2" t="s">
        <v>12</v>
      </c>
      <c r="H3558" s="2" t="s">
        <v>55</v>
      </c>
      <c r="I3558" s="6">
        <v>0.85</v>
      </c>
      <c r="J3558" s="2" t="str">
        <f t="shared" si="55"/>
        <v>2020-03</v>
      </c>
    </row>
    <row r="3559" spans="1:10" x14ac:dyDescent="0.2">
      <c r="A3559" s="2" t="s">
        <v>680</v>
      </c>
      <c r="B3559" s="2" t="s">
        <v>47</v>
      </c>
      <c r="C3559" s="2" t="s">
        <v>52</v>
      </c>
      <c r="D3559" s="2">
        <v>406</v>
      </c>
      <c r="E3559" s="5">
        <v>43917</v>
      </c>
      <c r="F3559" s="2">
        <v>623</v>
      </c>
      <c r="G3559" s="2" t="s">
        <v>75</v>
      </c>
      <c r="H3559" s="2" t="s">
        <v>23</v>
      </c>
      <c r="I3559" s="6">
        <v>0.3</v>
      </c>
      <c r="J3559" s="2" t="str">
        <f t="shared" si="55"/>
        <v>2020-03</v>
      </c>
    </row>
    <row r="3560" spans="1:10" x14ac:dyDescent="0.2">
      <c r="A3560" s="2" t="s">
        <v>2895</v>
      </c>
      <c r="B3560" s="2" t="s">
        <v>217</v>
      </c>
      <c r="C3560" s="2" t="s">
        <v>35</v>
      </c>
      <c r="D3560" s="2">
        <v>250</v>
      </c>
      <c r="E3560" s="5">
        <v>43917</v>
      </c>
      <c r="F3560" s="2">
        <v>95</v>
      </c>
      <c r="G3560" s="2" t="s">
        <v>12</v>
      </c>
      <c r="H3560" s="2" t="s">
        <v>217</v>
      </c>
      <c r="I3560" s="6">
        <v>1</v>
      </c>
      <c r="J3560" s="2" t="str">
        <f t="shared" si="55"/>
        <v>2020-03</v>
      </c>
    </row>
    <row r="3561" spans="1:10" x14ac:dyDescent="0.2">
      <c r="A3561" s="2" t="s">
        <v>1657</v>
      </c>
      <c r="B3561" s="2" t="s">
        <v>34</v>
      </c>
      <c r="C3561" s="2" t="s">
        <v>142</v>
      </c>
      <c r="D3561" s="2">
        <v>227</v>
      </c>
      <c r="E3561" s="5">
        <v>43917</v>
      </c>
      <c r="F3561" s="2">
        <v>18</v>
      </c>
      <c r="G3561" s="2" t="s">
        <v>12</v>
      </c>
      <c r="H3561" s="2" t="s">
        <v>23</v>
      </c>
      <c r="I3561" s="6" t="s">
        <v>2954</v>
      </c>
      <c r="J3561" s="2" t="str">
        <f t="shared" si="55"/>
        <v>2020-03</v>
      </c>
    </row>
    <row r="3562" spans="1:10" x14ac:dyDescent="0.2">
      <c r="A3562" s="2" t="s">
        <v>2103</v>
      </c>
      <c r="B3562" s="2" t="s">
        <v>89</v>
      </c>
      <c r="C3562" s="2" t="s">
        <v>243</v>
      </c>
      <c r="D3562" s="2">
        <v>200</v>
      </c>
      <c r="E3562" s="5">
        <v>43917</v>
      </c>
      <c r="F3562" s="2">
        <v>430</v>
      </c>
      <c r="G3562" s="2" t="s">
        <v>128</v>
      </c>
      <c r="H3562" s="2" t="s">
        <v>23</v>
      </c>
      <c r="I3562" s="6" t="s">
        <v>2954</v>
      </c>
      <c r="J3562" s="2" t="str">
        <f t="shared" si="55"/>
        <v>2020-03</v>
      </c>
    </row>
    <row r="3563" spans="1:10" x14ac:dyDescent="0.2">
      <c r="A3563" s="2" t="s">
        <v>2896</v>
      </c>
      <c r="B3563" s="2" t="s">
        <v>47</v>
      </c>
      <c r="C3563" s="2" t="s">
        <v>11</v>
      </c>
      <c r="D3563" s="2">
        <v>175</v>
      </c>
      <c r="E3563" s="5">
        <v>43917</v>
      </c>
      <c r="F3563" s="2">
        <v>127</v>
      </c>
      <c r="G3563" s="2" t="s">
        <v>66</v>
      </c>
      <c r="H3563" s="2" t="s">
        <v>23</v>
      </c>
      <c r="I3563" s="6" t="s">
        <v>2954</v>
      </c>
      <c r="J3563" s="2" t="str">
        <f t="shared" si="55"/>
        <v>2020-03</v>
      </c>
    </row>
    <row r="3564" spans="1:10" x14ac:dyDescent="0.2">
      <c r="A3564" s="2" t="s">
        <v>2897</v>
      </c>
      <c r="B3564" s="2" t="s">
        <v>25</v>
      </c>
      <c r="C3564" s="2" t="s">
        <v>148</v>
      </c>
      <c r="D3564" s="2">
        <v>130</v>
      </c>
      <c r="E3564" s="5">
        <v>43917</v>
      </c>
      <c r="F3564" s="2">
        <v>77</v>
      </c>
      <c r="G3564" s="2" t="s">
        <v>37</v>
      </c>
      <c r="H3564" s="2" t="s">
        <v>23</v>
      </c>
      <c r="I3564" s="6">
        <v>0.25</v>
      </c>
      <c r="J3564" s="2" t="str">
        <f t="shared" si="55"/>
        <v>2020-03</v>
      </c>
    </row>
    <row r="3565" spans="1:10" x14ac:dyDescent="0.2">
      <c r="A3565" s="2" t="s">
        <v>2527</v>
      </c>
      <c r="B3565" s="2" t="s">
        <v>25</v>
      </c>
      <c r="C3565" s="2" t="s">
        <v>148</v>
      </c>
      <c r="D3565" s="2">
        <v>127</v>
      </c>
      <c r="E3565" s="5">
        <v>43917</v>
      </c>
      <c r="F3565" s="2">
        <v>560</v>
      </c>
      <c r="G3565" s="2" t="s">
        <v>66</v>
      </c>
      <c r="H3565" s="2" t="s">
        <v>23</v>
      </c>
      <c r="I3565" s="6">
        <v>0.3</v>
      </c>
      <c r="J3565" s="2" t="str">
        <f t="shared" si="55"/>
        <v>2020-03</v>
      </c>
    </row>
    <row r="3566" spans="1:10" x14ac:dyDescent="0.2">
      <c r="A3566" s="2" t="s">
        <v>312</v>
      </c>
      <c r="B3566" s="2" t="s">
        <v>34</v>
      </c>
      <c r="C3566" s="2" t="s">
        <v>52</v>
      </c>
      <c r="D3566" s="2">
        <v>100</v>
      </c>
      <c r="E3566" s="5">
        <v>43917</v>
      </c>
      <c r="F3566" s="2">
        <v>403</v>
      </c>
      <c r="G3566" s="2" t="s">
        <v>75</v>
      </c>
      <c r="H3566" s="2" t="s">
        <v>23</v>
      </c>
      <c r="I3566" s="6">
        <v>0.25</v>
      </c>
      <c r="J3566" s="2" t="str">
        <f t="shared" si="55"/>
        <v>2020-03</v>
      </c>
    </row>
    <row r="3567" spans="1:10" x14ac:dyDescent="0.2">
      <c r="A3567" s="2" t="s">
        <v>2898</v>
      </c>
      <c r="B3567" s="2" t="s">
        <v>89</v>
      </c>
      <c r="C3567" s="2" t="s">
        <v>52</v>
      </c>
      <c r="D3567" s="2">
        <v>100</v>
      </c>
      <c r="E3567" s="5">
        <v>43917</v>
      </c>
      <c r="F3567" s="2">
        <v>107</v>
      </c>
      <c r="G3567" s="2" t="s">
        <v>45</v>
      </c>
      <c r="H3567" s="2" t="s">
        <v>23</v>
      </c>
      <c r="I3567" s="6">
        <v>0.2</v>
      </c>
      <c r="J3567" s="2" t="str">
        <f t="shared" si="55"/>
        <v>2020-03</v>
      </c>
    </row>
    <row r="3568" spans="1:10" x14ac:dyDescent="0.2">
      <c r="A3568" s="2" t="s">
        <v>2899</v>
      </c>
      <c r="B3568" s="2" t="s">
        <v>183</v>
      </c>
      <c r="C3568" s="2" t="s">
        <v>16</v>
      </c>
      <c r="D3568" s="2">
        <v>78</v>
      </c>
      <c r="E3568" s="5">
        <v>43917</v>
      </c>
      <c r="F3568" s="2">
        <v>201</v>
      </c>
      <c r="G3568" s="2" t="s">
        <v>17</v>
      </c>
      <c r="H3568" s="2" t="s">
        <v>106</v>
      </c>
      <c r="I3568" s="6">
        <v>0.3</v>
      </c>
      <c r="J3568" s="2" t="str">
        <f t="shared" si="55"/>
        <v>2020-03</v>
      </c>
    </row>
    <row r="3569" spans="1:10" x14ac:dyDescent="0.2">
      <c r="A3569" s="2" t="s">
        <v>2900</v>
      </c>
      <c r="B3569" s="2" t="s">
        <v>86</v>
      </c>
      <c r="C3569" s="2" t="s">
        <v>632</v>
      </c>
      <c r="D3569" s="2">
        <v>75</v>
      </c>
      <c r="E3569" s="5">
        <v>43917</v>
      </c>
      <c r="F3569" s="2">
        <v>133</v>
      </c>
      <c r="G3569" s="2" t="s">
        <v>128</v>
      </c>
      <c r="H3569" s="2" t="s">
        <v>23</v>
      </c>
      <c r="I3569" s="6" t="s">
        <v>2954</v>
      </c>
      <c r="J3569" s="2" t="str">
        <f t="shared" si="55"/>
        <v>2020-03</v>
      </c>
    </row>
    <row r="3570" spans="1:10" x14ac:dyDescent="0.2">
      <c r="A3570" s="2" t="s">
        <v>2901</v>
      </c>
      <c r="B3570" s="2" t="s">
        <v>64</v>
      </c>
      <c r="C3570" s="2" t="s">
        <v>363</v>
      </c>
      <c r="D3570" s="2">
        <v>60</v>
      </c>
      <c r="E3570" s="5">
        <v>43917</v>
      </c>
      <c r="F3570" s="2">
        <v>12</v>
      </c>
      <c r="G3570" s="2" t="s">
        <v>41</v>
      </c>
      <c r="H3570" s="2" t="s">
        <v>23</v>
      </c>
      <c r="I3570" s="6" t="s">
        <v>2954</v>
      </c>
      <c r="J3570" s="2" t="str">
        <f t="shared" si="55"/>
        <v>2020-03</v>
      </c>
    </row>
    <row r="3571" spans="1:10" x14ac:dyDescent="0.2">
      <c r="A3571" s="2" t="s">
        <v>2902</v>
      </c>
      <c r="B3571" s="2" t="s">
        <v>183</v>
      </c>
      <c r="C3571" s="2" t="s">
        <v>16</v>
      </c>
      <c r="D3571" s="2">
        <v>47</v>
      </c>
      <c r="E3571" s="5">
        <v>43917</v>
      </c>
      <c r="F3571" s="2">
        <v>49</v>
      </c>
      <c r="G3571" s="2" t="s">
        <v>37</v>
      </c>
      <c r="H3571" s="2" t="s">
        <v>106</v>
      </c>
      <c r="I3571" s="6">
        <v>0.1</v>
      </c>
      <c r="J3571" s="2" t="str">
        <f t="shared" si="55"/>
        <v>2020-03</v>
      </c>
    </row>
    <row r="3572" spans="1:10" x14ac:dyDescent="0.2">
      <c r="A3572" s="2" t="s">
        <v>1302</v>
      </c>
      <c r="B3572" s="2" t="s">
        <v>661</v>
      </c>
      <c r="C3572" s="2" t="s">
        <v>148</v>
      </c>
      <c r="D3572" s="2">
        <v>47</v>
      </c>
      <c r="E3572" s="5">
        <v>43917</v>
      </c>
      <c r="F3572" s="2">
        <v>263</v>
      </c>
      <c r="G3572" s="2" t="s">
        <v>66</v>
      </c>
      <c r="H3572" s="2" t="s">
        <v>662</v>
      </c>
      <c r="I3572" s="6" t="s">
        <v>2954</v>
      </c>
      <c r="J3572" s="2" t="str">
        <f t="shared" si="55"/>
        <v>2020-03</v>
      </c>
    </row>
    <row r="3573" spans="1:10" x14ac:dyDescent="0.2">
      <c r="A3573" s="2" t="s">
        <v>2903</v>
      </c>
      <c r="B3573" s="2" t="s">
        <v>34</v>
      </c>
      <c r="C3573" s="2" t="s">
        <v>11</v>
      </c>
      <c r="D3573" s="2">
        <v>40</v>
      </c>
      <c r="E3573" s="5">
        <v>43917</v>
      </c>
      <c r="F3573" s="2">
        <v>20</v>
      </c>
      <c r="G3573" s="2" t="s">
        <v>132</v>
      </c>
      <c r="H3573" s="2" t="s">
        <v>23</v>
      </c>
      <c r="I3573" s="6" t="s">
        <v>2954</v>
      </c>
      <c r="J3573" s="2" t="str">
        <f t="shared" si="55"/>
        <v>2020-03</v>
      </c>
    </row>
    <row r="3574" spans="1:10" x14ac:dyDescent="0.2">
      <c r="A3574" s="2" t="s">
        <v>2904</v>
      </c>
      <c r="B3574" s="2" t="s">
        <v>89</v>
      </c>
      <c r="C3574" s="2" t="s">
        <v>11</v>
      </c>
      <c r="D3574" s="2">
        <v>30</v>
      </c>
      <c r="E3574" s="5">
        <v>43917</v>
      </c>
      <c r="F3574" s="2">
        <v>60</v>
      </c>
      <c r="G3574" s="2" t="s">
        <v>66</v>
      </c>
      <c r="H3574" s="2" t="s">
        <v>23</v>
      </c>
      <c r="I3574" s="6">
        <v>0.2</v>
      </c>
      <c r="J3574" s="2" t="str">
        <f t="shared" si="55"/>
        <v>2020-03</v>
      </c>
    </row>
    <row r="3575" spans="1:10" x14ac:dyDescent="0.2">
      <c r="A3575" s="2" t="s">
        <v>230</v>
      </c>
      <c r="B3575" s="2" t="s">
        <v>28</v>
      </c>
      <c r="C3575" s="2" t="s">
        <v>84</v>
      </c>
      <c r="D3575" s="2">
        <v>30</v>
      </c>
      <c r="E3575" s="5">
        <v>43917</v>
      </c>
      <c r="F3575" s="2">
        <v>41</v>
      </c>
      <c r="G3575" s="2" t="s">
        <v>12</v>
      </c>
      <c r="H3575" s="2" t="s">
        <v>23</v>
      </c>
      <c r="I3575" s="6">
        <v>0.2</v>
      </c>
      <c r="J3575" s="2" t="str">
        <f t="shared" si="55"/>
        <v>2020-03</v>
      </c>
    </row>
    <row r="3576" spans="1:10" x14ac:dyDescent="0.2">
      <c r="A3576" s="2" t="s">
        <v>2905</v>
      </c>
      <c r="B3576" s="2" t="s">
        <v>43</v>
      </c>
      <c r="C3576" s="2" t="s">
        <v>26</v>
      </c>
      <c r="D3576" s="2">
        <v>20</v>
      </c>
      <c r="E3576" s="5">
        <v>43917</v>
      </c>
      <c r="F3576" s="2">
        <v>25</v>
      </c>
      <c r="G3576" s="2" t="s">
        <v>37</v>
      </c>
      <c r="H3576" s="2" t="s">
        <v>23</v>
      </c>
      <c r="I3576" s="6" t="s">
        <v>2954</v>
      </c>
      <c r="J3576" s="2" t="str">
        <f t="shared" si="55"/>
        <v>2020-03</v>
      </c>
    </row>
    <row r="3577" spans="1:10" x14ac:dyDescent="0.2">
      <c r="A3577" s="2" t="s">
        <v>2831</v>
      </c>
      <c r="B3577" s="2" t="s">
        <v>25</v>
      </c>
      <c r="C3577" s="2" t="s">
        <v>142</v>
      </c>
      <c r="D3577" s="2">
        <v>10</v>
      </c>
      <c r="E3577" s="5">
        <v>43917</v>
      </c>
      <c r="F3577" s="2">
        <v>68</v>
      </c>
      <c r="G3577" s="2" t="s">
        <v>37</v>
      </c>
      <c r="H3577" s="2" t="s">
        <v>23</v>
      </c>
      <c r="I3577" s="6" t="s">
        <v>2954</v>
      </c>
      <c r="J3577" s="2" t="str">
        <f t="shared" si="55"/>
        <v>2020-03</v>
      </c>
    </row>
    <row r="3578" spans="1:10" x14ac:dyDescent="0.2">
      <c r="A3578" s="2" t="s">
        <v>2906</v>
      </c>
      <c r="B3578" s="2" t="s">
        <v>1472</v>
      </c>
      <c r="C3578" s="2" t="s">
        <v>16</v>
      </c>
      <c r="D3578" s="2" t="s">
        <v>2954</v>
      </c>
      <c r="E3578" s="5">
        <v>43917</v>
      </c>
      <c r="F3578" s="2" t="s">
        <v>2954</v>
      </c>
      <c r="G3578" s="2" t="s">
        <v>41</v>
      </c>
      <c r="H3578" s="2" t="s">
        <v>662</v>
      </c>
      <c r="I3578" s="6" t="s">
        <v>2954</v>
      </c>
      <c r="J3578" s="2" t="str">
        <f t="shared" si="55"/>
        <v>2020-03</v>
      </c>
    </row>
    <row r="3579" spans="1:10" x14ac:dyDescent="0.2">
      <c r="A3579" s="2" t="s">
        <v>2907</v>
      </c>
      <c r="B3579" s="2" t="s">
        <v>34</v>
      </c>
      <c r="C3579" s="2" t="s">
        <v>61</v>
      </c>
      <c r="D3579" s="2" t="s">
        <v>2954</v>
      </c>
      <c r="E3579" s="5">
        <v>43917</v>
      </c>
      <c r="F3579" s="2" t="s">
        <v>2954</v>
      </c>
      <c r="G3579" s="2" t="s">
        <v>12</v>
      </c>
      <c r="H3579" s="2" t="s">
        <v>23</v>
      </c>
      <c r="I3579" s="6" t="s">
        <v>2954</v>
      </c>
      <c r="J3579" s="2" t="str">
        <f t="shared" si="55"/>
        <v>2020-03</v>
      </c>
    </row>
    <row r="3580" spans="1:10" x14ac:dyDescent="0.2">
      <c r="A3580" s="2" t="s">
        <v>2908</v>
      </c>
      <c r="B3580" s="2" t="s">
        <v>86</v>
      </c>
      <c r="C3580" s="2" t="s">
        <v>48</v>
      </c>
      <c r="D3580" s="2" t="s">
        <v>2954</v>
      </c>
      <c r="E3580" s="5">
        <v>43917</v>
      </c>
      <c r="F3580" s="2">
        <v>273</v>
      </c>
      <c r="G3580" s="2" t="s">
        <v>81</v>
      </c>
      <c r="H3580" s="2" t="s">
        <v>23</v>
      </c>
      <c r="I3580" s="6" t="s">
        <v>2954</v>
      </c>
      <c r="J3580" s="2" t="str">
        <f t="shared" si="55"/>
        <v>2020-03</v>
      </c>
    </row>
    <row r="3581" spans="1:10" x14ac:dyDescent="0.2">
      <c r="A3581" s="2" t="s">
        <v>2909</v>
      </c>
      <c r="B3581" s="2" t="s">
        <v>34</v>
      </c>
      <c r="C3581" s="2" t="s">
        <v>142</v>
      </c>
      <c r="D3581" s="2">
        <v>250</v>
      </c>
      <c r="E3581" s="5">
        <v>43916</v>
      </c>
      <c r="F3581" s="2">
        <v>88</v>
      </c>
      <c r="G3581" s="2" t="s">
        <v>66</v>
      </c>
      <c r="H3581" s="2" t="s">
        <v>23</v>
      </c>
      <c r="I3581" s="6">
        <v>0.5</v>
      </c>
      <c r="J3581" s="2" t="str">
        <f t="shared" si="55"/>
        <v>2020-03</v>
      </c>
    </row>
    <row r="3582" spans="1:10" x14ac:dyDescent="0.2">
      <c r="A3582" s="2" t="s">
        <v>2910</v>
      </c>
      <c r="B3582" s="2" t="s">
        <v>255</v>
      </c>
      <c r="C3582" s="2" t="s">
        <v>44</v>
      </c>
      <c r="D3582" s="2">
        <v>200</v>
      </c>
      <c r="E3582" s="5">
        <v>43916</v>
      </c>
      <c r="F3582" s="2" t="s">
        <v>2954</v>
      </c>
      <c r="G3582" s="2" t="s">
        <v>12</v>
      </c>
      <c r="H3582" s="2" t="s">
        <v>98</v>
      </c>
      <c r="I3582" s="6" t="s">
        <v>2954</v>
      </c>
      <c r="J3582" s="2" t="str">
        <f t="shared" si="55"/>
        <v>2020-03</v>
      </c>
    </row>
    <row r="3583" spans="1:10" x14ac:dyDescent="0.2">
      <c r="A3583" s="2" t="s">
        <v>2159</v>
      </c>
      <c r="B3583" s="2" t="s">
        <v>43</v>
      </c>
      <c r="C3583" s="2" t="s">
        <v>48</v>
      </c>
      <c r="D3583" s="2">
        <v>50</v>
      </c>
      <c r="E3583" s="5">
        <v>43916</v>
      </c>
      <c r="F3583" s="2">
        <v>149</v>
      </c>
      <c r="G3583" s="2" t="s">
        <v>62</v>
      </c>
      <c r="H3583" s="2" t="s">
        <v>23</v>
      </c>
      <c r="I3583" s="6">
        <v>0.1</v>
      </c>
      <c r="J3583" s="2" t="str">
        <f t="shared" si="55"/>
        <v>2020-03</v>
      </c>
    </row>
    <row r="3584" spans="1:10" x14ac:dyDescent="0.2">
      <c r="A3584" s="2" t="s">
        <v>2911</v>
      </c>
      <c r="B3584" s="2" t="s">
        <v>335</v>
      </c>
      <c r="C3584" s="2" t="s">
        <v>109</v>
      </c>
      <c r="D3584" s="2">
        <v>47</v>
      </c>
      <c r="E3584" s="5">
        <v>43916</v>
      </c>
      <c r="F3584" s="2">
        <v>149</v>
      </c>
      <c r="G3584" s="2" t="s">
        <v>66</v>
      </c>
      <c r="H3584" s="2" t="s">
        <v>106</v>
      </c>
      <c r="I3584" s="6">
        <v>0.1</v>
      </c>
      <c r="J3584" s="2" t="str">
        <f t="shared" si="55"/>
        <v>2020-03</v>
      </c>
    </row>
    <row r="3585" spans="1:10" x14ac:dyDescent="0.2">
      <c r="A3585" s="2" t="s">
        <v>2912</v>
      </c>
      <c r="B3585" s="2" t="s">
        <v>733</v>
      </c>
      <c r="C3585" s="2" t="s">
        <v>52</v>
      </c>
      <c r="D3585" s="2">
        <v>44</v>
      </c>
      <c r="E3585" s="5">
        <v>43916</v>
      </c>
      <c r="F3585" s="2">
        <v>123</v>
      </c>
      <c r="G3585" s="2" t="s">
        <v>75</v>
      </c>
      <c r="H3585" s="2" t="s">
        <v>23</v>
      </c>
      <c r="I3585" s="6" t="s">
        <v>2954</v>
      </c>
      <c r="J3585" s="2" t="str">
        <f t="shared" si="55"/>
        <v>2020-03</v>
      </c>
    </row>
    <row r="3586" spans="1:10" x14ac:dyDescent="0.2">
      <c r="A3586" s="2" t="s">
        <v>2913</v>
      </c>
      <c r="B3586" s="2" t="s">
        <v>34</v>
      </c>
      <c r="C3586" s="2" t="s">
        <v>148</v>
      </c>
      <c r="D3586" s="2">
        <v>41</v>
      </c>
      <c r="E3586" s="5">
        <v>43916</v>
      </c>
      <c r="F3586" s="2">
        <v>34</v>
      </c>
      <c r="G3586" s="2" t="s">
        <v>37</v>
      </c>
      <c r="H3586" s="2" t="s">
        <v>23</v>
      </c>
      <c r="I3586" s="6">
        <v>0.75</v>
      </c>
      <c r="J3586" s="2" t="str">
        <f t="shared" si="55"/>
        <v>2020-03</v>
      </c>
    </row>
    <row r="3587" spans="1:10" x14ac:dyDescent="0.2">
      <c r="A3587" s="2" t="s">
        <v>2914</v>
      </c>
      <c r="B3587" s="2" t="s">
        <v>60</v>
      </c>
      <c r="C3587" s="2" t="s">
        <v>142</v>
      </c>
      <c r="D3587" s="2">
        <v>23</v>
      </c>
      <c r="E3587" s="5">
        <v>43916</v>
      </c>
      <c r="F3587" s="2">
        <v>47</v>
      </c>
      <c r="G3587" s="2" t="s">
        <v>37</v>
      </c>
      <c r="H3587" s="2" t="s">
        <v>23</v>
      </c>
      <c r="I3587" s="6">
        <v>0.2</v>
      </c>
      <c r="J3587" s="2" t="str">
        <f t="shared" ref="J3587:J3643" si="56">TEXT(E3587,"YYYY-MM")</f>
        <v>2020-03</v>
      </c>
    </row>
    <row r="3588" spans="1:10" x14ac:dyDescent="0.2">
      <c r="A3588" s="2" t="s">
        <v>2915</v>
      </c>
      <c r="B3588" s="2" t="s">
        <v>34</v>
      </c>
      <c r="C3588" s="2" t="s">
        <v>29</v>
      </c>
      <c r="D3588" s="2">
        <v>13</v>
      </c>
      <c r="E3588" s="5">
        <v>43916</v>
      </c>
      <c r="F3588" s="2">
        <v>5</v>
      </c>
      <c r="G3588" s="2" t="s">
        <v>132</v>
      </c>
      <c r="H3588" s="2" t="s">
        <v>23</v>
      </c>
      <c r="I3588" s="6">
        <v>1</v>
      </c>
      <c r="J3588" s="2" t="str">
        <f t="shared" si="56"/>
        <v>2020-03</v>
      </c>
    </row>
    <row r="3589" spans="1:10" x14ac:dyDescent="0.2">
      <c r="A3589" s="2" t="s">
        <v>2916</v>
      </c>
      <c r="B3589" s="2" t="s">
        <v>47</v>
      </c>
      <c r="C3589" s="2" t="s">
        <v>26</v>
      </c>
      <c r="D3589" s="2" t="s">
        <v>2954</v>
      </c>
      <c r="E3589" s="5">
        <v>43916</v>
      </c>
      <c r="F3589" s="2">
        <v>35</v>
      </c>
      <c r="G3589" s="2" t="s">
        <v>37</v>
      </c>
      <c r="H3589" s="2" t="s">
        <v>23</v>
      </c>
      <c r="I3589" s="6">
        <v>0.4</v>
      </c>
      <c r="J3589" s="2" t="str">
        <f t="shared" si="56"/>
        <v>2020-03</v>
      </c>
    </row>
    <row r="3590" spans="1:10" x14ac:dyDescent="0.2">
      <c r="A3590" s="2" t="s">
        <v>2917</v>
      </c>
      <c r="B3590" s="2" t="s">
        <v>34</v>
      </c>
      <c r="C3590" s="2" t="s">
        <v>44</v>
      </c>
      <c r="D3590" s="2">
        <v>300</v>
      </c>
      <c r="E3590" s="5">
        <v>43915</v>
      </c>
      <c r="F3590" s="2">
        <v>981</v>
      </c>
      <c r="G3590" s="2" t="s">
        <v>75</v>
      </c>
      <c r="H3590" s="2" t="s">
        <v>23</v>
      </c>
      <c r="I3590" s="6">
        <v>0.25</v>
      </c>
      <c r="J3590" s="2" t="str">
        <f t="shared" si="56"/>
        <v>2020-03</v>
      </c>
    </row>
    <row r="3591" spans="1:10" x14ac:dyDescent="0.2">
      <c r="A3591" s="2" t="s">
        <v>2918</v>
      </c>
      <c r="B3591" s="2" t="s">
        <v>34</v>
      </c>
      <c r="C3591" s="2" t="s">
        <v>148</v>
      </c>
      <c r="D3591" s="2">
        <v>100</v>
      </c>
      <c r="E3591" s="5">
        <v>43915</v>
      </c>
      <c r="F3591" s="2">
        <v>179.1</v>
      </c>
      <c r="G3591" s="2" t="s">
        <v>37</v>
      </c>
      <c r="H3591" s="2" t="s">
        <v>23</v>
      </c>
      <c r="I3591" s="6" t="s">
        <v>2954</v>
      </c>
      <c r="J3591" s="2" t="str">
        <f t="shared" si="56"/>
        <v>2020-03</v>
      </c>
    </row>
    <row r="3592" spans="1:10" x14ac:dyDescent="0.2">
      <c r="A3592" s="2" t="s">
        <v>2919</v>
      </c>
      <c r="B3592" s="2" t="s">
        <v>335</v>
      </c>
      <c r="C3592" s="2" t="s">
        <v>78</v>
      </c>
      <c r="D3592" s="2">
        <v>78</v>
      </c>
      <c r="E3592" s="5">
        <v>43915</v>
      </c>
      <c r="F3592" s="2" t="s">
        <v>2954</v>
      </c>
      <c r="G3592" s="2" t="s">
        <v>12</v>
      </c>
      <c r="H3592" s="2" t="s">
        <v>106</v>
      </c>
      <c r="I3592" s="6">
        <v>0.3</v>
      </c>
      <c r="J3592" s="2" t="str">
        <f t="shared" si="56"/>
        <v>2020-03</v>
      </c>
    </row>
    <row r="3593" spans="1:10" x14ac:dyDescent="0.2">
      <c r="A3593" s="2" t="s">
        <v>2920</v>
      </c>
      <c r="B3593" s="2" t="s">
        <v>34</v>
      </c>
      <c r="C3593" s="2" t="s">
        <v>235</v>
      </c>
      <c r="D3593" s="2">
        <v>75</v>
      </c>
      <c r="E3593" s="5">
        <v>43915</v>
      </c>
      <c r="F3593" s="2" t="s">
        <v>2954</v>
      </c>
      <c r="G3593" s="2" t="s">
        <v>12</v>
      </c>
      <c r="H3593" s="2" t="s">
        <v>23</v>
      </c>
      <c r="I3593" s="6">
        <v>0.15</v>
      </c>
      <c r="J3593" s="2" t="str">
        <f t="shared" si="56"/>
        <v>2020-03</v>
      </c>
    </row>
    <row r="3594" spans="1:10" x14ac:dyDescent="0.2">
      <c r="A3594" s="2" t="s">
        <v>2276</v>
      </c>
      <c r="B3594" s="2" t="s">
        <v>34</v>
      </c>
      <c r="C3594" s="2" t="s">
        <v>44</v>
      </c>
      <c r="D3594" s="2">
        <v>56</v>
      </c>
      <c r="E3594" s="5">
        <v>43915</v>
      </c>
      <c r="F3594" s="2">
        <v>26</v>
      </c>
      <c r="G3594" s="2" t="s">
        <v>37</v>
      </c>
      <c r="H3594" s="2" t="s">
        <v>23</v>
      </c>
      <c r="I3594" s="6">
        <v>0.23</v>
      </c>
      <c r="J3594" s="2" t="str">
        <f t="shared" si="56"/>
        <v>2020-03</v>
      </c>
    </row>
    <row r="3595" spans="1:10" x14ac:dyDescent="0.2">
      <c r="A3595" s="2" t="s">
        <v>2921</v>
      </c>
      <c r="B3595" s="2" t="s">
        <v>86</v>
      </c>
      <c r="C3595" s="2" t="s">
        <v>26</v>
      </c>
      <c r="D3595" s="2">
        <v>52</v>
      </c>
      <c r="E3595" s="5">
        <v>43915</v>
      </c>
      <c r="F3595" s="2">
        <v>48</v>
      </c>
      <c r="G3595" s="2" t="s">
        <v>66</v>
      </c>
      <c r="H3595" s="2" t="s">
        <v>23</v>
      </c>
      <c r="I3595" s="6">
        <v>0.28000000000000003</v>
      </c>
      <c r="J3595" s="2" t="str">
        <f t="shared" si="56"/>
        <v>2020-03</v>
      </c>
    </row>
    <row r="3596" spans="1:10" x14ac:dyDescent="0.2">
      <c r="A3596" s="2" t="s">
        <v>1398</v>
      </c>
      <c r="B3596" s="2" t="s">
        <v>34</v>
      </c>
      <c r="C3596" s="2" t="s">
        <v>61</v>
      </c>
      <c r="D3596" s="2">
        <v>50</v>
      </c>
      <c r="E3596" s="5">
        <v>43915</v>
      </c>
      <c r="F3596" s="2">
        <v>24</v>
      </c>
      <c r="G3596" s="2" t="s">
        <v>41</v>
      </c>
      <c r="H3596" s="2" t="s">
        <v>23</v>
      </c>
      <c r="I3596" s="6">
        <v>0.75</v>
      </c>
      <c r="J3596" s="2" t="str">
        <f t="shared" si="56"/>
        <v>2020-03</v>
      </c>
    </row>
    <row r="3597" spans="1:10" x14ac:dyDescent="0.2">
      <c r="A3597" s="2" t="s">
        <v>2922</v>
      </c>
      <c r="B3597" s="2" t="s">
        <v>25</v>
      </c>
      <c r="C3597" s="2" t="s">
        <v>235</v>
      </c>
      <c r="D3597" s="2">
        <v>30</v>
      </c>
      <c r="E3597" s="5">
        <v>43915</v>
      </c>
      <c r="F3597" s="2">
        <v>35</v>
      </c>
      <c r="G3597" s="2" t="s">
        <v>37</v>
      </c>
      <c r="H3597" s="2" t="s">
        <v>23</v>
      </c>
      <c r="I3597" s="6">
        <v>0.23</v>
      </c>
      <c r="J3597" s="2" t="str">
        <f t="shared" si="56"/>
        <v>2020-03</v>
      </c>
    </row>
    <row r="3598" spans="1:10" x14ac:dyDescent="0.2">
      <c r="A3598" s="2" t="s">
        <v>2923</v>
      </c>
      <c r="B3598" s="2" t="s">
        <v>43</v>
      </c>
      <c r="C3598" s="2" t="s">
        <v>78</v>
      </c>
      <c r="D3598" s="2">
        <v>12</v>
      </c>
      <c r="E3598" s="5">
        <v>43915</v>
      </c>
      <c r="F3598" s="2">
        <v>233</v>
      </c>
      <c r="G3598" s="2" t="s">
        <v>12</v>
      </c>
      <c r="H3598" s="2" t="s">
        <v>23</v>
      </c>
      <c r="I3598" s="6">
        <v>0.05</v>
      </c>
      <c r="J3598" s="2" t="str">
        <f t="shared" si="56"/>
        <v>2020-03</v>
      </c>
    </row>
    <row r="3599" spans="1:10" x14ac:dyDescent="0.2">
      <c r="A3599" s="2" t="s">
        <v>2924</v>
      </c>
      <c r="B3599" s="2" t="s">
        <v>34</v>
      </c>
      <c r="C3599" s="2" t="s">
        <v>243</v>
      </c>
      <c r="D3599" s="2">
        <v>10</v>
      </c>
      <c r="E3599" s="5">
        <v>43915</v>
      </c>
      <c r="F3599" s="2">
        <v>22</v>
      </c>
      <c r="G3599" s="2" t="s">
        <v>41</v>
      </c>
      <c r="H3599" s="2" t="s">
        <v>23</v>
      </c>
      <c r="I3599" s="6" t="s">
        <v>2954</v>
      </c>
      <c r="J3599" s="2" t="str">
        <f t="shared" si="56"/>
        <v>2020-03</v>
      </c>
    </row>
    <row r="3600" spans="1:10" x14ac:dyDescent="0.2">
      <c r="A3600" s="2" t="s">
        <v>1972</v>
      </c>
      <c r="B3600" s="2" t="s">
        <v>560</v>
      </c>
      <c r="C3600" s="2" t="s">
        <v>148</v>
      </c>
      <c r="D3600" s="2" t="s">
        <v>2954</v>
      </c>
      <c r="E3600" s="5">
        <v>43915</v>
      </c>
      <c r="F3600" s="2">
        <v>5</v>
      </c>
      <c r="G3600" s="2" t="s">
        <v>41</v>
      </c>
      <c r="H3600" s="2" t="s">
        <v>23</v>
      </c>
      <c r="I3600" s="6" t="s">
        <v>2954</v>
      </c>
      <c r="J3600" s="2" t="str">
        <f t="shared" si="56"/>
        <v>2020-03</v>
      </c>
    </row>
    <row r="3601" spans="1:10" x14ac:dyDescent="0.2">
      <c r="A3601" s="2" t="s">
        <v>2925</v>
      </c>
      <c r="B3601" s="2" t="s">
        <v>47</v>
      </c>
      <c r="C3601" s="2" t="s">
        <v>35</v>
      </c>
      <c r="D3601" s="2" t="s">
        <v>2954</v>
      </c>
      <c r="E3601" s="5">
        <v>43915</v>
      </c>
      <c r="F3601" s="2">
        <v>296</v>
      </c>
      <c r="G3601" s="2" t="s">
        <v>75</v>
      </c>
      <c r="H3601" s="2" t="s">
        <v>23</v>
      </c>
      <c r="I3601" s="6">
        <v>0.3</v>
      </c>
      <c r="J3601" s="2" t="str">
        <f t="shared" si="56"/>
        <v>2020-03</v>
      </c>
    </row>
    <row r="3602" spans="1:10" x14ac:dyDescent="0.2">
      <c r="A3602" s="2" t="s">
        <v>728</v>
      </c>
      <c r="B3602" s="2" t="s">
        <v>34</v>
      </c>
      <c r="C3602" s="2" t="s">
        <v>148</v>
      </c>
      <c r="D3602" s="2" t="s">
        <v>2954</v>
      </c>
      <c r="E3602" s="5">
        <v>43915</v>
      </c>
      <c r="F3602" s="2">
        <v>180</v>
      </c>
      <c r="G3602" s="2" t="s">
        <v>37</v>
      </c>
      <c r="H3602" s="2" t="s">
        <v>23</v>
      </c>
      <c r="I3602" s="6">
        <v>0.08</v>
      </c>
      <c r="J3602" s="2" t="str">
        <f t="shared" si="56"/>
        <v>2020-03</v>
      </c>
    </row>
    <row r="3603" spans="1:10" x14ac:dyDescent="0.2">
      <c r="A3603" s="2" t="s">
        <v>2926</v>
      </c>
      <c r="B3603" s="2" t="s">
        <v>25</v>
      </c>
      <c r="C3603" s="2" t="s">
        <v>142</v>
      </c>
      <c r="D3603" s="2" t="s">
        <v>2954</v>
      </c>
      <c r="E3603" s="5">
        <v>43915</v>
      </c>
      <c r="F3603" s="2">
        <v>8</v>
      </c>
      <c r="G3603" s="2" t="s">
        <v>41</v>
      </c>
      <c r="H3603" s="2" t="s">
        <v>23</v>
      </c>
      <c r="I3603" s="6" t="s">
        <v>2954</v>
      </c>
      <c r="J3603" s="2" t="str">
        <f t="shared" si="56"/>
        <v>2020-03</v>
      </c>
    </row>
    <row r="3604" spans="1:10" x14ac:dyDescent="0.2">
      <c r="A3604" s="2" t="s">
        <v>289</v>
      </c>
      <c r="B3604" s="2" t="s">
        <v>34</v>
      </c>
      <c r="C3604" s="2" t="s">
        <v>44</v>
      </c>
      <c r="D3604" s="2">
        <v>400</v>
      </c>
      <c r="E3604" s="5">
        <v>43914</v>
      </c>
      <c r="F3604" s="2">
        <v>359</v>
      </c>
      <c r="G3604" s="2" t="s">
        <v>75</v>
      </c>
      <c r="H3604" s="2" t="s">
        <v>23</v>
      </c>
      <c r="I3604" s="6">
        <v>0.33</v>
      </c>
      <c r="J3604" s="2" t="str">
        <f t="shared" si="56"/>
        <v>2020-03</v>
      </c>
    </row>
    <row r="3605" spans="1:10" x14ac:dyDescent="0.2">
      <c r="A3605" s="2" t="s">
        <v>2927</v>
      </c>
      <c r="B3605" s="2" t="s">
        <v>515</v>
      </c>
      <c r="C3605" s="2" t="s">
        <v>35</v>
      </c>
      <c r="D3605" s="2">
        <v>130</v>
      </c>
      <c r="E3605" s="5">
        <v>43914</v>
      </c>
      <c r="F3605" s="2" t="s">
        <v>2954</v>
      </c>
      <c r="G3605" s="2" t="s">
        <v>12</v>
      </c>
      <c r="H3605" s="2" t="s">
        <v>23</v>
      </c>
      <c r="I3605" s="6" t="s">
        <v>2954</v>
      </c>
      <c r="J3605" s="2" t="str">
        <f t="shared" si="56"/>
        <v>2020-03</v>
      </c>
    </row>
    <row r="3606" spans="1:10" x14ac:dyDescent="0.2">
      <c r="A3606" s="2" t="s">
        <v>2928</v>
      </c>
      <c r="B3606" s="2" t="s">
        <v>378</v>
      </c>
      <c r="C3606" s="2" t="s">
        <v>11</v>
      </c>
      <c r="D3606" s="2">
        <v>87</v>
      </c>
      <c r="E3606" s="5">
        <v>43914</v>
      </c>
      <c r="F3606" s="2">
        <v>20</v>
      </c>
      <c r="G3606" s="2" t="s">
        <v>37</v>
      </c>
      <c r="H3606" s="2" t="s">
        <v>23</v>
      </c>
      <c r="I3606" s="6">
        <v>0.67</v>
      </c>
      <c r="J3606" s="2" t="str">
        <f t="shared" si="56"/>
        <v>2020-03</v>
      </c>
    </row>
    <row r="3607" spans="1:10" x14ac:dyDescent="0.2">
      <c r="A3607" s="2" t="s">
        <v>592</v>
      </c>
      <c r="B3607" s="2" t="s">
        <v>34</v>
      </c>
      <c r="C3607" s="2" t="s">
        <v>148</v>
      </c>
      <c r="D3607" s="2">
        <v>80</v>
      </c>
      <c r="E3607" s="5">
        <v>43914</v>
      </c>
      <c r="F3607" s="2">
        <v>79</v>
      </c>
      <c r="G3607" s="2" t="s">
        <v>37</v>
      </c>
      <c r="H3607" s="2" t="s">
        <v>23</v>
      </c>
      <c r="I3607" s="6">
        <v>0.3</v>
      </c>
      <c r="J3607" s="2" t="str">
        <f t="shared" si="56"/>
        <v>2020-03</v>
      </c>
    </row>
    <row r="3608" spans="1:10" x14ac:dyDescent="0.2">
      <c r="A3608" s="2" t="s">
        <v>2929</v>
      </c>
      <c r="B3608" s="2" t="s">
        <v>34</v>
      </c>
      <c r="C3608" s="2" t="s">
        <v>44</v>
      </c>
      <c r="D3608" s="2">
        <v>20</v>
      </c>
      <c r="E3608" s="5">
        <v>43914</v>
      </c>
      <c r="F3608" s="2">
        <v>35</v>
      </c>
      <c r="G3608" s="2" t="s">
        <v>37</v>
      </c>
      <c r="H3608" s="2" t="s">
        <v>23</v>
      </c>
      <c r="I3608" s="6" t="s">
        <v>2954</v>
      </c>
      <c r="J3608" s="2" t="str">
        <f t="shared" si="56"/>
        <v>2020-03</v>
      </c>
    </row>
    <row r="3609" spans="1:10" x14ac:dyDescent="0.2">
      <c r="A3609" s="2" t="s">
        <v>2930</v>
      </c>
      <c r="B3609" s="2" t="s">
        <v>335</v>
      </c>
      <c r="C3609" s="2" t="s">
        <v>142</v>
      </c>
      <c r="D3609" s="2" t="s">
        <v>2954</v>
      </c>
      <c r="E3609" s="5">
        <v>43914</v>
      </c>
      <c r="F3609" s="2" t="s">
        <v>2954</v>
      </c>
      <c r="G3609" s="2" t="s">
        <v>12</v>
      </c>
      <c r="H3609" s="2" t="s">
        <v>106</v>
      </c>
      <c r="I3609" s="6">
        <v>0.25</v>
      </c>
      <c r="J3609" s="2" t="str">
        <f t="shared" si="56"/>
        <v>2020-03</v>
      </c>
    </row>
    <row r="3610" spans="1:10" x14ac:dyDescent="0.2">
      <c r="A3610" s="2" t="s">
        <v>2931</v>
      </c>
      <c r="B3610" s="2" t="s">
        <v>157</v>
      </c>
      <c r="C3610" s="2" t="s">
        <v>68</v>
      </c>
      <c r="D3610" s="2" t="s">
        <v>2954</v>
      </c>
      <c r="E3610" s="5">
        <v>43914</v>
      </c>
      <c r="F3610" s="2">
        <v>47</v>
      </c>
      <c r="G3610" s="2" t="s">
        <v>12</v>
      </c>
      <c r="H3610" s="2" t="s">
        <v>23</v>
      </c>
      <c r="I3610" s="6">
        <v>0.4</v>
      </c>
      <c r="J3610" s="2" t="str">
        <f t="shared" si="56"/>
        <v>2020-03</v>
      </c>
    </row>
    <row r="3611" spans="1:10" x14ac:dyDescent="0.2">
      <c r="A3611" s="2" t="s">
        <v>2607</v>
      </c>
      <c r="B3611" s="2" t="s">
        <v>314</v>
      </c>
      <c r="C3611" s="2" t="s">
        <v>52</v>
      </c>
      <c r="D3611" s="2" t="s">
        <v>2954</v>
      </c>
      <c r="E3611" s="5">
        <v>43914</v>
      </c>
      <c r="F3611" s="2">
        <v>117</v>
      </c>
      <c r="G3611" s="2" t="s">
        <v>75</v>
      </c>
      <c r="H3611" s="2" t="s">
        <v>23</v>
      </c>
      <c r="I3611" s="6" t="s">
        <v>2954</v>
      </c>
      <c r="J3611" s="2" t="str">
        <f t="shared" si="56"/>
        <v>2020-03</v>
      </c>
    </row>
    <row r="3612" spans="1:10" x14ac:dyDescent="0.2">
      <c r="A3612" s="2" t="s">
        <v>1663</v>
      </c>
      <c r="B3612" s="2" t="s">
        <v>25</v>
      </c>
      <c r="C3612" s="2" t="s">
        <v>148</v>
      </c>
      <c r="D3612" s="2">
        <v>375</v>
      </c>
      <c r="E3612" s="5">
        <v>43913</v>
      </c>
      <c r="F3612" s="2">
        <v>1600</v>
      </c>
      <c r="G3612" s="2" t="s">
        <v>58</v>
      </c>
      <c r="H3612" s="2" t="s">
        <v>23</v>
      </c>
      <c r="I3612" s="6">
        <v>0.15</v>
      </c>
      <c r="J3612" s="2" t="str">
        <f t="shared" si="56"/>
        <v>2020-03</v>
      </c>
    </row>
    <row r="3613" spans="1:10" x14ac:dyDescent="0.2">
      <c r="A3613" s="2" t="s">
        <v>1711</v>
      </c>
      <c r="B3613" s="2" t="s">
        <v>25</v>
      </c>
      <c r="C3613" s="2" t="s">
        <v>148</v>
      </c>
      <c r="D3613" s="2">
        <v>150</v>
      </c>
      <c r="E3613" s="5">
        <v>43913</v>
      </c>
      <c r="F3613" s="2">
        <v>280</v>
      </c>
      <c r="G3613" s="2" t="s">
        <v>75</v>
      </c>
      <c r="H3613" s="2" t="s">
        <v>23</v>
      </c>
      <c r="I3613" s="6">
        <v>0.18</v>
      </c>
      <c r="J3613" s="2" t="str">
        <f t="shared" si="56"/>
        <v>2020-03</v>
      </c>
    </row>
    <row r="3614" spans="1:10" x14ac:dyDescent="0.2">
      <c r="A3614" s="2" t="s">
        <v>1269</v>
      </c>
      <c r="B3614" s="2" t="s">
        <v>28</v>
      </c>
      <c r="C3614" s="2" t="s">
        <v>142</v>
      </c>
      <c r="D3614" s="2">
        <v>91</v>
      </c>
      <c r="E3614" s="5">
        <v>43913</v>
      </c>
      <c r="F3614" s="2">
        <v>2</v>
      </c>
      <c r="G3614" s="2" t="s">
        <v>45</v>
      </c>
      <c r="H3614" s="2" t="s">
        <v>23</v>
      </c>
      <c r="I3614" s="6">
        <v>0.5</v>
      </c>
      <c r="J3614" s="2" t="str">
        <f t="shared" si="56"/>
        <v>2020-03</v>
      </c>
    </row>
    <row r="3615" spans="1:10" x14ac:dyDescent="0.2">
      <c r="A3615" s="2" t="s">
        <v>2932</v>
      </c>
      <c r="B3615" s="2" t="s">
        <v>86</v>
      </c>
      <c r="C3615" s="2" t="s">
        <v>44</v>
      </c>
      <c r="D3615" s="2">
        <v>38</v>
      </c>
      <c r="E3615" s="5">
        <v>43913</v>
      </c>
      <c r="F3615" s="2">
        <v>36</v>
      </c>
      <c r="G3615" s="2" t="s">
        <v>37</v>
      </c>
      <c r="H3615" s="2" t="s">
        <v>23</v>
      </c>
      <c r="I3615" s="6">
        <v>0.22</v>
      </c>
      <c r="J3615" s="2" t="str">
        <f t="shared" si="56"/>
        <v>2020-03</v>
      </c>
    </row>
    <row r="3616" spans="1:10" x14ac:dyDescent="0.2">
      <c r="A3616" s="2" t="s">
        <v>2933</v>
      </c>
      <c r="B3616" s="2" t="s">
        <v>147</v>
      </c>
      <c r="C3616" s="2" t="s">
        <v>26</v>
      </c>
      <c r="D3616" s="2">
        <v>20</v>
      </c>
      <c r="E3616" s="5">
        <v>43913</v>
      </c>
      <c r="F3616" s="2">
        <v>0</v>
      </c>
      <c r="G3616" s="2" t="s">
        <v>45</v>
      </c>
      <c r="H3616" s="2" t="s">
        <v>23</v>
      </c>
      <c r="I3616" s="6" t="s">
        <v>2954</v>
      </c>
      <c r="J3616" s="2" t="str">
        <f t="shared" si="56"/>
        <v>2020-03</v>
      </c>
    </row>
    <row r="3617" spans="1:10" x14ac:dyDescent="0.2">
      <c r="A3617" s="2" t="s">
        <v>2934</v>
      </c>
      <c r="B3617" s="2" t="s">
        <v>47</v>
      </c>
      <c r="C3617" s="2" t="s">
        <v>243</v>
      </c>
      <c r="D3617" s="2">
        <v>20</v>
      </c>
      <c r="E3617" s="5">
        <v>43913</v>
      </c>
      <c r="F3617" s="2">
        <v>7</v>
      </c>
      <c r="G3617" s="2" t="s">
        <v>12</v>
      </c>
      <c r="H3617" s="2" t="s">
        <v>23</v>
      </c>
      <c r="I3617" s="6">
        <v>0.4</v>
      </c>
      <c r="J3617" s="2" t="str">
        <f t="shared" si="56"/>
        <v>2020-03</v>
      </c>
    </row>
    <row r="3618" spans="1:10" x14ac:dyDescent="0.2">
      <c r="A3618" s="2" t="s">
        <v>2935</v>
      </c>
      <c r="B3618" s="2" t="s">
        <v>34</v>
      </c>
      <c r="C3618" s="2" t="s">
        <v>84</v>
      </c>
      <c r="D3618" s="2">
        <v>15</v>
      </c>
      <c r="E3618" s="5">
        <v>43913</v>
      </c>
      <c r="F3618" s="2">
        <v>48</v>
      </c>
      <c r="G3618" s="2" t="s">
        <v>37</v>
      </c>
      <c r="H3618" s="2" t="s">
        <v>23</v>
      </c>
      <c r="I3618" s="6">
        <v>0.17</v>
      </c>
      <c r="J3618" s="2" t="str">
        <f t="shared" si="56"/>
        <v>2020-03</v>
      </c>
    </row>
    <row r="3619" spans="1:10" x14ac:dyDescent="0.2">
      <c r="A3619" s="2" t="s">
        <v>2936</v>
      </c>
      <c r="B3619" s="2" t="s">
        <v>34</v>
      </c>
      <c r="C3619" s="2" t="s">
        <v>16</v>
      </c>
      <c r="D3619" s="2">
        <v>13</v>
      </c>
      <c r="E3619" s="5">
        <v>43913</v>
      </c>
      <c r="F3619" s="2">
        <v>94</v>
      </c>
      <c r="G3619" s="2" t="s">
        <v>66</v>
      </c>
      <c r="H3619" s="2" t="s">
        <v>23</v>
      </c>
      <c r="I3619" s="6">
        <v>0.25</v>
      </c>
      <c r="J3619" s="2" t="str">
        <f t="shared" si="56"/>
        <v>2020-03</v>
      </c>
    </row>
    <row r="3620" spans="1:10" x14ac:dyDescent="0.2">
      <c r="A3620" s="2" t="s">
        <v>2937</v>
      </c>
      <c r="B3620" s="2" t="s">
        <v>34</v>
      </c>
      <c r="C3620" s="2" t="s">
        <v>44</v>
      </c>
      <c r="D3620" s="2" t="s">
        <v>2954</v>
      </c>
      <c r="E3620" s="5">
        <v>43913</v>
      </c>
      <c r="F3620" s="2">
        <v>3</v>
      </c>
      <c r="G3620" s="2" t="s">
        <v>132</v>
      </c>
      <c r="H3620" s="2" t="s">
        <v>23</v>
      </c>
      <c r="I3620" s="6">
        <v>0.2</v>
      </c>
      <c r="J3620" s="2" t="str">
        <f t="shared" si="56"/>
        <v>2020-03</v>
      </c>
    </row>
    <row r="3621" spans="1:10" x14ac:dyDescent="0.2">
      <c r="A3621" s="2" t="s">
        <v>2938</v>
      </c>
      <c r="B3621" s="2" t="s">
        <v>25</v>
      </c>
      <c r="C3621" s="2" t="s">
        <v>142</v>
      </c>
      <c r="D3621" s="2" t="s">
        <v>2954</v>
      </c>
      <c r="E3621" s="5">
        <v>43913</v>
      </c>
      <c r="F3621" s="2">
        <v>70</v>
      </c>
      <c r="G3621" s="2" t="s">
        <v>66</v>
      </c>
      <c r="H3621" s="2" t="s">
        <v>23</v>
      </c>
      <c r="I3621" s="6">
        <v>0.2</v>
      </c>
      <c r="J3621" s="2" t="str">
        <f t="shared" si="56"/>
        <v>2020-03</v>
      </c>
    </row>
    <row r="3622" spans="1:10" x14ac:dyDescent="0.2">
      <c r="A3622" s="2" t="s">
        <v>333</v>
      </c>
      <c r="B3622" s="2" t="s">
        <v>47</v>
      </c>
      <c r="C3622" s="2" t="s">
        <v>117</v>
      </c>
      <c r="D3622" s="2" t="s">
        <v>2954</v>
      </c>
      <c r="E3622" s="5">
        <v>43913</v>
      </c>
      <c r="F3622" s="2">
        <v>164</v>
      </c>
      <c r="G3622" s="2" t="s">
        <v>37</v>
      </c>
      <c r="H3622" s="2" t="s">
        <v>23</v>
      </c>
      <c r="I3622" s="6" t="s">
        <v>2954</v>
      </c>
      <c r="J3622" s="2" t="str">
        <f t="shared" si="56"/>
        <v>2020-03</v>
      </c>
    </row>
    <row r="3623" spans="1:10" x14ac:dyDescent="0.2">
      <c r="A3623" s="2" t="s">
        <v>2939</v>
      </c>
      <c r="B3623" s="2" t="s">
        <v>25</v>
      </c>
      <c r="C3623" s="2" t="s">
        <v>117</v>
      </c>
      <c r="D3623" s="2">
        <v>784</v>
      </c>
      <c r="E3623" s="5">
        <v>43910</v>
      </c>
      <c r="F3623" s="2">
        <v>120</v>
      </c>
      <c r="G3623" s="2" t="s">
        <v>45</v>
      </c>
      <c r="H3623" s="2" t="s">
        <v>23</v>
      </c>
      <c r="I3623" s="6">
        <v>0.98</v>
      </c>
      <c r="J3623" s="2" t="str">
        <f t="shared" si="56"/>
        <v>2020-03</v>
      </c>
    </row>
    <row r="3624" spans="1:10" x14ac:dyDescent="0.2">
      <c r="A3624" s="2" t="s">
        <v>2940</v>
      </c>
      <c r="B3624" s="2" t="s">
        <v>147</v>
      </c>
      <c r="C3624" s="2" t="s">
        <v>44</v>
      </c>
      <c r="D3624" s="2">
        <v>45</v>
      </c>
      <c r="E3624" s="5">
        <v>43910</v>
      </c>
      <c r="F3624" s="2">
        <v>39</v>
      </c>
      <c r="G3624" s="2" t="s">
        <v>37</v>
      </c>
      <c r="H3624" s="2" t="s">
        <v>23</v>
      </c>
      <c r="I3624" s="6" t="s">
        <v>2954</v>
      </c>
      <c r="J3624" s="2" t="str">
        <f t="shared" si="56"/>
        <v>2020-03</v>
      </c>
    </row>
    <row r="3625" spans="1:10" x14ac:dyDescent="0.2">
      <c r="A3625" s="2" t="s">
        <v>2941</v>
      </c>
      <c r="B3625" s="2" t="s">
        <v>183</v>
      </c>
      <c r="C3625" s="2" t="s">
        <v>48</v>
      </c>
      <c r="D3625" s="2">
        <v>30</v>
      </c>
      <c r="E3625" s="5">
        <v>43910</v>
      </c>
      <c r="F3625" s="2">
        <v>7</v>
      </c>
      <c r="G3625" s="2" t="s">
        <v>132</v>
      </c>
      <c r="H3625" s="2" t="s">
        <v>106</v>
      </c>
      <c r="I3625" s="6">
        <v>0.5</v>
      </c>
      <c r="J3625" s="2" t="str">
        <f t="shared" si="56"/>
        <v>2020-03</v>
      </c>
    </row>
    <row r="3626" spans="1:10" x14ac:dyDescent="0.2">
      <c r="A3626" s="2" t="s">
        <v>2942</v>
      </c>
      <c r="B3626" s="2" t="s">
        <v>86</v>
      </c>
      <c r="C3626" s="2" t="s">
        <v>235</v>
      </c>
      <c r="D3626" s="2">
        <v>18</v>
      </c>
      <c r="E3626" s="5">
        <v>43910</v>
      </c>
      <c r="F3626" s="2">
        <v>16</v>
      </c>
      <c r="G3626" s="2" t="s">
        <v>41</v>
      </c>
      <c r="H3626" s="2" t="s">
        <v>23</v>
      </c>
      <c r="I3626" s="6" t="s">
        <v>2954</v>
      </c>
      <c r="J3626" s="2" t="str">
        <f t="shared" si="56"/>
        <v>2020-03</v>
      </c>
    </row>
    <row r="3627" spans="1:10" x14ac:dyDescent="0.2">
      <c r="A3627" s="2" t="s">
        <v>2943</v>
      </c>
      <c r="B3627" s="2" t="s">
        <v>47</v>
      </c>
      <c r="C3627" s="2" t="s">
        <v>44</v>
      </c>
      <c r="D3627" s="2" t="s">
        <v>2954</v>
      </c>
      <c r="E3627" s="5">
        <v>43910</v>
      </c>
      <c r="F3627" s="2">
        <v>5</v>
      </c>
      <c r="G3627" s="2" t="s">
        <v>132</v>
      </c>
      <c r="H3627" s="2" t="s">
        <v>23</v>
      </c>
      <c r="I3627" s="6">
        <v>1</v>
      </c>
      <c r="J3627" s="2" t="str">
        <f t="shared" si="56"/>
        <v>2020-03</v>
      </c>
    </row>
    <row r="3628" spans="1:10" x14ac:dyDescent="0.2">
      <c r="A3628" s="2" t="s">
        <v>94</v>
      </c>
      <c r="B3628" s="2" t="s">
        <v>43</v>
      </c>
      <c r="C3628" s="2" t="s">
        <v>44</v>
      </c>
      <c r="D3628" s="2" t="s">
        <v>2954</v>
      </c>
      <c r="E3628" s="5">
        <v>43910</v>
      </c>
      <c r="F3628" s="2">
        <v>526</v>
      </c>
      <c r="G3628" s="2" t="s">
        <v>66</v>
      </c>
      <c r="H3628" s="2" t="s">
        <v>23</v>
      </c>
      <c r="I3628" s="6" t="s">
        <v>2954</v>
      </c>
      <c r="J3628" s="2" t="str">
        <f t="shared" si="56"/>
        <v>2020-03</v>
      </c>
    </row>
    <row r="3629" spans="1:10" x14ac:dyDescent="0.2">
      <c r="A3629" s="2" t="s">
        <v>1645</v>
      </c>
      <c r="B3629" s="2" t="s">
        <v>100</v>
      </c>
      <c r="C3629" s="2" t="s">
        <v>52</v>
      </c>
      <c r="D3629" s="2">
        <v>120</v>
      </c>
      <c r="E3629" s="5">
        <v>43909</v>
      </c>
      <c r="F3629" s="2">
        <v>214</v>
      </c>
      <c r="G3629" s="2" t="s">
        <v>75</v>
      </c>
      <c r="H3629" s="2" t="s">
        <v>98</v>
      </c>
      <c r="I3629" s="6" t="s">
        <v>2954</v>
      </c>
      <c r="J3629" s="2" t="str">
        <f t="shared" si="56"/>
        <v>2020-03</v>
      </c>
    </row>
    <row r="3630" spans="1:10" x14ac:dyDescent="0.2">
      <c r="A3630" s="2" t="s">
        <v>2944</v>
      </c>
      <c r="B3630" s="2" t="s">
        <v>34</v>
      </c>
      <c r="C3630" s="2" t="s">
        <v>84</v>
      </c>
      <c r="D3630" s="2">
        <v>84</v>
      </c>
      <c r="E3630" s="5">
        <v>43909</v>
      </c>
      <c r="F3630" s="2" t="s">
        <v>2954</v>
      </c>
      <c r="G3630" s="2" t="s">
        <v>12</v>
      </c>
      <c r="H3630" s="2" t="s">
        <v>23</v>
      </c>
      <c r="I3630" s="6">
        <v>1</v>
      </c>
      <c r="J3630" s="2" t="str">
        <f t="shared" si="56"/>
        <v>2020-03</v>
      </c>
    </row>
    <row r="3631" spans="1:10" x14ac:dyDescent="0.2">
      <c r="A3631" s="2" t="s">
        <v>2945</v>
      </c>
      <c r="B3631" s="2" t="s">
        <v>314</v>
      </c>
      <c r="C3631" s="2" t="s">
        <v>44</v>
      </c>
      <c r="D3631" s="2">
        <v>50</v>
      </c>
      <c r="E3631" s="5">
        <v>43909</v>
      </c>
      <c r="F3631" s="2">
        <v>17</v>
      </c>
      <c r="G3631" s="2" t="s">
        <v>37</v>
      </c>
      <c r="H3631" s="2" t="s">
        <v>23</v>
      </c>
      <c r="I3631" s="6">
        <v>0.5</v>
      </c>
      <c r="J3631" s="2" t="str">
        <f t="shared" si="56"/>
        <v>2020-03</v>
      </c>
    </row>
    <row r="3632" spans="1:10" x14ac:dyDescent="0.2">
      <c r="A3632" s="2" t="s">
        <v>2946</v>
      </c>
      <c r="B3632" s="2" t="s">
        <v>89</v>
      </c>
      <c r="C3632" s="2" t="s">
        <v>44</v>
      </c>
      <c r="D3632" s="2">
        <v>34</v>
      </c>
      <c r="E3632" s="5">
        <v>43909</v>
      </c>
      <c r="F3632" s="2">
        <v>81</v>
      </c>
      <c r="G3632" s="2" t="s">
        <v>66</v>
      </c>
      <c r="H3632" s="2" t="s">
        <v>23</v>
      </c>
      <c r="I3632" s="6" t="s">
        <v>2954</v>
      </c>
      <c r="J3632" s="2" t="str">
        <f t="shared" si="56"/>
        <v>2020-03</v>
      </c>
    </row>
    <row r="3633" spans="1:10" x14ac:dyDescent="0.2">
      <c r="A3633" s="2" t="s">
        <v>2947</v>
      </c>
      <c r="B3633" s="2" t="s">
        <v>15</v>
      </c>
      <c r="C3633" s="2" t="s">
        <v>195</v>
      </c>
      <c r="D3633" s="2" t="s">
        <v>2954</v>
      </c>
      <c r="E3633" s="5">
        <v>43909</v>
      </c>
      <c r="F3633" s="2">
        <v>74</v>
      </c>
      <c r="G3633" s="2" t="s">
        <v>41</v>
      </c>
      <c r="H3633" s="2" t="s">
        <v>18</v>
      </c>
      <c r="I3633" s="6" t="s">
        <v>2954</v>
      </c>
      <c r="J3633" s="2" t="str">
        <f t="shared" si="56"/>
        <v>2020-03</v>
      </c>
    </row>
    <row r="3634" spans="1:10" x14ac:dyDescent="0.2">
      <c r="A3634" s="2" t="s">
        <v>2948</v>
      </c>
      <c r="B3634" s="2" t="s">
        <v>25</v>
      </c>
      <c r="C3634" s="2" t="s">
        <v>117</v>
      </c>
      <c r="D3634" s="2" t="s">
        <v>2954</v>
      </c>
      <c r="E3634" s="5">
        <v>43909</v>
      </c>
      <c r="F3634" s="2">
        <v>13</v>
      </c>
      <c r="G3634" s="2" t="s">
        <v>12</v>
      </c>
      <c r="H3634" s="2" t="s">
        <v>23</v>
      </c>
      <c r="I3634" s="6">
        <v>1</v>
      </c>
      <c r="J3634" s="2" t="str">
        <f t="shared" si="56"/>
        <v>2020-03</v>
      </c>
    </row>
    <row r="3635" spans="1:10" x14ac:dyDescent="0.2">
      <c r="A3635" s="2" t="s">
        <v>2949</v>
      </c>
      <c r="B3635" s="2" t="s">
        <v>250</v>
      </c>
      <c r="C3635" s="2" t="s">
        <v>142</v>
      </c>
      <c r="D3635" s="2" t="s">
        <v>2954</v>
      </c>
      <c r="E3635" s="5">
        <v>43909</v>
      </c>
      <c r="F3635" s="2">
        <v>0</v>
      </c>
      <c r="G3635" s="2" t="s">
        <v>45</v>
      </c>
      <c r="H3635" s="2" t="s">
        <v>23</v>
      </c>
      <c r="I3635" s="6" t="s">
        <v>2954</v>
      </c>
      <c r="J3635" s="2" t="str">
        <f t="shared" si="56"/>
        <v>2020-03</v>
      </c>
    </row>
    <row r="3636" spans="1:10" x14ac:dyDescent="0.2">
      <c r="A3636" s="2" t="s">
        <v>2950</v>
      </c>
      <c r="B3636" s="2" t="s">
        <v>284</v>
      </c>
      <c r="C3636" s="2" t="s">
        <v>26</v>
      </c>
      <c r="D3636" s="2">
        <v>4</v>
      </c>
      <c r="E3636" s="5">
        <v>43908</v>
      </c>
      <c r="F3636" s="2">
        <v>4</v>
      </c>
      <c r="G3636" s="2" t="s">
        <v>132</v>
      </c>
      <c r="H3636" s="2" t="s">
        <v>23</v>
      </c>
      <c r="I3636" s="6">
        <v>0.2</v>
      </c>
      <c r="J3636" s="2" t="str">
        <f t="shared" si="56"/>
        <v>2020-03</v>
      </c>
    </row>
    <row r="3637" spans="1:10" x14ac:dyDescent="0.2">
      <c r="A3637" s="2" t="s">
        <v>889</v>
      </c>
      <c r="B3637" s="2" t="s">
        <v>60</v>
      </c>
      <c r="C3637" s="2" t="s">
        <v>44</v>
      </c>
      <c r="D3637" s="2">
        <v>130</v>
      </c>
      <c r="E3637" s="5">
        <v>43906</v>
      </c>
      <c r="F3637" s="2">
        <v>79</v>
      </c>
      <c r="G3637" s="2" t="s">
        <v>66</v>
      </c>
      <c r="H3637" s="2" t="s">
        <v>23</v>
      </c>
      <c r="I3637" s="6">
        <v>0.22</v>
      </c>
      <c r="J3637" s="2" t="str">
        <f t="shared" si="56"/>
        <v>2020-03</v>
      </c>
    </row>
    <row r="3638" spans="1:10" x14ac:dyDescent="0.2">
      <c r="A3638" s="2" t="s">
        <v>2951</v>
      </c>
      <c r="B3638" s="2" t="s">
        <v>86</v>
      </c>
      <c r="C3638" s="2" t="s">
        <v>113</v>
      </c>
      <c r="D3638" s="2">
        <v>16</v>
      </c>
      <c r="E3638" s="5">
        <v>43906</v>
      </c>
      <c r="F3638" s="2">
        <v>6</v>
      </c>
      <c r="G3638" s="2" t="s">
        <v>132</v>
      </c>
      <c r="H3638" s="2" t="s">
        <v>23</v>
      </c>
      <c r="I3638" s="6">
        <v>1</v>
      </c>
      <c r="J3638" s="2" t="str">
        <f t="shared" si="56"/>
        <v>2020-03</v>
      </c>
    </row>
    <row r="3639" spans="1:10" x14ac:dyDescent="0.2">
      <c r="A3639" s="2" t="s">
        <v>2943</v>
      </c>
      <c r="B3639" s="2" t="s">
        <v>47</v>
      </c>
      <c r="C3639" s="2" t="s">
        <v>44</v>
      </c>
      <c r="D3639" s="2" t="s">
        <v>2954</v>
      </c>
      <c r="E3639" s="5">
        <v>43906</v>
      </c>
      <c r="F3639" s="2">
        <v>5.0999999999999996</v>
      </c>
      <c r="G3639" s="2" t="s">
        <v>132</v>
      </c>
      <c r="H3639" s="2" t="s">
        <v>23</v>
      </c>
      <c r="I3639" s="6">
        <v>1</v>
      </c>
      <c r="J3639" s="2" t="str">
        <f t="shared" si="56"/>
        <v>2020-03</v>
      </c>
    </row>
    <row r="3640" spans="1:10" x14ac:dyDescent="0.2">
      <c r="A3640" s="2" t="s">
        <v>2555</v>
      </c>
      <c r="B3640" s="2" t="s">
        <v>47</v>
      </c>
      <c r="C3640" s="2" t="s">
        <v>52</v>
      </c>
      <c r="D3640" s="2">
        <v>8</v>
      </c>
      <c r="E3640" s="5">
        <v>43903</v>
      </c>
      <c r="F3640" s="2">
        <v>45</v>
      </c>
      <c r="G3640" s="2" t="s">
        <v>12</v>
      </c>
      <c r="H3640" s="2" t="s">
        <v>23</v>
      </c>
      <c r="I3640" s="6">
        <v>0.1</v>
      </c>
      <c r="J3640" s="2" t="str">
        <f t="shared" si="56"/>
        <v>2020-03</v>
      </c>
    </row>
    <row r="3641" spans="1:10" x14ac:dyDescent="0.2">
      <c r="A3641" s="2" t="s">
        <v>2952</v>
      </c>
      <c r="B3641" s="2" t="s">
        <v>34</v>
      </c>
      <c r="C3641" s="2" t="s">
        <v>35</v>
      </c>
      <c r="D3641" s="2">
        <v>6</v>
      </c>
      <c r="E3641" s="5">
        <v>43903</v>
      </c>
      <c r="F3641" s="2">
        <v>1</v>
      </c>
      <c r="G3641" s="2" t="s">
        <v>132</v>
      </c>
      <c r="H3641" s="2" t="s">
        <v>23</v>
      </c>
      <c r="I3641" s="6">
        <v>0.75</v>
      </c>
      <c r="J3641" s="2" t="str">
        <f t="shared" si="56"/>
        <v>2020-03</v>
      </c>
    </row>
    <row r="3642" spans="1:10" x14ac:dyDescent="0.2">
      <c r="A3642" s="2" t="s">
        <v>2953</v>
      </c>
      <c r="B3642" s="2" t="s">
        <v>47</v>
      </c>
      <c r="C3642" s="2" t="s">
        <v>142</v>
      </c>
      <c r="D3642" s="2">
        <v>20</v>
      </c>
      <c r="E3642" s="5">
        <v>43902</v>
      </c>
      <c r="F3642" s="2">
        <v>90</v>
      </c>
      <c r="G3642" s="2" t="s">
        <v>66</v>
      </c>
      <c r="H3642" s="2" t="s">
        <v>23</v>
      </c>
      <c r="I3642" s="6">
        <v>0.4</v>
      </c>
      <c r="J3642" s="2" t="str">
        <f t="shared" si="56"/>
        <v>2020-03</v>
      </c>
    </row>
    <row r="3643" spans="1:10" x14ac:dyDescent="0.2">
      <c r="A3643" s="2" t="s">
        <v>2763</v>
      </c>
      <c r="B3643" s="2" t="s">
        <v>147</v>
      </c>
      <c r="C3643" s="2" t="s">
        <v>170</v>
      </c>
      <c r="D3643" s="2">
        <v>75</v>
      </c>
      <c r="E3643" s="5">
        <v>43901</v>
      </c>
      <c r="F3643" s="2">
        <v>12</v>
      </c>
      <c r="G3643" s="2" t="s">
        <v>41</v>
      </c>
      <c r="H3643" s="2" t="s">
        <v>23</v>
      </c>
      <c r="I3643" s="6" t="s">
        <v>2954</v>
      </c>
      <c r="J3643" s="2" t="str">
        <f t="shared" si="56"/>
        <v>2020-03</v>
      </c>
    </row>
  </sheetData>
  <autoFilter ref="A1:A3643" xr:uid="{61C60170-9A23-754A-A664-F18E47D605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Reports</vt:lpstr>
      <vt:lpstr>layoffs_data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2026-03-22T10:13:26Z</dcterms:created>
  <dcterms:modified xsi:type="dcterms:W3CDTF">2026-03-23T06:55:42Z</dcterms:modified>
</cp:coreProperties>
</file>